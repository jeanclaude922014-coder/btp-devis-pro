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EIL" sheetId="1" state="visible" r:id="rId1"/>
    <sheet xmlns:r="http://schemas.openxmlformats.org/officeDocument/2006/relationships" name="PARAMÈTRES" sheetId="2" state="visible" r:id="rId2"/>
    <sheet xmlns:r="http://schemas.openxmlformats.org/officeDocument/2006/relationships" name="BASE_PROFILÉS" sheetId="3" state="visible" r:id="rId3"/>
    <sheet xmlns:r="http://schemas.openxmlformats.org/officeDocument/2006/relationships" name="BASE_ACIERS" sheetId="4" state="visible" r:id="rId4"/>
    <sheet xmlns:r="http://schemas.openxmlformats.org/officeDocument/2006/relationships" name="PRÉDIMENSIONNEMENT" sheetId="5" state="visible" r:id="rId5"/>
    <sheet xmlns:r="http://schemas.openxmlformats.org/officeDocument/2006/relationships" name="QUANTITATIF_CHARPENTE" sheetId="6" state="visible" r:id="rId6"/>
    <sheet xmlns:r="http://schemas.openxmlformats.org/officeDocument/2006/relationships" name="GROS_ŒUVRE" sheetId="7" state="visible" r:id="rId7"/>
    <sheet xmlns:r="http://schemas.openxmlformats.org/officeDocument/2006/relationships" name="DQE_DEVIS" sheetId="8" state="visible" r:id="rId8"/>
    <sheet xmlns:r="http://schemas.openxmlformats.org/officeDocument/2006/relationships" name="RÉCAP_GABARITS" sheetId="9" state="visible" r:id="rId9"/>
    <sheet xmlns:r="http://schemas.openxmlformats.org/officeDocument/2006/relationships" name="PLANS" sheetId="10" state="visible" r:id="rId10"/>
    <sheet xmlns:r="http://schemas.openxmlformats.org/officeDocument/2006/relationships" name="COORD_PLANS" sheetId="11" state="hidden" r:id="rId11"/>
    <sheet xmlns:r="http://schemas.openxmlformats.org/officeDocument/2006/relationships" name="CALC_GABARITS" sheetId="12" state="hidden" r:id="rId12"/>
  </sheets>
  <definedNames>
    <definedName name="_xlnm.Print_Titles" localSheetId="1">'PARAMÈTRES'!$1:$4</definedName>
    <definedName name="_xlnm.Print_Titles" localSheetId="2">'BASE_PROFILÉS'!$1:$4</definedName>
    <definedName name="_xlnm.Print_Titles" localSheetId="3">'BASE_ACIERS'!$1:$4</definedName>
    <definedName name="_xlnm.Print_Titles" localSheetId="4">'PRÉDIMENSIONNEMENT'!$1:$2</definedName>
    <definedName name="_xlnm.Print_Titles" localSheetId="5">'QUANTITATIF_CHARPENTE'!$1:$4</definedName>
    <definedName name="_xlnm.Print_Titles" localSheetId="6">'GROS_ŒUVRE'!$1:$4</definedName>
    <definedName name="_xlnm.Print_Titles" localSheetId="7">'DQE_DEVIS'!$1:$4</definedName>
    <definedName name="_xlnm.Print_Titles" localSheetId="8">'RÉCAP_GABARITS'!$1:$4</definedName>
    <definedName name="_xlnm.Print_Area" localSheetId="9">'PLANS'!$A$1:$M$252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dd/mm/yyyy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55A11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00"/>
      <sz val="9"/>
    </font>
    <font>
      <name val="Arial"/>
      <i val="1"/>
      <color rgb="00000000"/>
      <sz val="8"/>
    </font>
    <font>
      <name val="Arial"/>
      <i val="1"/>
      <color rgb="00000000"/>
      <sz val="10"/>
    </font>
    <font>
      <name val="Arial"/>
      <b val="1"/>
      <color rgb="00C55A11"/>
      <sz val="10"/>
    </font>
    <font>
      <name val="Arial"/>
      <color rgb="00000000"/>
      <sz val="8"/>
    </font>
    <font>
      <name val="Arial"/>
      <b val="1"/>
    </font>
    <font>
      <name val="Arial"/>
      <i val="1"/>
      <sz val="8"/>
    </font>
    <font>
      <name val="Arial"/>
      <b val="1"/>
      <color rgb="00FFFFFF"/>
      <sz val="11"/>
    </font>
    <font>
      <name val="Arial"/>
      <color rgb="00BFBFBF"/>
      <sz val="7"/>
    </font>
    <font>
      <name val="Arial"/>
      <b val="1"/>
      <color rgb="00FFFFFF"/>
      <sz val="12"/>
    </font>
    <font>
      <name val="Arial"/>
      <b val="1"/>
      <color rgb="00000000"/>
      <sz val="9"/>
    </font>
    <font>
      <name val="Arial"/>
      <b val="1"/>
      <sz val="13"/>
    </font>
    <font>
      <name val="Arial"/>
      <b val="1"/>
      <color rgb="00000000"/>
      <sz val="11"/>
    </font>
    <font>
      <name val="Arial"/>
      <color rgb="00000000"/>
      <sz val="7"/>
    </font>
    <font>
      <name val="Arial"/>
      <i val="1"/>
      <color rgb="00000000"/>
      <sz val="7"/>
    </font>
    <font>
      <name val="Arial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55A11"/>
        <bgColor rgb="00C55A11"/>
      </patternFill>
    </fill>
    <fill>
      <patternFill patternType="solid">
        <fgColor rgb="00FFFF00"/>
        <bgColor rgb="00FFFF00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BE5D6"/>
        <bgColor rgb="00FBE5D6"/>
      </patternFill>
    </fill>
  </fills>
  <borders count="1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5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17" fillId="4" borderId="1" applyAlignment="1" applyProtection="1" pivotButton="0" quotePrefix="0" xfId="0">
      <alignment horizontal="center"/>
      <protection locked="0" hidden="0"/>
    </xf>
    <xf numFmtId="0" fontId="7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0" fillId="0" borderId="5" pivotButton="0" quotePrefix="0" xfId="0"/>
    <xf numFmtId="4" fontId="5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/>
    </xf>
    <xf numFmtId="164" fontId="5" fillId="5" borderId="1" applyAlignment="1" pivotButton="0" quotePrefix="0" xfId="0">
      <alignment horizontal="right" vertical="center"/>
    </xf>
    <xf numFmtId="49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/>
    </xf>
    <xf numFmtId="4" fontId="18" fillId="5" borderId="1" applyAlignment="1" pivotButton="0" quotePrefix="0" xfId="0">
      <alignment horizontal="right" vertical="center"/>
    </xf>
    <xf numFmtId="3" fontId="18" fillId="5" borderId="1" applyAlignment="1" pivotButton="0" quotePrefix="0" xfId="0">
      <alignment horizontal="right" vertical="center"/>
    </xf>
    <xf numFmtId="0" fontId="19" fillId="5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2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2" fontId="5" fillId="4" borderId="1" applyAlignment="1" applyProtection="1" pivotButton="0" quotePrefix="0" xfId="0">
      <alignment horizontal="center"/>
      <protection locked="0" hidden="0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164" fontId="5" fillId="4" borderId="1" applyAlignment="1" applyProtection="1" pivotButton="0" quotePrefix="0" xfId="0">
      <alignment horizontal="center"/>
      <protection locked="0" hidden="0"/>
    </xf>
    <xf numFmtId="0" fontId="8" fillId="0" borderId="1" applyAlignment="1" pivotButton="0" quotePrefix="0" xfId="0">
      <alignment vertical="center"/>
    </xf>
    <xf numFmtId="49" fontId="5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2" fontId="5" fillId="4" borderId="1" applyAlignment="1" applyProtection="1" pivotButton="0" quotePrefix="0" xfId="0">
      <alignment vertical="center"/>
      <protection locked="0" hidden="0"/>
    </xf>
    <xf numFmtId="164" fontId="5" fillId="4" borderId="1" applyAlignment="1" applyProtection="1" pivotButton="0" quotePrefix="0" xfId="0">
      <alignment vertical="center"/>
      <protection locked="0" hidden="0"/>
    </xf>
    <xf numFmtId="0" fontId="9" fillId="0" borderId="0" applyAlignment="1" pivotButton="0" quotePrefix="0" xfId="0">
      <alignment vertical="center"/>
    </xf>
    <xf numFmtId="165" fontId="5" fillId="4" borderId="1" applyAlignment="1" applyProtection="1" pivotButton="0" quotePrefix="0" xfId="0">
      <alignment vertical="center"/>
      <protection locked="0" hidden="0"/>
    </xf>
    <xf numFmtId="4" fontId="4" fillId="5" borderId="1" applyAlignment="1" pivotButton="0" quotePrefix="0" xfId="0">
      <alignment vertical="center"/>
    </xf>
    <xf numFmtId="49" fontId="5" fillId="4" borderId="1" applyAlignment="1" applyProtection="1" pivotButton="0" quotePrefix="0" xfId="0">
      <alignment horizontal="center"/>
      <protection locked="0" hidden="0"/>
    </xf>
    <xf numFmtId="1" fontId="5" fillId="4" borderId="1" applyAlignment="1" applyProtection="1" pivotButton="0" quotePrefix="0" xfId="0">
      <alignment horizontal="center"/>
      <protection locked="0" hidden="0"/>
    </xf>
    <xf numFmtId="165" fontId="5" fillId="4" borderId="1" applyAlignment="1" applyProtection="1" pivotButton="0" quotePrefix="0" xfId="0">
      <alignment horizontal="center"/>
      <protection locked="0" hidden="0"/>
    </xf>
    <xf numFmtId="3" fontId="5" fillId="4" borderId="1" applyAlignment="1" applyProtection="1" pivotButton="0" quotePrefix="0" xfId="0">
      <alignment horizontal="center"/>
      <protection locked="0" hidden="0"/>
    </xf>
    <xf numFmtId="0" fontId="4" fillId="4" borderId="1" applyAlignment="1" applyProtection="1" pivotButton="0" quotePrefix="0" xfId="0">
      <alignment vertical="center"/>
      <protection locked="0" hidden="0"/>
    </xf>
    <xf numFmtId="4" fontId="4" fillId="4" borderId="1" applyAlignment="1" applyProtection="1" pivotButton="0" quotePrefix="0" xfId="0">
      <alignment vertical="center"/>
      <protection locked="0" hidden="0"/>
    </xf>
    <xf numFmtId="0" fontId="10" fillId="0" borderId="1" applyAlignment="1" pivotButton="0" quotePrefix="0" xfId="0">
      <alignment vertical="center"/>
    </xf>
    <xf numFmtId="0" fontId="0" fillId="0" borderId="0" applyProtection="1" pivotButton="0" quotePrefix="0" xfId="0">
      <protection locked="0" hidden="0"/>
    </xf>
    <xf numFmtId="49" fontId="4" fillId="0" borderId="1" applyAlignment="1" pivotButton="0" quotePrefix="0" xfId="0">
      <alignment vertical="center"/>
    </xf>
    <xf numFmtId="1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2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applyProtection="1" pivotButton="0" quotePrefix="0" xfId="0">
      <alignment vertical="center"/>
      <protection locked="0" hidden="0"/>
    </xf>
    <xf numFmtId="1" fontId="5" fillId="5" borderId="1" applyAlignment="1" pivotButton="0" quotePrefix="0" xfId="0">
      <alignment horizontal="center" vertical="center"/>
    </xf>
    <xf numFmtId="0" fontId="0" fillId="0" borderId="4" pivotButton="0" quotePrefix="0" xfId="0"/>
    <xf numFmtId="4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49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/>
    </xf>
    <xf numFmtId="0" fontId="11" fillId="7" borderId="1" applyAlignment="1" pivotButton="0" quotePrefix="0" xfId="0">
      <alignment vertical="center"/>
    </xf>
    <xf numFmtId="4" fontId="11" fillId="7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3" fontId="11" fillId="7" borderId="1" applyAlignment="1" pivotButton="0" quotePrefix="0" xfId="0">
      <alignment vertical="center"/>
    </xf>
    <xf numFmtId="3" fontId="4" fillId="7" borderId="1" applyAlignment="1" pivotButton="0" quotePrefix="0" xfId="0">
      <alignment vertical="center"/>
    </xf>
    <xf numFmtId="0" fontId="12" fillId="7" borderId="1" applyAlignment="1" pivotButton="0" quotePrefix="0" xfId="0">
      <alignment vertical="center"/>
    </xf>
    <xf numFmtId="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5" fillId="7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13" fillId="2" borderId="1" applyAlignment="1" pivotButton="0" quotePrefix="0" xfId="0">
      <alignment vertical="center"/>
    </xf>
    <xf numFmtId="3" fontId="13" fillId="2" borderId="1" applyAlignment="1" pivotButton="0" quotePrefix="0" xfId="0">
      <alignment vertical="center"/>
    </xf>
    <xf numFmtId="3" fontId="8" fillId="0" borderId="1" applyAlignment="1" pivotButton="0" quotePrefix="0" xfId="0">
      <alignment vertical="center"/>
    </xf>
    <xf numFmtId="3" fontId="14" fillId="0" borderId="0" pivotButton="0" quotePrefix="0" xfId="0"/>
    <xf numFmtId="0" fontId="5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2" borderId="0" pivotButton="0" quotePrefix="0" xfId="0"/>
    <xf numFmtId="0" fontId="18" fillId="0" borderId="6" applyAlignment="1" pivotButton="0" quotePrefix="0" xfId="0">
      <alignment vertical="center"/>
    </xf>
    <xf numFmtId="0" fontId="0" fillId="0" borderId="6" pivotButton="0" quotePrefix="0" xfId="0"/>
    <xf numFmtId="0" fontId="5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right" vertical="center"/>
    </xf>
    <xf numFmtId="166" fontId="6" fillId="0" borderId="6" applyAlignment="1" pivotButton="0" quotePrefix="0" xfId="0">
      <alignment horizontal="center" vertical="center"/>
    </xf>
    <xf numFmtId="0" fontId="10" fillId="0" borderId="6" applyAlignment="1" pivotButton="0" quotePrefix="0" xfId="0">
      <alignment vertical="center" wrapText="1"/>
    </xf>
    <xf numFmtId="0" fontId="21" fillId="0" borderId="6" applyAlignment="1" pivotButton="0" quotePrefix="0" xfId="0">
      <alignment horizontal="center" vertical="center"/>
    </xf>
    <xf numFmtId="0" fontId="20" fillId="0" borderId="6" applyAlignment="1" pivotButton="0" quotePrefix="0" xfId="0">
      <alignment vertical="center" wrapText="1"/>
    </xf>
    <xf numFmtId="0" fontId="5" fillId="7" borderId="6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8" pivotButton="0" quotePrefix="0" xfId="0"/>
    <xf numFmtId="0" fontId="20" fillId="0" borderId="1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FFFFFF"/>
      </font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v>Axes des files</v>
          </tx>
          <spPr>
            <a:ln xmlns:a="http://schemas.openxmlformats.org/drawingml/2006/main" w="5080">
              <a:solidFill>
                <a:srgbClr val="00000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'COORD_PLANS'!$G$5:$G$133</f>
            </numRef>
          </xVal>
          <yVal>
            <numRef>
              <f>'COORD_PLANS'!$H$5:$H$133</f>
            </numRef>
          </yVal>
          <smooth val="0"/>
        </ser>
        <ser>
          <idx val="1"/>
          <order val="1"/>
          <tx>
            <v>Semelles filantes</v>
          </tx>
          <spPr>
            <a:ln xmlns:a="http://schemas.openxmlformats.org/drawingml/2006/main" w="9525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'COORD_PLANS'!$I$5:$I$16</f>
            </numRef>
          </xVal>
          <yVal>
            <numRef>
              <f>'COORD_PLANS'!$J$5:$J$16</f>
            </numRef>
          </yVal>
          <smooth val="0"/>
        </ser>
        <ser>
          <idx val="2"/>
          <order val="2"/>
          <tx>
            <v>Semelles isolées</v>
          </tx>
          <spPr>
            <a:ln xmlns:a="http://schemas.openxmlformats.org/drawingml/2006/main" w="1270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'COORD_PLANS'!$K$5:$K$886</f>
            </numRef>
          </xVal>
          <yVal>
            <numRef>
              <f>'COORD_PLANS'!$L$5:$L$886</f>
            </numRef>
          </yVal>
          <smooth val="0"/>
        </ser>
        <ser>
          <idx val="3"/>
          <order val="3"/>
          <tx>
            <v>Poteaux de portique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0070C0"/>
              </a:solidFill>
              <a:ln xmlns:a="http://schemas.openxmlformats.org/drawingml/2006/main">
                <a:solidFill>
                  <a:srgbClr val="0070C0"/>
                </a:solidFill>
                <a:prstDash val="solid"/>
              </a:ln>
            </spPr>
          </marker>
          <xVal>
            <numRef>
              <f>'COORD_PLANS'!$M$5:$M$127</f>
            </numRef>
          </xVal>
          <yVal>
            <numRef>
              <f>'COORD_PLANS'!$N$5:$N$127</f>
            </numRef>
          </yVal>
          <smooth val="0"/>
        </ser>
        <ser>
          <idx val="4"/>
          <order val="4"/>
          <tx>
            <v>Poteaux de pignon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70C0"/>
              </a:solidFill>
              <a:ln xmlns:a="http://schemas.openxmlformats.org/drawingml/2006/main">
                <a:solidFill>
                  <a:srgbClr val="0070C0"/>
                </a:solidFill>
                <a:prstDash val="solid"/>
              </a:ln>
            </spPr>
          </marker>
          <xVal>
            <numRef>
              <f>'COORD_PLANS'!$O$5:$O$28</f>
            </numRef>
          </xVal>
          <yVal>
            <numRef>
              <f>'COORD_PLANS'!$P$5:$P$28</f>
            </numRef>
          </yVal>
          <smooth val="0"/>
        </ser>
        <ser>
          <idx val="5"/>
          <order val="5"/>
          <tx>
            <v>Baies</v>
          </tx>
          <spPr>
            <a:ln xmlns:a="http://schemas.openxmlformats.org/drawingml/2006/main" w="3175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'COORD_PLANS'!$Q$5:$Q$28</f>
            </numRef>
          </xVal>
          <yVal>
            <numRef>
              <f>'COORD_PLANS'!$R$5:$R$28</f>
            </numRef>
          </yVal>
          <smooth val="0"/>
        </ser>
        <ser>
          <idx val="6"/>
          <order val="6"/>
          <tx>
            <strRef>
              <f>'COORD_PLANS'!$E$5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'COORD_PLANS'!$S$5</f>
            </numRef>
          </xVal>
          <yVal>
            <numRef>
              <f>'COORD_PLANS'!$T$5</f>
            </numRef>
          </yVal>
          <smooth val="0"/>
        </ser>
        <ser>
          <idx val="7"/>
          <order val="7"/>
          <tx>
            <strRef>
              <f>'COORD_PLANS'!$E$6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'COORD_PLANS'!$U$5</f>
            </numRef>
          </xVal>
          <yVal>
            <numRef>
              <f>'COORD_PLANS'!$V$5</f>
            </numRef>
          </yVal>
          <smooth val="0"/>
        </ser>
        <ser>
          <idx val="8"/>
          <order val="8"/>
          <tx>
            <strRef>
              <f>'COORD_PLANS'!$E$7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'COORD_PLANS'!$W$5</f>
            </numRef>
          </xVal>
          <yVal>
            <numRef>
              <f>'COORD_PLANS'!$X$5</f>
            </numRef>
          </yVal>
          <smooth val="0"/>
        </ser>
        <ser>
          <idx val="9"/>
          <order val="9"/>
          <tx>
            <strRef>
              <f>'COORD_PLANS'!$E$8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'COORD_PLANS'!$Y$5</f>
            </numRef>
          </xVal>
          <yVal>
            <numRef>
              <f>'COORD_PLANS'!$Z$5</f>
            </numRef>
          </yVal>
          <smooth val="0"/>
        </ser>
        <ser>
          <idx val="10"/>
          <order val="10"/>
          <tx>
            <strRef>
              <f>'COORD_PLANS'!$E$9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'COORD_PLANS'!$AA$5</f>
            </numRef>
          </xVal>
          <yVal>
            <numRef>
              <f>'COORD_PLANS'!$AB$5</f>
            </numRef>
          </yVal>
          <smooth val="0"/>
        </ser>
        <ser>
          <idx val="11"/>
          <order val="11"/>
          <tx>
            <strRef>
              <f>'COORD_PLANS'!$E$10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'COORD_PLANS'!$AC$5</f>
            </numRef>
          </xVal>
          <yVal>
            <numRef>
              <f>'COORD_PLANS'!$AD$5</f>
            </numRef>
          </yVal>
          <smooth val="0"/>
        </ser>
        <ser>
          <idx val="12"/>
          <order val="12"/>
          <tx>
            <strRef>
              <f>'COORD_PLANS'!$E$11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'COORD_PLANS'!$AE$5</f>
            </numRef>
          </xVal>
          <yVal>
            <numRef>
              <f>'COORD_PLANS'!$AF$5</f>
            </numRef>
          </yVal>
          <smooth val="0"/>
        </ser>
        <ser>
          <idx val="13"/>
          <order val="13"/>
          <tx>
            <strRef>
              <f>'COORD_PLANS'!$E$12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'COORD_PLANS'!$AG$5</f>
            </numRef>
          </xVal>
          <yVal>
            <numRef>
              <f>'COORD_PLANS'!$AH$5</f>
            </numRef>
          </yVal>
          <smooth val="0"/>
        </ser>
        <ser>
          <idx val="14"/>
          <order val="14"/>
          <tx>
            <strRef>
              <f>'COORD_PLANS'!$E$13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'COORD_PLANS'!$AI$5:$AI$11</f>
            </numRef>
          </xVal>
          <yVal>
            <numRef>
              <f>'COORD_PLANS'!$AJ$5:$AJ$11</f>
            </numRef>
          </yVal>
          <smooth val="0"/>
        </ser>
        <ser>
          <idx val="15"/>
          <order val="15"/>
          <tx>
            <strRef>
              <f>'COORD_PLANS'!$E$14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-540000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l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'COORD_PLANS'!$AK$5:$AK$11</f>
            </numRef>
          </xVal>
          <yVal>
            <numRef>
              <f>'COORD_PLANS'!$AL$5:$AL$11</f>
            </numRef>
          </yVal>
          <smooth val="0"/>
        </ser>
        <ser>
          <idx val="16"/>
          <order val="16"/>
          <tx>
            <strRef>
              <f>'COORD_PLANS'!$E$15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'COORD_PLANS'!$AM$5:$AM$11</f>
            </numRef>
          </xVal>
          <yVal>
            <numRef>
              <f>'COORD_PLANS'!$AN$5:$AN$11</f>
            </numRef>
          </yVal>
          <smooth val="0"/>
        </ser>
        <ser>
          <idx val="17"/>
          <order val="17"/>
          <tx>
            <v>1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'COORD_PLANS'!$AO$5</f>
            </numRef>
          </xVal>
          <yVal>
            <numRef>
              <f>'COORD_PLANS'!$AP$5</f>
            </numRef>
          </yVal>
          <smooth val="0"/>
        </ser>
        <ser>
          <idx val="18"/>
          <order val="18"/>
          <tx>
            <v>2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'COORD_PLANS'!$AQ$5</f>
            </numRef>
          </xVal>
          <yVal>
            <numRef>
              <f>'COORD_PLANS'!$AR$5</f>
            </numRef>
          </yVal>
          <smooth val="0"/>
        </ser>
        <ser>
          <idx val="19"/>
          <order val="19"/>
          <tx>
            <v>3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'COORD_PLANS'!$AS$5</f>
            </numRef>
          </xVal>
          <yVal>
            <numRef>
              <f>'COORD_PLANS'!$AT$5</f>
            </numRef>
          </yVal>
          <smooth val="0"/>
        </ser>
        <ser>
          <idx val="20"/>
          <order val="20"/>
          <tx>
            <v>4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'COORD_PLANS'!$AU$5</f>
            </numRef>
          </xVal>
          <yVal>
            <numRef>
              <f>'COORD_PLANS'!$AV$5</f>
            </numRef>
          </yVal>
          <smooth val="0"/>
        </ser>
        <ser>
          <idx val="21"/>
          <order val="21"/>
          <tx>
            <v>5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'COORD_PLANS'!$AW$5</f>
            </numRef>
          </xVal>
          <yVal>
            <numRef>
              <f>'COORD_PLANS'!$AX$5</f>
            </numRef>
          </yVal>
          <smooth val="0"/>
        </ser>
        <ser>
          <idx val="22"/>
          <order val="22"/>
          <tx>
            <v>6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'COORD_PLANS'!$AY$5</f>
            </numRef>
          </xVal>
          <yVal>
            <numRef>
              <f>'COORD_PLANS'!$AZ$5</f>
            </numRef>
          </yVal>
          <smooth val="0"/>
        </ser>
        <ser>
          <idx val="23"/>
          <order val="23"/>
          <tx>
            <v>7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'COORD_PLANS'!$BA$5</f>
            </numRef>
          </xVal>
          <yVal>
            <numRef>
              <f>'COORD_PLANS'!$BB$5</f>
            </numRef>
          </yVal>
          <smooth val="0"/>
        </ser>
        <ser>
          <idx val="24"/>
          <order val="24"/>
          <tx>
            <v>8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'COORD_PLANS'!$BC$5</f>
            </numRef>
          </xVal>
          <yVal>
            <numRef>
              <f>'COORD_PLANS'!$BD$5</f>
            </numRef>
          </yVal>
          <smooth val="0"/>
        </ser>
        <ser>
          <idx val="25"/>
          <order val="25"/>
          <tx>
            <v>9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'COORD_PLANS'!$BE$5</f>
            </numRef>
          </xVal>
          <yVal>
            <numRef>
              <f>'COORD_PLANS'!$BF$5</f>
            </numRef>
          </yVal>
          <smooth val="0"/>
        </ser>
        <ser>
          <idx val="26"/>
          <order val="26"/>
          <tx>
            <v>10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'COORD_PLANS'!$BG$5</f>
            </numRef>
          </xVal>
          <yVal>
            <numRef>
              <f>'COORD_PLANS'!$BH$5</f>
            </numRef>
          </yVal>
          <smooth val="0"/>
        </ser>
        <ser>
          <idx val="27"/>
          <order val="27"/>
          <tx>
            <v>11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'COORD_PLANS'!$BI$5</f>
            </numRef>
          </xVal>
          <yVal>
            <numRef>
              <f>'COORD_PLANS'!$BJ$5</f>
            </numRef>
          </yVal>
          <smooth val="0"/>
        </ser>
        <ser>
          <idx val="28"/>
          <order val="28"/>
          <tx>
            <v>12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'COORD_PLANS'!$BK$5</f>
            </numRef>
          </xVal>
          <yVal>
            <numRef>
              <f>'COORD_PLANS'!$BL$5</f>
            </numRef>
          </yVal>
          <smooth val="0"/>
        </ser>
        <ser>
          <idx val="29"/>
          <order val="29"/>
          <tx>
            <v>13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'COORD_PLANS'!$BM$5</f>
            </numRef>
          </xVal>
          <yVal>
            <numRef>
              <f>'COORD_PLANS'!$BN$5</f>
            </numRef>
          </yVal>
          <smooth val="0"/>
        </ser>
        <ser>
          <idx val="30"/>
          <order val="30"/>
          <tx>
            <v>14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'COORD_PLANS'!$BO$5</f>
            </numRef>
          </xVal>
          <yVal>
            <numRef>
              <f>'COORD_PLANS'!$BP$5</f>
            </numRef>
          </yVal>
          <smooth val="0"/>
        </ser>
        <ser>
          <idx val="31"/>
          <order val="31"/>
          <tx>
            <v>15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'COORD_PLANS'!$BQ$5</f>
            </numRef>
          </xVal>
          <yVal>
            <numRef>
              <f>'COORD_PLANS'!$BR$5</f>
            </numRef>
          </yVal>
          <smooth val="0"/>
        </ser>
        <ser>
          <idx val="32"/>
          <order val="32"/>
          <tx>
            <v>16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'COORD_PLANS'!$BS$5</f>
            </numRef>
          </xVal>
          <yVal>
            <numRef>
              <f>'COORD_PLANS'!$BT$5</f>
            </numRef>
          </yVal>
          <smooth val="0"/>
        </ser>
        <ser>
          <idx val="33"/>
          <order val="33"/>
          <tx>
            <v>17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'COORD_PLANS'!$BU$5</f>
            </numRef>
          </xVal>
          <yVal>
            <numRef>
              <f>'COORD_PLANS'!$BV$5</f>
            </numRef>
          </yVal>
          <smooth val="0"/>
        </ser>
        <ser>
          <idx val="34"/>
          <order val="34"/>
          <tx>
            <v>18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'COORD_PLANS'!$BW$5</f>
            </numRef>
          </xVal>
          <yVal>
            <numRef>
              <f>'COORD_PLANS'!$BX$5</f>
            </numRef>
          </yVal>
          <smooth val="0"/>
        </ser>
        <ser>
          <idx val="35"/>
          <order val="35"/>
          <tx>
            <v>19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'COORD_PLANS'!$BY$5</f>
            </numRef>
          </xVal>
          <yVal>
            <numRef>
              <f>'COORD_PLANS'!$BZ$5</f>
            </numRef>
          </yVal>
          <smooth val="0"/>
        </ser>
        <ser>
          <idx val="36"/>
          <order val="36"/>
          <tx>
            <v>20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'COORD_PLANS'!$CA$5</f>
            </numRef>
          </xVal>
          <yVal>
            <numRef>
              <f>'COORD_PLANS'!$CB$5</f>
            </numRef>
          </yVal>
          <smooth val="0"/>
        </ser>
        <ser>
          <idx val="37"/>
          <order val="37"/>
          <tx>
            <v>21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'COORD_PLANS'!$CC$5</f>
            </numRef>
          </xVal>
          <yVal>
            <numRef>
              <f>'COORD_PLANS'!$CD$5</f>
            </numRef>
          </yVal>
          <smooth val="0"/>
        </ser>
        <ser>
          <idx val="38"/>
          <order val="38"/>
          <tx>
            <v>22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'COORD_PLANS'!$CE$5</f>
            </numRef>
          </xVal>
          <yVal>
            <numRef>
              <f>'COORD_PLANS'!$CF$5</f>
            </numRef>
          </yVal>
          <smooth val="0"/>
        </ser>
        <ser>
          <idx val="39"/>
          <order val="39"/>
          <tx>
            <v>23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'COORD_PLANS'!$CG$5</f>
            </numRef>
          </xVal>
          <yVal>
            <numRef>
              <f>'COORD_PLANS'!$CH$5</f>
            </numRef>
          </yVal>
          <smooth val="0"/>
        </ser>
        <ser>
          <idx val="40"/>
          <order val="40"/>
          <tx>
            <v>24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'COORD_PLANS'!$CI$5</f>
            </numRef>
          </xVal>
          <yVal>
            <numRef>
              <f>'COORD_PLANS'!$CJ$5</f>
            </numRef>
          </yVal>
          <smooth val="0"/>
        </ser>
        <ser>
          <idx val="41"/>
          <order val="41"/>
          <tx>
            <v>25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'COORD_PLANS'!$CK$5</f>
            </numRef>
          </xVal>
          <yVal>
            <numRef>
              <f>'COORD_PLANS'!$CL$5</f>
            </numRef>
          </yVal>
          <smooth val="0"/>
        </ser>
        <ser>
          <idx val="42"/>
          <order val="42"/>
          <tx>
            <v>26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'COORD_PLANS'!$CM$5</f>
            </numRef>
          </xVal>
          <yVal>
            <numRef>
              <f>'COORD_PLANS'!$CN$5</f>
            </numRef>
          </yVal>
          <smooth val="0"/>
        </ser>
        <ser>
          <idx val="43"/>
          <order val="43"/>
          <tx>
            <v>27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'COORD_PLANS'!$CO$5</f>
            </numRef>
          </xVal>
          <yVal>
            <numRef>
              <f>'COORD_PLANS'!$CP$5</f>
            </numRef>
          </yVal>
          <smooth val="0"/>
        </ser>
        <ser>
          <idx val="44"/>
          <order val="44"/>
          <tx>
            <v>28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'COORD_PLANS'!$CQ$5</f>
            </numRef>
          </xVal>
          <yVal>
            <numRef>
              <f>'COORD_PLANS'!$CR$5</f>
            </numRef>
          </yVal>
          <smooth val="0"/>
        </ser>
        <ser>
          <idx val="45"/>
          <order val="45"/>
          <tx>
            <v>29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'COORD_PLANS'!$CS$5</f>
            </numRef>
          </xVal>
          <yVal>
            <numRef>
              <f>'COORD_PLANS'!$CT$5</f>
            </numRef>
          </yVal>
          <smooth val="0"/>
        </ser>
        <ser>
          <idx val="46"/>
          <order val="46"/>
          <tx>
            <v>30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'COORD_PLANS'!$CU$5</f>
            </numRef>
          </xVal>
          <yVal>
            <numRef>
              <f>'COORD_PLANS'!$CV$5</f>
            </numRef>
          </yVal>
          <smooth val="0"/>
        </ser>
        <ser>
          <idx val="47"/>
          <order val="47"/>
          <tx>
            <v>31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'COORD_PLANS'!$CW$5</f>
            </numRef>
          </xVal>
          <yVal>
            <numRef>
              <f>'COORD_PLANS'!$CX$5</f>
            </numRef>
          </yVal>
          <smooth val="0"/>
        </ser>
        <ser>
          <idx val="48"/>
          <order val="48"/>
          <tx>
            <v>32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'COORD_PLANS'!$CY$5</f>
            </numRef>
          </xVal>
          <yVal>
            <numRef>
              <f>'COORD_PLANS'!$CZ$5</f>
            </numRef>
          </yVal>
          <smooth val="0"/>
        </ser>
        <ser>
          <idx val="49"/>
          <order val="49"/>
          <tx>
            <v>33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'COORD_PLANS'!$DA$5</f>
            </numRef>
          </xVal>
          <yVal>
            <numRef>
              <f>'COORD_PLANS'!$DB$5</f>
            </numRef>
          </yVal>
          <smooth val="0"/>
        </ser>
        <ser>
          <idx val="50"/>
          <order val="50"/>
          <tx>
            <v>34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'COORD_PLANS'!$DC$5</f>
            </numRef>
          </xVal>
          <yVal>
            <numRef>
              <f>'COORD_PLANS'!$DD$5</f>
            </numRef>
          </yVal>
          <smooth val="0"/>
        </ser>
        <ser>
          <idx val="51"/>
          <order val="51"/>
          <tx>
            <v>35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'COORD_PLANS'!$DE$5</f>
            </numRef>
          </xVal>
          <yVal>
            <numRef>
              <f>'COORD_PLANS'!$DF$5</f>
            </numRef>
          </yVal>
          <smooth val="0"/>
        </ser>
        <ser>
          <idx val="52"/>
          <order val="52"/>
          <tx>
            <v>36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'COORD_PLANS'!$DG$5</f>
            </numRef>
          </xVal>
          <yVal>
            <numRef>
              <f>'COORD_PLANS'!$DH$5</f>
            </numRef>
          </yVal>
          <smooth val="0"/>
        </ser>
        <ser>
          <idx val="53"/>
          <order val="53"/>
          <tx>
            <v>37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'COORD_PLANS'!$DI$5</f>
            </numRef>
          </xVal>
          <yVal>
            <numRef>
              <f>'COORD_PLANS'!$DJ$5</f>
            </numRef>
          </yVal>
          <smooth val="0"/>
        </ser>
        <ser>
          <idx val="54"/>
          <order val="54"/>
          <tx>
            <v>38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'COORD_PLANS'!$DK$5</f>
            </numRef>
          </xVal>
          <yVal>
            <numRef>
              <f>'COORD_PLANS'!$DL$5</f>
            </numRef>
          </yVal>
          <smooth val="0"/>
        </ser>
        <ser>
          <idx val="55"/>
          <order val="55"/>
          <tx>
            <v>39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'COORD_PLANS'!$DM$5</f>
            </numRef>
          </xVal>
          <yVal>
            <numRef>
              <f>'COORD_PLANS'!$DN$5</f>
            </numRef>
          </yVal>
          <smooth val="0"/>
        </ser>
        <ser>
          <idx val="56"/>
          <order val="56"/>
          <tx>
            <v>40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'COORD_PLANS'!$DO$5</f>
            </numRef>
          </xVal>
          <yVal>
            <numRef>
              <f>'COORD_PLANS'!$DP$5</f>
            </numRef>
          </yVal>
          <smooth val="0"/>
        </ser>
        <ser>
          <idx val="57"/>
          <order val="57"/>
          <tx>
            <v>41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'COORD_PLANS'!$DQ$5</f>
            </numRef>
          </xVal>
          <yVal>
            <numRef>
              <f>'COORD_PLANS'!$DR$5</f>
            </numRef>
          </yVal>
          <smooth val="0"/>
        </ser>
        <ser>
          <idx val="58"/>
          <order val="58"/>
          <tx>
            <v>A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'COORD_PLANS'!$DS$5</f>
            </numRef>
          </xVal>
          <yVal>
            <numRef>
              <f>'COORD_PLANS'!$DT$5</f>
            </numRef>
          </yVal>
          <smooth val="0"/>
        </ser>
        <ser>
          <idx val="59"/>
          <order val="59"/>
          <tx>
            <v>B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1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1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'COORD_PLANS'!$DU$5</f>
            </numRef>
          </xVal>
          <yVal>
            <numRef>
              <f>'COORD_PLANS'!$DV$5</f>
            </numRef>
          </yVal>
          <smooth val="0"/>
        </ser>
        <axId val="10"/>
        <axId val="20"/>
      </scatterChart>
      <valAx>
        <axId val="10"/>
        <scaling>
          <orientation val="minMax"/>
          <max val="193.182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00"/>
          <min val="0"/>
        </scaling>
        <delete val="1"/>
        <axPos val="l"/>
        <majorTickMark val="none"/>
        <minorTickMark val="none"/>
        <crossAx val="10"/>
      </valAx>
    </plotArea>
    <plotVisOnly val="0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v>Sol / dallage</v>
          </tx>
          <spPr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'COORD_PLANS'!$DW$5:$DW$7</f>
            </numRef>
          </xVal>
          <yVal>
            <numRef>
              <f>'COORD_PLANS'!$DX$5:$DX$7</f>
            </numRef>
          </yVal>
          <smooth val="0"/>
        </ser>
        <ser>
          <idx val="1"/>
          <order val="1"/>
          <tx>
            <v>Ossature</v>
          </tx>
          <spPr>
            <a:ln xmlns:a="http://schemas.openxmlformats.org/drawingml/2006/main" w="28575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'COORD_PLANS'!$DY$5:$DY$20</f>
            </numRef>
          </xVal>
          <yVal>
            <numRef>
              <f>'COORD_PLANS'!$DZ$5:$DZ$20</f>
            </numRef>
          </yVal>
          <smooth val="0"/>
        </ser>
        <ser>
          <idx val="2"/>
          <order val="2"/>
          <tx>
            <v>Treillis</v>
          </tx>
          <spPr>
            <a:ln xmlns:a="http://schemas.openxmlformats.org/drawingml/2006/main" w="1270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'COORD_PLANS'!$EA$5:$EA$181</f>
            </numRef>
          </xVal>
          <yVal>
            <numRef>
              <f>'COORD_PLANS'!$EB$5:$EB$181</f>
            </numRef>
          </yVal>
          <smooth val="0"/>
        </ser>
        <ser>
          <idx val="3"/>
          <order val="3"/>
          <tx>
            <v>Jarrets</v>
          </tx>
          <spPr>
            <a:ln xmlns:a="http://schemas.openxmlformats.org/drawingml/2006/main" w="1905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'COORD_PLANS'!$EC$5:$EC$14</f>
            </numRef>
          </xVal>
          <yVal>
            <numRef>
              <f>'COORD_PLANS'!$ED$5:$ED$14</f>
            </numRef>
          </yVal>
          <smooth val="0"/>
        </ser>
        <ser>
          <idx val="4"/>
          <order val="4"/>
          <tx>
            <v>Pannes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4"/>
            <spPr>
              <a:solidFill xmlns:a="http://schemas.openxmlformats.org/drawingml/2006/main">
                <a:srgbClr val="0070C0"/>
              </a:solidFill>
              <a:ln xmlns:a="http://schemas.openxmlformats.org/drawingml/2006/main">
                <a:solidFill>
                  <a:srgbClr val="0070C0"/>
                </a:solidFill>
                <a:prstDash val="solid"/>
              </a:ln>
            </spPr>
          </marker>
          <xVal>
            <numRef>
              <f>'COORD_PLANS'!$EE$5:$EE$64</f>
            </numRef>
          </xVal>
          <yVal>
            <numRef>
              <f>'COORD_PLANS'!$EF$5:$EF$64</f>
            </numRef>
          </yVal>
          <smooth val="0"/>
        </ser>
        <ser>
          <idx val="5"/>
          <order val="5"/>
          <tx>
            <v>Faîtage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7"/>
            <spPr>
              <a:solidFill xmlns:a="http://schemas.openxmlformats.org/drawingml/2006/main">
                <a:srgbClr val="0070C0"/>
              </a:solidFill>
              <a:ln xmlns:a="http://schemas.openxmlformats.org/drawingml/2006/main">
                <a:solidFill>
                  <a:srgbClr val="0070C0"/>
                </a:solidFill>
                <a:prstDash val="solid"/>
              </a:ln>
            </spPr>
          </marker>
          <xVal>
            <numRef>
              <f>'COORD_PLANS'!$EG$5</f>
            </numRef>
          </xVal>
          <yVal>
            <numRef>
              <f>'COORD_PLANS'!$EH$5</f>
            </numRef>
          </yVal>
          <smooth val="0"/>
        </ser>
        <ser>
          <idx val="6"/>
          <order val="6"/>
          <tx>
            <v>Chéneaux</v>
          </tx>
          <spPr>
            <a:ln xmlns:a="http://schemas.openxmlformats.org/drawingml/2006/main" w="15875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'COORD_PLANS'!$EI$5:$EI$14</f>
            </numRef>
          </xVal>
          <yVal>
            <numRef>
              <f>'COORD_PLANS'!$EJ$5:$EJ$14</f>
            </numRef>
          </yVal>
          <smooth val="0"/>
        </ser>
        <ser>
          <idx val="7"/>
          <order val="7"/>
          <tx>
            <v>Fondations</v>
          </tx>
          <spPr>
            <a:ln xmlns:a="http://schemas.openxmlformats.org/drawingml/2006/main" w="1270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'COORD_PLANS'!$EK$5:$EK$40</f>
            </numRef>
          </xVal>
          <yVal>
            <numRef>
              <f>'COORD_PLANS'!$EL$5:$EL$40</f>
            </numRef>
          </yVal>
          <smooth val="0"/>
        </ser>
        <ser>
          <idx val="8"/>
          <order val="8"/>
          <tx>
            <strRef>
              <f>'COORD_PLANS'!$E$16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-540000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l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'COORD_PLANS'!$EM$5:$EM$11</f>
            </numRef>
          </xVal>
          <yVal>
            <numRef>
              <f>'COORD_PLANS'!$EN$5:$EN$11</f>
            </numRef>
          </yVal>
          <smooth val="0"/>
        </ser>
        <ser>
          <idx val="9"/>
          <order val="9"/>
          <tx>
            <strRef>
              <f>'COORD_PLANS'!$E$18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-540000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'COORD_PLANS'!$EO$5:$EO$11</f>
            </numRef>
          </xVal>
          <yVal>
            <numRef>
              <f>'COORD_PLANS'!$EP$5:$EP$11</f>
            </numRef>
          </yVal>
          <smooth val="0"/>
        </ser>
        <ser>
          <idx val="10"/>
          <order val="10"/>
          <tx>
            <strRef>
              <f>'COORD_PLANS'!$E$14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'COORD_PLANS'!$EQ$5:$EQ$11</f>
            </numRef>
          </xVal>
          <yVal>
            <numRef>
              <f>'COORD_PLANS'!$ER$5:$ER$11</f>
            </numRef>
          </yVal>
          <smooth val="0"/>
        </ser>
        <ser>
          <idx val="11"/>
          <order val="11"/>
          <tx>
            <strRef>
              <f>'COORD_PLANS'!$E$19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'COORD_PLANS'!$ES$5</f>
            </numRef>
          </xVal>
          <yVal>
            <numRef>
              <f>'COORD_PLANS'!$ET$5</f>
            </numRef>
          </yVal>
          <smooth val="0"/>
        </ser>
        <ser>
          <idx val="12"/>
          <order val="12"/>
          <tx>
            <strRef>
              <f>'COORD_PLANS'!$E$20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'COORD_PLANS'!$EU$5</f>
            </numRef>
          </xVal>
          <yVal>
            <numRef>
              <f>'COORD_PLANS'!$EV$5</f>
            </numRef>
          </yVal>
          <smooth val="0"/>
        </ser>
        <ser>
          <idx val="13"/>
          <order val="13"/>
          <tx>
            <strRef>
              <f>'COORD_PLANS'!$E$21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'COORD_PLANS'!$EW$5</f>
            </numRef>
          </xVal>
          <yVal>
            <numRef>
              <f>'COORD_PLANS'!$EX$5</f>
            </numRef>
          </yVal>
          <smooth val="0"/>
        </ser>
        <axId val="10"/>
        <axId val="20"/>
      </scatterChart>
      <valAx>
        <axId val="10"/>
        <scaling>
          <orientation val="minMax"/>
          <max val="193.182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00"/>
          <min val="0"/>
        </scaling>
        <delete val="1"/>
        <axPos val="l"/>
        <majorTickMark val="none"/>
        <minorTickMark val="none"/>
        <crossAx val="10"/>
      </valAx>
    </plotArea>
    <plotVisOnly val="0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3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v>Sol</v>
          </tx>
          <spPr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'COORD_PLANS'!$EY$5:$EY$7</f>
            </numRef>
          </xVal>
          <yVal>
            <numRef>
              <f>'COORD_PLANS'!$EZ$5:$EZ$7</f>
            </numRef>
          </yVal>
          <smooth val="0"/>
        </ser>
        <ser>
          <idx val="1"/>
          <order val="1"/>
          <tx>
            <v>Poteaux et sablière</v>
          </tx>
          <spPr>
            <a:ln xmlns:a="http://schemas.openxmlformats.org/drawingml/2006/main" w="2540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'COORD_PLANS'!$FA$5:$FA$135</f>
            </numRef>
          </xVal>
          <yVal>
            <numRef>
              <f>'COORD_PLANS'!$FB$5:$FB$135</f>
            </numRef>
          </yVal>
          <smooth val="0"/>
        </ser>
        <ser>
          <idx val="2"/>
          <order val="2"/>
          <tx>
            <v>Lisses</v>
          </tx>
          <spPr>
            <a:ln xmlns:a="http://schemas.openxmlformats.org/drawingml/2006/main" w="762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'COORD_PLANS'!$FC$5:$FC$154</f>
            </numRef>
          </xVal>
          <yVal>
            <numRef>
              <f>'COORD_PLANS'!$FD$5:$FD$154</f>
            </numRef>
          </yVal>
          <smooth val="0"/>
        </ser>
        <ser>
          <idx val="3"/>
          <order val="3"/>
          <tx>
            <v>Maçonnerie agglos</v>
          </tx>
          <spPr>
            <a:ln xmlns:a="http://schemas.openxmlformats.org/drawingml/2006/main" w="6350">
              <a:solidFill>
                <a:srgbClr val="C9A27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'COORD_PLANS'!$FE$5:$FE$484</f>
            </numRef>
          </xVal>
          <yVal>
            <numRef>
              <f>'COORD_PLANS'!$FF$5:$FF$484</f>
            </numRef>
          </yVal>
          <smooth val="0"/>
        </ser>
        <ser>
          <idx val="4"/>
          <order val="4"/>
          <tx>
            <v>Chaînages</v>
          </tx>
          <spPr>
            <a:ln xmlns:a="http://schemas.openxmlformats.org/drawingml/2006/main" w="2540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'COORD_PLANS'!$FG$5:$FG$13</f>
            </numRef>
          </xVal>
          <yVal>
            <numRef>
              <f>'COORD_PLANS'!$FH$5:$FH$13</f>
            </numRef>
          </yVal>
          <smooth val="0"/>
        </ser>
        <ser>
          <idx val="5"/>
          <order val="5"/>
          <tx>
            <v>Croix de contreventement</v>
          </tx>
          <spPr>
            <a:ln xmlns:a="http://schemas.openxmlformats.org/drawingml/2006/main" w="15875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'COORD_PLANS'!$FI$5:$FI$64</f>
            </numRef>
          </xVal>
          <yVal>
            <numRef>
              <f>'COORD_PLANS'!$FJ$5:$FJ$64</f>
            </numRef>
          </yVal>
          <smooth val="0"/>
        </ser>
        <ser>
          <idx val="6"/>
          <order val="6"/>
          <tx>
            <v>Potelets et linteaux</v>
          </tx>
          <spPr>
            <a:ln xmlns:a="http://schemas.openxmlformats.org/drawingml/2006/main" w="15875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'COORD_PLANS'!$FK$5:$FK$40</f>
            </numRef>
          </xVal>
          <yVal>
            <numRef>
              <f>'COORD_PLANS'!$FL$5:$FL$40</f>
            </numRef>
          </yVal>
          <smooth val="0"/>
        </ser>
        <ser>
          <idx val="7"/>
          <order val="7"/>
          <tx>
            <v>Baies et larmiers</v>
          </tx>
          <spPr>
            <a:ln xmlns:a="http://schemas.openxmlformats.org/drawingml/2006/main" w="9525">
              <a:solidFill>
                <a:srgbClr val="00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'COORD_PLANS'!$FM$5:$FM$40</f>
            </numRef>
          </xVal>
          <yVal>
            <numRef>
              <f>'COORD_PLANS'!$FN$5:$FN$40</f>
            </numRef>
          </yVal>
          <smooth val="0"/>
        </ser>
        <ser>
          <idx val="8"/>
          <order val="8"/>
          <tx>
            <strRef>
              <f>'COORD_PLANS'!$E$5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'COORD_PLANS'!$FO$5</f>
            </numRef>
          </xVal>
          <yVal>
            <numRef>
              <f>'COORD_PLANS'!$FP$5</f>
            </numRef>
          </yVal>
          <smooth val="0"/>
        </ser>
        <ser>
          <idx val="9"/>
          <order val="9"/>
          <tx>
            <strRef>
              <f>'COORD_PLANS'!$E$6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'COORD_PLANS'!$FQ$5</f>
            </numRef>
          </xVal>
          <yVal>
            <numRef>
              <f>'COORD_PLANS'!$FR$5</f>
            </numRef>
          </yVal>
          <smooth val="0"/>
        </ser>
        <ser>
          <idx val="10"/>
          <order val="10"/>
          <tx>
            <strRef>
              <f>'COORD_PLANS'!$E$7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'COORD_PLANS'!$FS$5</f>
            </numRef>
          </xVal>
          <yVal>
            <numRef>
              <f>'COORD_PLANS'!$FT$5</f>
            </numRef>
          </yVal>
          <smooth val="0"/>
        </ser>
        <ser>
          <idx val="11"/>
          <order val="11"/>
          <tx>
            <strRef>
              <f>'COORD_PLANS'!$E$8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'COORD_PLANS'!$FU$5</f>
            </numRef>
          </xVal>
          <yVal>
            <numRef>
              <f>'COORD_PLANS'!$FV$5</f>
            </numRef>
          </yVal>
          <smooth val="0"/>
        </ser>
        <ser>
          <idx val="12"/>
          <order val="12"/>
          <tx>
            <strRef>
              <f>'COORD_PLANS'!$E$13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'COORD_PLANS'!$FW$5:$FW$11</f>
            </numRef>
          </xVal>
          <yVal>
            <numRef>
              <f>'COORD_PLANS'!$FX$5:$FX$11</f>
            </numRef>
          </yVal>
          <smooth val="0"/>
        </ser>
        <ser>
          <idx val="13"/>
          <order val="13"/>
          <tx>
            <strRef>
              <f>'COORD_PLANS'!$E$17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-540000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l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'COORD_PLANS'!$FY$5:$FY$11</f>
            </numRef>
          </xVal>
          <yVal>
            <numRef>
              <f>'COORD_PLANS'!$FZ$5:$FZ$11</f>
            </numRef>
          </yVal>
          <smooth val="0"/>
        </ser>
        <ser>
          <idx val="14"/>
          <order val="14"/>
          <tx>
            <strRef>
              <f>'COORD_PLANS'!$E$15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'COORD_PLANS'!$GA$5:$GA$11</f>
            </numRef>
          </xVal>
          <yVal>
            <numRef>
              <f>'COORD_PLANS'!$GB$5:$GB$11</f>
            </numRef>
          </yVal>
          <smooth val="0"/>
        </ser>
        <axId val="10"/>
        <axId val="20"/>
      </scatterChart>
      <valAx>
        <axId val="10"/>
        <scaling>
          <orientation val="minMax"/>
          <max val="193.182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00"/>
          <min val="0"/>
        </scaling>
        <delete val="1"/>
        <axPos val="l"/>
        <majorTickMark val="none"/>
        <minorTickMark val="none"/>
        <crossAx val="10"/>
      </valAx>
    </plotArea>
    <plotVisOnly val="0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4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v>Sol</v>
          </tx>
          <spPr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'COORD_PLANS'!$GC$5:$GC$7</f>
            </numRef>
          </xVal>
          <yVal>
            <numRef>
              <f>'COORD_PLANS'!$GD$5:$GD$7</f>
            </numRef>
          </yVal>
          <smooth val="0"/>
        </ser>
        <ser>
          <idx val="1"/>
          <order val="1"/>
          <tx>
            <v>Poteaux de pignon et rampants</v>
          </tx>
          <spPr>
            <a:ln xmlns:a="http://schemas.openxmlformats.org/drawingml/2006/main" w="2540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'COORD_PLANS'!$GE$5:$GE$46</f>
            </numRef>
          </xVal>
          <yVal>
            <numRef>
              <f>'COORD_PLANS'!$GF$5:$GF$46</f>
            </numRef>
          </yVal>
          <smooth val="0"/>
        </ser>
        <ser>
          <idx val="2"/>
          <order val="2"/>
          <tx>
            <v>Lisses</v>
          </tx>
          <spPr>
            <a:ln xmlns:a="http://schemas.openxmlformats.org/drawingml/2006/main" w="762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'COORD_PLANS'!$GG$5:$GG$244</f>
            </numRef>
          </xVal>
          <yVal>
            <numRef>
              <f>'COORD_PLANS'!$GH$5:$GH$244</f>
            </numRef>
          </yVal>
          <smooth val="0"/>
        </ser>
        <ser>
          <idx val="3"/>
          <order val="3"/>
          <tx>
            <v>Maçonnerie agglos</v>
          </tx>
          <spPr>
            <a:ln xmlns:a="http://schemas.openxmlformats.org/drawingml/2006/main" w="6350">
              <a:solidFill>
                <a:srgbClr val="C9A27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'COORD_PLANS'!$GI$5:$GI$634</f>
            </numRef>
          </xVal>
          <yVal>
            <numRef>
              <f>'COORD_PLANS'!$GJ$5:$GJ$634</f>
            </numRef>
          </yVal>
          <smooth val="0"/>
        </ser>
        <ser>
          <idx val="4"/>
          <order val="4"/>
          <tx>
            <v>Chaînages</v>
          </tx>
          <spPr>
            <a:ln xmlns:a="http://schemas.openxmlformats.org/drawingml/2006/main" w="2540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'COORD_PLANS'!$GK$5:$GK$17</f>
            </numRef>
          </xVal>
          <yVal>
            <numRef>
              <f>'COORD_PLANS'!$GL$5:$GL$17</f>
            </numRef>
          </yVal>
          <smooth val="0"/>
        </ser>
        <ser>
          <idx val="5"/>
          <order val="5"/>
          <tx>
            <v>Potelets et linteaux</v>
          </tx>
          <spPr>
            <a:ln xmlns:a="http://schemas.openxmlformats.org/drawingml/2006/main" w="15875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'COORD_PLANS'!$GM$5:$GM$40</f>
            </numRef>
          </xVal>
          <yVal>
            <numRef>
              <f>'COORD_PLANS'!$GN$5:$GN$40</f>
            </numRef>
          </yVal>
          <smooth val="0"/>
        </ser>
        <ser>
          <idx val="6"/>
          <order val="6"/>
          <tx>
            <v>Baies et larmiers</v>
          </tx>
          <spPr>
            <a:ln xmlns:a="http://schemas.openxmlformats.org/drawingml/2006/main" w="9525">
              <a:solidFill>
                <a:srgbClr val="00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'COORD_PLANS'!$GO$5:$GO$40</f>
            </numRef>
          </xVal>
          <yVal>
            <numRef>
              <f>'COORD_PLANS'!$GP$5:$GP$40</f>
            </numRef>
          </yVal>
          <smooth val="0"/>
        </ser>
        <ser>
          <idx val="7"/>
          <order val="7"/>
          <tx>
            <strRef>
              <f>'COORD_PLANS'!$E$9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'COORD_PLANS'!$GQ$5</f>
            </numRef>
          </xVal>
          <yVal>
            <numRef>
              <f>'COORD_PLANS'!$GR$5</f>
            </numRef>
          </yVal>
          <smooth val="0"/>
        </ser>
        <ser>
          <idx val="8"/>
          <order val="8"/>
          <tx>
            <strRef>
              <f>'COORD_PLANS'!$E$10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'COORD_PLANS'!$GS$5</f>
            </numRef>
          </xVal>
          <yVal>
            <numRef>
              <f>'COORD_PLANS'!$GT$5</f>
            </numRef>
          </yVal>
          <smooth val="0"/>
        </ser>
        <ser>
          <idx val="9"/>
          <order val="9"/>
          <tx>
            <strRef>
              <f>'COORD_PLANS'!$E$11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'COORD_PLANS'!$GU$5</f>
            </numRef>
          </xVal>
          <yVal>
            <numRef>
              <f>'COORD_PLANS'!$GV$5</f>
            </numRef>
          </yVal>
          <smooth val="0"/>
        </ser>
        <ser>
          <idx val="10"/>
          <order val="10"/>
          <tx>
            <strRef>
              <f>'COORD_PLANS'!$E$12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'COORD_PLANS'!$GW$5</f>
            </numRef>
          </xVal>
          <yVal>
            <numRef>
              <f>'COORD_PLANS'!$GX$5</f>
            </numRef>
          </yVal>
          <smooth val="0"/>
        </ser>
        <ser>
          <idx val="11"/>
          <order val="11"/>
          <tx>
            <strRef>
              <f>'COORD_PLANS'!$E$14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'COORD_PLANS'!$GY$5:$GY$11</f>
            </numRef>
          </xVal>
          <yVal>
            <numRef>
              <f>'COORD_PLANS'!$GZ$5:$GZ$11</f>
            </numRef>
          </yVal>
          <smooth val="0"/>
        </ser>
        <ser>
          <idx val="12"/>
          <order val="12"/>
          <tx>
            <strRef>
              <f>'COORD_PLANS'!$E$17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-540000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l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'COORD_PLANS'!$HA$5:$HA$11</f>
            </numRef>
          </xVal>
          <yVal>
            <numRef>
              <f>'COORD_PLANS'!$HB$5:$HB$11</f>
            </numRef>
          </yVal>
          <smooth val="0"/>
        </ser>
        <ser>
          <idx val="13"/>
          <order val="13"/>
          <tx>
            <strRef>
              <f>'COORD_PLANS'!$E$18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-540000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'COORD_PLANS'!$HC$5:$HC$11</f>
            </numRef>
          </xVal>
          <yVal>
            <numRef>
              <f>'COORD_PLANS'!$HD$5:$HD$11</f>
            </numRef>
          </yVal>
          <smooth val="0"/>
        </ser>
        <ser>
          <idx val="14"/>
          <order val="14"/>
          <tx>
            <strRef>
              <f>'COORD_PLANS'!$E$22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'COORD_PLANS'!$HE$5</f>
            </numRef>
          </xVal>
          <yVal>
            <numRef>
              <f>'COORD_PLANS'!$HF$5</f>
            </numRef>
          </yVal>
          <smooth val="0"/>
        </ser>
        <axId val="10"/>
        <axId val="20"/>
      </scatterChart>
      <valAx>
        <axId val="10"/>
        <scaling>
          <orientation val="minMax"/>
          <max val="193.182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00"/>
          <min val="0"/>
        </scaling>
        <delete val="1"/>
        <axPos val="l"/>
        <majorTickMark val="none"/>
        <minorTickMark val="none"/>
        <crossAx val="10"/>
      </valAx>
    </plotArea>
    <plotVisOnly val="0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5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v>Rives et égouts</v>
          </tx>
          <spPr>
            <a:ln xmlns:a="http://schemas.openxmlformats.org/drawingml/2006/main" w="15875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'COORD_PLANS'!$HG$5:$HG$10</f>
            </numRef>
          </xVal>
          <yVal>
            <numRef>
              <f>'COORD_PLANS'!$HH$5:$HH$10</f>
            </numRef>
          </yVal>
          <smooth val="0"/>
        </ser>
        <ser>
          <idx val="1"/>
          <order val="1"/>
          <tx>
            <v>Pannes</v>
          </tx>
          <spPr>
            <a:ln xmlns:a="http://schemas.openxmlformats.org/drawingml/2006/main" w="635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'COORD_PLANS'!$HI$5:$HI$184</f>
            </numRef>
          </xVal>
          <yVal>
            <numRef>
              <f>'COORD_PLANS'!$HJ$5:$HJ$184</f>
            </numRef>
          </yVal>
          <smooth val="0"/>
        </ser>
        <ser>
          <idx val="2"/>
          <order val="2"/>
          <tx>
            <v>Fermes / traverses</v>
          </tx>
          <spPr>
            <a:ln xmlns:a="http://schemas.openxmlformats.org/drawingml/2006/main" w="22225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'COORD_PLANS'!$HK$5:$HK$127</f>
            </numRef>
          </xVal>
          <yVal>
            <numRef>
              <f>'COORD_PLANS'!$HL$5:$HL$127</f>
            </numRef>
          </yVal>
          <smooth val="0"/>
        </ser>
        <ser>
          <idx val="3"/>
          <order val="3"/>
          <tx>
            <v>Liernes</v>
          </tx>
          <spPr>
            <a:ln xmlns:a="http://schemas.openxmlformats.org/drawingml/2006/main" w="6350">
              <a:solidFill>
                <a:srgbClr val="0070C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'COORD_PLANS'!$HM$5:$HM$244</f>
            </numRef>
          </xVal>
          <yVal>
            <numRef>
              <f>'COORD_PLANS'!$HN$5:$HN$244</f>
            </numRef>
          </yVal>
          <smooth val="0"/>
        </ser>
        <ser>
          <idx val="4"/>
          <order val="4"/>
          <tx>
            <v>Faîtière</v>
          </tx>
          <spPr>
            <a:ln xmlns:a="http://schemas.openxmlformats.org/drawingml/2006/main" w="28575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'COORD_PLANS'!$HO$5:$HO$7</f>
            </numRef>
          </xVal>
          <yVal>
            <numRef>
              <f>'COORD_PLANS'!$HP$5:$HP$7</f>
            </numRef>
          </yVal>
          <smooth val="0"/>
        </ser>
        <ser>
          <idx val="5"/>
          <order val="5"/>
          <tx>
            <v>Poutre au vent</v>
          </tx>
          <spPr>
            <a:ln xmlns:a="http://schemas.openxmlformats.org/drawingml/2006/main" w="127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'COORD_PLANS'!$HQ$5:$HQ$724</f>
            </numRef>
          </xVal>
          <yVal>
            <numRef>
              <f>'COORD_PLANS'!$HR$5:$HR$724</f>
            </numRef>
          </yVal>
          <smooth val="0"/>
        </ser>
        <ser>
          <idx val="6"/>
          <order val="6"/>
          <tx>
            <v>Translucides (hachurés)</v>
          </tx>
          <spPr>
            <a:ln xmlns:a="http://schemas.openxmlformats.org/drawingml/2006/main" w="9525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'COORD_PLANS'!$HS$5:$HS$964</f>
            </numRef>
          </xVal>
          <yVal>
            <numRef>
              <f>'COORD_PLANS'!$HT$5:$HT$964</f>
            </numRef>
          </yVal>
          <smooth val="0"/>
        </ser>
        <ser>
          <idx val="7"/>
          <order val="7"/>
          <tx>
            <v>Skydomes et chevêtres</v>
          </tx>
          <spPr>
            <a:ln xmlns:a="http://schemas.openxmlformats.org/drawingml/2006/main" w="15875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'COORD_PLANS'!$HU$5:$HU$148</f>
            </numRef>
          </xVal>
          <yVal>
            <numRef>
              <f>'COORD_PLANS'!$HV$5:$HV$148</f>
            </numRef>
          </yVal>
          <smooth val="0"/>
        </ser>
        <ser>
          <idx val="8"/>
          <order val="8"/>
          <tx>
            <v>Descentes EP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2060"/>
              </a:solidFill>
              <a:ln xmlns:a="http://schemas.openxmlformats.org/drawingml/2006/main">
                <a:solidFill>
                  <a:srgbClr val="002060"/>
                </a:solidFill>
                <a:prstDash val="solid"/>
              </a:ln>
            </spPr>
          </marker>
          <xVal>
            <numRef>
              <f>'COORD_PLANS'!$HW$5:$HW$36</f>
            </numRef>
          </xVal>
          <yVal>
            <numRef>
              <f>'COORD_PLANS'!$HX$5:$HX$36</f>
            </numRef>
          </yVal>
          <smooth val="0"/>
        </ser>
        <ser>
          <idx val="9"/>
          <order val="9"/>
          <tx>
            <strRef>
              <f>'COORD_PLANS'!$E$13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'COORD_PLANS'!$HY$5:$HY$11</f>
            </numRef>
          </xVal>
          <yVal>
            <numRef>
              <f>'COORD_PLANS'!$HZ$5:$HZ$11</f>
            </numRef>
          </yVal>
          <smooth val="0"/>
        </ser>
        <ser>
          <idx val="10"/>
          <order val="10"/>
          <tx>
            <strRef>
              <f>'COORD_PLANS'!$E$14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-540000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l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'COORD_PLANS'!$IA$5:$IA$11</f>
            </numRef>
          </xVal>
          <yVal>
            <numRef>
              <f>'COORD_PLANS'!$IB$5:$IB$11</f>
            </numRef>
          </yVal>
          <smooth val="0"/>
        </ser>
        <ser>
          <idx val="11"/>
          <order val="11"/>
          <tx>
            <v>Faîtage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'COORD_PLANS'!$IC$5</f>
            </numRef>
          </xVal>
          <yVal>
            <numRef>
              <f>'COORD_PLANS'!$ID$5</f>
            </numRef>
          </yVal>
          <smooth val="0"/>
        </ser>
        <ser>
          <idx val="12"/>
          <order val="12"/>
          <tx>
            <strRef>
              <f>'COORD_PLANS'!$E$19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'COORD_PLANS'!$IE$5</f>
            </numRef>
          </xVal>
          <yVal>
            <numRef>
              <f>'COORD_PLANS'!$IF$5</f>
            </numRef>
          </yVal>
          <smooth val="0"/>
        </ser>
        <ser>
          <idx val="13"/>
          <order val="13"/>
          <tx>
            <v>● descentes EP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'COORD_PLANS'!$IG$5</f>
            </numRef>
          </xVal>
          <yVal>
            <numRef>
              <f>'COORD_PLANS'!$IH$5</f>
            </numRef>
          </yVal>
          <smooth val="0"/>
        </ser>
        <axId val="10"/>
        <axId val="20"/>
      </scatterChart>
      <valAx>
        <axId val="10"/>
        <scaling>
          <orientation val="minMax"/>
          <max val="193.182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00"/>
          <min val="0"/>
        </scaling>
        <delete val="1"/>
        <axPos val="l"/>
        <majorTickMark val="none"/>
        <minorTickMark val="none"/>
        <crossAx val="10"/>
      </valAx>
    </plotArea>
    <plotVisOnly val="0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6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v>Terrain naturel</v>
          </tx>
          <spPr>
            <a:ln xmlns:a="http://schemas.openxmlformats.org/drawingml/2006/main" w="7620">
              <a:solidFill>
                <a:srgbClr val="000000"/>
              </a:solidFill>
              <a:prstDash val="lg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'COORD_PLANS'!$II$5:$II$7</f>
            </numRef>
          </xVal>
          <yVal>
            <numRef>
              <f>'COORD_PLANS'!$IJ$5:$IJ$7</f>
            </numRef>
          </yVal>
          <smooth val="0"/>
        </ser>
        <ser>
          <idx val="1"/>
          <order val="1"/>
          <tx>
            <v>Béton</v>
          </tx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'COORD_PLANS'!$IK$5:$IK$49</f>
            </numRef>
          </xVal>
          <yVal>
            <numRef>
              <f>'COORD_PLANS'!$IL$5:$IL$49</f>
            </numRef>
          </yVal>
          <smooth val="0"/>
        </ser>
        <ser>
          <idx val="2"/>
          <order val="2"/>
          <tx>
            <v>Maçonnerie</v>
          </tx>
          <spPr>
            <a:ln xmlns:a="http://schemas.openxmlformats.org/drawingml/2006/main" w="15875">
              <a:solidFill>
                <a:srgbClr val="C9A27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'COORD_PLANS'!$IM$5:$IM$37</f>
            </numRef>
          </xVal>
          <yVal>
            <numRef>
              <f>'COORD_PLANS'!$IN$5:$IN$37</f>
            </numRef>
          </yVal>
          <smooth val="0"/>
        </ser>
        <ser>
          <idx val="3"/>
          <order val="3"/>
          <tx>
            <v>Remblai latérite</v>
          </tx>
          <spPr>
            <a:ln xmlns:a="http://schemas.openxmlformats.org/drawingml/2006/main" w="7620">
              <a:solidFill>
                <a:srgbClr val="C55A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'COORD_PLANS'!$IO$5:$IO$46</f>
            </numRef>
          </xVal>
          <yVal>
            <numRef>
              <f>'COORD_PLANS'!$IP$5:$IP$46</f>
            </numRef>
          </yVal>
          <smooth val="0"/>
        </ser>
        <ser>
          <idx val="4"/>
          <order val="4"/>
          <tx>
            <v>Polyane</v>
          </tx>
          <spPr>
            <a:ln xmlns:a="http://schemas.openxmlformats.org/drawingml/2006/main" w="7620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'COORD_PLANS'!$IQ$5:$IQ$7</f>
            </numRef>
          </xVal>
          <yVal>
            <numRef>
              <f>'COORD_PLANS'!$IR$5:$IR$7</f>
            </numRef>
          </yVal>
          <smooth val="0"/>
        </ser>
        <ser>
          <idx val="5"/>
          <order val="5"/>
          <tx>
            <v>Lit de sable</v>
          </tx>
          <spPr>
            <a:ln xmlns:a="http://schemas.openxmlformats.org/drawingml/2006/main" w="6350">
              <a:solidFill>
                <a:srgbClr val="BF9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'COORD_PLANS'!$IS$5:$IS$7</f>
            </numRef>
          </xVal>
          <yVal>
            <numRef>
              <f>'COORD_PLANS'!$IT$5:$IT$7</f>
            </numRef>
          </yVal>
          <smooth val="0"/>
        </ser>
        <ser>
          <idx val="6"/>
          <order val="6"/>
          <tx>
            <v>Aciers</v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'COORD_PLANS'!$IU$5:$IU$74</f>
            </numRef>
          </xVal>
          <yVal>
            <numRef>
              <f>'COORD_PLANS'!$IV$5:$IV$74</f>
            </numRef>
          </yVal>
          <smooth val="0"/>
        </ser>
        <ser>
          <idx val="7"/>
          <order val="7"/>
          <tx>
            <v>Aciers (sections)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'COORD_PLANS'!$IW$5:$IW$104</f>
            </numRef>
          </xVal>
          <yVal>
            <numRef>
              <f>'COORD_PLANS'!$IX$5:$IX$104</f>
            </numRef>
          </yVal>
          <smooth val="0"/>
        </ser>
        <ser>
          <idx val="8"/>
          <order val="8"/>
          <tx>
            <v>Platine et poteau</v>
          </tx>
          <spPr>
            <a:ln xmlns:a="http://schemas.openxmlformats.org/drawingml/2006/main" w="2540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'COORD_PLANS'!$IY$5:$IY$13</f>
            </numRef>
          </xVal>
          <yVal>
            <numRef>
              <f>'COORD_PLANS'!$IZ$5:$IZ$13</f>
            </numRef>
          </yVal>
          <smooth val="0"/>
        </ser>
        <ser>
          <idx val="9"/>
          <order val="9"/>
          <tx>
            <strRef>
              <f>'COORD_PLANS'!$E$23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-540000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l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'COORD_PLANS'!$JA$5:$JA$11</f>
            </numRef>
          </xVal>
          <yVal>
            <numRef>
              <f>'COORD_PLANS'!$JB$5:$JB$11</f>
            </numRef>
          </yVal>
          <smooth val="0"/>
        </ser>
        <ser>
          <idx val="10"/>
          <order val="10"/>
          <tx>
            <strRef>
              <f>'COORD_PLANS'!$E$24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'COORD_PLANS'!$JC$5:$JC$11</f>
            </numRef>
          </xVal>
          <yVal>
            <numRef>
              <f>'COORD_PLANS'!$JD$5:$JD$11</f>
            </numRef>
          </yVal>
          <smooth val="0"/>
        </ser>
        <ser>
          <idx val="11"/>
          <order val="11"/>
          <tx>
            <strRef>
              <f>'COORD_PLANS'!$E$25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'COORD_PLANS'!$JE$5:$JE$11</f>
            </numRef>
          </xVal>
          <yVal>
            <numRef>
              <f>'COORD_PLANS'!$JF$5:$JF$11</f>
            </numRef>
          </yVal>
          <smooth val="0"/>
        </ser>
        <ser>
          <idx val="12"/>
          <order val="12"/>
          <tx>
            <strRef>
              <f>'COORD_PLANS'!$E$26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'COORD_PLANS'!$JG$5</f>
            </numRef>
          </xVal>
          <yVal>
            <numRef>
              <f>'COORD_PLANS'!$JH$5</f>
            </numRef>
          </yVal>
          <smooth val="0"/>
        </ser>
        <ser>
          <idx val="13"/>
          <order val="13"/>
          <tx>
            <strRef>
              <f>'COORD_PLANS'!$E$27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'COORD_PLANS'!$JI$5</f>
            </numRef>
          </xVal>
          <yVal>
            <numRef>
              <f>'COORD_PLANS'!$JJ$5</f>
            </numRef>
          </yVal>
          <smooth val="0"/>
        </ser>
        <ser>
          <idx val="14"/>
          <order val="14"/>
          <tx>
            <strRef>
              <f>'COORD_PLANS'!$E$28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'COORD_PLANS'!$JK$5</f>
            </numRef>
          </xVal>
          <yVal>
            <numRef>
              <f>'COORD_PLANS'!$JL$5</f>
            </numRef>
          </yVal>
          <smooth val="0"/>
        </ser>
        <ser>
          <idx val="15"/>
          <order val="15"/>
          <tx>
            <strRef>
              <f>'COORD_PLANS'!$E$29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'COORD_PLANS'!$JM$5</f>
            </numRef>
          </xVal>
          <yVal>
            <numRef>
              <f>'COORD_PLANS'!$JN$5</f>
            </numRef>
          </yVal>
          <smooth val="0"/>
        </ser>
        <ser>
          <idx val="16"/>
          <order val="16"/>
          <tx>
            <v>TN (terrain naturel)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'COORD_PLANS'!$JO$5</f>
            </numRef>
          </xVal>
          <yVal>
            <numRef>
              <f>'COORD_PLANS'!$JP$5</f>
            </numRef>
          </yVal>
          <smooth val="0"/>
        </ser>
        <ser>
          <idx val="17"/>
          <order val="17"/>
          <tx>
            <strRef>
              <f>'COORD_PLANS'!$E$30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'COORD_PLANS'!$JQ$5</f>
            </numRef>
          </xVal>
          <yVal>
            <numRef>
              <f>'COORD_PLANS'!$JR$5</f>
            </numRef>
          </yVal>
          <smooth val="0"/>
        </ser>
        <ser>
          <idx val="18"/>
          <order val="18"/>
          <tx>
            <strRef>
              <f>'COORD_PLANS'!$E$31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'COORD_PLANS'!$JS$5</f>
            </numRef>
          </xVal>
          <yVal>
            <numRef>
              <f>'COORD_PLANS'!$JT$5</f>
            </numRef>
          </yVal>
          <smooth val="0"/>
        </ser>
        <ser>
          <idx val="19"/>
          <order val="19"/>
          <tx>
            <strRef>
              <f>'COORD_PLANS'!$E$32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'COORD_PLANS'!$JU$5</f>
            </numRef>
          </xVal>
          <yVal>
            <numRef>
              <f>'COORD_PLANS'!$JV$5</f>
            </numRef>
          </yVal>
          <smooth val="0"/>
        </ser>
        <ser>
          <idx val="20"/>
          <order val="20"/>
          <tx>
            <v>Repères</v>
          </tx>
          <spPr>
            <a:ln xmlns:a="http://schemas.openxmlformats.org/drawingml/2006/main" w="508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'COORD_PLANS'!$JW$5:$JW$36</f>
            </numRef>
          </xVal>
          <yVal>
            <numRef>
              <f>'COORD_PLANS'!$JX$5:$JX$36</f>
            </numRef>
          </yVal>
          <smooth val="0"/>
        </ser>
        <ser>
          <idx val="21"/>
          <order val="21"/>
          <tx>
            <strRef>
              <f>'COORD_PLANS'!$E$33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-540000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l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'COORD_PLANS'!$JY$5</f>
            </numRef>
          </xVal>
          <yVal>
            <numRef>
              <f>'COORD_PLANS'!$JZ$5</f>
            </numRef>
          </yVal>
          <smooth val="0"/>
        </ser>
        <ser>
          <idx val="22"/>
          <order val="22"/>
          <tx>
            <strRef>
              <f>'COORD_PLANS'!$E$34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'COORD_PLANS'!$KA$5</f>
            </numRef>
          </xVal>
          <yVal>
            <numRef>
              <f>'COORD_PLANS'!$KB$5</f>
            </numRef>
          </yVal>
          <smooth val="0"/>
        </ser>
        <axId val="10"/>
        <axId val="20"/>
      </scatterChart>
      <valAx>
        <axId val="10"/>
        <scaling>
          <orientation val="minMax"/>
          <max val="193.182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00"/>
          <min val="0"/>
        </scaling>
        <delete val="1"/>
        <axPos val="l"/>
        <majorTickMark val="none"/>
        <minorTickMark val="none"/>
        <crossAx val="10"/>
      </valAx>
    </plotArea>
    <plotVisOnly val="0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7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v>Sol</v>
          </tx>
          <spPr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'COORD_PLANS'!$KC$5:$KC$7</f>
            </numRef>
          </xVal>
          <yVal>
            <numRef>
              <f>'COORD_PLANS'!$KD$5:$KD$7</f>
            </numRef>
          </yVal>
          <smooth val="0"/>
        </ser>
        <ser>
          <idx val="1"/>
          <order val="1"/>
          <tx>
            <v>Poteaux métalliques</v>
          </tx>
          <spPr>
            <a:ln xmlns:a="http://schemas.openxmlformats.org/drawingml/2006/main" w="3810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'COORD_PLANS'!$KE$5:$KE$10</f>
            </numRef>
          </xVal>
          <yVal>
            <numRef>
              <f>'COORD_PLANS'!$KF$5:$KF$10</f>
            </numRef>
          </yVal>
          <smooth val="0"/>
        </ser>
        <ser>
          <idx val="2"/>
          <order val="2"/>
          <tx>
            <v>Béton (chaînages, raidisseurs)</v>
          </tx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'COORD_PLANS'!$KG$5:$KG$40</f>
            </numRef>
          </xVal>
          <yVal>
            <numRef>
              <f>'COORD_PLANS'!$KH$5:$KH$40</f>
            </numRef>
          </yVal>
          <smooth val="0"/>
        </ser>
        <ser>
          <idx val="3"/>
          <order val="3"/>
          <tx>
            <v>Agglos 15 creux</v>
          </tx>
          <spPr>
            <a:ln xmlns:a="http://schemas.openxmlformats.org/drawingml/2006/main" w="6350">
              <a:solidFill>
                <a:srgbClr val="C9A27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'COORD_PLANS'!$KI$5:$KI$724</f>
            </numRef>
          </xVal>
          <yVal>
            <numRef>
              <f>'COORD_PLANS'!$KJ$5:$KJ$724</f>
            </numRef>
          </yVal>
          <smooth val="0"/>
        </ser>
        <ser>
          <idx val="4"/>
          <order val="4"/>
          <tx>
            <v>Aciers</v>
          </tx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'COORD_PLANS'!$KK$5:$KK$40</f>
            </numRef>
          </xVal>
          <yVal>
            <numRef>
              <f>'COORD_PLANS'!$KL$5:$KL$40</f>
            </numRef>
          </yVal>
          <smooth val="0"/>
        </ser>
        <ser>
          <idx val="5"/>
          <order val="5"/>
          <tx>
            <strRef>
              <f>'COORD_PLANS'!$E$35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'COORD_PLANS'!$KM$5:$KM$11</f>
            </numRef>
          </xVal>
          <yVal>
            <numRef>
              <f>'COORD_PLANS'!$KN$5:$KN$11</f>
            </numRef>
          </yVal>
          <smooth val="0"/>
        </ser>
        <ser>
          <idx val="6"/>
          <order val="6"/>
          <tx>
            <strRef>
              <f>'COORD_PLANS'!$E$36</f>
            </strRef>
          </tx>
          <spPr>
            <a:ln xmlns:a="http://schemas.openxmlformats.org/drawingml/2006/main" w="762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 rot="-5400000" vert="horz" anchor="ctr"/>
                <a:p xmlns:a="http://schemas.openxmlformats.org/drawingml/2006/main">
                  <a:pPr>
                    <a:defRPr sz="8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800" b="0">
                    <a:solidFill>
                      <a:srgbClr val="000000"/>
                    </a:solidFill>
                  </a:endParaRPr>
                </a:p>
              </txPr>
              <dLblPos val="l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'COORD_PLANS'!$KO$5:$KO$11</f>
            </numRef>
          </xVal>
          <yVal>
            <numRef>
              <f>'COORD_PLANS'!$KP$5:$KP$11</f>
            </numRef>
          </yVal>
          <smooth val="0"/>
        </ser>
        <ser>
          <idx val="7"/>
          <order val="7"/>
          <tx>
            <strRef>
              <f>'COORD_PLANS'!$E$37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'COORD_PLANS'!$KQ$5</f>
            </numRef>
          </xVal>
          <yVal>
            <numRef>
              <f>'COORD_PLANS'!$KR$5</f>
            </numRef>
          </yVal>
          <smooth val="0"/>
        </ser>
        <ser>
          <idx val="8"/>
          <order val="8"/>
          <tx>
            <strRef>
              <f>'COORD_PLANS'!$E$38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'COORD_PLANS'!$KS$5</f>
            </numRef>
          </xVal>
          <yVal>
            <numRef>
              <f>'COORD_PLANS'!$KT$5</f>
            </numRef>
          </yVal>
          <smooth val="0"/>
        </ser>
        <ser>
          <idx val="9"/>
          <order val="9"/>
          <tx>
            <strRef>
              <f>'COORD_PLANS'!$E$39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'COORD_PLANS'!$KU$5</f>
            </numRef>
          </xVal>
          <yVal>
            <numRef>
              <f>'COORD_PLANS'!$KV$5</f>
            </numRef>
          </yVal>
          <smooth val="0"/>
        </ser>
        <ser>
          <idx val="10"/>
          <order val="10"/>
          <tx>
            <strRef>
              <f>'COORD_PLANS'!$E$40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700" b="0">
                      <a:solidFill>
                        <a:srgbClr val="000000"/>
                      </a:solidFill>
                    </a:defRPr>
                  </a:pPr>
                  <a:r>
                    <a:t/>
                  </a:r>
                  <a:endParaRPr sz="700" b="0">
                    <a:solidFill>
                      <a:srgbClr val="000000"/>
                    </a:solidFill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'COORD_PLANS'!$KW$5</f>
            </numRef>
          </xVal>
          <yVal>
            <numRef>
              <f>'COORD_PLANS'!$KX$5</f>
            </numRef>
          </yVal>
          <smooth val="0"/>
        </ser>
        <ser>
          <idx val="11"/>
          <order val="11"/>
          <tx>
            <v>SANS OBJET : façade en bardage bac acier (vue affichée en « Agglos 15 creux » ou « Mixte »)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0" vert="horz" anchor="ctr"/>
                <a:p xmlns:a="http://schemas.openxmlformats.org/drawingml/2006/main">
                  <a:pPr>
                    <a:defRPr sz="1100" b="1">
                      <a:solidFill>
                        <a:srgbClr val="C00000"/>
                      </a:solidFill>
                    </a:defRPr>
                  </a:pPr>
                  <a:r>
                    <a:t/>
                  </a:r>
                  <a:endParaRPr sz="1100" b="1">
                    <a:solidFill>
                      <a:srgbClr val="C00000"/>
                    </a:solidFill>
                  </a:endParaRPr>
                </a:p>
              </txPr>
              <dLblPos val="ct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'COORD_PLANS'!$KY$5</f>
            </numRef>
          </xVal>
          <yVal>
            <numRef>
              <f>'COORD_PLANS'!$KZ$5</f>
            </numRef>
          </yVal>
          <smooth val="0"/>
        </ser>
        <axId val="10"/>
        <axId val="20"/>
      </scatterChart>
      <valAx>
        <axId val="10"/>
        <scaling>
          <orientation val="minMax"/>
          <max val="193.182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00"/>
          <min val="0"/>
        </scaling>
        <delete val="1"/>
        <axPos val="l"/>
        <majorTickMark val="none"/>
        <minorTickMark val="none"/>
        <crossAx val="10"/>
      </valAx>
    </plotArea>
    <plotVisOnly val="0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omments/comment1.xml><?xml version="1.0" encoding="utf-8"?>
<comments xmlns="http://schemas.openxmlformats.org/spreadsheetml/2006/main">
  <authors>
    <author>Règle de calcul</author>
  </authors>
  <commentList>
    <comment ref="E6" authorId="0" shapeId="0">
      <text>
        <t>2 × N poteaux × hauteur à l'égout (H + hauteur de ferme)</t>
      </text>
    </comment>
    <comment ref="E7" authorId="0" shapeId="0">
      <text>
        <t>2 pignons × Σ (Hm + pente × min(x ; B − x)) ; Σ min = (B / n) × ENT(n² / 4)</t>
      </text>
    </comment>
    <comment ref="E8" authorId="0" shapeId="0">
      <text>
        <t>1 par portique si file centrale = Oui</t>
      </text>
    </comment>
    <comment ref="E9" authorId="0" shapeId="0">
      <text>
        <t>Longueur rampante = (portée / 2) / cos(arctan(pente)) × 2</t>
      </text>
    </comment>
    <comment ref="E10" authorId="0" shapeId="0">
      <text>
        <t>2 par portique, longueur = % × portée, découpés dans le profil de traverse</t>
      </text>
    </comment>
    <comment ref="E11" authorId="0" shapeId="0">
      <text>
        <t>1 par ferme, longueur = 2 × rampant ; poids × cornières accolées</t>
      </text>
    </comment>
    <comment ref="E12" authorId="0" shapeId="0">
      <text>
        <t>1 par ferme, longueur = portée</t>
      </text>
    </comment>
    <comment ref="E13" authorId="0" shapeId="0">
      <text>
        <t>(n + 1) montants par ferme, hauteur h0 + pente × min(x ; B − x)</t>
      </text>
    </comment>
    <comment ref="E14" authorId="0" shapeId="0">
      <text>
        <t>n diagonales par ferme, longueur √(pas² + h moyenne²)</t>
      </text>
    </comment>
    <comment ref="E15" authorId="0" shapeId="0">
      <text>
        <t>1 par poteau de portique ou intermédiaire</t>
      </text>
    </comment>
    <comment ref="E16" authorId="0" shapeId="0">
      <text>
        <t>1 par poteau de pignon</t>
      </text>
    </comment>
    <comment ref="E17" authorId="0" shapeId="0">
      <text>
        <t>Portique : 2 platines par nœud × 2 nœuds ; treillis : 1 platine de tête par poteau</t>
      </text>
    </comment>
    <comment ref="E18" authorId="0" shapeId="0">
      <text>
        <t>1 par poteau de pignon</t>
      </text>
    </comment>
    <comment ref="E19" authorId="0" shapeId="0">
      <text>
        <t>2 (n + 1) nœuds par ferme</t>
      </text>
    </comment>
    <comment ref="E20" authorId="0" shapeId="0">
      <text>
        <t>1 paire par portique</t>
      </text>
    </comment>
    <comment ref="E21" authorId="0" shapeId="0">
      <text>
        <t>Pannes × (ARRONDI.SUP(longueur / 12 m) − 1)</t>
      </text>
    </comment>
    <comment ref="E24" authorId="0" shapeId="0">
      <text>
        <t>Travées d'extrémité + 1 sur 5 ; 2 long-pans × 2 diagonales</t>
      </text>
    </comment>
    <comment ref="E25" authorId="0" shapeId="0">
      <text>
        <t>Mêmes travées ; 2 versants × panneaux × 2 diagonales</t>
      </text>
    </comment>
    <comment ref="E26" authorId="0" shapeId="0">
      <text>
        <t>À mi-portée (au tiers si entraxe &gt; 6 m), entre pannes successives</t>
      </text>
    </comment>
    <comment ref="E27" authorId="0" shapeId="0">
      <text>
        <t>2 par ligne de liernes au faîtage</t>
      </text>
    </comment>
    <comment ref="E28" authorId="0" shapeId="0">
      <text>
        <t>Par ligne de liernes : hauteur bardée ; 0 en façade agglos</t>
      </text>
    </comment>
    <comment ref="E29" authorId="0" shapeId="0">
      <text>
        <t>1 par intervalle de pignon, hauteur moyenne</t>
      </text>
    </comment>
    <comment ref="E32" authorId="0" shapeId="0">
      <text>
        <t>Par versant : ARRONDI.SUP(rampant / entraxe) + 1 ; longueur = L + débords</t>
      </text>
    </comment>
    <comment ref="E33" authorId="0" shapeId="0">
      <text>
        <t>1 par panne et par portique</t>
      </text>
    </comment>
    <comment ref="E34" authorId="0" shapeId="0">
      <text>
        <t>1 cadre par skydome</t>
      </text>
    </comment>
    <comment ref="E35" authorId="0" shapeId="0">
      <text>
        <t>1 tous les 1,0 à 1,5 m de périmètre si acrotère</t>
      </text>
    </comment>
    <comment ref="E36" authorId="0" shapeId="0">
      <text>
        <t>rampant × longueur × 2 × (1 + recouvrement) − translucides − skydomes</t>
      </text>
    </comment>
    <comment ref="E37" authorId="0" shapeId="0">
      <text>
        <t>% × surface de couverture</t>
      </text>
    </comment>
    <comment ref="E38" authorId="0" shapeId="0">
      <text>
        <t>Longueur couverte</t>
      </text>
    </comment>
    <comment ref="E39" authorId="0" shapeId="0">
      <text>
        <t>2 pignons × 2 versants × rampant</t>
      </text>
    </comment>
    <comment ref="E40" authorId="0" shapeId="0">
      <text>
        <t>2 égouts</t>
      </text>
    </comment>
    <comment ref="E41" authorId="0" shapeId="0">
      <text>
        <t>2 × longueur</t>
      </text>
    </comment>
    <comment ref="E42" authorId="0" shapeId="0">
      <text>
        <t>1 descente pour 150 à 200 m² de toiture</t>
      </text>
    </comment>
    <comment ref="E43" authorId="0" shapeId="0">
      <text>
        <t>Nombre × hauteur</t>
      </text>
    </comment>
    <comment ref="E44" authorId="0" shapeId="0">
      <text>
        <t>Paramètre</t>
      </text>
    </comment>
    <comment ref="E45" authorId="0" shapeId="0">
      <text>
        <t>ml de chéneaux × rivets / ml</t>
      </text>
    </comment>
    <comment ref="E48" authorId="0" shapeId="0">
      <text>
        <t>Rangées × 2 × L − ouvertures coupées ; 0 si agglos, au-dessus du soubassement si mixte</t>
      </text>
    </comment>
    <comment ref="E49" authorId="0" shapeId="0">
      <text>
        <t>Surface du trapèze bardé / entraxe − ouvertures coupées</t>
      </text>
    </comment>
    <comment ref="E50" authorId="0" shapeId="0">
      <text>
        <t>1 au-dessus de chaque porte ou portillon</t>
      </text>
    </comment>
    <comment ref="E51" authorId="0" shapeId="0">
      <text>
        <t>2 par baie, toute hauteur</t>
      </text>
    </comment>
    <comment ref="E52" authorId="0" shapeId="0">
      <text>
        <t>Long-pans + pignons en trapèze − ouvertures, × (1 + recouvrement) ; 0 si agglos</t>
      </text>
    </comment>
    <comment ref="E53" authorId="0" shapeId="0">
      <text>
        <t>Largeur de porte + 0,20 m</t>
      </text>
    </comment>
    <comment ref="E54" authorId="0" shapeId="0">
      <text>
        <t>2 × largeur par porte</t>
      </text>
    </comment>
    <comment ref="E55" authorId="0" shapeId="0">
      <text>
        <t>Périmètre − portes + 4 angles ; 0 si agglos</t>
      </text>
    </comment>
    <comment ref="E58" authorId="0" shapeId="0">
      <text>
        <t>2 nœuds par portique × boulons par nœud</t>
      </text>
    </comment>
    <comment ref="E59" authorId="0" shapeId="0">
      <text>
        <t>1 faîtage par portique</t>
      </text>
    </comment>
    <comment ref="E60" authorId="0" shapeId="0">
      <text>
        <t>Échantignoles × boulons</t>
      </text>
    </comment>
    <comment ref="E61" authorId="0" shapeId="0">
      <text>
        <t>Éclisses × boulons</t>
      </text>
    </comment>
    <comment ref="E62" authorId="0" shapeId="0">
      <text>
        <t>Diagonales × 2 extrémités × boulons</t>
      </text>
    </comment>
    <comment ref="E63" authorId="0" shapeId="0">
      <text>
        <t>Tronçons de lisses × 2 attaches × boulons</t>
      </text>
    </comment>
    <comment ref="E64" authorId="0" shapeId="0">
      <text>
        <t>4 par poteau de portique</t>
      </text>
    </comment>
    <comment ref="E65" authorId="0" shapeId="0">
      <text>
        <t>2 par poteau de pignon</t>
      </text>
    </comment>
    <comment ref="E66" authorId="0" shapeId="0">
      <text>
        <t>2 par tige</t>
      </text>
    </comment>
    <comment ref="E67" authorId="0" shapeId="0">
      <text>
        <t>2 par tige</t>
      </text>
    </comment>
    <comment ref="E68" authorId="0" shapeId="0">
      <text>
        <t>1 par poteau</t>
      </text>
    </comment>
    <comment ref="E69" authorId="0" shapeId="0">
      <text>
        <t>≈ 6 par m² de tôle, translucide et bardage</t>
      </text>
    </comment>
  </commentList>
</comments>
</file>

<file path=xl/comments/comment2.xml><?xml version="1.0" encoding="utf-8"?>
<comments xmlns="http://schemas.openxmlformats.org/spreadsheetml/2006/main">
  <authors>
    <author>Règle de calcul</author>
  </authors>
  <commentList>
    <comment ref="E23" authorId="0" shapeId="0">
      <text>
        <t>(B + 2 débords) × (L + 2 débords)</t>
      </text>
    </comment>
    <comment ref="E24" authorId="0" shapeId="0">
      <text>
        <t>n × (a + 2 surlargeurs)² × profondeur 1,20 m</t>
      </text>
    </comment>
    <comment ref="E25" authorId="0" shapeId="0">
      <text>
        <t>n × (a + 2 surlargeurs)² × profondeur</t>
      </text>
    </comment>
    <comment ref="E26" authorId="0" shapeId="0">
      <text>
        <t>Longueur filante × (b + 2 surlargeurs) × profondeur</t>
      </text>
    </comment>
    <comment ref="E27" authorId="0" shapeId="0">
      <text>
        <t>Surface intérieure × épaisseur × foisonnement 1,25 (95 % OPM)</t>
      </text>
    </comment>
    <comment ref="E28" authorId="0" shapeId="0">
      <text>
        <t>Surface × 5 cm</t>
      </text>
    </comment>
    <comment ref="E29" authorId="0" shapeId="0">
      <text>
        <t>(décapage + fouilles) × foisonnement</t>
      </text>
    </comment>
    <comment ref="E32" authorId="0" shapeId="0">
      <text>
        <t>n × a² × 5 cm</t>
      </text>
    </comment>
    <comment ref="E33" authorId="0" shapeId="0">
      <text>
        <t>n × a² × h</t>
      </text>
    </comment>
    <comment ref="E34" authorId="0" shapeId="0">
      <text>
        <t>n × côté² × hauteur du fût (1,20 m)</t>
      </text>
    </comment>
    <comment ref="E35" authorId="0" shapeId="0">
      <text>
        <t>n × (4 a h + 4 côté × h fût)</t>
      </text>
    </comment>
    <comment ref="E36" authorId="0" shapeId="0">
      <text>
        <t>2 sens × (ENT((a − 2c) / maille) + 1) barres ; L = a − 2c + 2 retours</t>
      </text>
    </comment>
    <comment ref="E37" authorId="0" shapeId="0">
      <text>
        <t>4 barres par fût, ancrées dans la semelle</t>
      </text>
    </comment>
    <comment ref="E38" authorId="0" shapeId="0">
      <text>
        <t>Cadres tous les 15 cm</t>
      </text>
    </comment>
    <comment ref="E41" authorId="0" shapeId="0">
      <text>
        <t>n × a² × 5 cm</t>
      </text>
    </comment>
    <comment ref="E42" authorId="0" shapeId="0">
      <text>
        <t>n × a² × h</t>
      </text>
    </comment>
    <comment ref="E43" authorId="0" shapeId="0">
      <text>
        <t>n × côté² × hauteur du fût (1,20 m)</t>
      </text>
    </comment>
    <comment ref="E44" authorId="0" shapeId="0">
      <text>
        <t>n × (4 a h + 4 côté × h fût)</t>
      </text>
    </comment>
    <comment ref="E45" authorId="0" shapeId="0">
      <text>
        <t>2 sens × (ENT((a − 2c) / maille) + 1) barres ; L = a − 2c + 2 retours</t>
      </text>
    </comment>
    <comment ref="E46" authorId="0" shapeId="0">
      <text>
        <t>4 barres par fût, ancrées dans la semelle</t>
      </text>
    </comment>
    <comment ref="E47" authorId="0" shapeId="0">
      <text>
        <t>Cadres tous les 15 cm</t>
      </text>
    </comment>
    <comment ref="E50" authorId="0" shapeId="0">
      <text>
        <t>L × b × 5 cm</t>
      </text>
    </comment>
    <comment ref="E51" authorId="0" shapeId="0">
      <text>
        <t>L × b × h</t>
      </text>
    </comment>
    <comment ref="E52" authorId="0" shapeId="0">
      <text>
        <t>2 faces × L × h</t>
      </text>
    </comment>
    <comment ref="E53" authorId="0" shapeId="0">
      <text>
        <t>4 filants × longueur avec recouvrements de 40 Ø</t>
      </text>
    </comment>
    <comment ref="E54" authorId="0" shapeId="0">
      <text>
        <t>L / espacement + 1 ; L = b − 2c</t>
      </text>
    </comment>
    <comment ref="E57" authorId="0" shapeId="0">
      <text>
        <t>Périmètre × 1,00 m</t>
      </text>
    </comment>
    <comment ref="E58" authorId="0" shapeId="0">
      <text>
        <t>12,5 /m² + 5 % de casse</t>
      </text>
    </comment>
    <comment ref="E59" authorId="0" shapeId="0">
      <text>
        <t>m² × mortier / m²</t>
      </text>
    </comment>
    <comment ref="E62" authorId="0" shapeId="0">
      <text>
        <t>Surface intérieure × 1,10</t>
      </text>
    </comment>
    <comment ref="E63" authorId="0" shapeId="0">
      <text>
        <t>Surface × épaisseur (15 ou 20 cm)</t>
      </text>
    </comment>
    <comment ref="E64" authorId="0" shapeId="0">
      <text>
        <t>(côté / maille) + 1 barres ; L avec recouvrements 40 Ø</t>
      </text>
    </comment>
    <comment ref="E65" authorId="0" shapeId="0">
      <text>
        <t>(côté / maille) + 1 barres</t>
      </text>
    </comment>
    <comment ref="E66" authorId="0" shapeId="0">
      <text>
        <t>0 en nappe simple</t>
      </text>
    </comment>
    <comment ref="E67" authorId="0" shapeId="0">
      <text>
        <t>0 en nappe simple</t>
      </text>
    </comment>
    <comment ref="E68" authorId="0" shapeId="0">
      <text>
        <t>4 chaises / m² en nappe double</t>
      </text>
    </comment>
    <comment ref="E69" authorId="0" shapeId="0">
      <text>
        <t>Tous les 5 à 6 m dans les 2 sens</t>
      </text>
    </comment>
    <comment ref="E70" authorId="0" shapeId="0">
      <text>
        <t>Surface du dallage</t>
      </text>
    </comment>
    <comment ref="E73" authorId="0" shapeId="0">
      <text>
        <t>Périmètre × hauteur + pignons (agglos) − ouvertures</t>
      </text>
    </comment>
    <comment ref="E74" authorId="0" shapeId="0">
      <text>
        <t>12,5 /m² + 5 % de casse</t>
      </text>
    </comment>
    <comment ref="E75" authorId="0" shapeId="0">
      <text>
        <t>m² × mortier / m²</t>
      </text>
    </comment>
    <comment ref="E76" authorId="0" shapeId="0">
      <text>
        <t>Nombre de chaînages × périmètre (+ rampants des pignons)</t>
      </text>
    </comment>
    <comment ref="E77" authorId="0" shapeId="0">
      <text>
        <t>ml × 0,15 × 0,20</t>
      </text>
    </comment>
    <comment ref="E78" authorId="0" shapeId="0">
      <text>
        <t>2 faces</t>
      </text>
    </comment>
    <comment ref="E79" authorId="0" shapeId="0">
      <text>
        <t>4 barres × ml × (1 + 40 Ø / 12 m)</t>
      </text>
    </comment>
    <comment ref="E80" authorId="0" shapeId="0">
      <text>
        <t>ml / 0,20 + 1 par chaînage</t>
      </text>
    </comment>
    <comment ref="E81" authorId="0" shapeId="0">
      <text>
        <t>3 × nombre de travées sur le périmètre</t>
      </text>
    </comment>
    <comment ref="E82" authorId="0" shapeId="0">
      <text>
        <t>n × 0,15² × hauteur du mur</t>
      </text>
    </comment>
    <comment ref="E83" authorId="0" shapeId="0">
      <text>
        <t>2 faces coffrées</t>
      </text>
    </comment>
    <comment ref="E84" authorId="0" shapeId="0">
      <text>
        <t>4 barres × (hauteur + 2 retours)</t>
      </text>
    </comment>
    <comment ref="E85" authorId="0" shapeId="0">
      <text>
        <t>hauteur / 0,20 + 1 par raidisseur</t>
      </text>
    </comment>
    <comment ref="E86" authorId="0" shapeId="0">
      <text>
        <t>Baies dans la maçonnerie : largeur + 2 × 0,20 m</t>
      </text>
    </comment>
    <comment ref="E87" authorId="0" shapeId="0">
      <text>
        <t>ml × 0,15 × 0,20</t>
      </text>
    </comment>
    <comment ref="E88" authorId="0" shapeId="0">
      <text>
        <t>2 joues + fond</t>
      </text>
    </comment>
    <comment ref="E89" authorId="0" shapeId="0">
      <text>
        <t>4 barres × ml</t>
      </text>
    </comment>
    <comment ref="E90" authorId="0" shapeId="0">
      <text>
        <t>ml / 0,20</t>
      </text>
    </comment>
    <comment ref="E91" authorId="0" shapeId="0">
      <text>
        <t>2 × surface des murs</t>
      </text>
    </comment>
    <comment ref="E92" authorId="0" shapeId="0">
      <text>
        <t>m² × épaisseur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9180000" cy="475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37</row>
      <rowOff>0</rowOff>
    </from>
    <ext cx="9180000" cy="475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73</row>
      <rowOff>0</rowOff>
    </from>
    <ext cx="9180000" cy="475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109</row>
      <rowOff>0</rowOff>
    </from>
    <ext cx="9180000" cy="475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145</row>
      <rowOff>0</rowOff>
    </from>
    <ext cx="9180000" cy="4752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</col>
      <colOff>0</colOff>
      <row>181</row>
      <rowOff>0</rowOff>
    </from>
    <ext cx="9180000" cy="4752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217</row>
      <rowOff>0</rowOff>
    </from>
    <ext cx="9180000" cy="4752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QUANTITATIF – ESTIMATION – ESQUISSES : BÂTIMENT INDUSTRIEL EN CHARPENTE MÉTALLIQUE</t>
        </is>
      </c>
    </row>
    <row r="2">
      <c r="A2" s="2" t="n"/>
      <c r="B2" s="3" t="inlineStr">
        <is>
          <t>Charpente : EC3 / EC1 (vent, sans neige) · Béton armé et fondations : BAEL 91 mod. 99 / EC2 · Contexte : Côte d'Ivoire – sol latéritique, climat tropical humide · Monnaie : FCFA · TVA 18 %</t>
        </is>
      </c>
    </row>
    <row r="4">
      <c r="B4" s="4" t="inlineStr">
        <is>
          <t>MODE D'EMPLOI : 1) choisir un gabarit ci-dessous ; 2) ajuster les cellules JAUNES de PARAMÈTRES ; 3) lire les résultats ici, dans le DQE et dans PLANS.</t>
        </is>
      </c>
    </row>
    <row r="6">
      <c r="B6" s="5" t="inlineStr">
        <is>
          <t>GABARIT (portée × longueur)</t>
        </is>
      </c>
      <c r="D6" s="6" t="inlineStr">
        <is>
          <t>20 × 40</t>
        </is>
      </c>
      <c r="E6" s="7" t="inlineStr">
        <is>
          <t>← liste déroulante (PERSONNALISÉ : dimensions dans PARAMÈTRES)</t>
        </is>
      </c>
    </row>
    <row r="7">
      <c r="B7" s="7" t="inlineStr">
        <is>
          <t>Légende : cellule jaune = saisie ; cellule bleu clair = résultat ; rouge = contrôle en alerte</t>
        </is>
      </c>
    </row>
    <row r="9" ht="30" customHeight="1">
      <c r="B9" s="8" t="inlineStr">
        <is>
          <t>Résumé</t>
        </is>
      </c>
      <c r="C9" s="8" t="inlineStr"/>
      <c r="D9" s="8" t="inlineStr">
        <is>
          <t>Valeur</t>
        </is>
      </c>
      <c r="E9" s="8" t="inlineStr">
        <is>
          <t>Unité</t>
        </is>
      </c>
    </row>
    <row r="10">
      <c r="B10" s="9" t="inlineStr">
        <is>
          <t>Portée</t>
        </is>
      </c>
      <c r="C10" s="10" t="n"/>
      <c r="D10" s="11">
        <f>'PARAMÈTRES'!$C$9</f>
        <v>20</v>
      </c>
      <c r="E10" s="12" t="inlineStr">
        <is>
          <t>m</t>
        </is>
      </c>
    </row>
    <row r="11">
      <c r="B11" s="9" t="inlineStr">
        <is>
          <t>Longueur</t>
        </is>
      </c>
      <c r="C11" s="10" t="n"/>
      <c r="D11" s="11">
        <f>'PARAMÈTRES'!$C$10</f>
        <v>40</v>
      </c>
      <c r="E11" s="12" t="inlineStr">
        <is>
          <t>m</t>
        </is>
      </c>
    </row>
    <row r="12">
      <c r="B12" s="9" t="inlineStr">
        <is>
          <t>Hauteur sous sablière</t>
        </is>
      </c>
      <c r="C12" s="10" t="n"/>
      <c r="D12" s="11">
        <f>'PARAMÈTRES'!$C$11</f>
        <v>6</v>
      </c>
      <c r="E12" s="12" t="inlineStr">
        <is>
          <t>m</t>
        </is>
      </c>
    </row>
    <row r="13">
      <c r="B13" s="9" t="inlineStr">
        <is>
          <t>Hauteur au faîtage</t>
        </is>
      </c>
      <c r="C13" s="10" t="n"/>
      <c r="D13" s="11">
        <f>'PRÉDIMENSIONNEMENT'!$C$34</f>
        <v>7.6</v>
      </c>
      <c r="E13" s="12" t="inlineStr">
        <is>
          <t>m</t>
        </is>
      </c>
    </row>
    <row r="14">
      <c r="B14" s="9" t="inlineStr">
        <is>
          <t>Pente</t>
        </is>
      </c>
      <c r="C14" s="10" t="n"/>
      <c r="D14" s="13">
        <f>'PARAMÈTRES'!$C$12</f>
        <v>0.16</v>
      </c>
      <c r="E14" s="12" t="inlineStr">
        <is>
          <t>%</t>
        </is>
      </c>
    </row>
    <row r="15">
      <c r="B15" s="9" t="inlineStr">
        <is>
          <t>Système structurel</t>
        </is>
      </c>
      <c r="C15" s="10" t="n"/>
      <c r="D15" s="14" t="str">
        <f>'PRÉDIMENSIONNEMENT'!$C$26</f>
        <v>Portique IPE avec jarrets</v>
      </c>
      <c r="E15" s="12" t="inlineStr"/>
    </row>
    <row r="16">
      <c r="B16" s="9" t="inlineStr">
        <is>
          <t>Nombre de portiques</t>
        </is>
      </c>
      <c r="C16" s="10" t="n"/>
      <c r="D16" s="15">
        <f>'PRÉDIMENSIONNEMENT'!$C$29</f>
        <v>8</v>
      </c>
      <c r="E16" s="12" t="inlineStr">
        <is>
          <t>u</t>
        </is>
      </c>
    </row>
    <row r="17">
      <c r="B17" s="9" t="inlineStr">
        <is>
          <t>Type de façade</t>
        </is>
      </c>
      <c r="C17" s="10" t="n"/>
      <c r="D17" s="14" t="str">
        <f>'PARAMÈTRES'!$C$51</f>
        <v>Bardage bac acier</v>
      </c>
      <c r="E17" s="12" t="inlineStr"/>
    </row>
    <row r="18">
      <c r="B18" s="16" t="inlineStr">
        <is>
          <t>SURFACE COUVERTE</t>
        </is>
      </c>
      <c r="C18" s="10" t="n"/>
      <c r="D18" s="17">
        <f>'PRÉDIMENSIONNEMENT'!$C$46</f>
        <v>800</v>
      </c>
      <c r="E18" s="12" t="inlineStr">
        <is>
          <t>m²</t>
        </is>
      </c>
    </row>
    <row r="19">
      <c r="B19" s="16" t="inlineStr">
        <is>
          <t>TONNAGE ACIER CHARPENTE</t>
        </is>
      </c>
      <c r="C19" s="10" t="n"/>
      <c r="D19" s="17">
        <f>'QUANTITATIF_CHARPENTE'!$I$77</f>
        <v>25.9878354729895</v>
      </c>
      <c r="E19" s="12" t="inlineStr">
        <is>
          <t>t</t>
        </is>
      </c>
    </row>
    <row r="20">
      <c r="B20" s="9" t="inlineStr">
        <is>
          <t>Ratio acier</t>
        </is>
      </c>
      <c r="C20" s="10" t="n"/>
      <c r="D20" s="11">
        <f>'QUANTITATIF_CHARPENTE'!$I$78</f>
        <v>32.4847943412368</v>
      </c>
      <c r="E20" s="12" t="inlineStr">
        <is>
          <t>kg/m²</t>
        </is>
      </c>
    </row>
    <row r="21">
      <c r="B21" s="9" t="inlineStr">
        <is>
          <t>Tôles de couverture</t>
        </is>
      </c>
      <c r="C21" s="10" t="n"/>
      <c r="D21" s="11">
        <f>'QUANTITATIF_CHARPENTE'!$E$36</f>
        <v>816.567919020144</v>
      </c>
      <c r="E21" s="12" t="inlineStr">
        <is>
          <t>m²</t>
        </is>
      </c>
    </row>
    <row r="22">
      <c r="B22" s="9" t="inlineStr">
        <is>
          <t>BÉTON (propreté + armé)</t>
        </is>
      </c>
      <c r="C22" s="10" t="n"/>
      <c r="D22" s="11">
        <f>'GROS_ŒUVRE'!$E$98</f>
        <v>188.0365</v>
      </c>
      <c r="E22" s="12" t="inlineStr">
        <is>
          <t>m³</t>
        </is>
      </c>
    </row>
    <row r="23">
      <c r="B23" s="9" t="inlineStr">
        <is>
          <t>Aciers HA</t>
        </is>
      </c>
      <c r="C23" s="10" t="n"/>
      <c r="D23" s="11">
        <f>'GROS_ŒUVRE'!$I$109</f>
        <v>6214.278945</v>
      </c>
      <c r="E23" s="12" t="inlineStr">
        <is>
          <t>kg</t>
        </is>
      </c>
    </row>
    <row r="24">
      <c r="B24" s="16" t="inlineStr">
        <is>
          <t>COÛT TOTAL HT</t>
        </is>
      </c>
      <c r="C24" s="10" t="n"/>
      <c r="D24" s="18">
        <f>'DQE_DEVIS'!$G$64</f>
        <v>94639718.8561113</v>
      </c>
      <c r="E24" s="12" t="inlineStr">
        <is>
          <t>FCFA</t>
        </is>
      </c>
    </row>
    <row r="25">
      <c r="B25" s="16" t="inlineStr">
        <is>
          <t>TVA 18 %</t>
        </is>
      </c>
      <c r="C25" s="10" t="n"/>
      <c r="D25" s="18">
        <f>'DQE_DEVIS'!$G$65</f>
        <v>17035149.3941</v>
      </c>
      <c r="E25" s="12" t="inlineStr">
        <is>
          <t>FCFA</t>
        </is>
      </c>
    </row>
    <row r="26">
      <c r="B26" s="16" t="inlineStr">
        <is>
          <t>COÛT TOTAL TTC</t>
        </is>
      </c>
      <c r="C26" s="10" t="n"/>
      <c r="D26" s="18">
        <f>'DQE_DEVIS'!$G$66</f>
        <v>111674868.250211</v>
      </c>
      <c r="E26" s="12" t="inlineStr">
        <is>
          <t>FCFA</t>
        </is>
      </c>
    </row>
    <row r="27">
      <c r="B27" s="9" t="inlineStr">
        <is>
          <t>Coût HT au m²</t>
        </is>
      </c>
      <c r="C27" s="10" t="n"/>
      <c r="D27" s="15">
        <f>'DQE_DEVIS'!$G$67</f>
        <v>118299.648570139</v>
      </c>
      <c r="E27" s="12" t="inlineStr">
        <is>
          <t>FCFA/m²</t>
        </is>
      </c>
    </row>
    <row r="29" ht="30" customHeight="1">
      <c r="B29" s="8" t="inlineStr">
        <is>
          <t>Contrôles automatiques</t>
        </is>
      </c>
      <c r="C29" s="8" t="inlineStr"/>
      <c r="D29" s="8" t="inlineStr"/>
      <c r="E29" s="8" t="inlineStr"/>
    </row>
    <row r="30">
      <c r="B30" s="16" t="str">
        <f>IF(AND('PARAMÈTRES'!$C$9&gt;30,'PARAMÈTRES'!$C$21="Non"),"ALERTE : portée &gt; 30 m sans poteau intermédiaire – prévoir une file centrale (indispensable au-delà de 40 m sans appui)","OK : portée / appuis")</f>
        <v>OK : portée / appuis</v>
      </c>
    </row>
    <row r="31">
      <c r="B31" s="16" t="str">
        <f>IF('PARAMÈTRES'!$C$12&lt;0.05,"ALERTE : pente &lt; 5 % – risque de stagnation, revoir la pente","OK : pente ≥ 5 %")</f>
        <v>OK : pente ≥ 5 %</v>
      </c>
    </row>
    <row r="32">
      <c r="B32" s="16" t="str">
        <f>IF(AND('PARAMÈTRES'!$C$114="15 cm",'PARAMÈTRES'!$C$115="Nappe double"),"ALERTE : dallage 15 cm en nappe double (peu courant)","OK : dallage / ferraillage")</f>
        <v>OK : dallage / ferraillage</v>
      </c>
    </row>
    <row r="33">
      <c r="B33" s="16" t="str">
        <f>IF(OR('QUANTITATIF_CHARPENTE'!$I$78&lt;18,'QUANTITATIF_CHARPENTE'!$I$78&gt;45),"ALERTE : ratio acier "&amp;FIXED('QUANTITATIF_CHARPENTE'!$I$78,1,TRUE)&amp;" kg/m² hors fourchette 18–45","OK : ratio acier "&amp;FIXED('QUANTITATIF_CHARPENTE'!$I$78,1,TRUE)&amp;" kg/m²")</f>
        <v>OK : ratio acier 32.5 kg/m²</v>
      </c>
    </row>
    <row r="34">
      <c r="B34" s="16" t="str">
        <f>IF('PARAMÈTRES'!$C$47&lt;0.4,"ALERTE : tôle &lt; 0,40 mm","OK : épaisseur de tôle")</f>
        <v>OK : épaisseur de tôle</v>
      </c>
    </row>
    <row r="36">
      <c r="B36" s="7" t="inlineStr">
        <is>
          <t>Feuilles : PARAMÈTRES (saisies) · BASE_PROFILÉS / BASE_ACIERS (poids) · PRÉDIMENSIONNEMENT · QUANTITATIF_CHARPENTE · GROS_ŒUVRE · DQE_DEVIS · RÉCAP_GABARITS · PLANS (7 esquisses dynamiques).</t>
        </is>
      </c>
    </row>
    <row r="37">
      <c r="B37" s="7" t="inlineStr">
        <is>
          <t>Les esquisses sont des graphiques Nuage de points alimentés par la feuille masquée COORD_PLANS : aucune macro, compatible Excel mobile (Microsoft 365).</t>
        </is>
      </c>
    </row>
    <row r="38">
      <c r="B38" s="7" t="inlineStr">
        <is>
          <t>Classeur entièrement modifiable (aucune protection). Saisir de préférence dans les cellules jaunes : les autres cellules contiennent les formules de calcul.</t>
        </is>
      </c>
    </row>
    <row r="39">
      <c r="B39" s="7" t="inlineStr">
        <is>
          <t>PDF des plans : feuille PLANS &gt; Fichier &gt; Enregistrer sous &gt; PDF, ou générateur Generateur_Plans.html (coller le CODE PLANS ci-dessous puis « Enregistrer en PDF ».</t>
        </is>
      </c>
    </row>
    <row r="40">
      <c r="B40" s="7" t="inlineStr">
        <is>
          <t>Estimation de prédimensionnement : à confirmer par une note de calcul (EC3 / EC1 / BAEL) avant exécution.</t>
        </is>
      </c>
    </row>
    <row r="42">
      <c r="B42" s="5" t="inlineStr">
        <is>
          <t>CODE PLANS (copier la cellule D ci-contre et la coller dans Generateur_Plans.html)</t>
        </is>
      </c>
      <c r="C42" s="10" t="n"/>
      <c r="D42" s="19" t="str">
        <f>"PLAN1"&amp;";gab="&amp;'ACCUEIL'!$D$6&amp;";B="&amp;FIXED('PARAMÈTRES'!$C$9,4,TRUE)&amp;";L="&amp;FIXED('PARAMÈTRES'!$C$10,4,TRUE)&amp;";H="&amp;FIXED('PARAMÈTRES'!$C$11,4,TRUE)&amp;";p="&amp;FIXED('PARAMÈTRES'!$C$12*100,4,TRUE)&amp;";ep="&amp;FIXED('PARAMÈTRES'!$C$15,4,TRUE)&amp;";epan="&amp;FIXED('PARAMÈTRES'!$C$16,4,TRUE)&amp;";elis="&amp;FIXED('PARAMÈTRES'!$C$17,4,TRUE)&amp;";epp="&amp;FIXED('PARAMÈTRES'!$C$18,4,TRUE)&amp;";deb="&amp;FIXED('PARAMÈTRES'!$C$19,4,TRUE)&amp;";sys="&amp;'PARAMÈTRES'!$C$20&amp;";fint="&amp;'PARAMÈTRES'!$C$21&amp;";rtr="&amp;FIXED('PARAMÈTRES'!$C$22,4,TRUE)&amp;";pas="&amp;FIXED('PARAMÈTRES'!$C$23,4,TRUE)&amp;";rj="&amp;FIXED('PARAMÈTRES'!$C$24*100,4,TRUE)&amp;";nacc="&amp;FIXED('PARAMÈTRES'!$C$25,4,TRUE)&amp;";ppot="&amp;'PRÉDIMENSIONNEMENT'!$E$69&amp;";ptrav="&amp;'PRÉDIMENSIONNEMENT'!$E$70&amp;";pmsup="&amp;'PRÉDIMENSIONNEMENT'!$E$71&amp;";pminf="&amp;'PRÉDIMENSIONNEMENT'!$E$72&amp;";ppp="&amp;'PRÉDIMENSIONNEMENT'!$E$75&amp;";ppanne="&amp;'PRÉDIMENSIONNEMENT'!$E$77&amp;";plisse="&amp;'PRÉDIMENSIONNEMENT'!$E$78&amp;";npc="&amp;FIXED('PARAMÈTRES'!$C$28,4,TRUE)&amp;";lpc="&amp;FIXED('PARAMÈTRES'!$C$29,4,TRUE)&amp;";hpc="&amp;FIXED('PARAMÈTRES'!$C$30,4,TRUE)&amp;";epc="&amp;'PARAMÈTRES'!$C$31&amp;";npt="&amp;FIXED('PARAMÈTRES'!$C$32,4,TRUE)&amp;";lpt="&amp;FIXED('PARAMÈTRES'!$C$33,4,TRUE)&amp;";hpt="&amp;FIXED('PARAMÈTRES'!$C$34,4,TRUE)&amp;";ept="&amp;'PARAMÈTRES'!$C$35&amp;";nsky="&amp;FIXED('PARAMÈTRES'!$C$37,4,TRUE)&amp;";asky="&amp;FIXED('PARAMÈTRES'!$C$38,4,TRUE)&amp;";bsky="&amp;FIXED('PARAMÈTRES'!$C$39,4,TRUE)&amp;";pct="&amp;FIXED('PARAMÈTRES'!$C$45*100,4,TRUE)&amp;";sdesc="&amp;FIXED('PARAMÈTRES'!$C$48,4,TRUE)&amp;";acr="&amp;'PARAMÈTRES'!$C$42&amp;";hacr="&amp;FIXED('PARAMÈTRES'!$C$43,4,TRUE)&amp;";fac="&amp;'PARAMÈTRES'!$C$51&amp;";hs="&amp;FIXED('PARAMÈTRES'!$C$52,4,TRUE)&amp;";D="&amp;FIXED('PARAMÈTRES'!$C$83,4,TRUE)&amp;";eprop="&amp;FIXED('PARAMÈTRES'!$C$88,4,TRUE)&amp;";a1="&amp;FIXED('PARAMÈTRES'!$C$89,4,TRUE)&amp;";hs1="&amp;FIXED('PARAMÈTRES'!$C$90,4,TRUE)&amp;";f1="&amp;FIXED('PARAMÈTRES'!$C$91,4,TRUE)&amp;";a2="&amp;FIXED('PARAMÈTRES'!$C$92,4,TRUE)&amp;";hfut="&amp;FIXED('PARAMÈTRES'!$C$95,4,TRUE)&amp;";bf="&amp;FIXED('PARAMÈTRES'!$C$102,4,TRUE)&amp;";hfil="&amp;FIXED('PARAMÈTRES'!$C$103,4,TRUE)&amp;";hmf="&amp;FIXED('PARAMÈTRES'!$C$111,4,TRUE)&amp;";edal="&amp;'PARAMÈTRES'!$C$114&amp;";erem="&amp;'PARAMÈTRES'!$C$86&amp;";esab="&amp;FIXED('PARAMÈTRES'!$C$87,4,TRUE)&amp;";ferr="&amp;'PARAMÈTRES'!$C$115&amp;";hix="&amp;'PARAMÈTRES'!$C$116&amp;";hiy="&amp;'PARAMÈTRES'!$C$117&amp;";hsx="&amp;'PARAMÈTRES'!$C$118&amp;";hsy="&amp;'PARAMÈTRES'!$C$119&amp;";maille="&amp;'PARAMÈTRES'!$C$120&amp;";hasem="&amp;'PARAMÈTRES'!$C$97&amp;";msem="&amp;FIXED('PARAMÈTRES'!$C$96,4,TRUE)&amp;";nbf="&amp;FIXED('PARAMÈTRES'!$C$99,4,TRUE)&amp;";hafut="&amp;'PARAMÈTRES'!$C$98&amp;";hacad="&amp;'PARAMÈTRES'!$C$100&amp;";ecad="&amp;FIXED('PARAMÈTRES'!$C$101,4,TRUE)&amp;";nfil="&amp;FIXED('PARAMÈTRES'!$C$105,4,TRUE)&amp;";hafil="&amp;'PARAMÈTRES'!$C$104&amp;";harep="&amp;'PARAMÈTRES'!$C$106&amp;";erep="&amp;FIXED('PARAMÈTRES'!$C$107,4,TRUE)&amp;";dtige="&amp;'PARAMÈTRES'!$C$72&amp;";ltige="&amp;FIXED('PARAMÈTRES'!$C$73,4,TRUE)&amp;";bch="&amp;FIXED('PARAMÈTRES'!$C$129,4,TRUE)&amp;";hch="&amp;FIXED('PARAMÈTRES'!$C$130,4,TRUE)&amp;";brd="&amp;FIXED('PARAMÈTRES'!$C$135,4,TRUE)&amp;";nrd="&amp;FIXED('PARAMÈTRES'!$C$136,4,TRUE)&amp;";hachl="&amp;'PARAMÈTRES'!$C$131&amp;";hachc="&amp;'PARAMÈTRES'!$C$133&amp;";echc="&amp;FIXED('PARAMÈTRES'!$C$134,4,TRUE)</f>
        <v>PLAN1;gab=20 × 40;B=20.0000;L=40.0000;H=6.0000;p=16.0000;ep=6.0000;epan=1.3500;elis=1.8000;epp=6.0000;deb=0.3000;sys=IPE renforcé;fint=Non;rtr=30.0000;pas=2.0000;rj=10.0000;nacc=2.0000;ppot=IPE 330;ptrav=IPE 300;pmsup=L 70x7;pminf=L 60x6;ppp=IPE 220;ppanne=Z 200;plisse=C 160;npc=1.0000;lpc=4.0000;hpc=4.5000;epc=Pignon;npt=1.0000;lpt=5.5000;hpt=4.0000;ept=Long-pan;nsky=4.0000;asky=1.2000;bsky=1.2000;pct=10.0000;sdesc=180.0000;acr=Non;hacr=1.0000;fac=Bardage bac acier;hs=1.5000;D=1.2000;eprop=0.0500;a1=1.2000;hs1=0.4000;f1=0.4000;a2=0.8000;hfut=1.2000;bf=0.6000;hfil=0.2000;hmf=1.0000;edal=20 cm;erem=20 cm;esab=0.0500;ferr=Nappe simple;hix=HA10;hiy=HA10;hsx=HA8;hsy=HA8;maille=20 cm;hasem=HA12;msem=0.1500;nbf=4.0000;hafut=HA12;hacad=HA6;ecad=0.1500;nfil=4.0000;hafil=HA10;harep=HA8;erep=0.2000;dtige=Rond 24;ltige=0.6000;bch=0.1500;hch=0.2000;brd=0.1500;nrd=3.0000;hachl=HA10;hachc=HA6;echc=0.2000</v>
      </c>
    </row>
  </sheetData>
  <mergeCells count="25">
    <mergeCell ref="B16:C16"/>
    <mergeCell ref="B25:C25"/>
    <mergeCell ref="B22:C22"/>
    <mergeCell ref="A1:H1"/>
    <mergeCell ref="B27:C27"/>
    <mergeCell ref="B18:C18"/>
    <mergeCell ref="B12:C12"/>
    <mergeCell ref="B34:G34"/>
    <mergeCell ref="B21:C21"/>
    <mergeCell ref="B11:C11"/>
    <mergeCell ref="B42:C42"/>
    <mergeCell ref="B23:C23"/>
    <mergeCell ref="B14:C14"/>
    <mergeCell ref="B17:C17"/>
    <mergeCell ref="B30:G30"/>
    <mergeCell ref="B33:G33"/>
    <mergeCell ref="B13:C13"/>
    <mergeCell ref="B19:C19"/>
    <mergeCell ref="B10:C10"/>
    <mergeCell ref="B32:G32"/>
    <mergeCell ref="B24:C24"/>
    <mergeCell ref="B15:C15"/>
    <mergeCell ref="B20:C20"/>
    <mergeCell ref="B31:G31"/>
    <mergeCell ref="B26:C26"/>
  </mergeCells>
  <conditionalFormatting sqref="D14">
    <cfRule type="expression" priority="1" dxfId="0">
      <formula>D14&lt;0.05</formula>
    </cfRule>
  </conditionalFormatting>
  <conditionalFormatting sqref="D20">
    <cfRule type="expression" priority="2" dxfId="0">
      <formula>OR(D20&lt;18,D20&gt;45)</formula>
    </cfRule>
  </conditionalFormatting>
  <conditionalFormatting sqref="B30">
    <cfRule type="expression" priority="3" dxfId="0">
      <formula>LEFT(B30,6)="ALERTE"</formula>
    </cfRule>
  </conditionalFormatting>
  <conditionalFormatting sqref="B31">
    <cfRule type="expression" priority="4" dxfId="0">
      <formula>LEFT(B31,6)="ALERTE"</formula>
    </cfRule>
  </conditionalFormatting>
  <conditionalFormatting sqref="B32">
    <cfRule type="expression" priority="5" dxfId="0">
      <formula>LEFT(B32,6)="ALERTE"</formula>
    </cfRule>
  </conditionalFormatting>
  <conditionalFormatting sqref="B33">
    <cfRule type="expression" priority="6" dxfId="0">
      <formula>LEFT(B33,6)="ALERTE"</formula>
    </cfRule>
  </conditionalFormatting>
  <conditionalFormatting sqref="B34">
    <cfRule type="expression" priority="7" dxfId="0">
      <formula>LEFT(B34,6)="ALERTE"</formula>
    </cfRule>
  </conditionalFormatting>
  <dataValidations count="1">
    <dataValidation sqref="D6" showDropDown="0" showInputMessage="0" showErrorMessage="0" allowBlank="0" errorTitle="Saisie" error="Choisir une valeur de la liste." type="list">
      <formula1>='PARAMÈTRES'!$G$5:$G$12</formula1>
    </dataValidation>
  </dataValidations>
  <printOptions horizontalCentered="1"/>
  <pageMargins left="0.4" right="0.4" top="0.5" bottom="0.5" header="0.5" footer="0.5"/>
  <pageSetup orientation="landscape" paperSize="9" fitToHeight="1" fitToWidth="1"/>
  <headerFooter>
    <oddHeader/>
    <oddFooter>&amp;L&amp;8 &amp;A&amp;C&amp;8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52" customWidth="1" min="2" max="2"/>
    <col width="18" customWidth="1" min="3" max="3"/>
    <col width="9" customWidth="1" min="4" max="4"/>
    <col width="46" customWidth="1" min="5" max="5"/>
    <col width="3" customWidth="1" min="6" max="6"/>
    <col width="4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20" t="inlineStr">
        <is>
          <t>PARAMÈTRES – toutes les données saisissables</t>
        </is>
      </c>
    </row>
    <row r="2">
      <c r="A2" s="3" t="inlineStr">
        <is>
          <t>Cellules JAUNES = saisie. Cellules bleu clair = valeurs calculées. Les gabarits prédéfinis utilisent la hauteur et la pente ci-dessous ; PERSONNALISÉ utilise sa propre ligne du tableau (col. G à K).</t>
        </is>
      </c>
    </row>
    <row r="4" ht="30" customHeight="1">
      <c r="B4" s="8" t="inlineStr">
        <is>
          <t>Paramètre</t>
        </is>
      </c>
      <c r="C4" s="8" t="inlineStr">
        <is>
          <t>Valeur</t>
        </is>
      </c>
      <c r="D4" s="8" t="inlineStr">
        <is>
          <t>Unité</t>
        </is>
      </c>
      <c r="E4" s="8" t="inlineStr">
        <is>
          <t>Plage conseillée / commentaire</t>
        </is>
      </c>
      <c r="G4" s="8" t="inlineStr">
        <is>
          <t>Gabarit</t>
        </is>
      </c>
      <c r="H4" s="8" t="inlineStr">
        <is>
          <t>Portée (m)</t>
        </is>
      </c>
      <c r="I4" s="8" t="inlineStr">
        <is>
          <t>Longueur (m)</t>
        </is>
      </c>
      <c r="J4" s="8" t="inlineStr">
        <is>
          <t>Hauteur (m)</t>
        </is>
      </c>
      <c r="K4" s="8" t="inlineStr">
        <is>
          <t>Pente</t>
        </is>
      </c>
    </row>
    <row r="5">
      <c r="B5" s="21" t="inlineStr">
        <is>
          <t>1. GABARIT ET GÉOMÉTRIE</t>
        </is>
      </c>
      <c r="C5" s="22" t="n"/>
      <c r="D5" s="22" t="n"/>
      <c r="E5" s="22" t="n"/>
      <c r="G5" s="16" t="inlineStr">
        <is>
          <t>10 × 30</t>
        </is>
      </c>
      <c r="H5" s="23" t="n">
        <v>10</v>
      </c>
      <c r="I5" s="23" t="n">
        <v>30</v>
      </c>
      <c r="J5" s="23">
        <f>$C$6</f>
        <v>6</v>
      </c>
      <c r="K5" s="24">
        <f>$C$7</f>
        <v>0.16</v>
      </c>
    </row>
    <row r="6">
      <c r="B6" s="9" t="inlineStr">
        <is>
          <t>Hauteur sous sablière (gabarits prédéfinis)</t>
        </is>
      </c>
      <c r="C6" s="25" t="n">
        <v>6</v>
      </c>
      <c r="D6" s="26" t="inlineStr">
        <is>
          <t>m</t>
        </is>
      </c>
      <c r="E6" s="27" t="inlineStr">
        <is>
          <t>4 à 12 m</t>
        </is>
      </c>
      <c r="G6" s="16" t="inlineStr">
        <is>
          <t>15 × 20</t>
        </is>
      </c>
      <c r="H6" s="23" t="n">
        <v>15</v>
      </c>
      <c r="I6" s="23" t="n">
        <v>20</v>
      </c>
      <c r="J6" s="23">
        <f>$C$6</f>
        <v>6</v>
      </c>
      <c r="K6" s="24">
        <f>$C$7</f>
        <v>0.16</v>
      </c>
    </row>
    <row r="7">
      <c r="B7" s="9" t="inlineStr">
        <is>
          <t>Pente de toiture (gabarits prédéfinis)</t>
        </is>
      </c>
      <c r="C7" s="28" t="n">
        <v>0.16</v>
      </c>
      <c r="D7" s="26" t="inlineStr">
        <is>
          <t>%</t>
        </is>
      </c>
      <c r="E7" s="27" t="inlineStr">
        <is>
          <t>10 à 20 % conseillé ; &lt; 5 % = alerte</t>
        </is>
      </c>
      <c r="G7" s="16" t="inlineStr">
        <is>
          <t>15 × 30</t>
        </is>
      </c>
      <c r="H7" s="23" t="n">
        <v>15</v>
      </c>
      <c r="I7" s="23" t="n">
        <v>30</v>
      </c>
      <c r="J7" s="23">
        <f>$C$6</f>
        <v>6</v>
      </c>
      <c r="K7" s="24">
        <f>$C$7</f>
        <v>0.16</v>
      </c>
    </row>
    <row r="8">
      <c r="B8" s="29" t="inlineStr">
        <is>
          <t>Gabarit actif (choisi en ACCUEIL)</t>
        </is>
      </c>
      <c r="C8" s="30" t="str">
        <f>'ACCUEIL'!$D$6</f>
        <v>20 × 40</v>
      </c>
      <c r="D8" s="26" t="inlineStr"/>
      <c r="E8" s="27" t="inlineStr"/>
      <c r="G8" s="16" t="inlineStr">
        <is>
          <t>20 × 20</t>
        </is>
      </c>
      <c r="H8" s="23" t="n">
        <v>20</v>
      </c>
      <c r="I8" s="23" t="n">
        <v>20</v>
      </c>
      <c r="J8" s="23">
        <f>$C$6</f>
        <v>6</v>
      </c>
      <c r="K8" s="24">
        <f>$C$7</f>
        <v>0.16</v>
      </c>
    </row>
    <row r="9">
      <c r="B9" s="29" t="inlineStr">
        <is>
          <t>Portée active</t>
        </is>
      </c>
      <c r="C9" s="31">
        <f>INDEX('PARAMÈTRES'!$H$5:$H$12,MATCH('ACCUEIL'!$D$6,'PARAMÈTRES'!$G$5:$G$12,0))</f>
        <v>20</v>
      </c>
      <c r="D9" s="26" t="inlineStr">
        <is>
          <t>m</t>
        </is>
      </c>
      <c r="E9" s="27" t="inlineStr">
        <is>
          <t>Valeur du gabarit actif</t>
        </is>
      </c>
      <c r="G9" s="16" t="inlineStr">
        <is>
          <t>20 × 40</t>
        </is>
      </c>
      <c r="H9" s="23" t="n">
        <v>20</v>
      </c>
      <c r="I9" s="23" t="n">
        <v>40</v>
      </c>
      <c r="J9" s="23">
        <f>$C$6</f>
        <v>6</v>
      </c>
      <c r="K9" s="24">
        <f>$C$7</f>
        <v>0.16</v>
      </c>
    </row>
    <row r="10">
      <c r="B10" s="29" t="inlineStr">
        <is>
          <t>Longueur active</t>
        </is>
      </c>
      <c r="C10" s="31">
        <f>INDEX('PARAMÈTRES'!$I$5:$I$12,MATCH('ACCUEIL'!$D$6,'PARAMÈTRES'!$G$5:$G$12,0))</f>
        <v>40</v>
      </c>
      <c r="D10" s="26" t="inlineStr">
        <is>
          <t>m</t>
        </is>
      </c>
      <c r="E10" s="27" t="inlineStr">
        <is>
          <t>Valeur du gabarit actif</t>
        </is>
      </c>
      <c r="G10" s="16" t="inlineStr">
        <is>
          <t>30 × 40</t>
        </is>
      </c>
      <c r="H10" s="23" t="n">
        <v>30</v>
      </c>
      <c r="I10" s="23" t="n">
        <v>40</v>
      </c>
      <c r="J10" s="23">
        <f>$C$6</f>
        <v>6</v>
      </c>
      <c r="K10" s="24">
        <f>$C$7</f>
        <v>0.16</v>
      </c>
    </row>
    <row r="11">
      <c r="B11" s="29" t="inlineStr">
        <is>
          <t>Hauteur sous sablière active</t>
        </is>
      </c>
      <c r="C11" s="31">
        <f>INDEX('PARAMÈTRES'!$J$5:$J$12,MATCH('ACCUEIL'!$D$6,'PARAMÈTRES'!$G$5:$G$12,0))</f>
        <v>6</v>
      </c>
      <c r="D11" s="26" t="inlineStr">
        <is>
          <t>m</t>
        </is>
      </c>
      <c r="E11" s="27" t="inlineStr">
        <is>
          <t>Valeur du gabarit actif</t>
        </is>
      </c>
      <c r="G11" s="16" t="inlineStr">
        <is>
          <t>40 × 40</t>
        </is>
      </c>
      <c r="H11" s="23" t="n">
        <v>40</v>
      </c>
      <c r="I11" s="23" t="n">
        <v>40</v>
      </c>
      <c r="J11" s="23">
        <f>$C$6</f>
        <v>6</v>
      </c>
      <c r="K11" s="24">
        <f>$C$7</f>
        <v>0.16</v>
      </c>
    </row>
    <row r="12">
      <c r="B12" s="29" t="inlineStr">
        <is>
          <t>Pente active</t>
        </is>
      </c>
      <c r="C12" s="32">
        <f>INDEX('PARAMÈTRES'!$K$5:$K$12,MATCH('ACCUEIL'!$D$6,'PARAMÈTRES'!$G$5:$G$12,0))</f>
        <v>0.16</v>
      </c>
      <c r="D12" s="26" t="inlineStr">
        <is>
          <t>%</t>
        </is>
      </c>
      <c r="E12" s="27" t="inlineStr">
        <is>
          <t>Valeur du gabarit actif</t>
        </is>
      </c>
      <c r="G12" s="16" t="inlineStr">
        <is>
          <t>PERSONNALISÉ</t>
        </is>
      </c>
      <c r="H12" s="33" t="n">
        <v>40</v>
      </c>
      <c r="I12" s="33" t="n">
        <v>48</v>
      </c>
      <c r="J12" s="33" t="n">
        <v>6</v>
      </c>
      <c r="K12" s="34" t="n">
        <v>0.16</v>
      </c>
    </row>
    <row r="13">
      <c r="G13" s="7" t="inlineStr">
        <is>
          <t>Ligne PERSONNALISÉ : saisir portée, longueur, hauteur et pente. Valeurs proposées = modèle de référence 40 × 48 m, H 6 m, pente 16 %.</t>
        </is>
      </c>
    </row>
    <row r="14">
      <c r="B14" s="21" t="inlineStr">
        <is>
          <t>2. CHARPENTE – TRAMES ET SYSTÈME</t>
        </is>
      </c>
      <c r="C14" s="22" t="n"/>
      <c r="D14" s="22" t="n"/>
      <c r="E14" s="22" t="n"/>
    </row>
    <row r="15">
      <c r="B15" s="9" t="inlineStr">
        <is>
          <t>Entraxe des portiques</t>
        </is>
      </c>
      <c r="C15" s="25" t="n">
        <v>6</v>
      </c>
      <c r="D15" s="26" t="inlineStr">
        <is>
          <t>m</t>
        </is>
      </c>
      <c r="E15" s="27" t="inlineStr">
        <is>
          <t>6 m par défaut</t>
        </is>
      </c>
    </row>
    <row r="16">
      <c r="B16" s="9" t="inlineStr">
        <is>
          <t>Entraxe des pannes</t>
        </is>
      </c>
      <c r="C16" s="25" t="n">
        <v>1.35</v>
      </c>
      <c r="D16" s="26" t="inlineStr">
        <is>
          <t>m</t>
        </is>
      </c>
      <c r="E16" s="27" t="inlineStr">
        <is>
          <t>1,20 à 1,50 m</t>
        </is>
      </c>
      <c r="G16" s="35" t="inlineStr">
        <is>
          <t>PLATINES ET PIÈCES PLATES (dimensions modifiables)</t>
        </is>
      </c>
    </row>
    <row r="17" ht="30" customHeight="1">
      <c r="B17" s="9" t="inlineStr">
        <is>
          <t>Entraxe des lisses de bardage</t>
        </is>
      </c>
      <c r="C17" s="25" t="n">
        <v>1.8</v>
      </c>
      <c r="D17" s="26" t="inlineStr">
        <is>
          <t>m</t>
        </is>
      </c>
      <c r="E17" s="27" t="inlineStr">
        <is>
          <t>1,50 à 2,00 m</t>
        </is>
      </c>
      <c r="G17" s="8" t="inlineStr">
        <is>
          <t>Pièce</t>
        </is>
      </c>
      <c r="H17" s="8" t="inlineStr">
        <is>
          <t>L (m)</t>
        </is>
      </c>
      <c r="I17" s="8" t="inlineStr">
        <is>
          <t>l (m)</t>
        </is>
      </c>
      <c r="J17" s="8" t="inlineStr">
        <is>
          <t>e (m)</t>
        </is>
      </c>
      <c r="K17" s="8" t="inlineStr">
        <is>
          <t>kg/u</t>
        </is>
      </c>
    </row>
    <row r="18">
      <c r="B18" s="9" t="inlineStr">
        <is>
          <t>Espacement des poteaux de pignon</t>
        </is>
      </c>
      <c r="C18" s="25" t="n">
        <v>6</v>
      </c>
      <c r="D18" s="26" t="inlineStr">
        <is>
          <t>m</t>
        </is>
      </c>
      <c r="E18" s="27" t="inlineStr">
        <is>
          <t>5 à 6 m</t>
        </is>
      </c>
      <c r="G18" s="9" t="inlineStr">
        <is>
          <t>Platine de pied – poteau de portique</t>
        </is>
      </c>
      <c r="H18" s="36" t="n">
        <v>0.45</v>
      </c>
      <c r="I18" s="36" t="n">
        <v>0.35</v>
      </c>
      <c r="J18" s="36" t="n">
        <v>0.02</v>
      </c>
      <c r="K18" s="37">
        <f>H18*I18*J18*'PARAMÈTRES'!$C$57</f>
        <v>24.7275</v>
      </c>
    </row>
    <row r="19">
      <c r="B19" s="9" t="inlineStr">
        <is>
          <t>Débord des pannes aux pignons</t>
        </is>
      </c>
      <c r="C19" s="25" t="n">
        <v>0.3</v>
      </c>
      <c r="D19" s="26" t="inlineStr">
        <is>
          <t>m</t>
        </is>
      </c>
      <c r="E19" s="27" t="inlineStr"/>
      <c r="G19" s="9" t="inlineStr">
        <is>
          <t>Platine de pied – poteau de pignon</t>
        </is>
      </c>
      <c r="H19" s="36" t="n">
        <v>0.3</v>
      </c>
      <c r="I19" s="36" t="n">
        <v>0.25</v>
      </c>
      <c r="J19" s="36" t="n">
        <v>0.015</v>
      </c>
      <c r="K19" s="37">
        <f>H19*I19*J19*'PARAMÈTRES'!$C$57</f>
        <v>8.83125</v>
      </c>
    </row>
    <row r="20">
      <c r="B20" s="9" t="inlineStr">
        <is>
          <t>Système pour portée de 20 à 30 m</t>
        </is>
      </c>
      <c r="C20" s="38" t="inlineStr">
        <is>
          <t>IPE renforcé</t>
        </is>
      </c>
      <c r="D20" s="26" t="inlineStr"/>
      <c r="E20" s="27" t="inlineStr">
        <is>
          <t>IPE renforcé ou Ferme treillis</t>
        </is>
      </c>
      <c r="G20" s="9" t="inlineStr">
        <is>
          <t>Platine de tête de poteau / about de jarret</t>
        </is>
      </c>
      <c r="H20" s="36" t="n">
        <v>0.55</v>
      </c>
      <c r="I20" s="36" t="n">
        <v>0.25</v>
      </c>
      <c r="J20" s="36" t="n">
        <v>0.02</v>
      </c>
      <c r="K20" s="37">
        <f>H20*I20*J20*'PARAMÈTRES'!$C$57</f>
        <v>21.5875</v>
      </c>
    </row>
    <row r="21">
      <c r="B21" s="9" t="inlineStr">
        <is>
          <t>File de poteaux intermédiaires (file centrale)</t>
        </is>
      </c>
      <c r="C21" s="38" t="inlineStr">
        <is>
          <t>Non</t>
        </is>
      </c>
      <c r="D21" s="26" t="inlineStr"/>
      <c r="E21" s="27" t="inlineStr">
        <is>
          <t>Conseillé au-delà de 30 m</t>
        </is>
      </c>
      <c r="G21" s="9" t="inlineStr">
        <is>
          <t>Platine de tête – poteau de pignon</t>
        </is>
      </c>
      <c r="H21" s="36" t="n">
        <v>0.25</v>
      </c>
      <c r="I21" s="36" t="n">
        <v>0.2</v>
      </c>
      <c r="J21" s="36" t="n">
        <v>0.012</v>
      </c>
      <c r="K21" s="37">
        <f>H21*I21*J21*'PARAMÈTRES'!$C$57</f>
        <v>4.71</v>
      </c>
    </row>
    <row r="22">
      <c r="B22" s="9" t="inlineStr">
        <is>
          <t>Hauteur de ferme aux appuis = portée / …</t>
        </is>
      </c>
      <c r="C22" s="39" t="n">
        <v>30</v>
      </c>
      <c r="D22" s="26" t="inlineStr"/>
      <c r="E22" s="27" t="inlineStr">
        <is>
          <t>25 à 35</t>
        </is>
      </c>
      <c r="G22" s="9" t="inlineStr">
        <is>
          <t>Éclisse de faîtage (une plaque)</t>
        </is>
      </c>
      <c r="H22" s="36" t="n">
        <v>0.5</v>
      </c>
      <c r="I22" s="36" t="n">
        <v>0.25</v>
      </c>
      <c r="J22" s="36" t="n">
        <v>0.015</v>
      </c>
      <c r="K22" s="37">
        <f>H22*I22*J22*'PARAMÈTRES'!$C$57</f>
        <v>14.71875</v>
      </c>
    </row>
    <row r="23">
      <c r="B23" s="9" t="inlineStr">
        <is>
          <t>Pas des nœuds du treillis</t>
        </is>
      </c>
      <c r="C23" s="25" t="n">
        <v>2</v>
      </c>
      <c r="D23" s="26" t="inlineStr">
        <is>
          <t>m</t>
        </is>
      </c>
      <c r="E23" s="27" t="inlineStr">
        <is>
          <t>1,5 à 2,5 m</t>
        </is>
      </c>
      <c r="G23" s="9" t="inlineStr">
        <is>
          <t>Gousset de nœud de treillis</t>
        </is>
      </c>
      <c r="H23" s="36" t="n">
        <v>0.3</v>
      </c>
      <c r="I23" s="36" t="n">
        <v>0.3</v>
      </c>
      <c r="J23" s="36" t="n">
        <v>0.01</v>
      </c>
      <c r="K23" s="37">
        <f>H23*I23*J23*'PARAMÈTRES'!$C$57</f>
        <v>7.065</v>
      </c>
    </row>
    <row r="24">
      <c r="B24" s="9" t="inlineStr">
        <is>
          <t>Longueur de jarret (en % de la portée)</t>
        </is>
      </c>
      <c r="C24" s="28" t="n">
        <v>0.1</v>
      </c>
      <c r="D24" s="26" t="inlineStr">
        <is>
          <t>%</t>
        </is>
      </c>
      <c r="E24" s="27" t="inlineStr">
        <is>
          <t>8 à 12 %</t>
        </is>
      </c>
    </row>
    <row r="25">
      <c r="B25" s="9" t="inlineStr">
        <is>
          <t>Nombre de cornières accolées par membrure</t>
        </is>
      </c>
      <c r="C25" s="39" t="n">
        <v>2</v>
      </c>
      <c r="D25" s="26" t="inlineStr">
        <is>
          <t>u</t>
        </is>
      </c>
      <c r="E25" s="27" t="inlineStr">
        <is>
          <t>2 cornières dos à dos</t>
        </is>
      </c>
    </row>
    <row r="27">
      <c r="B27" s="21" t="inlineStr">
        <is>
          <t>3. OUVERTURES – SKYDOMES</t>
        </is>
      </c>
      <c r="C27" s="22" t="n"/>
      <c r="D27" s="22" t="n"/>
      <c r="E27" s="22" t="n"/>
    </row>
    <row r="28">
      <c r="B28" s="9" t="inlineStr">
        <is>
          <t>Portes coulissantes : nombre</t>
        </is>
      </c>
      <c r="C28" s="39" t="n">
        <v>1</v>
      </c>
      <c r="D28" s="26" t="inlineStr">
        <is>
          <t>u</t>
        </is>
      </c>
      <c r="E28" s="27" t="inlineStr"/>
    </row>
    <row r="29">
      <c r="B29" s="9" t="inlineStr">
        <is>
          <t>Portes coulissantes : largeur</t>
        </is>
      </c>
      <c r="C29" s="25" t="n">
        <v>4</v>
      </c>
      <c r="D29" s="26" t="inlineStr">
        <is>
          <t>m</t>
        </is>
      </c>
      <c r="E29" s="27" t="inlineStr"/>
    </row>
    <row r="30">
      <c r="B30" s="9" t="inlineStr">
        <is>
          <t>Portes coulissantes : hauteur</t>
        </is>
      </c>
      <c r="C30" s="25" t="n">
        <v>4.5</v>
      </c>
      <c r="D30" s="26" t="inlineStr">
        <is>
          <t>m</t>
        </is>
      </c>
      <c r="E30" s="27" t="inlineStr"/>
    </row>
    <row r="31">
      <c r="B31" s="9" t="inlineStr">
        <is>
          <t>Portes coulissantes : emplacement</t>
        </is>
      </c>
      <c r="C31" s="38" t="inlineStr">
        <is>
          <t>Pignon</t>
        </is>
      </c>
      <c r="D31" s="26" t="inlineStr"/>
      <c r="E31" s="27" t="inlineStr">
        <is>
          <t>Long-pan ou Pignon</t>
        </is>
      </c>
    </row>
    <row r="32">
      <c r="B32" s="9" t="inlineStr">
        <is>
          <t>Portillons : nombre</t>
        </is>
      </c>
      <c r="C32" s="39" t="n">
        <v>1</v>
      </c>
      <c r="D32" s="26" t="inlineStr">
        <is>
          <t>u</t>
        </is>
      </c>
      <c r="E32" s="27" t="inlineStr">
        <is>
          <t>Modèle de référence : portillon de 5,50 m en long-pan</t>
        </is>
      </c>
    </row>
    <row r="33">
      <c r="B33" s="9" t="inlineStr">
        <is>
          <t>Portillons : largeur</t>
        </is>
      </c>
      <c r="C33" s="25" t="n">
        <v>5.5</v>
      </c>
      <c r="D33" s="26" t="inlineStr">
        <is>
          <t>m</t>
        </is>
      </c>
      <c r="E33" s="27" t="inlineStr"/>
    </row>
    <row r="34">
      <c r="B34" s="9" t="inlineStr">
        <is>
          <t>Portillons : hauteur</t>
        </is>
      </c>
      <c r="C34" s="25" t="n">
        <v>4</v>
      </c>
      <c r="D34" s="26" t="inlineStr">
        <is>
          <t>m</t>
        </is>
      </c>
      <c r="E34" s="27" t="inlineStr"/>
    </row>
    <row r="35">
      <c r="B35" s="9" t="inlineStr">
        <is>
          <t>Portillons : emplacement</t>
        </is>
      </c>
      <c r="C35" s="38" t="inlineStr">
        <is>
          <t>Long-pan</t>
        </is>
      </c>
      <c r="D35" s="26" t="inlineStr"/>
      <c r="E35" s="27" t="inlineStr">
        <is>
          <t>Long-pan ou Pignon</t>
        </is>
      </c>
    </row>
    <row r="36">
      <c r="B36" s="9" t="inlineStr">
        <is>
          <t>Débord du larmier de porte coulissante</t>
        </is>
      </c>
      <c r="C36" s="25" t="n">
        <v>0.2</v>
      </c>
      <c r="D36" s="26" t="inlineStr">
        <is>
          <t>m</t>
        </is>
      </c>
      <c r="E36" s="27" t="inlineStr">
        <is>
          <t>ml = largeur + 0,20 m</t>
        </is>
      </c>
    </row>
    <row r="37">
      <c r="B37" s="9" t="inlineStr">
        <is>
          <t>Nombre de skydomes</t>
        </is>
      </c>
      <c r="C37" s="39" t="n">
        <v>4</v>
      </c>
      <c r="D37" s="26" t="inlineStr">
        <is>
          <t>u</t>
        </is>
      </c>
      <c r="E37" s="27" t="inlineStr"/>
    </row>
    <row r="38">
      <c r="B38" s="9" t="inlineStr">
        <is>
          <t>Skydome : longueur</t>
        </is>
      </c>
      <c r="C38" s="25" t="n">
        <v>1.2</v>
      </c>
      <c r="D38" s="26" t="inlineStr">
        <is>
          <t>m</t>
        </is>
      </c>
      <c r="E38" s="27" t="inlineStr"/>
    </row>
    <row r="39">
      <c r="B39" s="9" t="inlineStr">
        <is>
          <t>Skydome : largeur</t>
        </is>
      </c>
      <c r="C39" s="25" t="n">
        <v>1.2</v>
      </c>
      <c r="D39" s="26" t="inlineStr">
        <is>
          <t>m</t>
        </is>
      </c>
      <c r="E39" s="27" t="inlineStr"/>
    </row>
    <row r="41">
      <c r="B41" s="21" t="inlineStr">
        <is>
          <t>4. COUVERTURE – BARDAGE – FAÇADE</t>
        </is>
      </c>
      <c r="C41" s="22" t="n"/>
      <c r="D41" s="22" t="n"/>
      <c r="E41" s="22" t="n"/>
    </row>
    <row r="42">
      <c r="B42" s="9" t="inlineStr">
        <is>
          <t>Présence d'acrotère</t>
        </is>
      </c>
      <c r="C42" s="38" t="inlineStr">
        <is>
          <t>Non</t>
        </is>
      </c>
      <c r="D42" s="26" t="inlineStr"/>
      <c r="E42" s="27" t="inlineStr">
        <is>
          <t>Oui / Non</t>
        </is>
      </c>
    </row>
    <row r="43">
      <c r="B43" s="9" t="inlineStr">
        <is>
          <t>Hauteur d'acrotère</t>
        </is>
      </c>
      <c r="C43" s="25" t="n">
        <v>1</v>
      </c>
      <c r="D43" s="26" t="inlineStr">
        <is>
          <t>m</t>
        </is>
      </c>
      <c r="E43" s="27" t="inlineStr"/>
    </row>
    <row r="44">
      <c r="B44" s="9" t="inlineStr">
        <is>
          <t>Espacement des baïonnettes d'acrotère</t>
        </is>
      </c>
      <c r="C44" s="25" t="n">
        <v>1.25</v>
      </c>
      <c r="D44" s="26" t="inlineStr">
        <is>
          <t>m</t>
        </is>
      </c>
      <c r="E44" s="27" t="inlineStr">
        <is>
          <t>1,0 à 1,5 m</t>
        </is>
      </c>
    </row>
    <row r="45">
      <c r="B45" s="9" t="inlineStr">
        <is>
          <t>Translucides (% de la surface de couverture)</t>
        </is>
      </c>
      <c r="C45" s="28" t="n">
        <v>0.1</v>
      </c>
      <c r="D45" s="26" t="inlineStr">
        <is>
          <t>%</t>
        </is>
      </c>
      <c r="E45" s="27" t="inlineStr">
        <is>
          <t>10 % par défaut</t>
        </is>
      </c>
    </row>
    <row r="46">
      <c r="B46" s="9" t="inlineStr">
        <is>
          <t>Recouvrements des tôles (majoration)</t>
        </is>
      </c>
      <c r="C46" s="28" t="n">
        <v>0.1</v>
      </c>
      <c r="D46" s="26" t="inlineStr">
        <is>
          <t>%</t>
        </is>
      </c>
      <c r="E46" s="27" t="inlineStr">
        <is>
          <t>8 à 12 %</t>
        </is>
      </c>
    </row>
    <row r="47">
      <c r="B47" s="9" t="inlineStr">
        <is>
          <t>Épaisseur des tôles (bac acier)</t>
        </is>
      </c>
      <c r="C47" s="25" t="n">
        <v>0.45</v>
      </c>
      <c r="D47" s="26" t="inlineStr">
        <is>
          <t>mm</t>
        </is>
      </c>
      <c r="E47" s="27" t="inlineStr">
        <is>
          <t>0,40 à 0,50 mm mini (climat tropical humide)</t>
        </is>
      </c>
    </row>
    <row r="48">
      <c r="B48" s="9" t="inlineStr">
        <is>
          <t>Surface de toiture par descente EP</t>
        </is>
      </c>
      <c r="C48" s="25" t="n">
        <v>180</v>
      </c>
      <c r="D48" s="26" t="inlineStr">
        <is>
          <t>m²</t>
        </is>
      </c>
      <c r="E48" s="27" t="inlineStr">
        <is>
          <t>150 à 200 m²</t>
        </is>
      </c>
    </row>
    <row r="49">
      <c r="B49" s="9" t="inlineStr">
        <is>
          <t>Vis autoforeuses par m² de tôle</t>
        </is>
      </c>
      <c r="C49" s="39" t="n">
        <v>6</v>
      </c>
      <c r="D49" s="26" t="inlineStr">
        <is>
          <t>u/m²</t>
        </is>
      </c>
      <c r="E49" s="27" t="inlineStr">
        <is>
          <t>environ 6 /m²</t>
        </is>
      </c>
    </row>
    <row r="50">
      <c r="B50" s="9" t="inlineStr">
        <is>
          <t>Rivets par ml de chéneau</t>
        </is>
      </c>
      <c r="C50" s="39" t="n">
        <v>5</v>
      </c>
      <c r="D50" s="26" t="inlineStr">
        <is>
          <t>u/ml</t>
        </is>
      </c>
      <c r="E50" s="27" t="inlineStr"/>
    </row>
    <row r="51">
      <c r="B51" s="9" t="inlineStr">
        <is>
          <t>Type de façade</t>
        </is>
      </c>
      <c r="C51" s="38" t="inlineStr">
        <is>
          <t>Bardage bac acier</t>
        </is>
      </c>
      <c r="D51" s="26" t="inlineStr"/>
      <c r="E51" s="27" t="inlineStr">
        <is>
          <t>Bardage / Agglos 15 creux / Mixte</t>
        </is>
      </c>
    </row>
    <row r="52">
      <c r="B52" s="9" t="inlineStr">
        <is>
          <t>Hauteur du soubassement en agglos (variante Mixte)</t>
        </is>
      </c>
      <c r="C52" s="25" t="n">
        <v>1.5</v>
      </c>
      <c r="D52" s="26" t="inlineStr">
        <is>
          <t>m</t>
        </is>
      </c>
      <c r="E52" s="27" t="inlineStr"/>
    </row>
    <row r="54">
      <c r="B54" s="21" t="inlineStr">
        <is>
          <t>5. ACIER – ASSEMBLAGES – PROTECTION ANTICORROSION</t>
        </is>
      </c>
      <c r="C54" s="22" t="n"/>
      <c r="D54" s="22" t="n"/>
      <c r="E54" s="22" t="n"/>
    </row>
    <row r="55">
      <c r="B55" s="9" t="inlineStr">
        <is>
          <t>Chutes sur profilés</t>
        </is>
      </c>
      <c r="C55" s="28" t="n">
        <v>0.05</v>
      </c>
      <c r="D55" s="26" t="inlineStr">
        <is>
          <t>%</t>
        </is>
      </c>
      <c r="E55" s="27" t="inlineStr">
        <is>
          <t>5 % par défaut</t>
        </is>
      </c>
    </row>
    <row r="56">
      <c r="B56" s="9" t="inlineStr">
        <is>
          <t>Boulonnerie : minimum en % du tonnage</t>
        </is>
      </c>
      <c r="C56" s="28" t="n">
        <v>0.02</v>
      </c>
      <c r="D56" s="26" t="inlineStr">
        <is>
          <t>%</t>
        </is>
      </c>
      <c r="E56" s="27" t="inlineStr">
        <is>
          <t>On retient le maximum entre détail et %</t>
        </is>
      </c>
    </row>
    <row r="57">
      <c r="B57" s="9" t="inlineStr">
        <is>
          <t>Masse volumique de l'acier</t>
        </is>
      </c>
      <c r="C57" s="39" t="n">
        <v>7850</v>
      </c>
      <c r="D57" s="26" t="inlineStr">
        <is>
          <t>kg/m³</t>
        </is>
      </c>
      <c r="E57" s="27" t="inlineStr"/>
    </row>
    <row r="58">
      <c r="B58" s="9" t="inlineStr">
        <is>
          <t>Longueur commerciale des barres et profilés</t>
        </is>
      </c>
      <c r="C58" s="25" t="n">
        <v>12</v>
      </c>
      <c r="D58" s="26" t="inlineStr">
        <is>
          <t>m</t>
        </is>
      </c>
      <c r="E58" s="27" t="inlineStr"/>
    </row>
    <row r="59">
      <c r="B59" s="9" t="inlineStr">
        <is>
          <t>Protection anticorrosion</t>
        </is>
      </c>
      <c r="C59" s="38" t="inlineStr">
        <is>
          <t>Galvanisation à chaud</t>
        </is>
      </c>
      <c r="D59" s="26" t="inlineStr"/>
      <c r="E59" s="27" t="inlineStr">
        <is>
          <t>Climat tropical humide : protection obligatoire</t>
        </is>
      </c>
    </row>
    <row r="60">
      <c r="B60" s="9" t="inlineStr">
        <is>
          <t>Surface à peindre par tonne d'acier</t>
        </is>
      </c>
      <c r="C60" s="25" t="n">
        <v>25</v>
      </c>
      <c r="D60" s="26" t="inlineStr">
        <is>
          <t>m²/t</t>
        </is>
      </c>
      <c r="E60" s="27" t="inlineStr">
        <is>
          <t>20 à 30 m²/t</t>
        </is>
      </c>
    </row>
    <row r="61">
      <c r="B61" s="9" t="inlineStr">
        <is>
          <t>Poids d'une échantignole (taquet de panne)</t>
        </is>
      </c>
      <c r="C61" s="25" t="n">
        <v>1.8</v>
      </c>
      <c r="D61" s="26" t="inlineStr">
        <is>
          <t>kg/u</t>
        </is>
      </c>
      <c r="E61" s="27" t="inlineStr"/>
    </row>
    <row r="62">
      <c r="B62" s="9" t="inlineStr">
        <is>
          <t>Poids d'une éclisse de panne</t>
        </is>
      </c>
      <c r="C62" s="25" t="n">
        <v>2.5</v>
      </c>
      <c r="D62" s="26" t="inlineStr">
        <is>
          <t>kg/u</t>
        </is>
      </c>
      <c r="E62" s="27" t="inlineStr"/>
    </row>
    <row r="63">
      <c r="B63" s="9" t="inlineStr">
        <is>
          <t>Boulons HR M20 par assemblage poteau-traverse</t>
        </is>
      </c>
      <c r="C63" s="39" t="n">
        <v>8</v>
      </c>
      <c r="D63" s="26" t="inlineStr">
        <is>
          <t>u</t>
        </is>
      </c>
      <c r="E63" s="27" t="inlineStr"/>
    </row>
    <row r="64">
      <c r="B64" s="9" t="inlineStr">
        <is>
          <t>Boulons HR M20 par faîtage</t>
        </is>
      </c>
      <c r="C64" s="39" t="n">
        <v>8</v>
      </c>
      <c r="D64" s="26" t="inlineStr">
        <is>
          <t>u</t>
        </is>
      </c>
      <c r="E64" s="27" t="inlineStr"/>
    </row>
    <row r="65">
      <c r="B65" s="9" t="inlineStr">
        <is>
          <t>Boulons M12 par échantignole</t>
        </is>
      </c>
      <c r="C65" s="39" t="n">
        <v>2</v>
      </c>
      <c r="D65" s="26" t="inlineStr">
        <is>
          <t>u</t>
        </is>
      </c>
      <c r="E65" s="27" t="inlineStr"/>
    </row>
    <row r="66">
      <c r="B66" s="9" t="inlineStr">
        <is>
          <t>Boulons HR M16 par extrémité de diagonale</t>
        </is>
      </c>
      <c r="C66" s="39" t="n">
        <v>2</v>
      </c>
      <c r="D66" s="26" t="inlineStr">
        <is>
          <t>u</t>
        </is>
      </c>
      <c r="E66" s="27" t="inlineStr"/>
    </row>
    <row r="67">
      <c r="B67" s="9" t="inlineStr">
        <is>
          <t>Boulons M12 par attache de lisse</t>
        </is>
      </c>
      <c r="C67" s="39" t="n">
        <v>2</v>
      </c>
      <c r="D67" s="26" t="inlineStr">
        <is>
          <t>u</t>
        </is>
      </c>
      <c r="E67" s="27" t="inlineStr"/>
    </row>
    <row r="68">
      <c r="B68" s="9" t="inlineStr">
        <is>
          <t>Boulons M12 par éclisse de panne</t>
        </is>
      </c>
      <c r="C68" s="39" t="n">
        <v>4</v>
      </c>
      <c r="D68" s="26" t="inlineStr">
        <is>
          <t>u</t>
        </is>
      </c>
      <c r="E68" s="27" t="inlineStr"/>
    </row>
    <row r="69">
      <c r="B69" s="9" t="inlineStr">
        <is>
          <t>Poids boulon HR M20 (écrou + rondelles)</t>
        </is>
      </c>
      <c r="C69" s="25" t="n">
        <v>0.45</v>
      </c>
      <c r="D69" s="26" t="inlineStr">
        <is>
          <t>kg/u</t>
        </is>
      </c>
      <c r="E69" s="27" t="inlineStr"/>
    </row>
    <row r="70">
      <c r="B70" s="9" t="inlineStr">
        <is>
          <t>Poids boulon HR M16 (écrou + rondelles)</t>
        </is>
      </c>
      <c r="C70" s="25" t="n">
        <v>0.25</v>
      </c>
      <c r="D70" s="26" t="inlineStr">
        <is>
          <t>kg/u</t>
        </is>
      </c>
      <c r="E70" s="27" t="inlineStr"/>
    </row>
    <row r="71">
      <c r="B71" s="9" t="inlineStr">
        <is>
          <t>Poids boulon ordinaire M12 (écrou + rondelle)</t>
        </is>
      </c>
      <c r="C71" s="25" t="n">
        <v>0.1</v>
      </c>
      <c r="D71" s="26" t="inlineStr">
        <is>
          <t>kg/u</t>
        </is>
      </c>
      <c r="E71" s="27" t="inlineStr"/>
    </row>
    <row r="72">
      <c r="B72" s="9" t="inlineStr">
        <is>
          <t>Tiges d'ancrage poteaux de portique : diamètre</t>
        </is>
      </c>
      <c r="C72" s="38" t="inlineStr">
        <is>
          <t>Rond 24</t>
        </is>
      </c>
      <c r="D72" s="26" t="inlineStr"/>
      <c r="E72" s="27" t="inlineStr"/>
    </row>
    <row r="73">
      <c r="B73" s="9" t="inlineStr">
        <is>
          <t>Tiges d'ancrage poteaux de portique : longueur</t>
        </is>
      </c>
      <c r="C73" s="25" t="n">
        <v>0.6</v>
      </c>
      <c r="D73" s="26" t="inlineStr">
        <is>
          <t>m</t>
        </is>
      </c>
      <c r="E73" s="27" t="inlineStr"/>
    </row>
    <row r="74">
      <c r="B74" s="9" t="inlineStr">
        <is>
          <t>Tiges d'ancrage par poteau de portique</t>
        </is>
      </c>
      <c r="C74" s="39" t="n">
        <v>4</v>
      </c>
      <c r="D74" s="26" t="inlineStr">
        <is>
          <t>u</t>
        </is>
      </c>
      <c r="E74" s="27" t="inlineStr"/>
    </row>
    <row r="75">
      <c r="B75" s="9" t="inlineStr">
        <is>
          <t>Tiges d'ancrage poteaux de pignon : diamètre</t>
        </is>
      </c>
      <c r="C75" s="38" t="inlineStr">
        <is>
          <t>Rond 20</t>
        </is>
      </c>
      <c r="D75" s="26" t="inlineStr"/>
      <c r="E75" s="27" t="inlineStr"/>
    </row>
    <row r="76">
      <c r="B76" s="9" t="inlineStr">
        <is>
          <t>Tiges d'ancrage poteaux de pignon : longueur</t>
        </is>
      </c>
      <c r="C76" s="25" t="n">
        <v>0.5</v>
      </c>
      <c r="D76" s="26" t="inlineStr">
        <is>
          <t>m</t>
        </is>
      </c>
      <c r="E76" s="27" t="inlineStr"/>
    </row>
    <row r="77">
      <c r="B77" s="9" t="inlineStr">
        <is>
          <t>Tiges d'ancrage par poteau de pignon</t>
        </is>
      </c>
      <c r="C77" s="39" t="n">
        <v>2</v>
      </c>
      <c r="D77" s="26" t="inlineStr">
        <is>
          <t>u</t>
        </is>
      </c>
      <c r="E77" s="27" t="inlineStr"/>
    </row>
    <row r="79">
      <c r="B79" s="21" t="inlineStr">
        <is>
          <t>6. GROS ŒUVRE – TERRASSEMENTS ET FONDATIONS</t>
        </is>
      </c>
      <c r="C79" s="22" t="n"/>
      <c r="D79" s="22" t="n"/>
      <c r="E79" s="22" t="n"/>
    </row>
    <row r="80">
      <c r="B80" s="9" t="inlineStr">
        <is>
          <t>Épaisseur de décapage</t>
        </is>
      </c>
      <c r="C80" s="25" t="n">
        <v>0.2</v>
      </c>
      <c r="D80" s="26" t="inlineStr">
        <is>
          <t>m</t>
        </is>
      </c>
      <c r="E80" s="27" t="inlineStr"/>
    </row>
    <row r="81">
      <c r="B81" s="9" t="inlineStr">
        <is>
          <t>Débord de décapage autour de l'emprise</t>
        </is>
      </c>
      <c r="C81" s="25" t="n">
        <v>1</v>
      </c>
      <c r="D81" s="26" t="inlineStr">
        <is>
          <t>m</t>
        </is>
      </c>
      <c r="E81" s="27" t="inlineStr"/>
    </row>
    <row r="82">
      <c r="B82" s="9" t="inlineStr">
        <is>
          <t>Surlargeur de fouille (de chaque côté)</t>
        </is>
      </c>
      <c r="C82" s="25" t="n">
        <v>0.1</v>
      </c>
      <c r="D82" s="26" t="inlineStr">
        <is>
          <t>m</t>
        </is>
      </c>
      <c r="E82" s="27" t="inlineStr"/>
    </row>
    <row r="83">
      <c r="B83" s="9" t="inlineStr">
        <is>
          <t>Profondeur de fondation</t>
        </is>
      </c>
      <c r="C83" s="25" t="n">
        <v>1.2</v>
      </c>
      <c r="D83" s="26" t="inlineStr">
        <is>
          <t>m</t>
        </is>
      </c>
      <c r="E83" s="27" t="inlineStr">
        <is>
          <t>1,20 m (sol latéritique)</t>
        </is>
      </c>
    </row>
    <row r="84">
      <c r="B84" s="9" t="inlineStr">
        <is>
          <t>Coefficient de foisonnement</t>
        </is>
      </c>
      <c r="C84" s="25" t="n">
        <v>1.25</v>
      </c>
      <c r="D84" s="26" t="inlineStr"/>
      <c r="E84" s="27" t="inlineStr">
        <is>
          <t>1,25</t>
        </is>
      </c>
    </row>
    <row r="85">
      <c r="B85" s="9" t="inlineStr">
        <is>
          <t>Épaisseur des murs (agglos de 15)</t>
        </is>
      </c>
      <c r="C85" s="25" t="n">
        <v>0.15</v>
      </c>
      <c r="D85" s="26" t="inlineStr">
        <is>
          <t>m</t>
        </is>
      </c>
      <c r="E85" s="27" t="inlineStr"/>
    </row>
    <row r="86">
      <c r="B86" s="9" t="inlineStr">
        <is>
          <t>Épaisseur du remblai compacté (latérite 95 % OPM)</t>
        </is>
      </c>
      <c r="C86" s="38" t="inlineStr">
        <is>
          <t>20 cm</t>
        </is>
      </c>
      <c r="D86" s="26" t="inlineStr"/>
      <c r="E86" s="27" t="inlineStr">
        <is>
          <t>20 cm / 40 cm</t>
        </is>
      </c>
    </row>
    <row r="87">
      <c r="B87" s="9" t="inlineStr">
        <is>
          <t>Lit de sable de réglage sous dallage</t>
        </is>
      </c>
      <c r="C87" s="25" t="n">
        <v>0.05</v>
      </c>
      <c r="D87" s="26" t="inlineStr">
        <is>
          <t>m</t>
        </is>
      </c>
      <c r="E87" s="27" t="inlineStr">
        <is>
          <t>5 cm</t>
        </is>
      </c>
    </row>
    <row r="88">
      <c r="B88" s="9" t="inlineStr">
        <is>
          <t>Béton de propreté</t>
        </is>
      </c>
      <c r="C88" s="25" t="n">
        <v>0.05</v>
      </c>
      <c r="D88" s="26" t="inlineStr">
        <is>
          <t>m</t>
        </is>
      </c>
      <c r="E88" s="27" t="inlineStr">
        <is>
          <t>5 cm</t>
        </is>
      </c>
    </row>
    <row r="89">
      <c r="B89" s="9" t="inlineStr">
        <is>
          <t>Semelle isolée poteau de portique : côté</t>
        </is>
      </c>
      <c r="C89" s="25" t="n">
        <v>1.2</v>
      </c>
      <c r="D89" s="26" t="inlineStr">
        <is>
          <t>m</t>
        </is>
      </c>
      <c r="E89" s="27" t="inlineStr">
        <is>
          <t>120 × 120 cm</t>
        </is>
      </c>
    </row>
    <row r="90">
      <c r="B90" s="9" t="inlineStr">
        <is>
          <t>Semelle isolée poteau de portique : hauteur</t>
        </is>
      </c>
      <c r="C90" s="25" t="n">
        <v>0.4</v>
      </c>
      <c r="D90" s="26" t="inlineStr">
        <is>
          <t>m</t>
        </is>
      </c>
      <c r="E90" s="27" t="inlineStr"/>
    </row>
    <row r="91">
      <c r="B91" s="9" t="inlineStr">
        <is>
          <t>Fût poteau de portique : côté</t>
        </is>
      </c>
      <c r="C91" s="25" t="n">
        <v>0.4</v>
      </c>
      <c r="D91" s="26" t="inlineStr">
        <is>
          <t>m</t>
        </is>
      </c>
      <c r="E91" s="27" t="inlineStr">
        <is>
          <t>40 × 40 cm</t>
        </is>
      </c>
    </row>
    <row r="92">
      <c r="B92" s="9" t="inlineStr">
        <is>
          <t>Semelle isolée poteau de pignon : côté</t>
        </is>
      </c>
      <c r="C92" s="25" t="n">
        <v>0.8</v>
      </c>
      <c r="D92" s="26" t="inlineStr">
        <is>
          <t>m</t>
        </is>
      </c>
      <c r="E92" s="27" t="inlineStr">
        <is>
          <t>80 × 80 cm</t>
        </is>
      </c>
    </row>
    <row r="93">
      <c r="B93" s="9" t="inlineStr">
        <is>
          <t>Semelle isolée poteau de pignon : hauteur</t>
        </is>
      </c>
      <c r="C93" s="25" t="n">
        <v>0.3</v>
      </c>
      <c r="D93" s="26" t="inlineStr">
        <is>
          <t>m</t>
        </is>
      </c>
      <c r="E93" s="27" t="inlineStr"/>
    </row>
    <row r="94">
      <c r="B94" s="9" t="inlineStr">
        <is>
          <t>Fût poteau de pignon : côté</t>
        </is>
      </c>
      <c r="C94" s="25" t="n">
        <v>0.3</v>
      </c>
      <c r="D94" s="26" t="inlineStr">
        <is>
          <t>m</t>
        </is>
      </c>
      <c r="E94" s="27" t="inlineStr">
        <is>
          <t>30 × 30 cm</t>
        </is>
      </c>
    </row>
    <row r="95">
      <c r="B95" s="9" t="inlineStr">
        <is>
          <t>Hauteur des fûts (amorces) jusqu'au dallage</t>
        </is>
      </c>
      <c r="C95" s="25" t="n">
        <v>1.2</v>
      </c>
      <c r="D95" s="26" t="inlineStr">
        <is>
          <t>m</t>
        </is>
      </c>
      <c r="E95" s="27" t="inlineStr">
        <is>
          <t>1,20 m</t>
        </is>
      </c>
    </row>
    <row r="96">
      <c r="B96" s="9" t="inlineStr">
        <is>
          <t>Maille du quadrillage des semelles isolées</t>
        </is>
      </c>
      <c r="C96" s="25" t="n">
        <v>0.15</v>
      </c>
      <c r="D96" s="26" t="inlineStr">
        <is>
          <t>m</t>
        </is>
      </c>
      <c r="E96" s="27" t="inlineStr"/>
    </row>
    <row r="97">
      <c r="B97" s="9" t="inlineStr">
        <is>
          <t>Quadrillage inférieur des semelles : acier</t>
        </is>
      </c>
      <c r="C97" s="38" t="inlineStr">
        <is>
          <t>HA12</t>
        </is>
      </c>
      <c r="D97" s="26" t="inlineStr"/>
      <c r="E97" s="27" t="inlineStr"/>
    </row>
    <row r="98">
      <c r="B98" s="9" t="inlineStr">
        <is>
          <t>Aciers longitudinaux des fûts</t>
        </is>
      </c>
      <c r="C98" s="38" t="inlineStr">
        <is>
          <t>HA12</t>
        </is>
      </c>
      <c r="D98" s="26" t="inlineStr"/>
      <c r="E98" s="27" t="inlineStr"/>
    </row>
    <row r="99">
      <c r="B99" s="9" t="inlineStr">
        <is>
          <t>Nombre de barres par fût</t>
        </is>
      </c>
      <c r="C99" s="39" t="n">
        <v>4</v>
      </c>
      <c r="D99" s="26" t="inlineStr">
        <is>
          <t>u</t>
        </is>
      </c>
      <c r="E99" s="27" t="inlineStr">
        <is>
          <t>4 HA12</t>
        </is>
      </c>
    </row>
    <row r="100">
      <c r="B100" s="9" t="inlineStr">
        <is>
          <t>Cadres des fûts</t>
        </is>
      </c>
      <c r="C100" s="38" t="inlineStr">
        <is>
          <t>HA6</t>
        </is>
      </c>
      <c r="D100" s="26" t="inlineStr"/>
      <c r="E100" s="27" t="inlineStr"/>
    </row>
    <row r="101">
      <c r="B101" s="9" t="inlineStr">
        <is>
          <t>Espacement des cadres des fûts</t>
        </is>
      </c>
      <c r="C101" s="25" t="n">
        <v>0.15</v>
      </c>
      <c r="D101" s="26" t="inlineStr">
        <is>
          <t>m</t>
        </is>
      </c>
      <c r="E101" s="27" t="inlineStr">
        <is>
          <t>15 cm</t>
        </is>
      </c>
    </row>
    <row r="102">
      <c r="B102" s="9" t="inlineStr">
        <is>
          <t>Semelle filante : largeur</t>
        </is>
      </c>
      <c r="C102" s="25" t="n">
        <v>0.6</v>
      </c>
      <c r="D102" s="26" t="inlineStr">
        <is>
          <t>m</t>
        </is>
      </c>
      <c r="E102" s="27" t="inlineStr">
        <is>
          <t>60 cm</t>
        </is>
      </c>
    </row>
    <row r="103">
      <c r="B103" s="9" t="inlineStr">
        <is>
          <t>Semelle filante : hauteur</t>
        </is>
      </c>
      <c r="C103" s="25" t="n">
        <v>0.2</v>
      </c>
      <c r="D103" s="26" t="inlineStr">
        <is>
          <t>m</t>
        </is>
      </c>
      <c r="E103" s="27" t="inlineStr">
        <is>
          <t>20 cm</t>
        </is>
      </c>
    </row>
    <row r="104">
      <c r="B104" s="9" t="inlineStr">
        <is>
          <t>Semelle filante : aciers filants</t>
        </is>
      </c>
      <c r="C104" s="38" t="inlineStr">
        <is>
          <t>HA10</t>
        </is>
      </c>
      <c r="D104" s="26" t="inlineStr"/>
      <c r="E104" s="27" t="inlineStr"/>
    </row>
    <row r="105">
      <c r="B105" s="9" t="inlineStr">
        <is>
          <t>Semelle filante : nombre de filants</t>
        </is>
      </c>
      <c r="C105" s="39" t="n">
        <v>4</v>
      </c>
      <c r="D105" s="26" t="inlineStr">
        <is>
          <t>u</t>
        </is>
      </c>
      <c r="E105" s="27" t="inlineStr">
        <is>
          <t>4 HA10</t>
        </is>
      </c>
    </row>
    <row r="106">
      <c r="B106" s="9" t="inlineStr">
        <is>
          <t>Semelle filante : aciers de répartition</t>
        </is>
      </c>
      <c r="C106" s="38" t="inlineStr">
        <is>
          <t>HA8</t>
        </is>
      </c>
      <c r="D106" s="26" t="inlineStr"/>
      <c r="E106" s="27" t="inlineStr"/>
    </row>
    <row r="107">
      <c r="B107" s="9" t="inlineStr">
        <is>
          <t>Semelle filante : espacement de la répartition</t>
        </is>
      </c>
      <c r="C107" s="25" t="n">
        <v>0.2</v>
      </c>
      <c r="D107" s="26" t="inlineStr">
        <is>
          <t>m</t>
        </is>
      </c>
      <c r="E107" s="27" t="inlineStr">
        <is>
          <t>20 cm</t>
        </is>
      </c>
    </row>
    <row r="108">
      <c r="B108" s="9" t="inlineStr">
        <is>
          <t>Enrobage des fondations</t>
        </is>
      </c>
      <c r="C108" s="25" t="n">
        <v>0.05</v>
      </c>
      <c r="D108" s="26" t="inlineStr">
        <is>
          <t>m</t>
        </is>
      </c>
      <c r="E108" s="27" t="inlineStr"/>
    </row>
    <row r="109">
      <c r="B109" s="9" t="inlineStr">
        <is>
          <t>Longueur des retours d'ancrage</t>
        </is>
      </c>
      <c r="C109" s="25" t="n">
        <v>0.15</v>
      </c>
      <c r="D109" s="26" t="inlineStr">
        <is>
          <t>m</t>
        </is>
      </c>
      <c r="E109" s="27" t="inlineStr"/>
    </row>
    <row r="110">
      <c r="B110" s="9" t="inlineStr">
        <is>
          <t>Longueur des crochets de cadres</t>
        </is>
      </c>
      <c r="C110" s="25" t="n">
        <v>0.1</v>
      </c>
      <c r="D110" s="26" t="inlineStr">
        <is>
          <t>m</t>
        </is>
      </c>
      <c r="E110" s="27" t="inlineStr"/>
    </row>
    <row r="111">
      <c r="B111" s="9" t="inlineStr">
        <is>
          <t>Maçonnerie de fondation en agglos 15 pleins : hauteur</t>
        </is>
      </c>
      <c r="C111" s="25" t="n">
        <v>1</v>
      </c>
      <c r="D111" s="26" t="inlineStr">
        <is>
          <t>m</t>
        </is>
      </c>
      <c r="E111" s="27" t="inlineStr">
        <is>
          <t>1,00 m</t>
        </is>
      </c>
    </row>
    <row r="113">
      <c r="B113" s="21" t="inlineStr">
        <is>
          <t>7. DALLAGE</t>
        </is>
      </c>
      <c r="C113" s="22" t="n"/>
      <c r="D113" s="22" t="n"/>
      <c r="E113" s="22" t="n"/>
    </row>
    <row r="114">
      <c r="B114" s="9" t="inlineStr">
        <is>
          <t>Épaisseur du dallage</t>
        </is>
      </c>
      <c r="C114" s="38" t="inlineStr">
        <is>
          <t>20 cm</t>
        </is>
      </c>
      <c r="D114" s="26" t="inlineStr"/>
      <c r="E114" s="27" t="inlineStr">
        <is>
          <t>15 cm / 20 cm</t>
        </is>
      </c>
    </row>
    <row r="115">
      <c r="B115" s="9" t="inlineStr">
        <is>
          <t>Ferraillage du dallage</t>
        </is>
      </c>
      <c r="C115" s="38" t="inlineStr">
        <is>
          <t>Nappe simple</t>
        </is>
      </c>
      <c r="D115" s="26" t="inlineStr"/>
      <c r="E115" s="27" t="inlineStr"/>
    </row>
    <row r="116">
      <c r="B116" s="9" t="inlineStr">
        <is>
          <t>Nappe inférieure – sens X (long)</t>
        </is>
      </c>
      <c r="C116" s="38" t="inlineStr">
        <is>
          <t>HA10</t>
        </is>
      </c>
      <c r="D116" s="26" t="inlineStr"/>
      <c r="E116" s="27" t="inlineStr">
        <is>
          <t>HA8 / HA10 / HA12</t>
        </is>
      </c>
    </row>
    <row r="117">
      <c r="B117" s="9" t="inlineStr">
        <is>
          <t>Nappe inférieure – sens Y (travers)</t>
        </is>
      </c>
      <c r="C117" s="38" t="inlineStr">
        <is>
          <t>HA10</t>
        </is>
      </c>
      <c r="D117" s="26" t="inlineStr"/>
      <c r="E117" s="27" t="inlineStr"/>
    </row>
    <row r="118">
      <c r="B118" s="9" t="inlineStr">
        <is>
          <t>Nappe supérieure – sens X (si nappe double)</t>
        </is>
      </c>
      <c r="C118" s="38" t="inlineStr">
        <is>
          <t>HA8</t>
        </is>
      </c>
      <c r="D118" s="26" t="inlineStr"/>
      <c r="E118" s="27" t="inlineStr"/>
    </row>
    <row r="119">
      <c r="B119" s="9" t="inlineStr">
        <is>
          <t>Nappe supérieure – sens Y (si nappe double)</t>
        </is>
      </c>
      <c r="C119" s="38" t="inlineStr">
        <is>
          <t>HA8</t>
        </is>
      </c>
      <c r="D119" s="26" t="inlineStr"/>
      <c r="E119" s="27" t="inlineStr"/>
    </row>
    <row r="120">
      <c r="B120" s="9" t="inlineStr">
        <is>
          <t>Maille des aciers du dallage</t>
        </is>
      </c>
      <c r="C120" s="38" t="inlineStr">
        <is>
          <t>20 cm</t>
        </is>
      </c>
      <c r="D120" s="26" t="inlineStr"/>
      <c r="E120" s="27" t="inlineStr">
        <is>
          <t>15 / 20 / 25 cm</t>
        </is>
      </c>
    </row>
    <row r="121">
      <c r="B121" s="9" t="inlineStr">
        <is>
          <t>Enrobage du dallage</t>
        </is>
      </c>
      <c r="C121" s="25" t="n">
        <v>0.03</v>
      </c>
      <c r="D121" s="26" t="inlineStr">
        <is>
          <t>m</t>
        </is>
      </c>
      <c r="E121" s="27" t="inlineStr"/>
    </row>
    <row r="122">
      <c r="B122" s="9" t="inlineStr">
        <is>
          <t>Chaises (nappe double) : acier</t>
        </is>
      </c>
      <c r="C122" s="38" t="inlineStr">
        <is>
          <t>HA8</t>
        </is>
      </c>
      <c r="D122" s="26" t="inlineStr"/>
      <c r="E122" s="27" t="inlineStr"/>
    </row>
    <row r="123">
      <c r="B123" s="9" t="inlineStr">
        <is>
          <t>Chaises par m² (nappe double)</t>
        </is>
      </c>
      <c r="C123" s="39" t="n">
        <v>4</v>
      </c>
      <c r="D123" s="26" t="inlineStr">
        <is>
          <t>u/m²</t>
        </is>
      </c>
      <c r="E123" s="27" t="inlineStr">
        <is>
          <t>4 /m²</t>
        </is>
      </c>
    </row>
    <row r="124">
      <c r="B124" s="9" t="inlineStr">
        <is>
          <t>Longueur développée d'une chaise</t>
        </is>
      </c>
      <c r="C124" s="25" t="n">
        <v>0.6</v>
      </c>
      <c r="D124" s="26" t="inlineStr">
        <is>
          <t>m</t>
        </is>
      </c>
      <c r="E124" s="27" t="inlineStr"/>
    </row>
    <row r="125">
      <c r="B125" s="9" t="inlineStr">
        <is>
          <t>Espacement des joints de retrait sciés</t>
        </is>
      </c>
      <c r="C125" s="25" t="n">
        <v>5</v>
      </c>
      <c r="D125" s="26" t="inlineStr">
        <is>
          <t>m</t>
        </is>
      </c>
      <c r="E125" s="27" t="inlineStr">
        <is>
          <t>5 à 6 m</t>
        </is>
      </c>
    </row>
    <row r="126">
      <c r="B126" s="9" t="inlineStr">
        <is>
          <t>Majoration du polyane (recouvrements, remontées)</t>
        </is>
      </c>
      <c r="C126" s="28" t="n">
        <v>0.1</v>
      </c>
      <c r="D126" s="26" t="inlineStr">
        <is>
          <t>%</t>
        </is>
      </c>
      <c r="E126" s="27" t="inlineStr">
        <is>
          <t>10 %</t>
        </is>
      </c>
    </row>
    <row r="128">
      <c r="B128" s="21" t="inlineStr">
        <is>
          <t>8. VARIANTE ÉLÉVATION EN AGGLOS 15 CREUX</t>
        </is>
      </c>
      <c r="C128" s="22" t="n"/>
      <c r="D128" s="22" t="n"/>
      <c r="E128" s="22" t="n"/>
    </row>
    <row r="129">
      <c r="B129" s="9" t="inlineStr">
        <is>
          <t>Chaînages : largeur</t>
        </is>
      </c>
      <c r="C129" s="25" t="n">
        <v>0.15</v>
      </c>
      <c r="D129" s="26" t="inlineStr">
        <is>
          <t>m</t>
        </is>
      </c>
      <c r="E129" s="27" t="inlineStr">
        <is>
          <t>15 × 20 cm</t>
        </is>
      </c>
    </row>
    <row r="130">
      <c r="B130" s="9" t="inlineStr">
        <is>
          <t>Chaînages : hauteur</t>
        </is>
      </c>
      <c r="C130" s="25" t="n">
        <v>0.2</v>
      </c>
      <c r="D130" s="26" t="inlineStr">
        <is>
          <t>m</t>
        </is>
      </c>
      <c r="E130" s="27" t="inlineStr"/>
    </row>
    <row r="131">
      <c r="B131" s="9" t="inlineStr">
        <is>
          <t>Chaînages, raidisseurs, linteaux : aciers longitudinaux</t>
        </is>
      </c>
      <c r="C131" s="38" t="inlineStr">
        <is>
          <t>HA10</t>
        </is>
      </c>
      <c r="D131" s="26" t="inlineStr"/>
      <c r="E131" s="27" t="inlineStr"/>
    </row>
    <row r="132">
      <c r="B132" s="9" t="inlineStr">
        <is>
          <t>Nombre de barres longitudinales</t>
        </is>
      </c>
      <c r="C132" s="39" t="n">
        <v>4</v>
      </c>
      <c r="D132" s="26" t="inlineStr">
        <is>
          <t>u</t>
        </is>
      </c>
      <c r="E132" s="27" t="inlineStr">
        <is>
          <t>4 HA10</t>
        </is>
      </c>
    </row>
    <row r="133">
      <c r="B133" s="9" t="inlineStr">
        <is>
          <t>Chaînages, raidisseurs, linteaux : cadres</t>
        </is>
      </c>
      <c r="C133" s="38" t="inlineStr">
        <is>
          <t>HA6</t>
        </is>
      </c>
      <c r="D133" s="26" t="inlineStr"/>
      <c r="E133" s="27" t="inlineStr"/>
    </row>
    <row r="134">
      <c r="B134" s="9" t="inlineStr">
        <is>
          <t>Espacement des cadres</t>
        </is>
      </c>
      <c r="C134" s="25" t="n">
        <v>0.2</v>
      </c>
      <c r="D134" s="26" t="inlineStr">
        <is>
          <t>m</t>
        </is>
      </c>
      <c r="E134" s="27" t="inlineStr">
        <is>
          <t>20 cm</t>
        </is>
      </c>
    </row>
    <row r="135">
      <c r="B135" s="9" t="inlineStr">
        <is>
          <t>Poteaux raidisseurs : côté</t>
        </is>
      </c>
      <c r="C135" s="25" t="n">
        <v>0.15</v>
      </c>
      <c r="D135" s="26" t="inlineStr">
        <is>
          <t>m</t>
        </is>
      </c>
      <c r="E135" s="27" t="inlineStr">
        <is>
          <t>15 × 15 cm</t>
        </is>
      </c>
    </row>
    <row r="136">
      <c r="B136" s="9" t="inlineStr">
        <is>
          <t>Poteaux raidisseurs par panneau</t>
        </is>
      </c>
      <c r="C136" s="39" t="n">
        <v>3</v>
      </c>
      <c r="D136" s="26" t="inlineStr">
        <is>
          <t>u</t>
        </is>
      </c>
      <c r="E136" s="27" t="inlineStr">
        <is>
          <t>3 par panneau entre poteaux métalliques</t>
        </is>
      </c>
    </row>
    <row r="137">
      <c r="B137" s="9" t="inlineStr">
        <is>
          <t>Appui des linteaux de chaque côté</t>
        </is>
      </c>
      <c r="C137" s="25" t="n">
        <v>0.2</v>
      </c>
      <c r="D137" s="26" t="inlineStr">
        <is>
          <t>m</t>
        </is>
      </c>
      <c r="E137" s="27" t="inlineStr">
        <is>
          <t>20 cm</t>
        </is>
      </c>
    </row>
    <row r="138">
      <c r="B138" s="9" t="inlineStr">
        <is>
          <t>Enduit 2 faces</t>
        </is>
      </c>
      <c r="C138" s="38" t="inlineStr">
        <is>
          <t>Non</t>
        </is>
      </c>
      <c r="D138" s="26" t="inlineStr"/>
      <c r="E138" s="27" t="inlineStr">
        <is>
          <t>Oui / Non</t>
        </is>
      </c>
    </row>
    <row r="139">
      <c r="B139" s="9" t="inlineStr">
        <is>
          <t>Épaisseur d'enduit</t>
        </is>
      </c>
      <c r="C139" s="25" t="n">
        <v>0.02</v>
      </c>
      <c r="D139" s="26" t="inlineStr">
        <is>
          <t>m</t>
        </is>
      </c>
      <c r="E139" s="27" t="inlineStr"/>
    </row>
    <row r="141">
      <c r="B141" s="21" t="inlineStr">
        <is>
          <t>9. DOSAGES ET RATIOS (CPJ 42.5)</t>
        </is>
      </c>
      <c r="C141" s="22" t="n"/>
      <c r="D141" s="22" t="n"/>
      <c r="E141" s="22" t="n"/>
    </row>
    <row r="142">
      <c r="B142" s="9" t="inlineStr">
        <is>
          <t>Dosage béton de propreté</t>
        </is>
      </c>
      <c r="C142" s="39" t="n">
        <v>150</v>
      </c>
      <c r="D142" s="26" t="inlineStr">
        <is>
          <t>kg/m³</t>
        </is>
      </c>
      <c r="E142" s="27" t="inlineStr">
        <is>
          <t>150 kg/m³</t>
        </is>
      </c>
    </row>
    <row r="143">
      <c r="B143" s="9" t="inlineStr">
        <is>
          <t>Dosage béton armé</t>
        </is>
      </c>
      <c r="C143" s="39" t="n">
        <v>350</v>
      </c>
      <c r="D143" s="26" t="inlineStr">
        <is>
          <t>kg/m³</t>
        </is>
      </c>
      <c r="E143" s="27" t="inlineStr">
        <is>
          <t>350 kg/m³</t>
        </is>
      </c>
    </row>
    <row r="144">
      <c r="B144" s="9" t="inlineStr">
        <is>
          <t>Dosage mortier</t>
        </is>
      </c>
      <c r="C144" s="39" t="n">
        <v>300</v>
      </c>
      <c r="D144" s="26" t="inlineStr">
        <is>
          <t>kg/m³</t>
        </is>
      </c>
      <c r="E144" s="27" t="inlineStr">
        <is>
          <t>300 kg/m³</t>
        </is>
      </c>
    </row>
    <row r="145">
      <c r="B145" s="9" t="inlineStr">
        <is>
          <t>Poids d'un sac de ciment CPJ 42.5</t>
        </is>
      </c>
      <c r="C145" s="39" t="n">
        <v>50</v>
      </c>
      <c r="D145" s="26" t="inlineStr">
        <is>
          <t>kg</t>
        </is>
      </c>
      <c r="E145" s="27" t="inlineStr"/>
    </row>
    <row r="146">
      <c r="B146" s="9" t="inlineStr">
        <is>
          <t>Sable par m³ de béton</t>
        </is>
      </c>
      <c r="C146" s="25" t="n">
        <v>0.4</v>
      </c>
      <c r="D146" s="26" t="inlineStr">
        <is>
          <t>m³/m³</t>
        </is>
      </c>
      <c r="E146" s="27" t="inlineStr"/>
    </row>
    <row r="147">
      <c r="B147" s="9" t="inlineStr">
        <is>
          <t>Gravier 5/15 par m³ de béton</t>
        </is>
      </c>
      <c r="C147" s="25" t="n">
        <v>0.3</v>
      </c>
      <c r="D147" s="26" t="inlineStr">
        <is>
          <t>m³/m³</t>
        </is>
      </c>
      <c r="E147" s="27" t="inlineStr"/>
    </row>
    <row r="148">
      <c r="B148" s="9" t="inlineStr">
        <is>
          <t>Gravier 15/25 par m³ de béton</t>
        </is>
      </c>
      <c r="C148" s="25" t="n">
        <v>0.5</v>
      </c>
      <c r="D148" s="26" t="inlineStr">
        <is>
          <t>m³/m³</t>
        </is>
      </c>
      <c r="E148" s="27" t="inlineStr"/>
    </row>
    <row r="149">
      <c r="B149" s="9" t="inlineStr">
        <is>
          <t>Sable par m³ de mortier</t>
        </is>
      </c>
      <c r="C149" s="25" t="n">
        <v>1.1</v>
      </c>
      <c r="D149" s="26" t="inlineStr">
        <is>
          <t>m³/m³</t>
        </is>
      </c>
      <c r="E149" s="27" t="inlineStr"/>
    </row>
    <row r="150">
      <c r="B150" s="9" t="inlineStr">
        <is>
          <t>Mortier de pose par m² d'agglos 15</t>
        </is>
      </c>
      <c r="C150" s="40" t="n">
        <v>0.015</v>
      </c>
      <c r="D150" s="26" t="inlineStr">
        <is>
          <t>m³/m²</t>
        </is>
      </c>
      <c r="E150" s="27" t="inlineStr"/>
    </row>
    <row r="151">
      <c r="B151" s="9" t="inlineStr">
        <is>
          <t>Agglos par m²</t>
        </is>
      </c>
      <c r="C151" s="25" t="n">
        <v>12.5</v>
      </c>
      <c r="D151" s="26" t="inlineStr">
        <is>
          <t>u/m²</t>
        </is>
      </c>
      <c r="E151" s="27" t="inlineStr">
        <is>
          <t>12,5 /m²</t>
        </is>
      </c>
    </row>
    <row r="152">
      <c r="B152" s="9" t="inlineStr">
        <is>
          <t>Casse des agglos</t>
        </is>
      </c>
      <c r="C152" s="28" t="n">
        <v>0.05</v>
      </c>
      <c r="D152" s="26" t="inlineStr">
        <is>
          <t>%</t>
        </is>
      </c>
      <c r="E152" s="27" t="inlineStr">
        <is>
          <t>5 %</t>
        </is>
      </c>
    </row>
    <row r="153">
      <c r="B153" s="9" t="inlineStr">
        <is>
          <t>Recouvrement des aciers (× Ø)</t>
        </is>
      </c>
      <c r="C153" s="39" t="n">
        <v>40</v>
      </c>
      <c r="D153" s="26" t="inlineStr">
        <is>
          <t>Ø</t>
        </is>
      </c>
      <c r="E153" s="27" t="inlineStr">
        <is>
          <t>40 Ø</t>
        </is>
      </c>
    </row>
    <row r="154">
      <c r="B154" s="9" t="inlineStr">
        <is>
          <t>Chutes sur aciers HA</t>
        </is>
      </c>
      <c r="C154" s="28" t="n">
        <v>0.05</v>
      </c>
      <c r="D154" s="26" t="inlineStr">
        <is>
          <t>%</t>
        </is>
      </c>
      <c r="E154" s="27" t="inlineStr">
        <is>
          <t>5 %</t>
        </is>
      </c>
    </row>
    <row r="155">
      <c r="B155" s="9" t="inlineStr">
        <is>
          <t>Main d'œuvre et matériel gros œuvre (% des matériaux)</t>
        </is>
      </c>
      <c r="C155" s="28" t="n">
        <v>0.4</v>
      </c>
      <c r="D155" s="26" t="inlineStr">
        <is>
          <t>%</t>
        </is>
      </c>
      <c r="E155" s="27" t="inlineStr"/>
    </row>
    <row r="157">
      <c r="B157" s="21" t="inlineStr">
        <is>
          <t>10. PRIX UNITAIRES (FCFA HT, rendu Abidjan)</t>
        </is>
      </c>
      <c r="C157" s="22" t="n"/>
      <c r="D157" s="22" t="n"/>
      <c r="E157" s="22" t="n"/>
    </row>
    <row r="158">
      <c r="B158" s="9" t="inlineStr">
        <is>
          <t>Acier de charpente fourni et fabriqué</t>
        </is>
      </c>
      <c r="C158" s="41" t="n">
        <v>1150</v>
      </c>
      <c r="D158" s="26" t="inlineStr">
        <is>
          <t>FCFA/kg</t>
        </is>
      </c>
      <c r="E158" s="27" t="inlineStr"/>
    </row>
    <row r="159">
      <c r="B159" s="9" t="inlineStr">
        <is>
          <t>Montage de la charpente</t>
        </is>
      </c>
      <c r="C159" s="41" t="n">
        <v>250</v>
      </c>
      <c r="D159" s="26" t="inlineStr">
        <is>
          <t>FCFA/kg</t>
        </is>
      </c>
      <c r="E159" s="27" t="inlineStr"/>
    </row>
    <row r="160">
      <c r="B160" s="9" t="inlineStr">
        <is>
          <t>Galvanisation à chaud</t>
        </is>
      </c>
      <c r="C160" s="41" t="n">
        <v>450</v>
      </c>
      <c r="D160" s="26" t="inlineStr">
        <is>
          <t>FCFA/kg</t>
        </is>
      </c>
      <c r="E160" s="27" t="inlineStr"/>
    </row>
    <row r="161">
      <c r="B161" s="9" t="inlineStr">
        <is>
          <t>Peinture anticorrosion (primaire + finition)</t>
        </is>
      </c>
      <c r="C161" s="41" t="n">
        <v>3500</v>
      </c>
      <c r="D161" s="26" t="inlineStr">
        <is>
          <t>FCFA/m²</t>
        </is>
      </c>
      <c r="E161" s="27" t="inlineStr"/>
    </row>
    <row r="162">
      <c r="B162" s="9" t="inlineStr">
        <is>
          <t>Tige d'ancrage avec écrous et rondelles</t>
        </is>
      </c>
      <c r="C162" s="41" t="n">
        <v>6000</v>
      </c>
      <c r="D162" s="26" t="inlineStr">
        <is>
          <t>FCFA/u</t>
        </is>
      </c>
      <c r="E162" s="27" t="inlineStr"/>
    </row>
    <row r="163">
      <c r="B163" s="9" t="inlineStr">
        <is>
          <t>Gabarit de pose des tiges</t>
        </is>
      </c>
      <c r="C163" s="41" t="n">
        <v>7500</v>
      </c>
      <c r="D163" s="26" t="inlineStr">
        <is>
          <t>FCFA/u</t>
        </is>
      </c>
      <c r="E163" s="27" t="inlineStr"/>
    </row>
    <row r="164">
      <c r="B164" s="9" t="inlineStr">
        <is>
          <t>Couverture bac acier (fourniture et pose)</t>
        </is>
      </c>
      <c r="C164" s="41" t="n">
        <v>6500</v>
      </c>
      <c r="D164" s="26" t="inlineStr">
        <is>
          <t>FCFA/m²</t>
        </is>
      </c>
      <c r="E164" s="27" t="inlineStr"/>
    </row>
    <row r="165">
      <c r="B165" s="9" t="inlineStr">
        <is>
          <t>Panneaux translucides</t>
        </is>
      </c>
      <c r="C165" s="41" t="n">
        <v>12000</v>
      </c>
      <c r="D165" s="26" t="inlineStr">
        <is>
          <t>FCFA/m²</t>
        </is>
      </c>
      <c r="E165" s="27" t="inlineStr"/>
    </row>
    <row r="166">
      <c r="B166" s="9" t="inlineStr">
        <is>
          <t>Faîtière</t>
        </is>
      </c>
      <c r="C166" s="41" t="n">
        <v>4500</v>
      </c>
      <c r="D166" s="26" t="inlineStr">
        <is>
          <t>FCFA/ml</t>
        </is>
      </c>
      <c r="E166" s="27" t="inlineStr"/>
    </row>
    <row r="167">
      <c r="B167" s="9" t="inlineStr">
        <is>
          <t>Rives</t>
        </is>
      </c>
      <c r="C167" s="41" t="n">
        <v>3500</v>
      </c>
      <c r="D167" s="26" t="inlineStr">
        <is>
          <t>FCFA/ml</t>
        </is>
      </c>
      <c r="E167" s="27" t="inlineStr"/>
    </row>
    <row r="168">
      <c r="B168" s="9" t="inlineStr">
        <is>
          <t>Larmiers et bavettes de couverture</t>
        </is>
      </c>
      <c r="C168" s="41" t="n">
        <v>3000</v>
      </c>
      <c r="D168" s="26" t="inlineStr">
        <is>
          <t>FCFA/ml</t>
        </is>
      </c>
      <c r="E168" s="27" t="inlineStr"/>
    </row>
    <row r="169">
      <c r="B169" s="9" t="inlineStr">
        <is>
          <t>Chéneaux</t>
        </is>
      </c>
      <c r="C169" s="41" t="n">
        <v>15000</v>
      </c>
      <c r="D169" s="26" t="inlineStr">
        <is>
          <t>FCFA/ml</t>
        </is>
      </c>
      <c r="E169" s="27" t="inlineStr"/>
    </row>
    <row r="170">
      <c r="B170" s="9" t="inlineStr">
        <is>
          <t>Naissances EP</t>
        </is>
      </c>
      <c r="C170" s="41" t="n">
        <v>7500</v>
      </c>
      <c r="D170" s="26" t="inlineStr">
        <is>
          <t>FCFA/u</t>
        </is>
      </c>
      <c r="E170" s="27" t="inlineStr"/>
    </row>
    <row r="171">
      <c r="B171" s="9" t="inlineStr">
        <is>
          <t>Descentes EP PVC Ø110</t>
        </is>
      </c>
      <c r="C171" s="41" t="n">
        <v>6000</v>
      </c>
      <c r="D171" s="26" t="inlineStr">
        <is>
          <t>FCFA/ml</t>
        </is>
      </c>
      <c r="E171" s="27" t="inlineStr"/>
    </row>
    <row r="172">
      <c r="B172" s="9" t="inlineStr">
        <is>
          <t>Skydome (fourni-posé)</t>
        </is>
      </c>
      <c r="C172" s="41" t="n">
        <v>150000</v>
      </c>
      <c r="D172" s="26" t="inlineStr">
        <is>
          <t>FCFA/u</t>
        </is>
      </c>
      <c r="E172" s="27" t="inlineStr"/>
    </row>
    <row r="173">
      <c r="B173" s="9" t="inlineStr">
        <is>
          <t>Vis autoforeuses</t>
        </is>
      </c>
      <c r="C173" s="41" t="n">
        <v>75</v>
      </c>
      <c r="D173" s="26" t="inlineStr">
        <is>
          <t>FCFA/u</t>
        </is>
      </c>
      <c r="E173" s="27" t="inlineStr"/>
    </row>
    <row r="174">
      <c r="B174" s="9" t="inlineStr">
        <is>
          <t>Rivets</t>
        </is>
      </c>
      <c r="C174" s="41" t="n">
        <v>25</v>
      </c>
      <c r="D174" s="26" t="inlineStr">
        <is>
          <t>FCFA/u</t>
        </is>
      </c>
      <c r="E174" s="27" t="inlineStr"/>
    </row>
    <row r="175">
      <c r="B175" s="9" t="inlineStr">
        <is>
          <t>Bardage bac acier (fourniture et pose)</t>
        </is>
      </c>
      <c r="C175" s="41" t="n">
        <v>6000</v>
      </c>
      <c r="D175" s="26" t="inlineStr">
        <is>
          <t>FCFA/m²</t>
        </is>
      </c>
      <c r="E175" s="27" t="inlineStr"/>
    </row>
    <row r="176">
      <c r="B176" s="9" t="inlineStr">
        <is>
          <t>Larmiers de bardage</t>
        </is>
      </c>
      <c r="C176" s="41" t="n">
        <v>3000</v>
      </c>
      <c r="D176" s="26" t="inlineStr">
        <is>
          <t>FCFA/ml</t>
        </is>
      </c>
      <c r="E176" s="27" t="inlineStr"/>
    </row>
    <row r="177">
      <c r="B177" s="9" t="inlineStr">
        <is>
          <t>Larmiers de porte</t>
        </is>
      </c>
      <c r="C177" s="41" t="n">
        <v>3500</v>
      </c>
      <c r="D177" s="26" t="inlineStr">
        <is>
          <t>FCFA/ml</t>
        </is>
      </c>
      <c r="E177" s="27" t="inlineStr"/>
    </row>
    <row r="178">
      <c r="B178" s="9" t="inlineStr">
        <is>
          <t>Rail haut de porte coulissante</t>
        </is>
      </c>
      <c r="C178" s="41" t="n">
        <v>15000</v>
      </c>
      <c r="D178" s="26" t="inlineStr">
        <is>
          <t>FCFA/ml</t>
        </is>
      </c>
      <c r="E178" s="27" t="inlineStr"/>
    </row>
    <row r="179">
      <c r="B179" s="9" t="inlineStr">
        <is>
          <t>Portes coulissantes</t>
        </is>
      </c>
      <c r="C179" s="41" t="n">
        <v>45000</v>
      </c>
      <c r="D179" s="26" t="inlineStr">
        <is>
          <t>FCFA/m²</t>
        </is>
      </c>
      <c r="E179" s="27" t="inlineStr"/>
    </row>
    <row r="180">
      <c r="B180" s="9" t="inlineStr">
        <is>
          <t>Portillons</t>
        </is>
      </c>
      <c r="C180" s="41" t="n">
        <v>50000</v>
      </c>
      <c r="D180" s="26" t="inlineStr">
        <is>
          <t>FCFA/m²</t>
        </is>
      </c>
      <c r="E180" s="27" t="inlineStr"/>
    </row>
    <row r="181">
      <c r="B181" s="9" t="inlineStr">
        <is>
          <t>Décapage</t>
        </is>
      </c>
      <c r="C181" s="41" t="n">
        <v>500</v>
      </c>
      <c r="D181" s="26" t="inlineStr">
        <is>
          <t>FCFA/m²</t>
        </is>
      </c>
      <c r="E181" s="27" t="inlineStr"/>
    </row>
    <row r="182">
      <c r="B182" s="9" t="inlineStr">
        <is>
          <t>Fouilles</t>
        </is>
      </c>
      <c r="C182" s="41" t="n">
        <v>4500</v>
      </c>
      <c r="D182" s="26" t="inlineStr">
        <is>
          <t>FCFA/m³</t>
        </is>
      </c>
      <c r="E182" s="27" t="inlineStr"/>
    </row>
    <row r="183">
      <c r="B183" s="9" t="inlineStr">
        <is>
          <t>Remblai latérite fourni et compacté</t>
        </is>
      </c>
      <c r="C183" s="41" t="n">
        <v>9000</v>
      </c>
      <c r="D183" s="26" t="inlineStr">
        <is>
          <t>FCFA/m³</t>
        </is>
      </c>
      <c r="E183" s="27" t="inlineStr"/>
    </row>
    <row r="184">
      <c r="B184" s="9" t="inlineStr">
        <is>
          <t>Évacuation des déblais</t>
        </is>
      </c>
      <c r="C184" s="41" t="n">
        <v>3500</v>
      </c>
      <c r="D184" s="26" t="inlineStr">
        <is>
          <t>FCFA/m³</t>
        </is>
      </c>
      <c r="E184" s="27" t="inlineStr"/>
    </row>
    <row r="185">
      <c r="B185" s="9" t="inlineStr">
        <is>
          <t>Ciment CPJ 42.5 (sac de 50 kg)</t>
        </is>
      </c>
      <c r="C185" s="41" t="n">
        <v>5500</v>
      </c>
      <c r="D185" s="26" t="inlineStr">
        <is>
          <t>FCFA/sac</t>
        </is>
      </c>
      <c r="E185" s="27" t="inlineStr"/>
    </row>
    <row r="186">
      <c r="B186" s="9" t="inlineStr">
        <is>
          <t>Sable</t>
        </is>
      </c>
      <c r="C186" s="41" t="n">
        <v>12000</v>
      </c>
      <c r="D186" s="26" t="inlineStr">
        <is>
          <t>FCFA/m³</t>
        </is>
      </c>
      <c r="E186" s="27" t="inlineStr"/>
    </row>
    <row r="187">
      <c r="B187" s="9" t="inlineStr">
        <is>
          <t>Gravier 5/15</t>
        </is>
      </c>
      <c r="C187" s="41" t="n">
        <v>22000</v>
      </c>
      <c r="D187" s="26" t="inlineStr">
        <is>
          <t>FCFA/m³</t>
        </is>
      </c>
      <c r="E187" s="27" t="inlineStr"/>
    </row>
    <row r="188">
      <c r="B188" s="9" t="inlineStr">
        <is>
          <t>Gravier 15/25</t>
        </is>
      </c>
      <c r="C188" s="41" t="n">
        <v>20000</v>
      </c>
      <c r="D188" s="26" t="inlineStr">
        <is>
          <t>FCFA/m³</t>
        </is>
      </c>
      <c r="E188" s="27" t="inlineStr"/>
    </row>
    <row r="189">
      <c r="B189" s="9" t="inlineStr">
        <is>
          <t>Acier HA6</t>
        </is>
      </c>
      <c r="C189" s="41" t="n">
        <v>800</v>
      </c>
      <c r="D189" s="26" t="inlineStr">
        <is>
          <t>FCFA/kg</t>
        </is>
      </c>
      <c r="E189" s="27" t="inlineStr"/>
    </row>
    <row r="190">
      <c r="B190" s="9" t="inlineStr">
        <is>
          <t>Acier HA8</t>
        </is>
      </c>
      <c r="C190" s="41" t="n">
        <v>750</v>
      </c>
      <c r="D190" s="26" t="inlineStr">
        <is>
          <t>FCFA/kg</t>
        </is>
      </c>
      <c r="E190" s="27" t="inlineStr"/>
    </row>
    <row r="191">
      <c r="B191" s="9" t="inlineStr">
        <is>
          <t>Acier HA10</t>
        </is>
      </c>
      <c r="C191" s="41" t="n">
        <v>725</v>
      </c>
      <c r="D191" s="26" t="inlineStr">
        <is>
          <t>FCFA/kg</t>
        </is>
      </c>
      <c r="E191" s="27" t="inlineStr"/>
    </row>
    <row r="192">
      <c r="B192" s="9" t="inlineStr">
        <is>
          <t>Acier HA12</t>
        </is>
      </c>
      <c r="C192" s="41" t="n">
        <v>725</v>
      </c>
      <c r="D192" s="26" t="inlineStr">
        <is>
          <t>FCFA/kg</t>
        </is>
      </c>
      <c r="E192" s="27" t="inlineStr"/>
    </row>
    <row r="193">
      <c r="B193" s="9" t="inlineStr">
        <is>
          <t>Acier HA14</t>
        </is>
      </c>
      <c r="C193" s="41" t="n">
        <v>725</v>
      </c>
      <c r="D193" s="26" t="inlineStr">
        <is>
          <t>FCFA/kg</t>
        </is>
      </c>
      <c r="E193" s="27" t="inlineStr"/>
    </row>
    <row r="194">
      <c r="B194" s="9" t="inlineStr">
        <is>
          <t>Acier HA16</t>
        </is>
      </c>
      <c r="C194" s="41" t="n">
        <v>725</v>
      </c>
      <c r="D194" s="26" t="inlineStr">
        <is>
          <t>FCFA/kg</t>
        </is>
      </c>
      <c r="E194" s="27" t="inlineStr"/>
    </row>
    <row r="195">
      <c r="B195" s="9" t="inlineStr">
        <is>
          <t>Agglos 15 pleins</t>
        </is>
      </c>
      <c r="C195" s="41" t="n">
        <v>450</v>
      </c>
      <c r="D195" s="26" t="inlineStr">
        <is>
          <t>FCFA/u</t>
        </is>
      </c>
      <c r="E195" s="27" t="inlineStr"/>
    </row>
    <row r="196">
      <c r="B196" s="9" t="inlineStr">
        <is>
          <t>Agglos 15 creux</t>
        </is>
      </c>
      <c r="C196" s="41" t="n">
        <v>375</v>
      </c>
      <c r="D196" s="26" t="inlineStr">
        <is>
          <t>FCFA/u</t>
        </is>
      </c>
      <c r="E196" s="27" t="inlineStr"/>
    </row>
    <row r="197">
      <c r="B197" s="9" t="inlineStr">
        <is>
          <t>Film polyane</t>
        </is>
      </c>
      <c r="C197" s="41" t="n">
        <v>400</v>
      </c>
      <c r="D197" s="26" t="inlineStr">
        <is>
          <t>FCFA/m²</t>
        </is>
      </c>
      <c r="E197" s="27" t="inlineStr"/>
    </row>
    <row r="198">
      <c r="B198" s="9" t="inlineStr">
        <is>
          <t>Bois de coffrage</t>
        </is>
      </c>
      <c r="C198" s="41" t="n">
        <v>3500</v>
      </c>
      <c r="D198" s="26" t="inlineStr">
        <is>
          <t>FCFA/m²</t>
        </is>
      </c>
      <c r="E198" s="27" t="inlineStr"/>
    </row>
    <row r="199">
      <c r="B199" s="9" t="inlineStr">
        <is>
          <t>Joints de retrait sciés</t>
        </is>
      </c>
      <c r="C199" s="41" t="n">
        <v>1500</v>
      </c>
      <c r="D199" s="26" t="inlineStr">
        <is>
          <t>FCFA/ml</t>
        </is>
      </c>
      <c r="E199" s="27" t="inlineStr"/>
    </row>
    <row r="200">
      <c r="B200" s="9" t="inlineStr">
        <is>
          <t>Cure du béton</t>
        </is>
      </c>
      <c r="C200" s="41" t="n">
        <v>250</v>
      </c>
      <c r="D200" s="26" t="inlineStr">
        <is>
          <t>FCFA/m²</t>
        </is>
      </c>
      <c r="E200" s="27" t="inlineStr"/>
    </row>
  </sheetData>
  <mergeCells count="1">
    <mergeCell ref="A1:K1"/>
  </mergeCells>
  <conditionalFormatting sqref="C7">
    <cfRule type="expression" priority="1" dxfId="0">
      <formula>C7&lt;0.05</formula>
    </cfRule>
  </conditionalFormatting>
  <conditionalFormatting sqref="K12">
    <cfRule type="expression" priority="2" dxfId="0">
      <formula>K12&lt;0.05</formula>
    </cfRule>
  </conditionalFormatting>
  <conditionalFormatting sqref="C47">
    <cfRule type="expression" priority="3" dxfId="0">
      <formula>C47&lt;0.4</formula>
    </cfRule>
  </conditionalFormatting>
  <conditionalFormatting sqref="C114">
    <cfRule type="expression" priority="4" dxfId="0">
      <formula>AND(C114="15 cm",C115="Nappe double")</formula>
    </cfRule>
  </conditionalFormatting>
  <conditionalFormatting sqref="C115">
    <cfRule type="expression" priority="5" dxfId="0">
      <formula>AND(C114="15 cm",C115="Nappe double")</formula>
    </cfRule>
  </conditionalFormatting>
  <dataValidations count="34">
    <dataValidation sqref="C6" showDropDown="0" showInputMessage="0" showErrorMessage="0" allowBlank="0" errorTitle="Valeur inhabituelle" error="Plage conseillée : 3 à 15 m" promptTitle="Plage conseillée" prompt="Plage conseillée : 3 à 15 m" type="decimal" errorStyle="warning" operator="between">
      <formula1>3</formula1>
      <formula2>15</formula2>
    </dataValidation>
    <dataValidation sqref="C15" showDropDown="0" showInputMessage="0" showErrorMessage="0" allowBlank="0" errorTitle="Valeur inhabituelle" error="Plage conseillée : 4 à 8 m" promptTitle="Plage conseillée" prompt="Plage conseillée : 4 à 8 m" type="decimal" errorStyle="warning" operator="between">
      <formula1>4</formula1>
      <formula2>8</formula2>
    </dataValidation>
    <dataValidation sqref="C16" showDropDown="0" showInputMessage="0" showErrorMessage="0" allowBlank="0" errorTitle="Valeur inhabituelle" error="Plage conseillée : 1.2 à 1.5 m" promptTitle="Plage conseillée" prompt="Plage conseillée : 1.2 à 1.5 m" type="decimal" errorStyle="warning" operator="between">
      <formula1>1.2</formula1>
      <formula2>1.5</formula2>
    </dataValidation>
    <dataValidation sqref="C17" showDropDown="0" showInputMessage="0" showErrorMessage="0" allowBlank="0" errorTitle="Valeur inhabituelle" error="Plage conseillée : 1.5 à 2.0 m" promptTitle="Plage conseillée" prompt="Plage conseillée : 1.5 à 2.0 m" type="decimal" errorStyle="warning" operator="between">
      <formula1>1.5</formula1>
      <formula2>2.0</formula2>
    </dataValidation>
    <dataValidation sqref="C18" showDropDown="0" showInputMessage="0" showErrorMessage="0" allowBlank="0" errorTitle="Valeur inhabituelle" error="Plage conseillée : 5 à 6 m" promptTitle="Plage conseillée" prompt="Plage conseillée : 5 à 6 m" type="decimal" errorStyle="warning" operator="between">
      <formula1>5</formula1>
      <formula2>6</formula2>
    </dataValidation>
    <dataValidation sqref="C20" showDropDown="0" showInputMessage="0" showErrorMessage="0" allowBlank="0" errorTitle="Saisie" error="Choisir une valeur de la liste." type="list">
      <formula1>"IPE renforcé,Ferme treillis"</formula1>
    </dataValidation>
    <dataValidation sqref="C21" showDropDown="0" showInputMessage="0" showErrorMessage="0" allowBlank="0" errorTitle="Saisie" error="Choisir une valeur de la liste." type="list">
      <formula1>"Oui,Non"</formula1>
    </dataValidation>
    <dataValidation sqref="C31" showDropDown="0" showInputMessage="0" showErrorMessage="0" allowBlank="0" errorTitle="Saisie" error="Choisir une valeur de la liste." type="list">
      <formula1>"Long-pan,Pignon"</formula1>
    </dataValidation>
    <dataValidation sqref="C35" showDropDown="0" showInputMessage="0" showErrorMessage="0" allowBlank="0" errorTitle="Saisie" error="Choisir une valeur de la liste." type="list">
      <formula1>"Long-pan,Pignon"</formula1>
    </dataValidation>
    <dataValidation sqref="C42" showDropDown="0" showInputMessage="0" showErrorMessage="0" allowBlank="0" errorTitle="Saisie" error="Choisir une valeur de la liste." type="list">
      <formula1>"Oui,Non"</formula1>
    </dataValidation>
    <dataValidation sqref="C44" showDropDown="0" showInputMessage="0" showErrorMessage="0" allowBlank="0" errorTitle="Valeur inhabituelle" error="Plage conseillée : 1.0 à 1.5 m" promptTitle="Plage conseillée" prompt="Plage conseillée : 1.0 à 1.5 m" type="decimal" errorStyle="warning" operator="between">
      <formula1>1.0</formula1>
      <formula2>1.5</formula2>
    </dataValidation>
    <dataValidation sqref="C48" showDropDown="0" showInputMessage="0" showErrorMessage="0" allowBlank="0" errorTitle="Valeur inhabituelle" error="Plage conseillée : 150 à 200 m²" promptTitle="Plage conseillée" prompt="Plage conseillée : 150 à 200 m²" type="decimal" errorStyle="warning" operator="between">
      <formula1>150</formula1>
      <formula2>200</formula2>
    </dataValidation>
    <dataValidation sqref="C51" showDropDown="0" showInputMessage="0" showErrorMessage="0" allowBlank="0" errorTitle="Saisie" error="Choisir une valeur de la liste." type="list">
      <formula1>"Bardage bac acier,Agglos 15 creux,Mixte"</formula1>
    </dataValidation>
    <dataValidation sqref="C59" showDropDown="0" showInputMessage="0" showErrorMessage="0" allowBlank="0" errorTitle="Saisie" error="Choisir une valeur de la liste." type="list">
      <formula1>"Galvanisation à chaud,Peinture anticorrosion"</formula1>
    </dataValidation>
    <dataValidation sqref="C72" showDropDown="0" showInputMessage="0" showErrorMessage="0" allowBlank="0" errorTitle="Saisie" error="Choisir une valeur de la liste." type="list">
      <formula1>"Rond 16,Rond 18,Rond 20,Rond 22,Rond 24,Rond 27,Rond 30"</formula1>
    </dataValidation>
    <dataValidation sqref="C75" showDropDown="0" showInputMessage="0" showErrorMessage="0" allowBlank="0" errorTitle="Saisie" error="Choisir une valeur de la liste." type="list">
      <formula1>"Rond 16,Rond 18,Rond 20,Rond 22,Rond 24,Rond 27,Rond 30"</formula1>
    </dataValidation>
    <dataValidation sqref="C86" showDropDown="0" showInputMessage="0" showErrorMessage="0" allowBlank="0" errorTitle="Saisie" error="Choisir une valeur de la liste." type="list">
      <formula1>"20 cm,40 cm"</formula1>
    </dataValidation>
    <dataValidation sqref="C97" showDropDown="0" showInputMessage="0" showErrorMessage="0" allowBlank="0" errorTitle="Saisie" error="Choisir une valeur de la liste." type="list">
      <formula1>"HA6,HA8,HA10,HA12,HA14,HA16"</formula1>
    </dataValidation>
    <dataValidation sqref="C98" showDropDown="0" showInputMessage="0" showErrorMessage="0" allowBlank="0" errorTitle="Saisie" error="Choisir une valeur de la liste." type="list">
      <formula1>"HA6,HA8,HA10,HA12,HA14,HA16"</formula1>
    </dataValidation>
    <dataValidation sqref="C100" showDropDown="0" showInputMessage="0" showErrorMessage="0" allowBlank="0" errorTitle="Saisie" error="Choisir une valeur de la liste." type="list">
      <formula1>"HA6,HA8,HA10,HA12,HA14,HA16"</formula1>
    </dataValidation>
    <dataValidation sqref="C104" showDropDown="0" showInputMessage="0" showErrorMessage="0" allowBlank="0" errorTitle="Saisie" error="Choisir une valeur de la liste." type="list">
      <formula1>"HA6,HA8,HA10,HA12,HA14,HA16"</formula1>
    </dataValidation>
    <dataValidation sqref="C106" showDropDown="0" showInputMessage="0" showErrorMessage="0" allowBlank="0" errorTitle="Saisie" error="Choisir une valeur de la liste." type="list">
      <formula1>"HA6,HA8,HA10,HA12,HA14,HA16"</formula1>
    </dataValidation>
    <dataValidation sqref="C114" showDropDown="0" showInputMessage="0" showErrorMessage="0" allowBlank="0" errorTitle="Saisie" error="Choisir une valeur de la liste." type="list">
      <formula1>"15 cm,20 cm"</formula1>
    </dataValidation>
    <dataValidation sqref="C115" showDropDown="0" showInputMessage="0" showErrorMessage="0" allowBlank="0" errorTitle="Saisie" error="Choisir une valeur de la liste." type="list">
      <formula1>"Nappe simple,Nappe double"</formula1>
    </dataValidation>
    <dataValidation sqref="C116" showDropDown="0" showInputMessage="0" showErrorMessage="0" allowBlank="0" errorTitle="Saisie" error="Choisir une valeur de la liste." type="list">
      <formula1>"HA8,HA10,HA12"</formula1>
    </dataValidation>
    <dataValidation sqref="C117" showDropDown="0" showInputMessage="0" showErrorMessage="0" allowBlank="0" errorTitle="Saisie" error="Choisir une valeur de la liste." type="list">
      <formula1>"HA8,HA10,HA12"</formula1>
    </dataValidation>
    <dataValidation sqref="C118" showDropDown="0" showInputMessage="0" showErrorMessage="0" allowBlank="0" errorTitle="Saisie" error="Choisir une valeur de la liste." type="list">
      <formula1>"HA8,HA10,HA12"</formula1>
    </dataValidation>
    <dataValidation sqref="C119" showDropDown="0" showInputMessage="0" showErrorMessage="0" allowBlank="0" errorTitle="Saisie" error="Choisir une valeur de la liste." type="list">
      <formula1>"HA8,HA10,HA12"</formula1>
    </dataValidation>
    <dataValidation sqref="C120" showDropDown="0" showInputMessage="0" showErrorMessage="0" allowBlank="0" errorTitle="Saisie" error="Choisir une valeur de la liste." type="list">
      <formula1>"15 cm,20 cm,25 cm"</formula1>
    </dataValidation>
    <dataValidation sqref="C122" showDropDown="0" showInputMessage="0" showErrorMessage="0" allowBlank="0" errorTitle="Saisie" error="Choisir une valeur de la liste." type="list">
      <formula1>"HA6,HA8,HA10,HA12,HA14,HA16"</formula1>
    </dataValidation>
    <dataValidation sqref="C125" showDropDown="0" showInputMessage="0" showErrorMessage="0" allowBlank="0" errorTitle="Valeur inhabituelle" error="Plage conseillée : 5 à 6 m" promptTitle="Plage conseillée" prompt="Plage conseillée : 5 à 6 m" type="decimal" errorStyle="warning" operator="between">
      <formula1>5</formula1>
      <formula2>6</formula2>
    </dataValidation>
    <dataValidation sqref="C131" showDropDown="0" showInputMessage="0" showErrorMessage="0" allowBlank="0" errorTitle="Saisie" error="Choisir une valeur de la liste." type="list">
      <formula1>"HA6,HA8,HA10,HA12,HA14,HA16"</formula1>
    </dataValidation>
    <dataValidation sqref="C133" showDropDown="0" showInputMessage="0" showErrorMessage="0" allowBlank="0" errorTitle="Saisie" error="Choisir une valeur de la liste." type="list">
      <formula1>"HA6,HA8,HA10,HA12,HA14,HA16"</formula1>
    </dataValidation>
    <dataValidation sqref="C138" showDropDown="0" showInputMessage="0" showErrorMessage="0" allowBlank="0" errorTitle="Saisie" error="Choisir une valeur de la liste." type="list">
      <formula1>"Oui,Non"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&amp;L&amp;8 &amp;A&amp;C&amp;8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8" customWidth="1" min="2" max="2"/>
    <col width="30" customWidth="1" min="3" max="3"/>
    <col width="10" customWidth="1" min="4" max="4"/>
    <col width="10" customWidth="1" min="5" max="5"/>
    <col width="60" customWidth="1" min="6" max="6"/>
  </cols>
  <sheetData>
    <row r="1" ht="24" customHeight="1">
      <c r="A1" s="20" t="inlineStr">
        <is>
          <t>BASE DES PROFILÉS – poids en kg/ml</t>
        </is>
      </c>
    </row>
    <row r="2">
      <c r="A2" s="3" t="inlineStr">
        <is>
          <t>Valeurs indicatives (catalogues usuels). Recherche par RECHERCHEX dans toutes les feuilles. Ajouter de nouveaux profilés en fin de tableau.</t>
        </is>
      </c>
    </row>
    <row r="4" ht="30" customHeight="1">
      <c r="B4" s="8" t="inlineStr">
        <is>
          <t>Désignation</t>
        </is>
      </c>
      <c r="C4" s="8" t="inlineStr">
        <is>
          <t>Famille</t>
        </is>
      </c>
      <c r="D4" s="8" t="inlineStr">
        <is>
          <t>kg/ml</t>
        </is>
      </c>
      <c r="E4" s="8" t="inlineStr">
        <is>
          <t>h (mm)</t>
        </is>
      </c>
      <c r="F4" s="8" t="inlineStr">
        <is>
          <t>Remarque</t>
        </is>
      </c>
    </row>
    <row r="5">
      <c r="B5" s="42" t="inlineStr">
        <is>
          <t>IPE 160</t>
        </is>
      </c>
      <c r="C5" s="42" t="inlineStr">
        <is>
          <t>IPE</t>
        </is>
      </c>
      <c r="D5" s="43" t="n">
        <v>15.8</v>
      </c>
      <c r="E5" s="42" t="n">
        <v>160</v>
      </c>
      <c r="F5" s="44" t="inlineStr">
        <is>
          <t>Membrures de treillis : poids multiplié par le nombre de cornières accolées</t>
        </is>
      </c>
    </row>
    <row r="6">
      <c r="B6" s="42" t="inlineStr">
        <is>
          <t>IPE 180</t>
        </is>
      </c>
      <c r="C6" s="42" t="inlineStr">
        <is>
          <t>IPE</t>
        </is>
      </c>
      <c r="D6" s="43" t="n">
        <v>18.8</v>
      </c>
      <c r="E6" s="42" t="n">
        <v>180</v>
      </c>
      <c r="F6" s="44" t="n"/>
    </row>
    <row r="7">
      <c r="B7" s="42" t="inlineStr">
        <is>
          <t>IPE 200</t>
        </is>
      </c>
      <c r="C7" s="42" t="inlineStr">
        <is>
          <t>IPE</t>
        </is>
      </c>
      <c r="D7" s="43" t="n">
        <v>22.4</v>
      </c>
      <c r="E7" s="42" t="n">
        <v>200</v>
      </c>
      <c r="F7" s="44" t="n"/>
    </row>
    <row r="8">
      <c r="B8" s="42" t="inlineStr">
        <is>
          <t>IPE 220</t>
        </is>
      </c>
      <c r="C8" s="42" t="inlineStr">
        <is>
          <t>IPE</t>
        </is>
      </c>
      <c r="D8" s="43" t="n">
        <v>26.2</v>
      </c>
      <c r="E8" s="42" t="n">
        <v>220</v>
      </c>
      <c r="F8" s="44" t="n"/>
    </row>
    <row r="9">
      <c r="B9" s="42" t="inlineStr">
        <is>
          <t>IPE 240</t>
        </is>
      </c>
      <c r="C9" s="42" t="inlineStr">
        <is>
          <t>IPE</t>
        </is>
      </c>
      <c r="D9" s="43" t="n">
        <v>30.7</v>
      </c>
      <c r="E9" s="42" t="n">
        <v>240</v>
      </c>
      <c r="F9" s="44" t="n"/>
    </row>
    <row r="10">
      <c r="B10" s="42" t="inlineStr">
        <is>
          <t>IPE 270</t>
        </is>
      </c>
      <c r="C10" s="42" t="inlineStr">
        <is>
          <t>IPE</t>
        </is>
      </c>
      <c r="D10" s="43" t="n">
        <v>36.1</v>
      </c>
      <c r="E10" s="42" t="n">
        <v>270</v>
      </c>
      <c r="F10" s="44" t="n"/>
    </row>
    <row r="11">
      <c r="B11" s="42" t="inlineStr">
        <is>
          <t>IPE 300</t>
        </is>
      </c>
      <c r="C11" s="42" t="inlineStr">
        <is>
          <t>IPE</t>
        </is>
      </c>
      <c r="D11" s="43" t="n">
        <v>42.2</v>
      </c>
      <c r="E11" s="42" t="n">
        <v>300</v>
      </c>
      <c r="F11" s="44" t="n"/>
    </row>
    <row r="12">
      <c r="B12" s="42" t="inlineStr">
        <is>
          <t>IPE 330</t>
        </is>
      </c>
      <c r="C12" s="42" t="inlineStr">
        <is>
          <t>IPE</t>
        </is>
      </c>
      <c r="D12" s="43" t="n">
        <v>49.1</v>
      </c>
      <c r="E12" s="42" t="n">
        <v>330</v>
      </c>
      <c r="F12" s="44" t="n"/>
    </row>
    <row r="13">
      <c r="B13" s="42" t="inlineStr">
        <is>
          <t>IPE 360</t>
        </is>
      </c>
      <c r="C13" s="42" t="inlineStr">
        <is>
          <t>IPE</t>
        </is>
      </c>
      <c r="D13" s="43" t="n">
        <v>57.1</v>
      </c>
      <c r="E13" s="42" t="n">
        <v>360</v>
      </c>
      <c r="F13" s="44" t="n"/>
    </row>
    <row r="14">
      <c r="B14" s="42" t="inlineStr">
        <is>
          <t>IPE 400</t>
        </is>
      </c>
      <c r="C14" s="42" t="inlineStr">
        <is>
          <t>IPE</t>
        </is>
      </c>
      <c r="D14" s="43" t="n">
        <v>66.3</v>
      </c>
      <c r="E14" s="42" t="n">
        <v>400</v>
      </c>
      <c r="F14" s="44" t="n"/>
    </row>
    <row r="15">
      <c r="B15" s="42" t="inlineStr">
        <is>
          <t>IPE 450</t>
        </is>
      </c>
      <c r="C15" s="42" t="inlineStr">
        <is>
          <t>IPE</t>
        </is>
      </c>
      <c r="D15" s="43" t="n">
        <v>77.59999999999999</v>
      </c>
      <c r="E15" s="42" t="n">
        <v>450</v>
      </c>
      <c r="F15" s="44" t="n"/>
    </row>
    <row r="16">
      <c r="B16" s="42" t="inlineStr">
        <is>
          <t>IPE 500</t>
        </is>
      </c>
      <c r="C16" s="42" t="inlineStr">
        <is>
          <t>IPE</t>
        </is>
      </c>
      <c r="D16" s="43" t="n">
        <v>90.7</v>
      </c>
      <c r="E16" s="42" t="n">
        <v>500</v>
      </c>
      <c r="F16" s="44" t="n"/>
    </row>
    <row r="17">
      <c r="B17" s="42" t="inlineStr">
        <is>
          <t>IPE 550</t>
        </is>
      </c>
      <c r="C17" s="42" t="inlineStr">
        <is>
          <t>IPE</t>
        </is>
      </c>
      <c r="D17" s="43" t="n">
        <v>106</v>
      </c>
      <c r="E17" s="42" t="n">
        <v>550</v>
      </c>
      <c r="F17" s="44" t="n"/>
    </row>
    <row r="18">
      <c r="B18" s="42" t="inlineStr">
        <is>
          <t>IPE 600</t>
        </is>
      </c>
      <c r="C18" s="42" t="inlineStr">
        <is>
          <t>IPE</t>
        </is>
      </c>
      <c r="D18" s="43" t="n">
        <v>122</v>
      </c>
      <c r="E18" s="42" t="n">
        <v>600</v>
      </c>
      <c r="F18" s="44" t="n"/>
    </row>
    <row r="19">
      <c r="B19" s="42" t="inlineStr">
        <is>
          <t>HEA 140</t>
        </is>
      </c>
      <c r="C19" s="42" t="inlineStr">
        <is>
          <t>HEA</t>
        </is>
      </c>
      <c r="D19" s="43" t="n">
        <v>24.7</v>
      </c>
      <c r="E19" s="42" t="n">
        <v>133</v>
      </c>
      <c r="F19" s="44" t="n"/>
    </row>
    <row r="20">
      <c r="B20" s="42" t="inlineStr">
        <is>
          <t>HEA 160</t>
        </is>
      </c>
      <c r="C20" s="42" t="inlineStr">
        <is>
          <t>HEA</t>
        </is>
      </c>
      <c r="D20" s="43" t="n">
        <v>30.4</v>
      </c>
      <c r="E20" s="42" t="n">
        <v>152</v>
      </c>
      <c r="F20" s="44" t="n"/>
    </row>
    <row r="21">
      <c r="B21" s="42" t="inlineStr">
        <is>
          <t>HEA 180</t>
        </is>
      </c>
      <c r="C21" s="42" t="inlineStr">
        <is>
          <t>HEA</t>
        </is>
      </c>
      <c r="D21" s="43" t="n">
        <v>35.5</v>
      </c>
      <c r="E21" s="42" t="n">
        <v>171</v>
      </c>
      <c r="F21" s="44" t="n"/>
    </row>
    <row r="22">
      <c r="B22" s="42" t="inlineStr">
        <is>
          <t>HEA 200</t>
        </is>
      </c>
      <c r="C22" s="42" t="inlineStr">
        <is>
          <t>HEA</t>
        </is>
      </c>
      <c r="D22" s="43" t="n">
        <v>42.3</v>
      </c>
      <c r="E22" s="42" t="n">
        <v>190</v>
      </c>
      <c r="F22" s="44" t="n"/>
    </row>
    <row r="23">
      <c r="B23" s="42" t="inlineStr">
        <is>
          <t>HEA 220</t>
        </is>
      </c>
      <c r="C23" s="42" t="inlineStr">
        <is>
          <t>HEA</t>
        </is>
      </c>
      <c r="D23" s="43" t="n">
        <v>50.5</v>
      </c>
      <c r="E23" s="42" t="n">
        <v>210</v>
      </c>
      <c r="F23" s="44" t="n"/>
    </row>
    <row r="24">
      <c r="B24" s="42" t="inlineStr">
        <is>
          <t>HEA 240</t>
        </is>
      </c>
      <c r="C24" s="42" t="inlineStr">
        <is>
          <t>HEA</t>
        </is>
      </c>
      <c r="D24" s="43" t="n">
        <v>60.3</v>
      </c>
      <c r="E24" s="42" t="n">
        <v>230</v>
      </c>
      <c r="F24" s="44" t="n"/>
    </row>
    <row r="25">
      <c r="B25" s="42" t="inlineStr">
        <is>
          <t>HEA 260</t>
        </is>
      </c>
      <c r="C25" s="42" t="inlineStr">
        <is>
          <t>HEA</t>
        </is>
      </c>
      <c r="D25" s="43" t="n">
        <v>68.2</v>
      </c>
      <c r="E25" s="42" t="n">
        <v>250</v>
      </c>
      <c r="F25" s="44" t="n"/>
    </row>
    <row r="26">
      <c r="B26" s="42" t="inlineStr">
        <is>
          <t>HEA 280</t>
        </is>
      </c>
      <c r="C26" s="42" t="inlineStr">
        <is>
          <t>HEA</t>
        </is>
      </c>
      <c r="D26" s="43" t="n">
        <v>76.40000000000001</v>
      </c>
      <c r="E26" s="42" t="n">
        <v>270</v>
      </c>
      <c r="F26" s="44" t="n"/>
    </row>
    <row r="27">
      <c r="B27" s="42" t="inlineStr">
        <is>
          <t>HEA 300</t>
        </is>
      </c>
      <c r="C27" s="42" t="inlineStr">
        <is>
          <t>HEA</t>
        </is>
      </c>
      <c r="D27" s="43" t="n">
        <v>88.3</v>
      </c>
      <c r="E27" s="42" t="n">
        <v>290</v>
      </c>
      <c r="F27" s="44" t="n"/>
    </row>
    <row r="28">
      <c r="B28" s="42" t="inlineStr">
        <is>
          <t>HEA 320</t>
        </is>
      </c>
      <c r="C28" s="42" t="inlineStr">
        <is>
          <t>HEA</t>
        </is>
      </c>
      <c r="D28" s="43" t="n">
        <v>97.59999999999999</v>
      </c>
      <c r="E28" s="42" t="n">
        <v>310</v>
      </c>
      <c r="F28" s="44" t="n"/>
    </row>
    <row r="29">
      <c r="B29" s="42" t="inlineStr">
        <is>
          <t>HEA 340</t>
        </is>
      </c>
      <c r="C29" s="42" t="inlineStr">
        <is>
          <t>HEA</t>
        </is>
      </c>
      <c r="D29" s="43" t="n">
        <v>105</v>
      </c>
      <c r="E29" s="42" t="n">
        <v>330</v>
      </c>
      <c r="F29" s="44" t="n"/>
    </row>
    <row r="30">
      <c r="B30" s="42" t="inlineStr">
        <is>
          <t>HEA 360</t>
        </is>
      </c>
      <c r="C30" s="42" t="inlineStr">
        <is>
          <t>HEA</t>
        </is>
      </c>
      <c r="D30" s="43" t="n">
        <v>112</v>
      </c>
      <c r="E30" s="42" t="n">
        <v>350</v>
      </c>
      <c r="F30" s="44" t="n"/>
    </row>
    <row r="31">
      <c r="B31" s="42" t="inlineStr">
        <is>
          <t>HEA 400</t>
        </is>
      </c>
      <c r="C31" s="42" t="inlineStr">
        <is>
          <t>HEA</t>
        </is>
      </c>
      <c r="D31" s="43" t="n">
        <v>125</v>
      </c>
      <c r="E31" s="42" t="n">
        <v>390</v>
      </c>
      <c r="F31" s="44" t="n"/>
    </row>
    <row r="32">
      <c r="B32" s="42" t="inlineStr">
        <is>
          <t>UPN 80</t>
        </is>
      </c>
      <c r="C32" s="42" t="inlineStr">
        <is>
          <t>UPN</t>
        </is>
      </c>
      <c r="D32" s="43" t="n">
        <v>8.640000000000001</v>
      </c>
      <c r="E32" s="42" t="n">
        <v>80</v>
      </c>
      <c r="F32" s="44" t="n"/>
    </row>
    <row r="33">
      <c r="B33" s="42" t="inlineStr">
        <is>
          <t>UPN 100</t>
        </is>
      </c>
      <c r="C33" s="42" t="inlineStr">
        <is>
          <t>UPN</t>
        </is>
      </c>
      <c r="D33" s="43" t="n">
        <v>10.6</v>
      </c>
      <c r="E33" s="42" t="n">
        <v>100</v>
      </c>
      <c r="F33" s="44" t="n"/>
    </row>
    <row r="34">
      <c r="B34" s="42" t="inlineStr">
        <is>
          <t>UPN 120</t>
        </is>
      </c>
      <c r="C34" s="42" t="inlineStr">
        <is>
          <t>UPN</t>
        </is>
      </c>
      <c r="D34" s="43" t="n">
        <v>13.4</v>
      </c>
      <c r="E34" s="42" t="n">
        <v>120</v>
      </c>
      <c r="F34" s="44" t="n"/>
    </row>
    <row r="35">
      <c r="B35" s="42" t="inlineStr">
        <is>
          <t>UPN 140</t>
        </is>
      </c>
      <c r="C35" s="42" t="inlineStr">
        <is>
          <t>UPN</t>
        </is>
      </c>
      <c r="D35" s="43" t="n">
        <v>16</v>
      </c>
      <c r="E35" s="42" t="n">
        <v>140</v>
      </c>
      <c r="F35" s="44" t="n"/>
    </row>
    <row r="36">
      <c r="B36" s="42" t="inlineStr">
        <is>
          <t>UPN 160</t>
        </is>
      </c>
      <c r="C36" s="42" t="inlineStr">
        <is>
          <t>UPN</t>
        </is>
      </c>
      <c r="D36" s="43" t="n">
        <v>18.8</v>
      </c>
      <c r="E36" s="42" t="n">
        <v>160</v>
      </c>
      <c r="F36" s="44" t="n"/>
    </row>
    <row r="37">
      <c r="B37" s="42" t="inlineStr">
        <is>
          <t>UPN 180</t>
        </is>
      </c>
      <c r="C37" s="42" t="inlineStr">
        <is>
          <t>UPN</t>
        </is>
      </c>
      <c r="D37" s="43" t="n">
        <v>22</v>
      </c>
      <c r="E37" s="42" t="n">
        <v>180</v>
      </c>
      <c r="F37" s="44" t="n"/>
    </row>
    <row r="38">
      <c r="B38" s="42" t="inlineStr">
        <is>
          <t>UPN 200</t>
        </is>
      </c>
      <c r="C38" s="42" t="inlineStr">
        <is>
          <t>UPN</t>
        </is>
      </c>
      <c r="D38" s="43" t="n">
        <v>25.3</v>
      </c>
      <c r="E38" s="42" t="n">
        <v>200</v>
      </c>
      <c r="F38" s="44" t="n"/>
    </row>
    <row r="39">
      <c r="B39" s="42" t="inlineStr">
        <is>
          <t>UPN 220</t>
        </is>
      </c>
      <c r="C39" s="42" t="inlineStr">
        <is>
          <t>UPN</t>
        </is>
      </c>
      <c r="D39" s="43" t="n">
        <v>29.4</v>
      </c>
      <c r="E39" s="42" t="n">
        <v>220</v>
      </c>
      <c r="F39" s="44" t="n"/>
    </row>
    <row r="40">
      <c r="B40" s="42" t="inlineStr">
        <is>
          <t>UPN 240</t>
        </is>
      </c>
      <c r="C40" s="42" t="inlineStr">
        <is>
          <t>UPN</t>
        </is>
      </c>
      <c r="D40" s="43" t="n">
        <v>33.2</v>
      </c>
      <c r="E40" s="42" t="n">
        <v>240</v>
      </c>
      <c r="F40" s="44" t="n"/>
    </row>
    <row r="41">
      <c r="B41" s="42" t="inlineStr">
        <is>
          <t>UPN 260</t>
        </is>
      </c>
      <c r="C41" s="42" t="inlineStr">
        <is>
          <t>UPN</t>
        </is>
      </c>
      <c r="D41" s="43" t="n">
        <v>37.9</v>
      </c>
      <c r="E41" s="42" t="n">
        <v>260</v>
      </c>
      <c r="F41" s="44" t="n"/>
    </row>
    <row r="42">
      <c r="B42" s="42" t="inlineStr">
        <is>
          <t>UPN 300</t>
        </is>
      </c>
      <c r="C42" s="42" t="inlineStr">
        <is>
          <t>UPN</t>
        </is>
      </c>
      <c r="D42" s="43" t="n">
        <v>46.2</v>
      </c>
      <c r="E42" s="42" t="n">
        <v>300</v>
      </c>
      <c r="F42" s="44" t="n"/>
    </row>
    <row r="43">
      <c r="B43" s="42" t="inlineStr">
        <is>
          <t>L 40x4</t>
        </is>
      </c>
      <c r="C43" s="42" t="inlineStr">
        <is>
          <t>Cornière égale</t>
        </is>
      </c>
      <c r="D43" s="43" t="n">
        <v>2.42</v>
      </c>
      <c r="E43" s="42" t="n">
        <v>40</v>
      </c>
      <c r="F43" s="44" t="n"/>
    </row>
    <row r="44">
      <c r="B44" s="42" t="inlineStr">
        <is>
          <t>L 45x4.5</t>
        </is>
      </c>
      <c r="C44" s="42" t="inlineStr">
        <is>
          <t>Cornière égale</t>
        </is>
      </c>
      <c r="D44" s="43" t="n">
        <v>3.06</v>
      </c>
      <c r="E44" s="42" t="n">
        <v>45</v>
      </c>
      <c r="F44" s="44" t="n"/>
    </row>
    <row r="45">
      <c r="B45" s="42" t="inlineStr">
        <is>
          <t>L 50x5</t>
        </is>
      </c>
      <c r="C45" s="42" t="inlineStr">
        <is>
          <t>Cornière égale</t>
        </is>
      </c>
      <c r="D45" s="43" t="n">
        <v>3.77</v>
      </c>
      <c r="E45" s="42" t="n">
        <v>50</v>
      </c>
      <c r="F45" s="44" t="n"/>
    </row>
    <row r="46">
      <c r="B46" s="42" t="inlineStr">
        <is>
          <t>L 60x6</t>
        </is>
      </c>
      <c r="C46" s="42" t="inlineStr">
        <is>
          <t>Cornière égale</t>
        </is>
      </c>
      <c r="D46" s="43" t="n">
        <v>5.42</v>
      </c>
      <c r="E46" s="42" t="n">
        <v>60</v>
      </c>
      <c r="F46" s="44" t="n"/>
    </row>
    <row r="47">
      <c r="B47" s="42" t="inlineStr">
        <is>
          <t>L 70x7</t>
        </is>
      </c>
      <c r="C47" s="42" t="inlineStr">
        <is>
          <t>Cornière égale</t>
        </is>
      </c>
      <c r="D47" s="43" t="n">
        <v>7.38</v>
      </c>
      <c r="E47" s="42" t="n">
        <v>70</v>
      </c>
      <c r="F47" s="44" t="n"/>
    </row>
    <row r="48">
      <c r="B48" s="42" t="inlineStr">
        <is>
          <t>L 80x8</t>
        </is>
      </c>
      <c r="C48" s="42" t="inlineStr">
        <is>
          <t>Cornière égale</t>
        </is>
      </c>
      <c r="D48" s="43" t="n">
        <v>9.630000000000001</v>
      </c>
      <c r="E48" s="42" t="n">
        <v>80</v>
      </c>
      <c r="F48" s="44" t="n"/>
    </row>
    <row r="49">
      <c r="B49" s="42" t="inlineStr">
        <is>
          <t>L 90x9</t>
        </is>
      </c>
      <c r="C49" s="42" t="inlineStr">
        <is>
          <t>Cornière égale</t>
        </is>
      </c>
      <c r="D49" s="43" t="n">
        <v>12.2</v>
      </c>
      <c r="E49" s="42" t="n">
        <v>90</v>
      </c>
      <c r="F49" s="44" t="n"/>
    </row>
    <row r="50">
      <c r="B50" s="42" t="inlineStr">
        <is>
          <t>L 100x10</t>
        </is>
      </c>
      <c r="C50" s="42" t="inlineStr">
        <is>
          <t>Cornière égale</t>
        </is>
      </c>
      <c r="D50" s="43" t="n">
        <v>15</v>
      </c>
      <c r="E50" s="42" t="n">
        <v>100</v>
      </c>
      <c r="F50" s="44" t="n"/>
    </row>
    <row r="51">
      <c r="B51" s="42" t="inlineStr">
        <is>
          <t>Z 120</t>
        </is>
      </c>
      <c r="C51" s="42" t="inlineStr">
        <is>
          <t>Panne Z (formée à froid)</t>
        </is>
      </c>
      <c r="D51" s="43" t="n">
        <v>3.45</v>
      </c>
      <c r="E51" s="42" t="n">
        <v>120</v>
      </c>
      <c r="F51" s="44" t="n"/>
    </row>
    <row r="52">
      <c r="B52" s="42" t="inlineStr">
        <is>
          <t>Z 140</t>
        </is>
      </c>
      <c r="C52" s="42" t="inlineStr">
        <is>
          <t>Panne Z (formée à froid)</t>
        </is>
      </c>
      <c r="D52" s="43" t="n">
        <v>3.8</v>
      </c>
      <c r="E52" s="42" t="n">
        <v>140</v>
      </c>
      <c r="F52" s="44" t="n"/>
    </row>
    <row r="53">
      <c r="B53" s="42" t="inlineStr">
        <is>
          <t>Z 160</t>
        </is>
      </c>
      <c r="C53" s="42" t="inlineStr">
        <is>
          <t>Panne Z (formée à froid)</t>
        </is>
      </c>
      <c r="D53" s="43" t="n">
        <v>4.35</v>
      </c>
      <c r="E53" s="42" t="n">
        <v>160</v>
      </c>
      <c r="F53" s="44" t="n"/>
    </row>
    <row r="54">
      <c r="B54" s="42" t="inlineStr">
        <is>
          <t>Z 180</t>
        </is>
      </c>
      <c r="C54" s="42" t="inlineStr">
        <is>
          <t>Panne Z (formée à froid)</t>
        </is>
      </c>
      <c r="D54" s="43" t="n">
        <v>4.75</v>
      </c>
      <c r="E54" s="42" t="n">
        <v>180</v>
      </c>
      <c r="F54" s="44" t="n"/>
    </row>
    <row r="55">
      <c r="B55" s="42" t="inlineStr">
        <is>
          <t>Z 200</t>
        </is>
      </c>
      <c r="C55" s="42" t="inlineStr">
        <is>
          <t>Panne Z (formée à froid)</t>
        </is>
      </c>
      <c r="D55" s="43" t="n">
        <v>5.2</v>
      </c>
      <c r="E55" s="42" t="n">
        <v>200</v>
      </c>
      <c r="F55" s="44" t="n"/>
    </row>
    <row r="56">
      <c r="B56" s="42" t="inlineStr">
        <is>
          <t>Z 220</t>
        </is>
      </c>
      <c r="C56" s="42" t="inlineStr">
        <is>
          <t>Panne Z (formée à froid)</t>
        </is>
      </c>
      <c r="D56" s="43" t="n">
        <v>6.9</v>
      </c>
      <c r="E56" s="42" t="n">
        <v>220</v>
      </c>
      <c r="F56" s="44" t="n"/>
    </row>
    <row r="57">
      <c r="B57" s="42" t="inlineStr">
        <is>
          <t>Z 250</t>
        </is>
      </c>
      <c r="C57" s="42" t="inlineStr">
        <is>
          <t>Panne Z (formée à froid)</t>
        </is>
      </c>
      <c r="D57" s="43" t="n">
        <v>7.6</v>
      </c>
      <c r="E57" s="42" t="n">
        <v>250</v>
      </c>
      <c r="F57" s="44" t="n"/>
    </row>
    <row r="58">
      <c r="B58" s="42" t="inlineStr">
        <is>
          <t>C 120</t>
        </is>
      </c>
      <c r="C58" s="42" t="inlineStr">
        <is>
          <t>Profil C (formé à froid)</t>
        </is>
      </c>
      <c r="D58" s="43" t="n">
        <v>3.92</v>
      </c>
      <c r="E58" s="42" t="n">
        <v>120</v>
      </c>
      <c r="F58" s="44" t="n"/>
    </row>
    <row r="59">
      <c r="B59" s="42" t="inlineStr">
        <is>
          <t>C 140</t>
        </is>
      </c>
      <c r="C59" s="42" t="inlineStr">
        <is>
          <t>Profil C (formé à froid)</t>
        </is>
      </c>
      <c r="D59" s="43" t="n">
        <v>4.24</v>
      </c>
      <c r="E59" s="42" t="n">
        <v>140</v>
      </c>
      <c r="F59" s="44" t="n"/>
    </row>
    <row r="60">
      <c r="B60" s="42" t="inlineStr">
        <is>
          <t>C 160</t>
        </is>
      </c>
      <c r="C60" s="42" t="inlineStr">
        <is>
          <t>Profil C (formé à froid)</t>
        </is>
      </c>
      <c r="D60" s="43" t="n">
        <v>4.57</v>
      </c>
      <c r="E60" s="42" t="n">
        <v>160</v>
      </c>
      <c r="F60" s="44" t="n"/>
    </row>
    <row r="61">
      <c r="B61" s="42" t="inlineStr">
        <is>
          <t>C 180</t>
        </is>
      </c>
      <c r="C61" s="42" t="inlineStr">
        <is>
          <t>Profil C (formé à froid)</t>
        </is>
      </c>
      <c r="D61" s="43" t="n">
        <v>5.2</v>
      </c>
      <c r="E61" s="42" t="n">
        <v>180</v>
      </c>
      <c r="F61" s="44" t="n"/>
    </row>
    <row r="62">
      <c r="B62" s="42" t="inlineStr">
        <is>
          <t>C 200</t>
        </is>
      </c>
      <c r="C62" s="42" t="inlineStr">
        <is>
          <t>Profil C (formé à froid)</t>
        </is>
      </c>
      <c r="D62" s="43" t="n">
        <v>5.5</v>
      </c>
      <c r="E62" s="42" t="n">
        <v>200</v>
      </c>
      <c r="F62" s="44" t="n"/>
    </row>
    <row r="63">
      <c r="B63" s="42" t="inlineStr">
        <is>
          <t>C 220</t>
        </is>
      </c>
      <c r="C63" s="42" t="inlineStr">
        <is>
          <t>Profil C (formé à froid)</t>
        </is>
      </c>
      <c r="D63" s="43" t="n">
        <v>6.95</v>
      </c>
      <c r="E63" s="42" t="n">
        <v>220</v>
      </c>
      <c r="F63" s="44" t="n"/>
    </row>
    <row r="64">
      <c r="B64" s="42" t="inlineStr">
        <is>
          <t>C 250</t>
        </is>
      </c>
      <c r="C64" s="42" t="inlineStr">
        <is>
          <t>Profil C (formé à froid)</t>
        </is>
      </c>
      <c r="D64" s="43" t="n">
        <v>7.6</v>
      </c>
      <c r="E64" s="42" t="n">
        <v>250</v>
      </c>
      <c r="F64" s="44" t="n"/>
    </row>
    <row r="65">
      <c r="B65" s="42" t="inlineStr">
        <is>
          <t>Tube 40x40x3</t>
        </is>
      </c>
      <c r="C65" s="42" t="inlineStr">
        <is>
          <t>Tube carré</t>
        </is>
      </c>
      <c r="D65" s="43" t="n">
        <v>3.3</v>
      </c>
      <c r="E65" s="42" t="n">
        <v>40</v>
      </c>
      <c r="F65" s="44" t="n"/>
    </row>
    <row r="66">
      <c r="B66" s="42" t="inlineStr">
        <is>
          <t>Tube 50x50x3</t>
        </is>
      </c>
      <c r="C66" s="42" t="inlineStr">
        <is>
          <t>Tube carré</t>
        </is>
      </c>
      <c r="D66" s="43" t="n">
        <v>4.25</v>
      </c>
      <c r="E66" s="42" t="n">
        <v>50</v>
      </c>
      <c r="F66" s="44" t="n"/>
    </row>
    <row r="67">
      <c r="B67" s="42" t="inlineStr">
        <is>
          <t>Tube 60x60x3</t>
        </is>
      </c>
      <c r="C67" s="42" t="inlineStr">
        <is>
          <t>Tube carré</t>
        </is>
      </c>
      <c r="D67" s="43" t="n">
        <v>5.19</v>
      </c>
      <c r="E67" s="42" t="n">
        <v>60</v>
      </c>
      <c r="F67" s="44" t="n"/>
    </row>
    <row r="68">
      <c r="B68" s="42" t="inlineStr">
        <is>
          <t>Tube 80x80x4</t>
        </is>
      </c>
      <c r="C68" s="42" t="inlineStr">
        <is>
          <t>Tube carré</t>
        </is>
      </c>
      <c r="D68" s="43" t="n">
        <v>9.220000000000001</v>
      </c>
      <c r="E68" s="42" t="n">
        <v>80</v>
      </c>
      <c r="F68" s="44" t="n"/>
    </row>
    <row r="69">
      <c r="B69" s="42" t="inlineStr">
        <is>
          <t>Tube 100x100x4</t>
        </is>
      </c>
      <c r="C69" s="42" t="inlineStr">
        <is>
          <t>Tube carré</t>
        </is>
      </c>
      <c r="D69" s="43" t="n">
        <v>11.7</v>
      </c>
      <c r="E69" s="42" t="n">
        <v>100</v>
      </c>
      <c r="F69" s="44" t="n"/>
    </row>
    <row r="70">
      <c r="B70" s="42" t="inlineStr">
        <is>
          <t>Tube 100x100x5</t>
        </is>
      </c>
      <c r="C70" s="42" t="inlineStr">
        <is>
          <t>Tube carré</t>
        </is>
      </c>
      <c r="D70" s="43" t="n">
        <v>14.4</v>
      </c>
      <c r="E70" s="42" t="n">
        <v>100</v>
      </c>
      <c r="F70" s="44" t="n"/>
    </row>
    <row r="71">
      <c r="B71" s="42" t="inlineStr">
        <is>
          <t>Tube 120x120x5</t>
        </is>
      </c>
      <c r="C71" s="42" t="inlineStr">
        <is>
          <t>Tube carré</t>
        </is>
      </c>
      <c r="D71" s="43" t="n">
        <v>17.5</v>
      </c>
      <c r="E71" s="42" t="n">
        <v>120</v>
      </c>
      <c r="F71" s="44" t="n"/>
    </row>
    <row r="72">
      <c r="B72" s="42" t="inlineStr">
        <is>
          <t>Tube Ø60.3x3.2</t>
        </is>
      </c>
      <c r="C72" s="42" t="inlineStr">
        <is>
          <t>Tube rond</t>
        </is>
      </c>
      <c r="D72" s="43" t="n">
        <v>4.51</v>
      </c>
      <c r="E72" s="42" t="n">
        <v>60</v>
      </c>
      <c r="F72" s="44" t="n"/>
    </row>
    <row r="73">
      <c r="B73" s="42" t="inlineStr">
        <is>
          <t>Tube Ø76.1x3.2</t>
        </is>
      </c>
      <c r="C73" s="42" t="inlineStr">
        <is>
          <t>Tube rond</t>
        </is>
      </c>
      <c r="D73" s="43" t="n">
        <v>5.75</v>
      </c>
      <c r="E73" s="42" t="n">
        <v>76</v>
      </c>
      <c r="F73" s="44" t="n"/>
    </row>
    <row r="74">
      <c r="B74" s="42" t="inlineStr">
        <is>
          <t>Tube Ø88.9x4</t>
        </is>
      </c>
      <c r="C74" s="42" t="inlineStr">
        <is>
          <t>Tube rond</t>
        </is>
      </c>
      <c r="D74" s="43" t="n">
        <v>8.380000000000001</v>
      </c>
      <c r="E74" s="42" t="n">
        <v>88</v>
      </c>
      <c r="F74" s="44" t="n"/>
    </row>
    <row r="75">
      <c r="B75" s="42" t="inlineStr">
        <is>
          <t>Tube Ø114.3x4</t>
        </is>
      </c>
      <c r="C75" s="42" t="inlineStr">
        <is>
          <t>Tube rond</t>
        </is>
      </c>
      <c r="D75" s="43" t="n">
        <v>10.9</v>
      </c>
      <c r="E75" s="42" t="n">
        <v>114</v>
      </c>
      <c r="F75" s="44" t="n"/>
    </row>
    <row r="76">
      <c r="B76" s="42" t="inlineStr">
        <is>
          <t>Rond 10</t>
        </is>
      </c>
      <c r="C76" s="42" t="inlineStr">
        <is>
          <t>Rond plein (tirants, liernes, tiges)</t>
        </is>
      </c>
      <c r="D76" s="43" t="n">
        <v>0.617</v>
      </c>
      <c r="E76" s="42" t="n">
        <v>10</v>
      </c>
      <c r="F76" s="44" t="n"/>
    </row>
    <row r="77">
      <c r="B77" s="42" t="inlineStr">
        <is>
          <t>Rond 12</t>
        </is>
      </c>
      <c r="C77" s="42" t="inlineStr">
        <is>
          <t>Rond plein (tirants, liernes, tiges)</t>
        </is>
      </c>
      <c r="D77" s="43" t="n">
        <v>0.888</v>
      </c>
      <c r="E77" s="42" t="n">
        <v>12</v>
      </c>
      <c r="F77" s="44" t="n"/>
    </row>
    <row r="78">
      <c r="B78" s="42" t="inlineStr">
        <is>
          <t>Rond 14</t>
        </is>
      </c>
      <c r="C78" s="42" t="inlineStr">
        <is>
          <t>Rond plein (tirants, liernes, tiges)</t>
        </is>
      </c>
      <c r="D78" s="43" t="n">
        <v>1.21</v>
      </c>
      <c r="E78" s="42" t="n">
        <v>14</v>
      </c>
      <c r="F78" s="44" t="n"/>
    </row>
    <row r="79">
      <c r="B79" s="42" t="inlineStr">
        <is>
          <t>Rond 16</t>
        </is>
      </c>
      <c r="C79" s="42" t="inlineStr">
        <is>
          <t>Rond plein (tirants, liernes, tiges)</t>
        </is>
      </c>
      <c r="D79" s="43" t="n">
        <v>1.58</v>
      </c>
      <c r="E79" s="42" t="n">
        <v>16</v>
      </c>
      <c r="F79" s="44" t="n"/>
    </row>
    <row r="80">
      <c r="B80" s="42" t="inlineStr">
        <is>
          <t>Rond 18</t>
        </is>
      </c>
      <c r="C80" s="42" t="inlineStr">
        <is>
          <t>Rond plein (tirants, liernes, tiges)</t>
        </is>
      </c>
      <c r="D80" s="43" t="n">
        <v>2</v>
      </c>
      <c r="E80" s="42" t="n">
        <v>18</v>
      </c>
      <c r="F80" s="44" t="n"/>
    </row>
    <row r="81">
      <c r="B81" s="42" t="inlineStr">
        <is>
          <t>Rond 20</t>
        </is>
      </c>
      <c r="C81" s="42" t="inlineStr">
        <is>
          <t>Rond plein (tirants, liernes, tiges)</t>
        </is>
      </c>
      <c r="D81" s="43" t="n">
        <v>2.47</v>
      </c>
      <c r="E81" s="42" t="n">
        <v>20</v>
      </c>
      <c r="F81" s="44" t="n"/>
    </row>
    <row r="82">
      <c r="B82" s="42" t="inlineStr">
        <is>
          <t>Rond 22</t>
        </is>
      </c>
      <c r="C82" s="42" t="inlineStr">
        <is>
          <t>Rond plein (tirants, liernes, tiges)</t>
        </is>
      </c>
      <c r="D82" s="43" t="n">
        <v>2.98</v>
      </c>
      <c r="E82" s="42" t="n">
        <v>22</v>
      </c>
      <c r="F82" s="44" t="n"/>
    </row>
    <row r="83">
      <c r="B83" s="42" t="inlineStr">
        <is>
          <t>Rond 24</t>
        </is>
      </c>
      <c r="C83" s="42" t="inlineStr">
        <is>
          <t>Rond plein (tirants, liernes, tiges)</t>
        </is>
      </c>
      <c r="D83" s="43" t="n">
        <v>3.55</v>
      </c>
      <c r="E83" s="42" t="n">
        <v>24</v>
      </c>
      <c r="F83" s="44" t="n"/>
    </row>
    <row r="84">
      <c r="B84" s="42" t="inlineStr">
        <is>
          <t>Rond 27</t>
        </is>
      </c>
      <c r="C84" s="42" t="inlineStr">
        <is>
          <t>Rond plein (tirants, liernes, tiges)</t>
        </is>
      </c>
      <c r="D84" s="43" t="n">
        <v>4.49</v>
      </c>
      <c r="E84" s="42" t="n">
        <v>27</v>
      </c>
      <c r="F84" s="44" t="n"/>
    </row>
    <row r="85">
      <c r="B85" s="42" t="inlineStr">
        <is>
          <t>Rond 30</t>
        </is>
      </c>
      <c r="C85" s="42" t="inlineStr">
        <is>
          <t>Rond plein (tirants, liernes, tiges)</t>
        </is>
      </c>
      <c r="D85" s="43" t="n">
        <v>5.55</v>
      </c>
      <c r="E85" s="42" t="n">
        <v>30</v>
      </c>
      <c r="F85" s="44" t="n"/>
    </row>
    <row r="86">
      <c r="B86" s="45" t="n"/>
      <c r="C86" s="45" t="n"/>
      <c r="D86" s="45" t="n"/>
      <c r="E86" s="45" t="n"/>
    </row>
    <row r="87">
      <c r="B87" s="45" t="n"/>
      <c r="C87" s="45" t="n"/>
      <c r="D87" s="45" t="n"/>
      <c r="E87" s="45" t="n"/>
    </row>
    <row r="88">
      <c r="B88" s="45" t="n"/>
      <c r="C88" s="45" t="n"/>
      <c r="D88" s="45" t="n"/>
      <c r="E88" s="45" t="n"/>
    </row>
    <row r="89">
      <c r="B89" s="45" t="n"/>
      <c r="C89" s="45" t="n"/>
      <c r="D89" s="45" t="n"/>
      <c r="E89" s="45" t="n"/>
    </row>
    <row r="90">
      <c r="B90" s="45" t="n"/>
      <c r="C90" s="45" t="n"/>
      <c r="D90" s="45" t="n"/>
      <c r="E90" s="45" t="n"/>
    </row>
    <row r="91">
      <c r="B91" s="45" t="n"/>
      <c r="C91" s="45" t="n"/>
      <c r="D91" s="45" t="n"/>
      <c r="E91" s="45" t="n"/>
    </row>
    <row r="92">
      <c r="B92" s="45" t="n"/>
      <c r="C92" s="45" t="n"/>
      <c r="D92" s="45" t="n"/>
      <c r="E92" s="45" t="n"/>
    </row>
    <row r="93">
      <c r="B93" s="45" t="n"/>
      <c r="C93" s="45" t="n"/>
      <c r="D93" s="45" t="n"/>
      <c r="E93" s="45" t="n"/>
    </row>
    <row r="94">
      <c r="B94" s="45" t="n"/>
      <c r="C94" s="45" t="n"/>
      <c r="D94" s="45" t="n"/>
      <c r="E94" s="45" t="n"/>
    </row>
    <row r="95">
      <c r="B95" s="45" t="n"/>
      <c r="C95" s="45" t="n"/>
      <c r="D95" s="45" t="n"/>
      <c r="E95" s="45" t="n"/>
    </row>
    <row r="96">
      <c r="B96" s="45" t="n"/>
      <c r="C96" s="45" t="n"/>
      <c r="D96" s="45" t="n"/>
      <c r="E96" s="45" t="n"/>
    </row>
    <row r="97">
      <c r="B97" s="45" t="n"/>
      <c r="C97" s="45" t="n"/>
      <c r="D97" s="45" t="n"/>
      <c r="E97" s="45" t="n"/>
    </row>
    <row r="98">
      <c r="B98" s="45" t="n"/>
      <c r="C98" s="45" t="n"/>
      <c r="D98" s="45" t="n"/>
      <c r="E98" s="45" t="n"/>
    </row>
    <row r="99">
      <c r="B99" s="45" t="n"/>
      <c r="C99" s="45" t="n"/>
      <c r="D99" s="45" t="n"/>
      <c r="E99" s="45" t="n"/>
    </row>
    <row r="100">
      <c r="B100" s="45" t="n"/>
      <c r="C100" s="45" t="n"/>
      <c r="D100" s="45" t="n"/>
      <c r="E100" s="45" t="n"/>
    </row>
    <row r="101">
      <c r="B101" s="45" t="n"/>
      <c r="C101" s="45" t="n"/>
      <c r="D101" s="45" t="n"/>
      <c r="E101" s="45" t="n"/>
    </row>
    <row r="102">
      <c r="B102" s="45" t="n"/>
      <c r="C102" s="45" t="n"/>
      <c r="D102" s="45" t="n"/>
      <c r="E102" s="45" t="n"/>
    </row>
    <row r="103">
      <c r="B103" s="45" t="n"/>
      <c r="C103" s="45" t="n"/>
      <c r="D103" s="45" t="n"/>
      <c r="E103" s="45" t="n"/>
    </row>
    <row r="104">
      <c r="B104" s="45" t="n"/>
      <c r="C104" s="45" t="n"/>
      <c r="D104" s="45" t="n"/>
      <c r="E104" s="45" t="n"/>
    </row>
    <row r="105">
      <c r="B105" s="45" t="n"/>
      <c r="C105" s="45" t="n"/>
      <c r="D105" s="45" t="n"/>
      <c r="E105" s="45" t="n"/>
    </row>
    <row r="106">
      <c r="B106" s="45" t="n"/>
      <c r="C106" s="45" t="n"/>
      <c r="D106" s="45" t="n"/>
      <c r="E106" s="45" t="n"/>
    </row>
    <row r="107">
      <c r="B107" s="45" t="n"/>
      <c r="C107" s="45" t="n"/>
      <c r="D107" s="45" t="n"/>
      <c r="E107" s="45" t="n"/>
    </row>
    <row r="108">
      <c r="B108" s="45" t="n"/>
      <c r="C108" s="45" t="n"/>
      <c r="D108" s="45" t="n"/>
      <c r="E108" s="45" t="n"/>
    </row>
    <row r="109">
      <c r="B109" s="45" t="n"/>
      <c r="C109" s="45" t="n"/>
      <c r="D109" s="45" t="n"/>
      <c r="E109" s="45" t="n"/>
    </row>
    <row r="110">
      <c r="B110" s="45" t="n"/>
      <c r="C110" s="45" t="n"/>
      <c r="D110" s="45" t="n"/>
      <c r="E110" s="45" t="n"/>
    </row>
    <row r="111">
      <c r="B111" s="45" t="n"/>
      <c r="C111" s="45" t="n"/>
      <c r="D111" s="45" t="n"/>
      <c r="E111" s="45" t="n"/>
    </row>
    <row r="112">
      <c r="B112" s="45" t="n"/>
      <c r="C112" s="45" t="n"/>
      <c r="D112" s="45" t="n"/>
      <c r="E112" s="45" t="n"/>
    </row>
    <row r="113">
      <c r="B113" s="45" t="n"/>
      <c r="C113" s="45" t="n"/>
      <c r="D113" s="45" t="n"/>
      <c r="E113" s="45" t="n"/>
    </row>
    <row r="114">
      <c r="B114" s="45" t="n"/>
      <c r="C114" s="45" t="n"/>
      <c r="D114" s="45" t="n"/>
      <c r="E114" s="45" t="n"/>
    </row>
    <row r="115">
      <c r="B115" s="45" t="n"/>
      <c r="C115" s="45" t="n"/>
      <c r="D115" s="45" t="n"/>
      <c r="E115" s="45" t="n"/>
    </row>
    <row r="116">
      <c r="B116" s="45" t="n"/>
      <c r="C116" s="45" t="n"/>
      <c r="D116" s="45" t="n"/>
      <c r="E116" s="45" t="n"/>
    </row>
    <row r="117">
      <c r="B117" s="45" t="n"/>
      <c r="C117" s="45" t="n"/>
      <c r="D117" s="45" t="n"/>
      <c r="E117" s="45" t="n"/>
    </row>
    <row r="118">
      <c r="B118" s="45" t="n"/>
      <c r="C118" s="45" t="n"/>
      <c r="D118" s="45" t="n"/>
      <c r="E118" s="45" t="n"/>
    </row>
    <row r="119">
      <c r="B119" s="45" t="n"/>
      <c r="C119" s="45" t="n"/>
      <c r="D119" s="45" t="n"/>
      <c r="E119" s="45" t="n"/>
    </row>
    <row r="120">
      <c r="B120" s="45" t="n"/>
      <c r="C120" s="45" t="n"/>
      <c r="D120" s="45" t="n"/>
      <c r="E120" s="45" t="n"/>
    </row>
    <row r="121">
      <c r="B121" s="45" t="n"/>
      <c r="C121" s="45" t="n"/>
      <c r="D121" s="45" t="n"/>
      <c r="E121" s="45" t="n"/>
    </row>
    <row r="122">
      <c r="B122" s="45" t="n"/>
      <c r="C122" s="45" t="n"/>
      <c r="D122" s="45" t="n"/>
      <c r="E122" s="45" t="n"/>
    </row>
    <row r="123">
      <c r="B123" s="45" t="n"/>
      <c r="C123" s="45" t="n"/>
      <c r="D123" s="45" t="n"/>
      <c r="E123" s="45" t="n"/>
    </row>
    <row r="124">
      <c r="B124" s="45" t="n"/>
      <c r="C124" s="45" t="n"/>
      <c r="D124" s="45" t="n"/>
      <c r="E124" s="45" t="n"/>
    </row>
    <row r="125">
      <c r="B125" s="45" t="n"/>
      <c r="C125" s="45" t="n"/>
      <c r="D125" s="45" t="n"/>
      <c r="E125" s="45" t="n"/>
    </row>
    <row r="126">
      <c r="B126" s="45" t="n"/>
      <c r="C126" s="45" t="n"/>
      <c r="D126" s="45" t="n"/>
      <c r="E126" s="45" t="n"/>
    </row>
    <row r="127">
      <c r="B127" s="45" t="n"/>
      <c r="C127" s="45" t="n"/>
      <c r="D127" s="45" t="n"/>
      <c r="E127" s="45" t="n"/>
    </row>
    <row r="128">
      <c r="B128" s="45" t="n"/>
      <c r="C128" s="45" t="n"/>
      <c r="D128" s="45" t="n"/>
      <c r="E128" s="45" t="n"/>
    </row>
    <row r="129">
      <c r="B129" s="45" t="n"/>
      <c r="C129" s="45" t="n"/>
      <c r="D129" s="45" t="n"/>
      <c r="E129" s="45" t="n"/>
    </row>
    <row r="130">
      <c r="B130" s="45" t="n"/>
      <c r="C130" s="45" t="n"/>
      <c r="D130" s="45" t="n"/>
      <c r="E130" s="45" t="n"/>
    </row>
    <row r="131">
      <c r="B131" s="45" t="n"/>
      <c r="C131" s="45" t="n"/>
      <c r="D131" s="45" t="n"/>
      <c r="E131" s="45" t="n"/>
    </row>
    <row r="132">
      <c r="B132" s="45" t="n"/>
      <c r="C132" s="45" t="n"/>
      <c r="D132" s="45" t="n"/>
      <c r="E132" s="45" t="n"/>
    </row>
    <row r="133">
      <c r="B133" s="45" t="n"/>
      <c r="C133" s="45" t="n"/>
      <c r="D133" s="45" t="n"/>
      <c r="E133" s="45" t="n"/>
    </row>
    <row r="134">
      <c r="B134" s="45" t="n"/>
      <c r="C134" s="45" t="n"/>
      <c r="D134" s="45" t="n"/>
      <c r="E134" s="45" t="n"/>
    </row>
    <row r="135">
      <c r="B135" s="45" t="n"/>
      <c r="C135" s="45" t="n"/>
      <c r="D135" s="45" t="n"/>
      <c r="E135" s="45" t="n"/>
    </row>
    <row r="136">
      <c r="B136" s="45" t="n"/>
      <c r="C136" s="45" t="n"/>
      <c r="D136" s="45" t="n"/>
      <c r="E136" s="45" t="n"/>
    </row>
    <row r="137">
      <c r="B137" s="45" t="n"/>
      <c r="C137" s="45" t="n"/>
      <c r="D137" s="45" t="n"/>
      <c r="E137" s="45" t="n"/>
    </row>
    <row r="138">
      <c r="B138" s="45" t="n"/>
      <c r="C138" s="45" t="n"/>
      <c r="D138" s="45" t="n"/>
      <c r="E138" s="45" t="n"/>
    </row>
    <row r="139">
      <c r="B139" s="45" t="n"/>
      <c r="C139" s="45" t="n"/>
      <c r="D139" s="45" t="n"/>
      <c r="E139" s="45" t="n"/>
    </row>
    <row r="140">
      <c r="B140" s="45" t="n"/>
      <c r="C140" s="45" t="n"/>
      <c r="D140" s="45" t="n"/>
      <c r="E140" s="45" t="n"/>
    </row>
    <row r="141">
      <c r="B141" s="45" t="n"/>
      <c r="C141" s="45" t="n"/>
      <c r="D141" s="45" t="n"/>
      <c r="E141" s="45" t="n"/>
    </row>
    <row r="142">
      <c r="B142" s="45" t="n"/>
      <c r="C142" s="45" t="n"/>
      <c r="D142" s="45" t="n"/>
      <c r="E142" s="45" t="n"/>
    </row>
    <row r="143">
      <c r="B143" s="45" t="n"/>
      <c r="C143" s="45" t="n"/>
      <c r="D143" s="45" t="n"/>
      <c r="E143" s="45" t="n"/>
    </row>
    <row r="144">
      <c r="B144" s="45" t="n"/>
      <c r="C144" s="45" t="n"/>
      <c r="D144" s="45" t="n"/>
      <c r="E144" s="45" t="n"/>
    </row>
    <row r="145">
      <c r="B145" s="45" t="n"/>
      <c r="C145" s="45" t="n"/>
      <c r="D145" s="45" t="n"/>
      <c r="E145" s="45" t="n"/>
    </row>
    <row r="146">
      <c r="B146" s="45" t="n"/>
      <c r="C146" s="45" t="n"/>
      <c r="D146" s="45" t="n"/>
      <c r="E146" s="45" t="n"/>
    </row>
    <row r="147">
      <c r="B147" s="45" t="n"/>
      <c r="C147" s="45" t="n"/>
      <c r="D147" s="45" t="n"/>
      <c r="E147" s="45" t="n"/>
    </row>
    <row r="148">
      <c r="B148" s="45" t="n"/>
      <c r="C148" s="45" t="n"/>
      <c r="D148" s="45" t="n"/>
      <c r="E148" s="45" t="n"/>
    </row>
    <row r="149">
      <c r="B149" s="45" t="n"/>
      <c r="C149" s="45" t="n"/>
      <c r="D149" s="45" t="n"/>
      <c r="E149" s="45" t="n"/>
    </row>
    <row r="150">
      <c r="B150" s="45" t="n"/>
      <c r="C150" s="45" t="n"/>
      <c r="D150" s="45" t="n"/>
      <c r="E150" s="45" t="n"/>
    </row>
    <row r="151">
      <c r="B151" s="45" t="n"/>
      <c r="C151" s="45" t="n"/>
      <c r="D151" s="45" t="n"/>
      <c r="E151" s="45" t="n"/>
    </row>
    <row r="152">
      <c r="B152" s="45" t="n"/>
      <c r="C152" s="45" t="n"/>
      <c r="D152" s="45" t="n"/>
      <c r="E152" s="45" t="n"/>
    </row>
    <row r="153">
      <c r="B153" s="45" t="n"/>
      <c r="C153" s="45" t="n"/>
      <c r="D153" s="45" t="n"/>
      <c r="E153" s="45" t="n"/>
    </row>
    <row r="154">
      <c r="B154" s="45" t="n"/>
      <c r="C154" s="45" t="n"/>
      <c r="D154" s="45" t="n"/>
      <c r="E154" s="45" t="n"/>
    </row>
    <row r="155">
      <c r="B155" s="45" t="n"/>
      <c r="C155" s="45" t="n"/>
      <c r="D155" s="45" t="n"/>
      <c r="E155" s="45" t="n"/>
    </row>
    <row r="156">
      <c r="B156" s="45" t="n"/>
      <c r="C156" s="45" t="n"/>
      <c r="D156" s="45" t="n"/>
      <c r="E156" s="45" t="n"/>
    </row>
    <row r="157">
      <c r="B157" s="45" t="n"/>
      <c r="C157" s="45" t="n"/>
      <c r="D157" s="45" t="n"/>
      <c r="E157" s="45" t="n"/>
    </row>
    <row r="158">
      <c r="B158" s="45" t="n"/>
      <c r="C158" s="45" t="n"/>
      <c r="D158" s="45" t="n"/>
      <c r="E158" s="45" t="n"/>
    </row>
    <row r="159">
      <c r="B159" s="45" t="n"/>
      <c r="C159" s="45" t="n"/>
      <c r="D159" s="45" t="n"/>
      <c r="E159" s="45" t="n"/>
    </row>
    <row r="160">
      <c r="B160" s="45" t="n"/>
      <c r="C160" s="45" t="n"/>
      <c r="D160" s="45" t="n"/>
      <c r="E160" s="45" t="n"/>
    </row>
    <row r="161">
      <c r="B161" s="45" t="n"/>
      <c r="C161" s="45" t="n"/>
      <c r="D161" s="45" t="n"/>
      <c r="E161" s="45" t="n"/>
    </row>
    <row r="162">
      <c r="B162" s="45" t="n"/>
      <c r="C162" s="45" t="n"/>
      <c r="D162" s="45" t="n"/>
      <c r="E162" s="45" t="n"/>
    </row>
    <row r="163">
      <c r="B163" s="45" t="n"/>
      <c r="C163" s="45" t="n"/>
      <c r="D163" s="45" t="n"/>
      <c r="E163" s="45" t="n"/>
    </row>
    <row r="164">
      <c r="B164" s="45" t="n"/>
      <c r="C164" s="45" t="n"/>
      <c r="D164" s="45" t="n"/>
      <c r="E164" s="45" t="n"/>
    </row>
    <row r="165">
      <c r="B165" s="45" t="n"/>
      <c r="C165" s="45" t="n"/>
      <c r="D165" s="45" t="n"/>
      <c r="E165" s="45" t="n"/>
    </row>
    <row r="166">
      <c r="B166" s="45" t="n"/>
      <c r="C166" s="45" t="n"/>
      <c r="D166" s="45" t="n"/>
      <c r="E166" s="45" t="n"/>
    </row>
    <row r="167">
      <c r="B167" s="45" t="n"/>
      <c r="C167" s="45" t="n"/>
      <c r="D167" s="45" t="n"/>
      <c r="E167" s="45" t="n"/>
    </row>
    <row r="168">
      <c r="B168" s="45" t="n"/>
      <c r="C168" s="45" t="n"/>
      <c r="D168" s="45" t="n"/>
      <c r="E168" s="45" t="n"/>
    </row>
    <row r="169">
      <c r="B169" s="45" t="n"/>
      <c r="C169" s="45" t="n"/>
      <c r="D169" s="45" t="n"/>
      <c r="E169" s="45" t="n"/>
    </row>
    <row r="170">
      <c r="B170" s="45" t="n"/>
      <c r="C170" s="45" t="n"/>
      <c r="D170" s="45" t="n"/>
      <c r="E170" s="45" t="n"/>
    </row>
    <row r="171">
      <c r="B171" s="45" t="n"/>
      <c r="C171" s="45" t="n"/>
      <c r="D171" s="45" t="n"/>
      <c r="E171" s="45" t="n"/>
    </row>
    <row r="172">
      <c r="B172" s="45" t="n"/>
      <c r="C172" s="45" t="n"/>
      <c r="D172" s="45" t="n"/>
      <c r="E172" s="45" t="n"/>
    </row>
    <row r="173">
      <c r="B173" s="45" t="n"/>
      <c r="C173" s="45" t="n"/>
      <c r="D173" s="45" t="n"/>
      <c r="E173" s="45" t="n"/>
    </row>
    <row r="174">
      <c r="B174" s="45" t="n"/>
      <c r="C174" s="45" t="n"/>
      <c r="D174" s="45" t="n"/>
      <c r="E174" s="45" t="n"/>
    </row>
    <row r="175">
      <c r="B175" s="45" t="n"/>
      <c r="C175" s="45" t="n"/>
      <c r="D175" s="45" t="n"/>
      <c r="E175" s="45" t="n"/>
    </row>
    <row r="176">
      <c r="B176" s="45" t="n"/>
      <c r="C176" s="45" t="n"/>
      <c r="D176" s="45" t="n"/>
      <c r="E176" s="45" t="n"/>
    </row>
    <row r="177">
      <c r="B177" s="45" t="n"/>
      <c r="C177" s="45" t="n"/>
      <c r="D177" s="45" t="n"/>
      <c r="E177" s="45" t="n"/>
    </row>
    <row r="178">
      <c r="B178" s="45" t="n"/>
      <c r="C178" s="45" t="n"/>
      <c r="D178" s="45" t="n"/>
      <c r="E178" s="45" t="n"/>
    </row>
    <row r="179">
      <c r="B179" s="45" t="n"/>
      <c r="C179" s="45" t="n"/>
      <c r="D179" s="45" t="n"/>
      <c r="E179" s="45" t="n"/>
    </row>
    <row r="180">
      <c r="B180" s="45" t="n"/>
      <c r="C180" s="45" t="n"/>
      <c r="D180" s="45" t="n"/>
      <c r="E180" s="45" t="n"/>
    </row>
    <row r="181">
      <c r="B181" s="45" t="n"/>
      <c r="C181" s="45" t="n"/>
      <c r="D181" s="45" t="n"/>
      <c r="E181" s="45" t="n"/>
    </row>
    <row r="182">
      <c r="B182" s="45" t="n"/>
      <c r="C182" s="45" t="n"/>
      <c r="D182" s="45" t="n"/>
      <c r="E182" s="45" t="n"/>
    </row>
    <row r="183">
      <c r="B183" s="45" t="n"/>
      <c r="C183" s="45" t="n"/>
      <c r="D183" s="45" t="n"/>
      <c r="E183" s="45" t="n"/>
    </row>
    <row r="184">
      <c r="B184" s="45" t="n"/>
      <c r="C184" s="45" t="n"/>
      <c r="D184" s="45" t="n"/>
      <c r="E184" s="45" t="n"/>
    </row>
    <row r="185">
      <c r="B185" s="45" t="n"/>
      <c r="C185" s="45" t="n"/>
      <c r="D185" s="45" t="n"/>
      <c r="E185" s="45" t="n"/>
    </row>
    <row r="186">
      <c r="B186" s="45" t="n"/>
      <c r="C186" s="45" t="n"/>
      <c r="D186" s="45" t="n"/>
      <c r="E186" s="45" t="n"/>
    </row>
    <row r="187">
      <c r="B187" s="45" t="n"/>
      <c r="C187" s="45" t="n"/>
      <c r="D187" s="45" t="n"/>
      <c r="E187" s="45" t="n"/>
    </row>
    <row r="188">
      <c r="B188" s="45" t="n"/>
      <c r="C188" s="45" t="n"/>
      <c r="D188" s="45" t="n"/>
      <c r="E188" s="45" t="n"/>
    </row>
    <row r="189">
      <c r="B189" s="45" t="n"/>
      <c r="C189" s="45" t="n"/>
      <c r="D189" s="45" t="n"/>
      <c r="E189" s="45" t="n"/>
    </row>
    <row r="190">
      <c r="B190" s="45" t="n"/>
      <c r="C190" s="45" t="n"/>
      <c r="D190" s="45" t="n"/>
      <c r="E190" s="45" t="n"/>
    </row>
    <row r="191">
      <c r="B191" s="45" t="n"/>
      <c r="C191" s="45" t="n"/>
      <c r="D191" s="45" t="n"/>
      <c r="E191" s="45" t="n"/>
    </row>
    <row r="192">
      <c r="B192" s="45" t="n"/>
      <c r="C192" s="45" t="n"/>
      <c r="D192" s="45" t="n"/>
      <c r="E192" s="45" t="n"/>
    </row>
    <row r="193">
      <c r="B193" s="45" t="n"/>
      <c r="C193" s="45" t="n"/>
      <c r="D193" s="45" t="n"/>
      <c r="E193" s="45" t="n"/>
    </row>
    <row r="194">
      <c r="B194" s="45" t="n"/>
      <c r="C194" s="45" t="n"/>
      <c r="D194" s="45" t="n"/>
      <c r="E194" s="45" t="n"/>
    </row>
    <row r="195">
      <c r="B195" s="45" t="n"/>
      <c r="C195" s="45" t="n"/>
      <c r="D195" s="45" t="n"/>
      <c r="E195" s="45" t="n"/>
    </row>
    <row r="196">
      <c r="B196" s="45" t="n"/>
      <c r="C196" s="45" t="n"/>
      <c r="D196" s="45" t="n"/>
      <c r="E196" s="45" t="n"/>
    </row>
    <row r="197">
      <c r="B197" s="45" t="n"/>
      <c r="C197" s="45" t="n"/>
      <c r="D197" s="45" t="n"/>
      <c r="E197" s="45" t="n"/>
    </row>
    <row r="198">
      <c r="B198" s="45" t="n"/>
      <c r="C198" s="45" t="n"/>
      <c r="D198" s="45" t="n"/>
      <c r="E198" s="45" t="n"/>
    </row>
    <row r="199">
      <c r="B199" s="45" t="n"/>
      <c r="C199" s="45" t="n"/>
      <c r="D199" s="45" t="n"/>
      <c r="E199" s="45" t="n"/>
    </row>
    <row r="200">
      <c r="B200" s="45" t="n"/>
      <c r="C200" s="45" t="n"/>
      <c r="D200" s="45" t="n"/>
      <c r="E200" s="45" t="n"/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&amp;L&amp;8 &amp;A&amp;C&amp;8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0" customWidth="1" min="3" max="3"/>
    <col width="10" customWidth="1" min="4" max="4"/>
    <col width="14" customWidth="1" min="5" max="5"/>
    <col width="40" customWidth="1" min="6" max="6"/>
  </cols>
  <sheetData>
    <row r="1" ht="24" customHeight="1">
      <c r="A1" s="20" t="inlineStr">
        <is>
          <t>BASE DES ACIERS HA – poids en kg/ml</t>
        </is>
      </c>
    </row>
    <row r="2">
      <c r="A2" s="3" t="inlineStr">
        <is>
          <t>Aciers à haute adhérence FeE500 – barres commerciales de 12 m</t>
        </is>
      </c>
    </row>
    <row r="4" ht="30" customHeight="1">
      <c r="B4" s="8" t="inlineStr">
        <is>
          <t>Désignation</t>
        </is>
      </c>
      <c r="C4" s="8" t="inlineStr">
        <is>
          <t>Ø (mm)</t>
        </is>
      </c>
      <c r="D4" s="8" t="inlineStr">
        <is>
          <t>kg/ml</t>
        </is>
      </c>
      <c r="E4" s="8" t="inlineStr">
        <is>
          <t>Section (cm²)</t>
        </is>
      </c>
      <c r="F4" s="8" t="inlineStr">
        <is>
          <t>Remarque</t>
        </is>
      </c>
    </row>
    <row r="5">
      <c r="B5" s="46" t="inlineStr">
        <is>
          <t>HA6</t>
        </is>
      </c>
      <c r="C5" s="47" t="n">
        <v>6</v>
      </c>
      <c r="D5" s="48" t="n">
        <v>0.222</v>
      </c>
      <c r="E5" s="49">
        <f>PI()*C5^2/400</f>
        <v>0.282743338823081</v>
      </c>
      <c r="F5" s="44" t="inlineStr">
        <is>
          <t>Poids = 7 850 kg/m³ × π Ø² / 4</t>
        </is>
      </c>
    </row>
    <row r="6">
      <c r="B6" s="46" t="inlineStr">
        <is>
          <t>HA8</t>
        </is>
      </c>
      <c r="C6" s="47" t="n">
        <v>8</v>
      </c>
      <c r="D6" s="48" t="n">
        <v>0.395</v>
      </c>
      <c r="E6" s="49">
        <f>PI()*C6^2/400</f>
        <v>0.502654824574367</v>
      </c>
      <c r="F6" s="44" t="n"/>
    </row>
    <row r="7">
      <c r="B7" s="46" t="inlineStr">
        <is>
          <t>HA10</t>
        </is>
      </c>
      <c r="C7" s="47" t="n">
        <v>10</v>
      </c>
      <c r="D7" s="48" t="n">
        <v>0.617</v>
      </c>
      <c r="E7" s="49">
        <f>PI()*C7^2/400</f>
        <v>0.785398163397448</v>
      </c>
      <c r="F7" s="44" t="n"/>
    </row>
    <row r="8">
      <c r="B8" s="46" t="inlineStr">
        <is>
          <t>HA12</t>
        </is>
      </c>
      <c r="C8" s="47" t="n">
        <v>12</v>
      </c>
      <c r="D8" s="48" t="n">
        <v>0.888</v>
      </c>
      <c r="E8" s="49">
        <f>PI()*C8^2/400</f>
        <v>1.13097335529233</v>
      </c>
      <c r="F8" s="44" t="n"/>
    </row>
    <row r="9">
      <c r="B9" s="46" t="inlineStr">
        <is>
          <t>HA14</t>
        </is>
      </c>
      <c r="C9" s="47" t="n">
        <v>14</v>
      </c>
      <c r="D9" s="48" t="n">
        <v>1.208</v>
      </c>
      <c r="E9" s="49">
        <f>PI()*C9^2/400</f>
        <v>1.539380400259</v>
      </c>
      <c r="F9" s="44" t="n"/>
    </row>
    <row r="10">
      <c r="B10" s="46" t="inlineStr">
        <is>
          <t>HA16</t>
        </is>
      </c>
      <c r="C10" s="47" t="n">
        <v>16</v>
      </c>
      <c r="D10" s="48" t="n">
        <v>1.578</v>
      </c>
      <c r="E10" s="49">
        <f>PI()*C10^2/400</f>
        <v>2.01061929829747</v>
      </c>
      <c r="F10" s="44" t="n"/>
    </row>
    <row r="11">
      <c r="B11" s="46" t="inlineStr">
        <is>
          <t>HA20</t>
        </is>
      </c>
      <c r="C11" s="47" t="n">
        <v>20</v>
      </c>
      <c r="D11" s="48" t="n">
        <v>2.466</v>
      </c>
      <c r="E11" s="49">
        <f>PI()*C11^2/400</f>
        <v>3.14159265358979</v>
      </c>
      <c r="F11" s="44" t="n"/>
    </row>
    <row r="12">
      <c r="B12" s="46" t="inlineStr">
        <is>
          <t>HA25</t>
        </is>
      </c>
      <c r="C12" s="47" t="n">
        <v>25</v>
      </c>
      <c r="D12" s="48" t="n">
        <v>3.853</v>
      </c>
      <c r="E12" s="49">
        <f>PI()*C12^2/400</f>
        <v>4.90873852123405</v>
      </c>
      <c r="F12" s="44" t="n"/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&amp;L&amp;8 &amp;A&amp;C&amp;8 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2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20" t="inlineStr">
        <is>
          <t>PRÉDIMENSIONNEMENT – choix automatique des profilés (modifiable en jaune)</t>
        </is>
      </c>
    </row>
    <row r="2">
      <c r="A2" s="3" t="inlineStr">
        <is>
          <t>Portée ≤ 20 m : portique IPE avec jarrets · 20 à 30 m : IPE renforcé ou ferme treillis · &gt; 30 m : ferme treillis (cornières) + alerte file intermédiaire. Valeurs de prédimensionnement à confirmer par une note de calcul EC3 / EC1 (vent).</t>
        </is>
      </c>
    </row>
    <row r="4">
      <c r="B4" s="21" t="inlineStr">
        <is>
          <t>A. RÈGLES DE CHOIX SELON LA PORTÉE</t>
        </is>
      </c>
      <c r="C4" s="22" t="n"/>
      <c r="D4" s="22" t="n"/>
      <c r="E4" s="22" t="n"/>
      <c r="F4" s="22" t="n"/>
      <c r="G4" s="22" t="n"/>
      <c r="H4" s="22" t="n"/>
      <c r="I4" s="22" t="n"/>
      <c r="J4" s="22" t="n"/>
    </row>
    <row r="5" ht="30" customHeight="1">
      <c r="B5" s="8" t="inlineStr">
        <is>
          <t>Portée ≤ (m)</t>
        </is>
      </c>
      <c r="C5" s="8" t="inlineStr">
        <is>
          <t>Système indicatif</t>
        </is>
      </c>
      <c r="D5" s="8" t="inlineStr">
        <is>
          <t>Poteau (portique IPE)</t>
        </is>
      </c>
      <c r="E5" s="8" t="inlineStr">
        <is>
          <t>Traverse IPE</t>
        </is>
      </c>
      <c r="F5" s="8" t="inlineStr">
        <is>
          <t>Poteau (treillis)</t>
        </is>
      </c>
      <c r="G5" s="8" t="inlineStr">
        <is>
          <t>Membrure sup.</t>
        </is>
      </c>
      <c r="H5" s="8" t="inlineStr">
        <is>
          <t>Membrure inf.</t>
        </is>
      </c>
      <c r="I5" s="8" t="inlineStr">
        <is>
          <t>Montants</t>
        </is>
      </c>
      <c r="J5" s="8" t="inlineStr">
        <is>
          <t>Diagonales</t>
        </is>
      </c>
    </row>
    <row r="6">
      <c r="B6" s="50" t="n">
        <v>10</v>
      </c>
      <c r="C6" s="9" t="inlineStr">
        <is>
          <t>Portique IPE + jarrets</t>
        </is>
      </c>
      <c r="D6" s="51" t="inlineStr">
        <is>
          <t>IPE 220</t>
        </is>
      </c>
      <c r="E6" s="51" t="inlineStr">
        <is>
          <t>IPE 200</t>
        </is>
      </c>
      <c r="F6" s="51" t="inlineStr">
        <is>
          <t>HEA 180</t>
        </is>
      </c>
      <c r="G6" s="51" t="inlineStr">
        <is>
          <t>L 50x5</t>
        </is>
      </c>
      <c r="H6" s="51" t="inlineStr">
        <is>
          <t>L 45x4.5</t>
        </is>
      </c>
      <c r="I6" s="51" t="inlineStr">
        <is>
          <t>L 40x4</t>
        </is>
      </c>
      <c r="J6" s="51" t="inlineStr">
        <is>
          <t>L 40x4</t>
        </is>
      </c>
    </row>
    <row r="7">
      <c r="B7" s="50" t="n">
        <v>15</v>
      </c>
      <c r="C7" s="9" t="inlineStr">
        <is>
          <t>Portique IPE + jarrets</t>
        </is>
      </c>
      <c r="D7" s="51" t="inlineStr">
        <is>
          <t>IPE 270</t>
        </is>
      </c>
      <c r="E7" s="51" t="inlineStr">
        <is>
          <t>IPE 240</t>
        </is>
      </c>
      <c r="F7" s="51" t="inlineStr">
        <is>
          <t>HEA 200</t>
        </is>
      </c>
      <c r="G7" s="51" t="inlineStr">
        <is>
          <t>L 60x6</t>
        </is>
      </c>
      <c r="H7" s="51" t="inlineStr">
        <is>
          <t>L 50x5</t>
        </is>
      </c>
      <c r="I7" s="51" t="inlineStr">
        <is>
          <t>L 40x4</t>
        </is>
      </c>
      <c r="J7" s="51" t="inlineStr">
        <is>
          <t>L 45x4.5</t>
        </is>
      </c>
    </row>
    <row r="8">
      <c r="B8" s="50" t="n">
        <v>20</v>
      </c>
      <c r="C8" s="9" t="inlineStr">
        <is>
          <t>Portique IPE + jarrets</t>
        </is>
      </c>
      <c r="D8" s="51" t="inlineStr">
        <is>
          <t>IPE 330</t>
        </is>
      </c>
      <c r="E8" s="51" t="inlineStr">
        <is>
          <t>IPE 300</t>
        </is>
      </c>
      <c r="F8" s="51" t="inlineStr">
        <is>
          <t>HEA 220</t>
        </is>
      </c>
      <c r="G8" s="51" t="inlineStr">
        <is>
          <t>L 70x7</t>
        </is>
      </c>
      <c r="H8" s="51" t="inlineStr">
        <is>
          <t>L 60x6</t>
        </is>
      </c>
      <c r="I8" s="51" t="inlineStr">
        <is>
          <t>L 45x4.5</t>
        </is>
      </c>
      <c r="J8" s="51" t="inlineStr">
        <is>
          <t>L 50x5</t>
        </is>
      </c>
    </row>
    <row r="9">
      <c r="B9" s="50" t="n">
        <v>25</v>
      </c>
      <c r="C9" s="9" t="inlineStr">
        <is>
          <t>IPE renforcé ou treillis</t>
        </is>
      </c>
      <c r="D9" s="51" t="inlineStr">
        <is>
          <t>IPE 400</t>
        </is>
      </c>
      <c r="E9" s="51" t="inlineStr">
        <is>
          <t>IPE 360</t>
        </is>
      </c>
      <c r="F9" s="51" t="inlineStr">
        <is>
          <t>HEA 240</t>
        </is>
      </c>
      <c r="G9" s="51" t="inlineStr">
        <is>
          <t>L 70x7</t>
        </is>
      </c>
      <c r="H9" s="51" t="inlineStr">
        <is>
          <t>L 60x6</t>
        </is>
      </c>
      <c r="I9" s="51" t="inlineStr">
        <is>
          <t>L 50x5</t>
        </is>
      </c>
      <c r="J9" s="51" t="inlineStr">
        <is>
          <t>L 50x5</t>
        </is>
      </c>
    </row>
    <row r="10">
      <c r="B10" s="50" t="n">
        <v>30</v>
      </c>
      <c r="C10" s="9" t="inlineStr">
        <is>
          <t>IPE renforcé ou treillis</t>
        </is>
      </c>
      <c r="D10" s="51" t="inlineStr">
        <is>
          <t>IPE 450</t>
        </is>
      </c>
      <c r="E10" s="51" t="inlineStr">
        <is>
          <t>IPE 400</t>
        </is>
      </c>
      <c r="F10" s="51" t="inlineStr">
        <is>
          <t>HEA 260</t>
        </is>
      </c>
      <c r="G10" s="51" t="inlineStr">
        <is>
          <t>L 80x8</t>
        </is>
      </c>
      <c r="H10" s="51" t="inlineStr">
        <is>
          <t>L 70x7</t>
        </is>
      </c>
      <c r="I10" s="51" t="inlineStr">
        <is>
          <t>L 50x5</t>
        </is>
      </c>
      <c r="J10" s="51" t="inlineStr">
        <is>
          <t>L 60x6</t>
        </is>
      </c>
    </row>
    <row r="11">
      <c r="B11" s="50" t="n">
        <v>35</v>
      </c>
      <c r="C11" s="9" t="inlineStr">
        <is>
          <t>Ferme treillis</t>
        </is>
      </c>
      <c r="D11" s="51" t="inlineStr">
        <is>
          <t>IPE 500</t>
        </is>
      </c>
      <c r="E11" s="51" t="inlineStr">
        <is>
          <t>IPE 450</t>
        </is>
      </c>
      <c r="F11" s="51" t="inlineStr">
        <is>
          <t>HEA 280</t>
        </is>
      </c>
      <c r="G11" s="51" t="inlineStr">
        <is>
          <t>L 90x9</t>
        </is>
      </c>
      <c r="H11" s="51" t="inlineStr">
        <is>
          <t>L 80x8</t>
        </is>
      </c>
      <c r="I11" s="51" t="inlineStr">
        <is>
          <t>L 50x5</t>
        </is>
      </c>
      <c r="J11" s="51" t="inlineStr">
        <is>
          <t>L 60x6</t>
        </is>
      </c>
    </row>
    <row r="12">
      <c r="B12" s="50" t="n">
        <v>40</v>
      </c>
      <c r="C12" s="9" t="inlineStr">
        <is>
          <t>Ferme treillis</t>
        </is>
      </c>
      <c r="D12" s="51" t="inlineStr">
        <is>
          <t>IPE 550</t>
        </is>
      </c>
      <c r="E12" s="51" t="inlineStr">
        <is>
          <t>IPE 500</t>
        </is>
      </c>
      <c r="F12" s="51" t="inlineStr">
        <is>
          <t>HEA 300</t>
        </is>
      </c>
      <c r="G12" s="51" t="inlineStr">
        <is>
          <t>L 100x10</t>
        </is>
      </c>
      <c r="H12" s="51" t="inlineStr">
        <is>
          <t>L 90x9</t>
        </is>
      </c>
      <c r="I12" s="51" t="inlineStr">
        <is>
          <t>L 60x6</t>
        </is>
      </c>
      <c r="J12" s="51" t="inlineStr">
        <is>
          <t>L 70x7</t>
        </is>
      </c>
    </row>
    <row r="13">
      <c r="B13" s="50" t="n">
        <v>50</v>
      </c>
      <c r="C13" s="9" t="inlineStr">
        <is>
          <t>Ferme treillis + file intermédiaire</t>
        </is>
      </c>
      <c r="D13" s="51" t="inlineStr">
        <is>
          <t>IPE 600</t>
        </is>
      </c>
      <c r="E13" s="51" t="inlineStr">
        <is>
          <t>IPE 550</t>
        </is>
      </c>
      <c r="F13" s="51" t="inlineStr">
        <is>
          <t>HEA 340</t>
        </is>
      </c>
      <c r="G13" s="51" t="inlineStr">
        <is>
          <t>L 100x10</t>
        </is>
      </c>
      <c r="H13" s="51" t="inlineStr">
        <is>
          <t>L 100x10</t>
        </is>
      </c>
      <c r="I13" s="51" t="inlineStr">
        <is>
          <t>L 60x6</t>
        </is>
      </c>
      <c r="J13" s="51" t="inlineStr">
        <is>
          <t>L 80x8</t>
        </is>
      </c>
    </row>
    <row r="14">
      <c r="B14" s="50" t="n">
        <v>1000</v>
      </c>
      <c r="C14" s="9" t="inlineStr">
        <is>
          <t>Ferme treillis + file intermédiaire</t>
        </is>
      </c>
      <c r="D14" s="51" t="inlineStr">
        <is>
          <t>IPE 600</t>
        </is>
      </c>
      <c r="E14" s="51" t="inlineStr">
        <is>
          <t>IPE 600</t>
        </is>
      </c>
      <c r="F14" s="51" t="inlineStr">
        <is>
          <t>HEA 400</t>
        </is>
      </c>
      <c r="G14" s="51" t="inlineStr">
        <is>
          <t>L 100x10</t>
        </is>
      </c>
      <c r="H14" s="51" t="inlineStr">
        <is>
          <t>L 100x10</t>
        </is>
      </c>
      <c r="I14" s="51" t="inlineStr">
        <is>
          <t>L 70x7</t>
        </is>
      </c>
      <c r="J14" s="51" t="inlineStr">
        <is>
          <t>L 90x9</t>
        </is>
      </c>
    </row>
    <row r="16" ht="30" customHeight="1">
      <c r="B16" s="8" t="inlineStr">
        <is>
          <t>H faîtage ≤ (m)</t>
        </is>
      </c>
      <c r="C16" s="8" t="inlineStr">
        <is>
          <t>Poteau de pignon</t>
        </is>
      </c>
      <c r="F16" s="8" t="inlineStr">
        <is>
          <t>Entraxe ≤ (m)</t>
        </is>
      </c>
      <c r="G16" s="8" t="inlineStr">
        <is>
          <t>Panne</t>
        </is>
      </c>
      <c r="H16" s="8" t="inlineStr">
        <is>
          <t>Lisse</t>
        </is>
      </c>
    </row>
    <row r="17">
      <c r="B17" s="50" t="n">
        <v>6</v>
      </c>
      <c r="C17" s="51" t="inlineStr">
        <is>
          <t>IPE 180</t>
        </is>
      </c>
      <c r="F17" s="50" t="n">
        <v>5</v>
      </c>
      <c r="G17" s="51" t="inlineStr">
        <is>
          <t>Z 160</t>
        </is>
      </c>
      <c r="H17" s="51" t="inlineStr">
        <is>
          <t>C 140</t>
        </is>
      </c>
    </row>
    <row r="18">
      <c r="B18" s="50" t="n">
        <v>8</v>
      </c>
      <c r="C18" s="51" t="inlineStr">
        <is>
          <t>IPE 220</t>
        </is>
      </c>
      <c r="F18" s="50" t="n">
        <v>6</v>
      </c>
      <c r="G18" s="51" t="inlineStr">
        <is>
          <t>Z 200</t>
        </is>
      </c>
      <c r="H18" s="51" t="inlineStr">
        <is>
          <t>C 160</t>
        </is>
      </c>
    </row>
    <row r="19">
      <c r="B19" s="50" t="n">
        <v>10</v>
      </c>
      <c r="C19" s="51" t="inlineStr">
        <is>
          <t>IPE 270</t>
        </is>
      </c>
      <c r="F19" s="50" t="n">
        <v>7</v>
      </c>
      <c r="G19" s="51" t="inlineStr">
        <is>
          <t>Z 220</t>
        </is>
      </c>
      <c r="H19" s="51" t="inlineStr">
        <is>
          <t>C 180</t>
        </is>
      </c>
    </row>
    <row r="20">
      <c r="B20" s="50" t="n">
        <v>12</v>
      </c>
      <c r="C20" s="51" t="inlineStr">
        <is>
          <t>IPE 300</t>
        </is>
      </c>
      <c r="F20" s="50" t="n">
        <v>1000</v>
      </c>
      <c r="G20" s="51" t="inlineStr">
        <is>
          <t>Z 250</t>
        </is>
      </c>
      <c r="H20" s="51" t="inlineStr">
        <is>
          <t>C 200</t>
        </is>
      </c>
    </row>
    <row r="21">
      <c r="B21" s="50" t="n">
        <v>1000</v>
      </c>
      <c r="C21" s="51" t="inlineStr">
        <is>
          <t>IPE 360</t>
        </is>
      </c>
    </row>
    <row r="23">
      <c r="B23" s="21" t="inlineStr">
        <is>
          <t>B. GÉOMÉTRIE ET GRANDEURS CALCULÉES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</row>
    <row r="24" ht="30" customHeight="1">
      <c r="B24" s="8" t="inlineStr">
        <is>
          <t>Grandeur</t>
        </is>
      </c>
      <c r="C24" s="8" t="inlineStr">
        <is>
          <t>Valeur</t>
        </is>
      </c>
      <c r="D24" s="8" t="inlineStr">
        <is>
          <t>Unité</t>
        </is>
      </c>
      <c r="E24" s="8" t="inlineStr">
        <is>
          <t>Règle de calcul</t>
        </is>
      </c>
    </row>
    <row r="25">
      <c r="B25" s="9" t="inlineStr">
        <is>
          <t>Ligne de règle (selon portée)</t>
        </is>
      </c>
      <c r="C25" s="52">
        <f>COUNTIF('PRÉDIMENSIONNEMENT'!$B$6:$B$14,"&lt;"&amp;'PARAMÈTRES'!$C$9)+1</f>
        <v>3</v>
      </c>
      <c r="D25" s="26" t="inlineStr"/>
      <c r="E25" s="27" t="inlineStr">
        <is>
          <t>Rang de la portée dans le tableau A</t>
        </is>
      </c>
      <c r="F25" s="53" t="n"/>
      <c r="G25" s="53" t="n"/>
      <c r="H25" s="53" t="n"/>
      <c r="I25" s="53" t="n"/>
      <c r="J25" s="10" t="n"/>
    </row>
    <row r="26">
      <c r="B26" s="9" t="inlineStr">
        <is>
          <t>Système structurel retenu</t>
        </is>
      </c>
      <c r="C26" s="30" t="str">
        <f>IF('PARAMÈTRES'!$C$9&lt;=20,"Portique IPE avec jarrets",IF('PARAMÈTRES'!$C$9&lt;=30,IF('PARAMÈTRES'!$C$20="Ferme treillis","Ferme treillis","Portique IPE renforcé"),"Ferme treillis"))</f>
        <v>Portique IPE avec jarrets</v>
      </c>
      <c r="D26" s="26" t="inlineStr"/>
      <c r="E26" s="27" t="inlineStr">
        <is>
          <t>Selon portée et choix 20–30 m</t>
        </is>
      </c>
      <c r="F26" s="53" t="n"/>
      <c r="G26" s="53" t="n"/>
      <c r="H26" s="53" t="n"/>
      <c r="I26" s="53" t="n"/>
      <c r="J26" s="10" t="n"/>
    </row>
    <row r="27">
      <c r="B27" s="9" t="inlineStr">
        <is>
          <t>Ferme treillis (1 = oui)</t>
        </is>
      </c>
      <c r="C27" s="52">
        <f>IF('PRÉDIMENSIONNEMENT'!$C$26="Ferme treillis",1,0)</f>
        <v>0</v>
      </c>
      <c r="D27" s="26" t="inlineStr"/>
      <c r="E27" s="27" t="inlineStr"/>
      <c r="F27" s="53" t="n"/>
      <c r="G27" s="53" t="n"/>
      <c r="H27" s="53" t="n"/>
      <c r="I27" s="53" t="n"/>
      <c r="J27" s="10" t="n"/>
    </row>
    <row r="28">
      <c r="B28" s="9" t="inlineStr">
        <is>
          <t>Nombre de travées</t>
        </is>
      </c>
      <c r="C28" s="52">
        <f>MAX(1,ROUNDUP('PARAMÈTRES'!$C$10/'PARAMÈTRES'!$C$15,0))</f>
        <v>7</v>
      </c>
      <c r="D28" s="26" t="inlineStr">
        <is>
          <t>u</t>
        </is>
      </c>
      <c r="E28" s="27" t="inlineStr">
        <is>
          <t>ARRONDI.SUP(L / entraxe)</t>
        </is>
      </c>
      <c r="F28" s="53" t="n"/>
      <c r="G28" s="53" t="n"/>
      <c r="H28" s="53" t="n"/>
      <c r="I28" s="53" t="n"/>
      <c r="J28" s="10" t="n"/>
    </row>
    <row r="29">
      <c r="B29" s="9" t="inlineStr">
        <is>
          <t>Nombre de portiques N</t>
        </is>
      </c>
      <c r="C29" s="52">
        <f>'PRÉDIMENSIONNEMENT'!$C$28+1</f>
        <v>8</v>
      </c>
      <c r="D29" s="26" t="inlineStr">
        <is>
          <t>u</t>
        </is>
      </c>
      <c r="E29" s="27" t="inlineStr">
        <is>
          <t>N = ARRONDI.SUP(Longueur / entraxe) + 1</t>
        </is>
      </c>
      <c r="F29" s="53" t="n"/>
      <c r="G29" s="53" t="n"/>
      <c r="H29" s="53" t="n"/>
      <c r="I29" s="53" t="n"/>
      <c r="J29" s="10" t="n"/>
    </row>
    <row r="30">
      <c r="B30" s="9" t="inlineStr">
        <is>
          <t>Entraxe réel des portiques</t>
        </is>
      </c>
      <c r="C30" s="54">
        <f>'PARAMÈTRES'!$C$10/'PRÉDIMENSIONNEMENT'!$C$28</f>
        <v>5.71428571428571</v>
      </c>
      <c r="D30" s="26" t="inlineStr">
        <is>
          <t>m</t>
        </is>
      </c>
      <c r="E30" s="27" t="inlineStr">
        <is>
          <t>L / nombre de travées</t>
        </is>
      </c>
      <c r="F30" s="53" t="n"/>
      <c r="G30" s="53" t="n"/>
      <c r="H30" s="53" t="n"/>
      <c r="I30" s="53" t="n"/>
      <c r="J30" s="10" t="n"/>
    </row>
    <row r="31">
      <c r="B31" s="9" t="inlineStr">
        <is>
          <t>Longueur rampante d'un versant</t>
        </is>
      </c>
      <c r="C31" s="54">
        <f>('PARAMÈTRES'!$C$9/2)/COS(ATAN('PARAMÈTRES'!$C$12))</f>
        <v>10.1271911209377</v>
      </c>
      <c r="D31" s="26" t="inlineStr">
        <is>
          <t>m</t>
        </is>
      </c>
      <c r="E31" s="27" t="inlineStr">
        <is>
          <t>(portée / 2) / cos(arctan(pente))</t>
        </is>
      </c>
      <c r="F31" s="53" t="n"/>
      <c r="G31" s="53" t="n"/>
      <c r="H31" s="53" t="n"/>
      <c r="I31" s="53" t="n"/>
      <c r="J31" s="10" t="n"/>
    </row>
    <row r="32">
      <c r="B32" s="9" t="inlineStr">
        <is>
          <t>Hauteur de ferme aux appuis</t>
        </is>
      </c>
      <c r="C32" s="54">
        <f>'PRÉDIMENSIONNEMENT'!$C$27*'PARAMÈTRES'!$C$9/'PARAMÈTRES'!$C$22</f>
        <v>0</v>
      </c>
      <c r="D32" s="26" t="inlineStr">
        <is>
          <t>m</t>
        </is>
      </c>
      <c r="E32" s="27" t="inlineStr">
        <is>
          <t>portée / ratio (0 si portique IPE)</t>
        </is>
      </c>
      <c r="F32" s="53" t="n"/>
      <c r="G32" s="53" t="n"/>
      <c r="H32" s="53" t="n"/>
      <c r="I32" s="53" t="n"/>
      <c r="J32" s="10" t="n"/>
    </row>
    <row r="33">
      <c r="B33" s="9" t="inlineStr">
        <is>
          <t>Hauteur des murs à l'égout</t>
        </is>
      </c>
      <c r="C33" s="54">
        <f>'PARAMÈTRES'!$C$11+'PRÉDIMENSIONNEMENT'!$C$32</f>
        <v>6</v>
      </c>
      <c r="D33" s="26" t="inlineStr">
        <is>
          <t>m</t>
        </is>
      </c>
      <c r="E33" s="27" t="inlineStr">
        <is>
          <t>H sablière + hauteur de ferme aux appuis</t>
        </is>
      </c>
      <c r="F33" s="53" t="n"/>
      <c r="G33" s="53" t="n"/>
      <c r="H33" s="53" t="n"/>
      <c r="I33" s="53" t="n"/>
      <c r="J33" s="10" t="n"/>
    </row>
    <row r="34">
      <c r="B34" s="9" t="inlineStr">
        <is>
          <t>Hauteur au faîtage</t>
        </is>
      </c>
      <c r="C34" s="54">
        <f>'PRÉDIMENSIONNEMENT'!$C$33+'PARAMÈTRES'!$C$12*'PARAMÈTRES'!$C$9/2</f>
        <v>7.6</v>
      </c>
      <c r="D34" s="26" t="inlineStr">
        <is>
          <t>m</t>
        </is>
      </c>
      <c r="E34" s="27" t="inlineStr">
        <is>
          <t>Hm + pente × portée / 2</t>
        </is>
      </c>
      <c r="F34" s="53" t="n"/>
      <c r="G34" s="53" t="n"/>
      <c r="H34" s="53" t="n"/>
      <c r="I34" s="53" t="n"/>
      <c r="J34" s="10" t="n"/>
    </row>
    <row r="35">
      <c r="B35" s="9" t="inlineStr">
        <is>
          <t>Intervalles entre poteaux de pignon (par pignon)</t>
        </is>
      </c>
      <c r="C35" s="52">
        <f>MAX(1,ROUNDUP('PARAMÈTRES'!$C$9/'PARAMÈTRES'!$C$18,0))</f>
        <v>4</v>
      </c>
      <c r="D35" s="26" t="inlineStr">
        <is>
          <t>u</t>
        </is>
      </c>
      <c r="E35" s="27" t="inlineStr">
        <is>
          <t>ARRONDI.SUP(portée / espacement)</t>
        </is>
      </c>
      <c r="F35" s="53" t="n"/>
      <c r="G35" s="53" t="n"/>
      <c r="H35" s="53" t="n"/>
      <c r="I35" s="53" t="n"/>
      <c r="J35" s="10" t="n"/>
    </row>
    <row r="36">
      <c r="B36" s="9" t="inlineStr">
        <is>
          <t>Espacement réel des poteaux de pignon</t>
        </is>
      </c>
      <c r="C36" s="54">
        <f>'PARAMÈTRES'!$C$9/'PRÉDIMENSIONNEMENT'!$C$35</f>
        <v>5</v>
      </c>
      <c r="D36" s="26" t="inlineStr">
        <is>
          <t>m</t>
        </is>
      </c>
      <c r="E36" s="27" t="inlineStr"/>
      <c r="F36" s="53" t="n"/>
      <c r="G36" s="53" t="n"/>
      <c r="H36" s="53" t="n"/>
      <c r="I36" s="53" t="n"/>
      <c r="J36" s="10" t="n"/>
    </row>
    <row r="37">
      <c r="B37" s="9" t="inlineStr">
        <is>
          <t>Poteaux de pignon (2 pignons)</t>
        </is>
      </c>
      <c r="C37" s="52">
        <f>2*('PRÉDIMENSIONNEMENT'!$C$35-1)</f>
        <v>6</v>
      </c>
      <c r="D37" s="26" t="inlineStr">
        <is>
          <t>u</t>
        </is>
      </c>
      <c r="E37" s="27" t="inlineStr">
        <is>
          <t>2 × (intervalles − 1)</t>
        </is>
      </c>
      <c r="F37" s="53" t="n"/>
      <c r="G37" s="53" t="n"/>
      <c r="H37" s="53" t="n"/>
      <c r="I37" s="53" t="n"/>
      <c r="J37" s="10" t="n"/>
    </row>
    <row r="38">
      <c r="B38" s="9" t="inlineStr">
        <is>
          <t>Poteaux intermédiaires (file centrale)</t>
        </is>
      </c>
      <c r="C38" s="52">
        <f>IF('PARAMÈTRES'!$C$21="Oui",'PRÉDIMENSIONNEMENT'!$C$29,0)</f>
        <v>0</v>
      </c>
      <c r="D38" s="26" t="inlineStr">
        <is>
          <t>u</t>
        </is>
      </c>
      <c r="E38" s="27" t="inlineStr">
        <is>
          <t>1 par portique si file centrale</t>
        </is>
      </c>
      <c r="F38" s="53" t="n"/>
      <c r="G38" s="53" t="n"/>
      <c r="H38" s="53" t="n"/>
      <c r="I38" s="53" t="n"/>
      <c r="J38" s="10" t="n"/>
    </row>
    <row r="39">
      <c r="B39" s="9" t="inlineStr">
        <is>
          <t>Panneaux du treillis</t>
        </is>
      </c>
      <c r="C39" s="52">
        <f>'PRÉDIMENSIONNEMENT'!$C$27*2*ROUNDUP('PARAMÈTRES'!$C$9/2/'PARAMÈTRES'!$C$23,0)</f>
        <v>0</v>
      </c>
      <c r="D39" s="26" t="inlineStr">
        <is>
          <t>u</t>
        </is>
      </c>
      <c r="E39" s="27" t="inlineStr">
        <is>
          <t>nombre pair ≈ portée / pas</t>
        </is>
      </c>
      <c r="F39" s="53" t="n"/>
      <c r="G39" s="53" t="n"/>
      <c r="H39" s="53" t="n"/>
      <c r="I39" s="53" t="n"/>
      <c r="J39" s="10" t="n"/>
    </row>
    <row r="40">
      <c r="B40" s="9" t="inlineStr">
        <is>
          <t>Pannes par versant</t>
        </is>
      </c>
      <c r="C40" s="52">
        <f>ROUNDUP('PRÉDIMENSIONNEMENT'!$C$31/'PARAMÈTRES'!$C$16,0)+1</f>
        <v>9</v>
      </c>
      <c r="D40" s="26" t="inlineStr">
        <is>
          <t>u</t>
        </is>
      </c>
      <c r="E40" s="27" t="inlineStr">
        <is>
          <t>ARRONDI.SUP(rampant / entraxe) + 1</t>
        </is>
      </c>
      <c r="F40" s="53" t="n"/>
      <c r="G40" s="53" t="n"/>
      <c r="H40" s="53" t="n"/>
      <c r="I40" s="53" t="n"/>
      <c r="J40" s="10" t="n"/>
    </row>
    <row r="41">
      <c r="B41" s="9" t="inlineStr">
        <is>
          <t>Entraxe réel des pannes</t>
        </is>
      </c>
      <c r="C41" s="54">
        <f>'PRÉDIMENSIONNEMENT'!$C$31/('PRÉDIMENSIONNEMENT'!$C$40-1)</f>
        <v>1.26589889011722</v>
      </c>
      <c r="D41" s="26" t="inlineStr">
        <is>
          <t>m</t>
        </is>
      </c>
      <c r="E41" s="27" t="inlineStr"/>
      <c r="F41" s="53" t="n"/>
      <c r="G41" s="53" t="n"/>
      <c r="H41" s="53" t="n"/>
      <c r="I41" s="53" t="n"/>
      <c r="J41" s="10" t="n"/>
    </row>
    <row r="42">
      <c r="B42" s="9" t="inlineStr">
        <is>
          <t>Longueur des pannes (avec débords)</t>
        </is>
      </c>
      <c r="C42" s="54">
        <f>'PARAMÈTRES'!$C$10+2*'PARAMÈTRES'!$C$19</f>
        <v>40.6</v>
      </c>
      <c r="D42" s="26" t="inlineStr">
        <is>
          <t>m</t>
        </is>
      </c>
      <c r="E42" s="27" t="inlineStr">
        <is>
          <t>L + 2 × débord</t>
        </is>
      </c>
      <c r="F42" s="53" t="n"/>
      <c r="G42" s="53" t="n"/>
      <c r="H42" s="53" t="n"/>
      <c r="I42" s="53" t="n"/>
      <c r="J42" s="10" t="n"/>
    </row>
    <row r="43">
      <c r="B43" s="9" t="inlineStr">
        <is>
          <t>Lignes de liernes par travée</t>
        </is>
      </c>
      <c r="C43" s="52">
        <f>IF('PRÉDIMENSIONNEMENT'!$C$30&gt;6,2,1)</f>
        <v>1</v>
      </c>
      <c r="D43" s="26" t="inlineStr">
        <is>
          <t>u</t>
        </is>
      </c>
      <c r="E43" s="27" t="inlineStr">
        <is>
          <t>mi-portée ; au tiers si entraxe &gt; 6 m</t>
        </is>
      </c>
      <c r="F43" s="53" t="n"/>
      <c r="G43" s="53" t="n"/>
      <c r="H43" s="53" t="n"/>
      <c r="I43" s="53" t="n"/>
      <c r="J43" s="10" t="n"/>
    </row>
    <row r="44">
      <c r="B44" s="9" t="inlineStr">
        <is>
          <t>Travées contreventées</t>
        </is>
      </c>
      <c r="C44" s="52">
        <f>IF('PRÉDIMENSIONNEMENT'!$C$28&lt;=2,'PRÉDIMENSIONNEMENT'!$C$28,2+INT(('PRÉDIMENSIONNEMENT'!$C$28-1)/5))</f>
        <v>3</v>
      </c>
      <c r="D44" s="26" t="inlineStr">
        <is>
          <t>u</t>
        </is>
      </c>
      <c r="E44" s="27" t="inlineStr">
        <is>
          <t>2 travées d'extrémité + 1 travée sur 5</t>
        </is>
      </c>
      <c r="F44" s="53" t="n"/>
      <c r="G44" s="53" t="n"/>
      <c r="H44" s="53" t="n"/>
      <c r="I44" s="53" t="n"/>
      <c r="J44" s="10" t="n"/>
    </row>
    <row r="45">
      <c r="B45" s="9" t="inlineStr">
        <is>
          <t>Panneaux de poutre au vent par versant</t>
        </is>
      </c>
      <c r="C45" s="52">
        <f>MAX(1,ROUND('PRÉDIMENSIONNEMENT'!$C$31/'PRÉDIMENSIONNEMENT'!$C$30,0))</f>
        <v>2</v>
      </c>
      <c r="D45" s="26" t="inlineStr">
        <is>
          <t>u</t>
        </is>
      </c>
      <c r="E45" s="27" t="inlineStr">
        <is>
          <t>panneaux ≈ carrés</t>
        </is>
      </c>
      <c r="F45" s="53" t="n"/>
      <c r="G45" s="53" t="n"/>
      <c r="H45" s="53" t="n"/>
      <c r="I45" s="53" t="n"/>
      <c r="J45" s="10" t="n"/>
    </row>
    <row r="46">
      <c r="B46" s="9" t="inlineStr">
        <is>
          <t>Surface couverte (emprise)</t>
        </is>
      </c>
      <c r="C46" s="54">
        <f>'PARAMÈTRES'!$C$9*'PARAMÈTRES'!$C$10</f>
        <v>800</v>
      </c>
      <c r="D46" s="26" t="inlineStr">
        <is>
          <t>m²</t>
        </is>
      </c>
      <c r="E46" s="27" t="inlineStr">
        <is>
          <t>portée × longueur</t>
        </is>
      </c>
      <c r="F46" s="53" t="n"/>
      <c r="G46" s="53" t="n"/>
      <c r="H46" s="53" t="n"/>
      <c r="I46" s="53" t="n"/>
      <c r="J46" s="10" t="n"/>
    </row>
    <row r="47">
      <c r="B47" s="9" t="inlineStr">
        <is>
          <t>Périmètre</t>
        </is>
      </c>
      <c r="C47" s="54">
        <f>2*('PARAMÈTRES'!$C$9+'PARAMÈTRES'!$C$10)</f>
        <v>120</v>
      </c>
      <c r="D47" s="26" t="inlineStr">
        <is>
          <t>m</t>
        </is>
      </c>
      <c r="E47" s="27" t="inlineStr">
        <is>
          <t>2 × (portée + longueur)</t>
        </is>
      </c>
      <c r="F47" s="53" t="n"/>
      <c r="G47" s="53" t="n"/>
      <c r="H47" s="53" t="n"/>
      <c r="I47" s="53" t="n"/>
      <c r="J47" s="10" t="n"/>
    </row>
    <row r="48">
      <c r="B48" s="9" t="inlineStr">
        <is>
          <t>Type de façade (scénario)</t>
        </is>
      </c>
      <c r="C48" s="30" t="str">
        <f>'PARAMÈTRES'!$C$51</f>
        <v>Bardage bac acier</v>
      </c>
      <c r="D48" s="26" t="inlineStr"/>
      <c r="E48" s="27" t="inlineStr">
        <is>
          <t>PARAMÈTRES (comparatif : bardage puis agglos)</t>
        </is>
      </c>
      <c r="F48" s="53" t="n"/>
      <c r="G48" s="53" t="n"/>
      <c r="H48" s="53" t="n"/>
      <c r="I48" s="53" t="n"/>
      <c r="J48" s="10" t="n"/>
    </row>
    <row r="49">
      <c r="B49" s="9" t="inlineStr">
        <is>
          <t>Hauteur de maçonnerie d'élévation (base du bardage)</t>
        </is>
      </c>
      <c r="C49" s="54">
        <f>IF('PRÉDIMENSIONNEMENT'!$C$48="Agglos 15 creux",'PRÉDIMENSIONNEMENT'!$C$33,IF('PRÉDIMENSIONNEMENT'!$C$48="Mixte",MIN('PARAMÈTRES'!$C$52,'PRÉDIMENSIONNEMENT'!$C$33),0))</f>
        <v>0</v>
      </c>
      <c r="D49" s="26" t="inlineStr">
        <is>
          <t>m</t>
        </is>
      </c>
      <c r="E49" s="27" t="inlineStr">
        <is>
          <t>0 en bardage · Hm en agglos · soubassement en mixte</t>
        </is>
      </c>
      <c r="F49" s="53" t="n"/>
      <c r="G49" s="53" t="n"/>
      <c r="H49" s="53" t="n"/>
      <c r="I49" s="53" t="n"/>
      <c r="J49" s="10" t="n"/>
    </row>
    <row r="50">
      <c r="B50" s="9" t="inlineStr">
        <is>
          <t>Bardage présent (1 = oui)</t>
        </is>
      </c>
      <c r="C50" s="52">
        <f>IF('PRÉDIMENSIONNEMENT'!$C$48="Agglos 15 creux",0,1)</f>
        <v>1</v>
      </c>
      <c r="D50" s="26" t="inlineStr"/>
      <c r="E50" s="27" t="inlineStr">
        <is>
          <t>0 si façade en agglos</t>
        </is>
      </c>
      <c r="F50" s="53" t="n"/>
      <c r="G50" s="53" t="n"/>
      <c r="H50" s="53" t="n"/>
      <c r="I50" s="53" t="n"/>
      <c r="J50" s="10" t="n"/>
    </row>
    <row r="51">
      <c r="B51" s="9" t="inlineStr">
        <is>
          <t>Maçonnerie d'élévation présente (1 = oui)</t>
        </is>
      </c>
      <c r="C51" s="52">
        <f>IF('PRÉDIMENSIONNEMENT'!$C$48="Bardage bac acier",0,1)</f>
        <v>0</v>
      </c>
      <c r="D51" s="26" t="inlineStr"/>
      <c r="E51" s="27" t="inlineStr"/>
      <c r="F51" s="53" t="n"/>
      <c r="G51" s="53" t="n"/>
      <c r="H51" s="53" t="n"/>
      <c r="I51" s="53" t="n"/>
      <c r="J51" s="10" t="n"/>
    </row>
    <row r="52">
      <c r="B52" s="9" t="inlineStr">
        <is>
          <t>Panneaux de treillis (calcul sécurisé)</t>
        </is>
      </c>
      <c r="C52" s="52">
        <f>MAX(1,'PRÉDIMENSIONNEMENT'!$C$39)</f>
        <v>1</v>
      </c>
      <c r="D52" s="26" t="inlineStr">
        <is>
          <t>u</t>
        </is>
      </c>
      <c r="E52" s="27" t="inlineStr">
        <is>
          <t>évite la division par 0</t>
        </is>
      </c>
      <c r="F52" s="53" t="n"/>
      <c r="G52" s="53" t="n"/>
      <c r="H52" s="53" t="n"/>
      <c r="I52" s="53" t="n"/>
      <c r="J52" s="10" t="n"/>
    </row>
    <row r="53">
      <c r="B53" s="9" t="inlineStr">
        <is>
          <t>Portes coulissantes en long-pan</t>
        </is>
      </c>
      <c r="C53" s="52">
        <f>IF('PARAMÈTRES'!$C$31="Long-pan",'PARAMÈTRES'!$C$28,0)</f>
        <v>0</v>
      </c>
      <c r="D53" s="26" t="inlineStr">
        <is>
          <t>u</t>
        </is>
      </c>
      <c r="E53" s="27" t="inlineStr"/>
      <c r="F53" s="53" t="n"/>
      <c r="G53" s="53" t="n"/>
      <c r="H53" s="53" t="n"/>
      <c r="I53" s="53" t="n"/>
      <c r="J53" s="10" t="n"/>
    </row>
    <row r="54">
      <c r="B54" s="9" t="inlineStr">
        <is>
          <t>Portillons en long-pan</t>
        </is>
      </c>
      <c r="C54" s="52">
        <f>IF('PARAMÈTRES'!$C$35="Long-pan",'PARAMÈTRES'!$C$32,0)</f>
        <v>1</v>
      </c>
      <c r="D54" s="26" t="inlineStr">
        <is>
          <t>u</t>
        </is>
      </c>
      <c r="E54" s="27" t="inlineStr"/>
      <c r="F54" s="53" t="n"/>
      <c r="G54" s="53" t="n"/>
      <c r="H54" s="53" t="n"/>
      <c r="I54" s="53" t="n"/>
      <c r="J54" s="10" t="n"/>
    </row>
    <row r="55">
      <c r="B55" s="9" t="inlineStr">
        <is>
          <t>Surface totale des ouvertures</t>
        </is>
      </c>
      <c r="C55" s="54">
        <f>'PARAMÈTRES'!$C$28*'PARAMÈTRES'!$C$29*'PARAMÈTRES'!$C$30+'PARAMÈTRES'!$C$32*'PARAMÈTRES'!$C$33*'PARAMÈTRES'!$C$34</f>
        <v>40</v>
      </c>
      <c r="D55" s="26" t="inlineStr">
        <is>
          <t>m²</t>
        </is>
      </c>
      <c r="E55" s="27" t="inlineStr"/>
      <c r="F55" s="53" t="n"/>
      <c r="G55" s="53" t="n"/>
      <c r="H55" s="53" t="n"/>
      <c r="I55" s="53" t="n"/>
      <c r="J55" s="10" t="n"/>
    </row>
    <row r="56">
      <c r="B56" s="9" t="inlineStr">
        <is>
          <t>Largeur cumulée des ouvertures</t>
        </is>
      </c>
      <c r="C56" s="54">
        <f>'PARAMÈTRES'!$C$28*'PARAMÈTRES'!$C$29+'PARAMÈTRES'!$C$32*'PARAMÈTRES'!$C$33</f>
        <v>9.5</v>
      </c>
      <c r="D56" s="26" t="inlineStr">
        <is>
          <t>m</t>
        </is>
      </c>
      <c r="E56" s="27" t="inlineStr"/>
      <c r="F56" s="53" t="n"/>
      <c r="G56" s="53" t="n"/>
      <c r="H56" s="53" t="n"/>
      <c r="I56" s="53" t="n"/>
      <c r="J56" s="10" t="n"/>
    </row>
    <row r="57">
      <c r="B57" s="9" t="inlineStr">
        <is>
          <t>Ouvertures dans la zone bardée</t>
        </is>
      </c>
      <c r="C57" s="54">
        <f>'PRÉDIMENSIONNEMENT'!$C$50*('PARAMÈTRES'!$C$28*'PARAMÈTRES'!$C$29*MAX(0,'PARAMÈTRES'!$C$30-'PRÉDIMENSIONNEMENT'!$C$49)+'PARAMÈTRES'!$C$32*'PARAMÈTRES'!$C$33*MAX(0,'PARAMÈTRES'!$C$34-'PRÉDIMENSIONNEMENT'!$C$49))</f>
        <v>40</v>
      </c>
      <c r="D57" s="26" t="inlineStr">
        <is>
          <t>m²</t>
        </is>
      </c>
      <c r="E57" s="27" t="inlineStr">
        <is>
          <t>partie au-dessus de z0</t>
        </is>
      </c>
      <c r="F57" s="53" t="n"/>
      <c r="G57" s="53" t="n"/>
      <c r="H57" s="53" t="n"/>
      <c r="I57" s="53" t="n"/>
      <c r="J57" s="10" t="n"/>
    </row>
    <row r="58">
      <c r="B58" s="9" t="inlineStr">
        <is>
          <t>Ouvertures dans la maçonnerie</t>
        </is>
      </c>
      <c r="C58" s="54">
        <f>'PRÉDIMENSIONNEMENT'!$C$51*('PARAMÈTRES'!$C$28*'PARAMÈTRES'!$C$29*MIN('PARAMÈTRES'!$C$30,'PRÉDIMENSIONNEMENT'!$C$49)+'PARAMÈTRES'!$C$32*'PARAMÈTRES'!$C$33*MIN('PARAMÈTRES'!$C$34,'PRÉDIMENSIONNEMENT'!$C$49))</f>
        <v>0</v>
      </c>
      <c r="D58" s="26" t="inlineStr">
        <is>
          <t>m²</t>
        </is>
      </c>
      <c r="E58" s="27" t="inlineStr">
        <is>
          <t>partie sous z0</t>
        </is>
      </c>
      <c r="F58" s="53" t="n"/>
      <c r="G58" s="53" t="n"/>
      <c r="H58" s="53" t="n"/>
      <c r="I58" s="53" t="n"/>
      <c r="J58" s="10" t="n"/>
    </row>
    <row r="59">
      <c r="B59" s="9" t="inlineStr">
        <is>
          <t>Rangées de lisses en long-pan</t>
        </is>
      </c>
      <c r="C59" s="52">
        <f>'PRÉDIMENSIONNEMENT'!$C$50*ROUNDUP(('PRÉDIMENSIONNEMENT'!$C$33-'PRÉDIMENSIONNEMENT'!$C$49)/'PARAMÈTRES'!$C$17,0)</f>
        <v>4</v>
      </c>
      <c r="D59" s="26" t="inlineStr">
        <is>
          <t>u</t>
        </is>
      </c>
      <c r="E59" s="27" t="inlineStr">
        <is>
          <t>ARRONDI.SUP(hauteur bardée / entraxe)</t>
        </is>
      </c>
      <c r="F59" s="53" t="n"/>
      <c r="G59" s="53" t="n"/>
      <c r="H59" s="53" t="n"/>
      <c r="I59" s="53" t="n"/>
      <c r="J59" s="10" t="n"/>
    </row>
    <row r="60">
      <c r="B60" s="9" t="inlineStr">
        <is>
          <t>Rangées de lisses coupées par une porte coulissante</t>
        </is>
      </c>
      <c r="C60" s="52">
        <f>MIN('PRÉDIMENSIONNEMENT'!$C$59,MAX(0,ROUNDUP(('PARAMÈTRES'!$C$30-'PRÉDIMENSIONNEMENT'!$C$49)/'PARAMÈTRES'!$C$17,0)))</f>
        <v>3</v>
      </c>
      <c r="D60" s="26" t="inlineStr">
        <is>
          <t>u</t>
        </is>
      </c>
      <c r="E60" s="27" t="inlineStr"/>
      <c r="F60" s="53" t="n"/>
      <c r="G60" s="53" t="n"/>
      <c r="H60" s="53" t="n"/>
      <c r="I60" s="53" t="n"/>
      <c r="J60" s="10" t="n"/>
    </row>
    <row r="61">
      <c r="B61" s="9" t="inlineStr">
        <is>
          <t>Rangées de lisses coupées par un portillon</t>
        </is>
      </c>
      <c r="C61" s="52">
        <f>MIN('PRÉDIMENSIONNEMENT'!$C$59,MAX(0,ROUNDUP(('PARAMÈTRES'!$C$34-'PRÉDIMENSIONNEMENT'!$C$49)/'PARAMÈTRES'!$C$17,0)))</f>
        <v>3</v>
      </c>
      <c r="D61" s="26" t="inlineStr">
        <is>
          <t>u</t>
        </is>
      </c>
      <c r="E61" s="27" t="inlineStr"/>
      <c r="F61" s="53" t="n"/>
      <c r="G61" s="53" t="n"/>
      <c r="H61" s="53" t="n"/>
      <c r="I61" s="53" t="n"/>
      <c r="J61" s="10" t="n"/>
    </row>
    <row r="62">
      <c r="B62" s="9" t="inlineStr">
        <is>
          <t>Surface brute des 2 pignons dans la zone bardée</t>
        </is>
      </c>
      <c r="C62" s="54">
        <f>'PRÉDIMENSIONNEMENT'!$C$50*2*('PARAMÈTRES'!$C$9*('PRÉDIMENSIONNEMENT'!$C$33-'PRÉDIMENSIONNEMENT'!$C$49)+'PARAMÈTRES'!$C$12*'PARAMÈTRES'!$C$9^2/4)</f>
        <v>272</v>
      </c>
      <c r="D62" s="26" t="inlineStr">
        <is>
          <t>m²</t>
        </is>
      </c>
      <c r="E62" s="27" t="inlineStr">
        <is>
          <t>trapèze : B × h + pente × B² / 4</t>
        </is>
      </c>
      <c r="F62" s="53" t="n"/>
      <c r="G62" s="53" t="n"/>
      <c r="H62" s="53" t="n"/>
      <c r="I62" s="53" t="n"/>
      <c r="J62" s="10" t="n"/>
    </row>
    <row r="63">
      <c r="B63" s="9" t="inlineStr">
        <is>
          <t>Surface de couverture (rampants)</t>
        </is>
      </c>
      <c r="C63" s="54">
        <f>2*'PRÉDIMENSIONNEMENT'!$C$31*'PRÉDIMENSIONNEMENT'!$C$42</f>
        <v>822.327919020144</v>
      </c>
      <c r="D63" s="26" t="inlineStr">
        <is>
          <t>m²</t>
        </is>
      </c>
      <c r="E63" s="27" t="inlineStr">
        <is>
          <t>2 × rampant × longueur couverte</t>
        </is>
      </c>
      <c r="F63" s="53" t="n"/>
      <c r="G63" s="53" t="n"/>
      <c r="H63" s="53" t="n"/>
      <c r="I63" s="53" t="n"/>
      <c r="J63" s="10" t="n"/>
    </row>
    <row r="64">
      <c r="B64" s="9" t="inlineStr">
        <is>
          <t>Descentes EP</t>
        </is>
      </c>
      <c r="C64" s="52">
        <f>MAX(2,2*ROUNDUP('PRÉDIMENSIONNEMENT'!$C$46/(2*'PARAMÈTRES'!$C$48),0))</f>
        <v>6</v>
      </c>
      <c r="D64" s="26" t="inlineStr">
        <is>
          <t>u</t>
        </is>
      </c>
      <c r="E64" s="27" t="inlineStr">
        <is>
          <t>1 pour 150 à 200 m², réparties sur les 2 long-pans</t>
        </is>
      </c>
      <c r="F64" s="53" t="n"/>
      <c r="G64" s="53" t="n"/>
      <c r="H64" s="53" t="n"/>
      <c r="I64" s="53" t="n"/>
      <c r="J64" s="10" t="n"/>
    </row>
    <row r="65">
      <c r="B65" s="9" t="inlineStr">
        <is>
          <t>Coût de protection ramené au kg</t>
        </is>
      </c>
      <c r="C65" s="55">
        <f>'PARAMÈTRES'!$C$160*IF('PARAMÈTRES'!$C$59="Galvanisation à chaud",1,0)+'PARAMÈTRES'!$C$161*'PARAMÈTRES'!$C$60/1000*IF('PARAMÈTRES'!$C$59="Galvanisation à chaud",0,1)</f>
        <v>450</v>
      </c>
      <c r="D65" s="26" t="inlineStr">
        <is>
          <t>FCFA/kg</t>
        </is>
      </c>
      <c r="E65" s="27" t="inlineStr">
        <is>
          <t>galvanisation au kg ou peinture × m²/t</t>
        </is>
      </c>
      <c r="F65" s="53" t="n"/>
      <c r="G65" s="53" t="n"/>
      <c r="H65" s="53" t="n"/>
      <c r="I65" s="53" t="n"/>
      <c r="J65" s="10" t="n"/>
    </row>
    <row r="67">
      <c r="B67" s="21" t="inlineStr">
        <is>
          <t>C. PROFILÉS RETENUS</t>
        </is>
      </c>
      <c r="C67" s="22" t="n"/>
      <c r="D67" s="22" t="n"/>
      <c r="E67" s="22" t="n"/>
      <c r="F67" s="22" t="n"/>
      <c r="G67" s="22" t="n"/>
      <c r="H67" s="22" t="n"/>
      <c r="I67" s="22" t="n"/>
      <c r="J67" s="22" t="n"/>
    </row>
    <row r="68" ht="30" customHeight="1">
      <c r="B68" s="8" t="inlineStr">
        <is>
          <t>Élément</t>
        </is>
      </c>
      <c r="C68" s="8" t="inlineStr">
        <is>
          <t>Profilé automatique</t>
        </is>
      </c>
      <c r="D68" s="8" t="inlineStr">
        <is>
          <t>Forçage (saisie)</t>
        </is>
      </c>
      <c r="E68" s="8" t="inlineStr">
        <is>
          <t>Profilé retenu</t>
        </is>
      </c>
      <c r="F68" s="8" t="inlineStr">
        <is>
          <t>kg/ml</t>
        </is>
      </c>
      <c r="G68" s="8" t="inlineStr">
        <is>
          <t>h (mm)</t>
        </is>
      </c>
      <c r="H68" s="8" t="inlineStr">
        <is>
          <t>Règle</t>
        </is>
      </c>
      <c r="I68" s="8" t="inlineStr"/>
      <c r="J68" s="8" t="inlineStr"/>
    </row>
    <row r="69">
      <c r="B69" s="9" t="inlineStr">
        <is>
          <t>Poteaux de portique</t>
        </is>
      </c>
      <c r="C69" s="56" t="str">
        <f>IF('PRÉDIMENSIONNEMENT'!$C$27=1,INDEX('PRÉDIMENSIONNEMENT'!$F$6:$F$14,'PRÉDIMENSIONNEMENT'!$C$25),INDEX('PRÉDIMENSIONNEMENT'!$D$6:$D$14,'PRÉDIMENSIONNEMENT'!$C$25))</f>
        <v>IPE 330</v>
      </c>
      <c r="D69" s="51" t="n"/>
      <c r="E69" s="30" t="str">
        <f>IF('PRÉDIMENSIONNEMENT'!$D$69="",'PRÉDIMENSIONNEMENT'!$C$69,'PRÉDIMENSIONNEMENT'!$D$69)</f>
        <v>IPE 330</v>
      </c>
      <c r="F69" s="57">
        <f>IFERROR(_xlfn.XLOOKUP('PRÉDIMENSIONNEMENT'!$E$69,'BASE_PROFILÉS'!$B$5:$B$200,'BASE_PROFILÉS'!$D$5:$D$200),IFERROR(INDEX('BASE_PROFILÉS'!$D$5:$D$200,MATCH('PRÉDIMENSIONNEMENT'!$E$69,'BASE_PROFILÉS'!$B$5:$B$200,0)),0))</f>
        <v>49.1</v>
      </c>
      <c r="G69" s="58">
        <f>IFERROR(_xlfn.XLOOKUP('PRÉDIMENSIONNEMENT'!$E$69,'BASE_PROFILÉS'!$B$5:$B$200,'BASE_PROFILÉS'!$E$5:$E$200),IFERROR(INDEX('BASE_PROFILÉS'!$E$5:$E$200,MATCH('PRÉDIMENSIONNEMENT'!$E$69,'BASE_PROFILÉS'!$B$5:$B$200,0)),0))</f>
        <v>330</v>
      </c>
      <c r="H69" s="27" t="inlineStr">
        <is>
          <t>Tableau A selon portée et système</t>
        </is>
      </c>
    </row>
    <row r="70">
      <c r="B70" s="9" t="inlineStr">
        <is>
          <t>Traverses (portique IPE)</t>
        </is>
      </c>
      <c r="C70" s="56" t="str">
        <f>INDEX('PRÉDIMENSIONNEMENT'!$E$6:$E$14,'PRÉDIMENSIONNEMENT'!$C$25)</f>
        <v>IPE 300</v>
      </c>
      <c r="D70" s="51" t="n"/>
      <c r="E70" s="30" t="str">
        <f>IF('PRÉDIMENSIONNEMENT'!$D$70="",'PRÉDIMENSIONNEMENT'!$C$70,'PRÉDIMENSIONNEMENT'!$D$70)</f>
        <v>IPE 300</v>
      </c>
      <c r="F70" s="57">
        <f>IFERROR(_xlfn.XLOOKUP('PRÉDIMENSIONNEMENT'!$E$70,'BASE_PROFILÉS'!$B$5:$B$200,'BASE_PROFILÉS'!$D$5:$D$200),IFERROR(INDEX('BASE_PROFILÉS'!$D$5:$D$200,MATCH('PRÉDIMENSIONNEMENT'!$E$70,'BASE_PROFILÉS'!$B$5:$B$200,0)),0))</f>
        <v>42.2</v>
      </c>
      <c r="G70" s="58">
        <f>IFERROR(_xlfn.XLOOKUP('PRÉDIMENSIONNEMENT'!$E$70,'BASE_PROFILÉS'!$B$5:$B$200,'BASE_PROFILÉS'!$E$5:$E$200),IFERROR(INDEX('BASE_PROFILÉS'!$E$5:$E$200,MATCH('PRÉDIMENSIONNEMENT'!$E$70,'BASE_PROFILÉS'!$B$5:$B$200,0)),0))</f>
        <v>300</v>
      </c>
      <c r="H70" s="27" t="inlineStr">
        <is>
          <t>Tableau A</t>
        </is>
      </c>
    </row>
    <row r="71">
      <c r="B71" s="9" t="inlineStr">
        <is>
          <t>Membrures supérieures (treillis)</t>
        </is>
      </c>
      <c r="C71" s="56" t="str">
        <f>INDEX('PRÉDIMENSIONNEMENT'!$G$6:$G$14,'PRÉDIMENSIONNEMENT'!$C$25)</f>
        <v>L 70x7</v>
      </c>
      <c r="D71" s="51" t="n"/>
      <c r="E71" s="30" t="str">
        <f>IF('PRÉDIMENSIONNEMENT'!$D$71="",'PRÉDIMENSIONNEMENT'!$C$71,'PRÉDIMENSIONNEMENT'!$D$71)</f>
        <v>L 70x7</v>
      </c>
      <c r="F71" s="57">
        <f>IFERROR(_xlfn.XLOOKUP('PRÉDIMENSIONNEMENT'!$E$71,'BASE_PROFILÉS'!$B$5:$B$200,'BASE_PROFILÉS'!$D$5:$D$200),IFERROR(INDEX('BASE_PROFILÉS'!$D$5:$D$200,MATCH('PRÉDIMENSIONNEMENT'!$E$71,'BASE_PROFILÉS'!$B$5:$B$200,0)),0))*'PARAMÈTRES'!$C$25</f>
        <v>14.76</v>
      </c>
      <c r="G71" s="58">
        <f>IFERROR(_xlfn.XLOOKUP('PRÉDIMENSIONNEMENT'!$E$71,'BASE_PROFILÉS'!$B$5:$B$200,'BASE_PROFILÉS'!$E$5:$E$200),IFERROR(INDEX('BASE_PROFILÉS'!$E$5:$E$200,MATCH('PRÉDIMENSIONNEMENT'!$E$71,'BASE_PROFILÉS'!$B$5:$B$200,0)),0))</f>
        <v>70</v>
      </c>
      <c r="H71" s="27" t="inlineStr">
        <is>
          <t>Tableau A – cornières accolées</t>
        </is>
      </c>
    </row>
    <row r="72">
      <c r="B72" s="9" t="inlineStr">
        <is>
          <t>Membrures inférieures (treillis)</t>
        </is>
      </c>
      <c r="C72" s="56" t="str">
        <f>INDEX('PRÉDIMENSIONNEMENT'!$H$6:$H$14,'PRÉDIMENSIONNEMENT'!$C$25)</f>
        <v>L 60x6</v>
      </c>
      <c r="D72" s="51" t="n"/>
      <c r="E72" s="30" t="str">
        <f>IF('PRÉDIMENSIONNEMENT'!$D$72="",'PRÉDIMENSIONNEMENT'!$C$72,'PRÉDIMENSIONNEMENT'!$D$72)</f>
        <v>L 60x6</v>
      </c>
      <c r="F72" s="57">
        <f>IFERROR(_xlfn.XLOOKUP('PRÉDIMENSIONNEMENT'!$E$72,'BASE_PROFILÉS'!$B$5:$B$200,'BASE_PROFILÉS'!$D$5:$D$200),IFERROR(INDEX('BASE_PROFILÉS'!$D$5:$D$200,MATCH('PRÉDIMENSIONNEMENT'!$E$72,'BASE_PROFILÉS'!$B$5:$B$200,0)),0))*'PARAMÈTRES'!$C$25</f>
        <v>10.84</v>
      </c>
      <c r="G72" s="58">
        <f>IFERROR(_xlfn.XLOOKUP('PRÉDIMENSIONNEMENT'!$E$72,'BASE_PROFILÉS'!$B$5:$B$200,'BASE_PROFILÉS'!$E$5:$E$200),IFERROR(INDEX('BASE_PROFILÉS'!$E$5:$E$200,MATCH('PRÉDIMENSIONNEMENT'!$E$72,'BASE_PROFILÉS'!$B$5:$B$200,0)),0))</f>
        <v>60</v>
      </c>
      <c r="H72" s="27" t="inlineStr">
        <is>
          <t>Tableau A – cornières accolées</t>
        </is>
      </c>
    </row>
    <row r="73">
      <c r="B73" s="9" t="inlineStr">
        <is>
          <t>Montants (treillis)</t>
        </is>
      </c>
      <c r="C73" s="56" t="str">
        <f>INDEX('PRÉDIMENSIONNEMENT'!$I$6:$I$14,'PRÉDIMENSIONNEMENT'!$C$25)</f>
        <v>L 45x4.5</v>
      </c>
      <c r="D73" s="51" t="n"/>
      <c r="E73" s="30" t="str">
        <f>IF('PRÉDIMENSIONNEMENT'!$D$73="",'PRÉDIMENSIONNEMENT'!$C$73,'PRÉDIMENSIONNEMENT'!$D$73)</f>
        <v>L 45x4.5</v>
      </c>
      <c r="F73" s="57">
        <f>IFERROR(_xlfn.XLOOKUP('PRÉDIMENSIONNEMENT'!$E$73,'BASE_PROFILÉS'!$B$5:$B$200,'BASE_PROFILÉS'!$D$5:$D$200),IFERROR(INDEX('BASE_PROFILÉS'!$D$5:$D$200,MATCH('PRÉDIMENSIONNEMENT'!$E$73,'BASE_PROFILÉS'!$B$5:$B$200,0)),0))</f>
        <v>3.06</v>
      </c>
      <c r="G73" s="58">
        <f>IFERROR(_xlfn.XLOOKUP('PRÉDIMENSIONNEMENT'!$E$73,'BASE_PROFILÉS'!$B$5:$B$200,'BASE_PROFILÉS'!$E$5:$E$200),IFERROR(INDEX('BASE_PROFILÉS'!$E$5:$E$200,MATCH('PRÉDIMENSIONNEMENT'!$E$73,'BASE_PROFILÉS'!$B$5:$B$200,0)),0))</f>
        <v>45</v>
      </c>
      <c r="H73" s="27" t="inlineStr">
        <is>
          <t>Tableau A</t>
        </is>
      </c>
    </row>
    <row r="74">
      <c r="B74" s="9" t="inlineStr">
        <is>
          <t>Diagonales (treillis)</t>
        </is>
      </c>
      <c r="C74" s="56" t="str">
        <f>INDEX('PRÉDIMENSIONNEMENT'!$J$6:$J$14,'PRÉDIMENSIONNEMENT'!$C$25)</f>
        <v>L 50x5</v>
      </c>
      <c r="D74" s="51" t="n"/>
      <c r="E74" s="30" t="str">
        <f>IF('PRÉDIMENSIONNEMENT'!$D$74="",'PRÉDIMENSIONNEMENT'!$C$74,'PRÉDIMENSIONNEMENT'!$D$74)</f>
        <v>L 50x5</v>
      </c>
      <c r="F74" s="57">
        <f>IFERROR(_xlfn.XLOOKUP('PRÉDIMENSIONNEMENT'!$E$74,'BASE_PROFILÉS'!$B$5:$B$200,'BASE_PROFILÉS'!$D$5:$D$200),IFERROR(INDEX('BASE_PROFILÉS'!$D$5:$D$200,MATCH('PRÉDIMENSIONNEMENT'!$E$74,'BASE_PROFILÉS'!$B$5:$B$200,0)),0))</f>
        <v>3.77</v>
      </c>
      <c r="G74" s="58">
        <f>IFERROR(_xlfn.XLOOKUP('PRÉDIMENSIONNEMENT'!$E$74,'BASE_PROFILÉS'!$B$5:$B$200,'BASE_PROFILÉS'!$E$5:$E$200),IFERROR(INDEX('BASE_PROFILÉS'!$E$5:$E$200,MATCH('PRÉDIMENSIONNEMENT'!$E$74,'BASE_PROFILÉS'!$B$5:$B$200,0)),0))</f>
        <v>50</v>
      </c>
      <c r="H74" s="27" t="inlineStr">
        <is>
          <t>Tableau A</t>
        </is>
      </c>
    </row>
    <row r="75">
      <c r="B75" s="9" t="inlineStr">
        <is>
          <t>Poteaux de pignon</t>
        </is>
      </c>
      <c r="C75" s="56" t="str">
        <f>INDEX('PRÉDIMENSIONNEMENT'!$C$17:$C$21,COUNTIF('PRÉDIMENSIONNEMENT'!$B$17:$B$21,"&lt;"&amp;'PRÉDIMENSIONNEMENT'!$C$34)+1)</f>
        <v>IPE 220</v>
      </c>
      <c r="D75" s="51" t="n"/>
      <c r="E75" s="30" t="str">
        <f>IF('PRÉDIMENSIONNEMENT'!$D$75="",'PRÉDIMENSIONNEMENT'!$C$75,'PRÉDIMENSIONNEMENT'!$D$75)</f>
        <v>IPE 220</v>
      </c>
      <c r="F75" s="57">
        <f>IFERROR(_xlfn.XLOOKUP('PRÉDIMENSIONNEMENT'!$E$75,'BASE_PROFILÉS'!$B$5:$B$200,'BASE_PROFILÉS'!$D$5:$D$200),IFERROR(INDEX('BASE_PROFILÉS'!$D$5:$D$200,MATCH('PRÉDIMENSIONNEMENT'!$E$75,'BASE_PROFILÉS'!$B$5:$B$200,0)),0))</f>
        <v>26.2</v>
      </c>
      <c r="G75" s="58">
        <f>IFERROR(_xlfn.XLOOKUP('PRÉDIMENSIONNEMENT'!$E$75,'BASE_PROFILÉS'!$B$5:$B$200,'BASE_PROFILÉS'!$E$5:$E$200),IFERROR(INDEX('BASE_PROFILÉS'!$E$5:$E$200,MATCH('PRÉDIMENSIONNEMENT'!$E$75,'BASE_PROFILÉS'!$B$5:$B$200,0)),0))</f>
        <v>220</v>
      </c>
      <c r="H75" s="27" t="inlineStr">
        <is>
          <t>Selon hauteur au faîtage</t>
        </is>
      </c>
    </row>
    <row r="76">
      <c r="B76" s="9" t="inlineStr">
        <is>
          <t>Poteaux intermédiaires (file centrale)</t>
        </is>
      </c>
      <c r="C76" s="56" t="str">
        <f>"HEA 200"</f>
        <v>HEA 200</v>
      </c>
      <c r="D76" s="51" t="n"/>
      <c r="E76" s="30" t="str">
        <f>IF('PRÉDIMENSIONNEMENT'!$D$76="",'PRÉDIMENSIONNEMENT'!$C$76,'PRÉDIMENSIONNEMENT'!$D$76)</f>
        <v>HEA 200</v>
      </c>
      <c r="F76" s="57">
        <f>IFERROR(_xlfn.XLOOKUP('PRÉDIMENSIONNEMENT'!$E$76,'BASE_PROFILÉS'!$B$5:$B$200,'BASE_PROFILÉS'!$D$5:$D$200),IFERROR(INDEX('BASE_PROFILÉS'!$D$5:$D$200,MATCH('PRÉDIMENSIONNEMENT'!$E$76,'BASE_PROFILÉS'!$B$5:$B$200,0)),0))</f>
        <v>42.3</v>
      </c>
      <c r="G76" s="58">
        <f>IFERROR(_xlfn.XLOOKUP('PRÉDIMENSIONNEMENT'!$E$76,'BASE_PROFILÉS'!$B$5:$B$200,'BASE_PROFILÉS'!$E$5:$E$200),IFERROR(INDEX('BASE_PROFILÉS'!$E$5:$E$200,MATCH('PRÉDIMENSIONNEMENT'!$E$76,'BASE_PROFILÉS'!$B$5:$B$200,0)),0))</f>
        <v>190</v>
      </c>
      <c r="H76" s="27" t="inlineStr">
        <is>
          <t>Valeur proposée</t>
        </is>
      </c>
    </row>
    <row r="77">
      <c r="B77" s="9" t="inlineStr">
        <is>
          <t>Pannes</t>
        </is>
      </c>
      <c r="C77" s="56" t="str">
        <f>INDEX('PRÉDIMENSIONNEMENT'!$G$17:$G$20,COUNTIF('PRÉDIMENSIONNEMENT'!$F$17:$F$20,"&lt;"&amp;'PRÉDIMENSIONNEMENT'!$C$30)+1)</f>
        <v>Z 200</v>
      </c>
      <c r="D77" s="51" t="n"/>
      <c r="E77" s="30" t="str">
        <f>IF('PRÉDIMENSIONNEMENT'!$D$77="",'PRÉDIMENSIONNEMENT'!$C$77,'PRÉDIMENSIONNEMENT'!$D$77)</f>
        <v>Z 200</v>
      </c>
      <c r="F77" s="57">
        <f>IFERROR(_xlfn.XLOOKUP('PRÉDIMENSIONNEMENT'!$E$77,'BASE_PROFILÉS'!$B$5:$B$200,'BASE_PROFILÉS'!$D$5:$D$200),IFERROR(INDEX('BASE_PROFILÉS'!$D$5:$D$200,MATCH('PRÉDIMENSIONNEMENT'!$E$77,'BASE_PROFILÉS'!$B$5:$B$200,0)),0))</f>
        <v>5.2</v>
      </c>
      <c r="G77" s="58">
        <f>IFERROR(_xlfn.XLOOKUP('PRÉDIMENSIONNEMENT'!$E$77,'BASE_PROFILÉS'!$B$5:$B$200,'BASE_PROFILÉS'!$E$5:$E$200),IFERROR(INDEX('BASE_PROFILÉS'!$E$5:$E$200,MATCH('PRÉDIMENSIONNEMENT'!$E$77,'BASE_PROFILÉS'!$B$5:$B$200,0)),0))</f>
        <v>200</v>
      </c>
      <c r="H77" s="27" t="inlineStr">
        <is>
          <t>Selon entraxe des portiques</t>
        </is>
      </c>
    </row>
    <row r="78">
      <c r="B78" s="9" t="inlineStr">
        <is>
          <t>Lisses de bardage</t>
        </is>
      </c>
      <c r="C78" s="56" t="str">
        <f>INDEX('PRÉDIMENSIONNEMENT'!$H$17:$H$20,COUNTIF('PRÉDIMENSIONNEMENT'!$F$17:$F$20,"&lt;"&amp;'PRÉDIMENSIONNEMENT'!$C$30)+1)</f>
        <v>C 160</v>
      </c>
      <c r="D78" s="51" t="n"/>
      <c r="E78" s="30" t="str">
        <f>IF('PRÉDIMENSIONNEMENT'!$D$78="",'PRÉDIMENSIONNEMENT'!$C$78,'PRÉDIMENSIONNEMENT'!$D$78)</f>
        <v>C 160</v>
      </c>
      <c r="F78" s="57">
        <f>IFERROR(_xlfn.XLOOKUP('PRÉDIMENSIONNEMENT'!$E$78,'BASE_PROFILÉS'!$B$5:$B$200,'BASE_PROFILÉS'!$D$5:$D$200),IFERROR(INDEX('BASE_PROFILÉS'!$D$5:$D$200,MATCH('PRÉDIMENSIONNEMENT'!$E$78,'BASE_PROFILÉS'!$B$5:$B$200,0)),0))</f>
        <v>4.57</v>
      </c>
      <c r="G78" s="58">
        <f>IFERROR(_xlfn.XLOOKUP('PRÉDIMENSIONNEMENT'!$E$78,'BASE_PROFILÉS'!$B$5:$B$200,'BASE_PROFILÉS'!$E$5:$E$200),IFERROR(INDEX('BASE_PROFILÉS'!$E$5:$E$200,MATCH('PRÉDIMENSIONNEMENT'!$E$78,'BASE_PROFILÉS'!$B$5:$B$200,0)),0))</f>
        <v>160</v>
      </c>
      <c r="H78" s="27" t="inlineStr">
        <is>
          <t>Selon entraxe des portiques</t>
        </is>
      </c>
    </row>
    <row r="79">
      <c r="B79" s="9" t="inlineStr">
        <is>
          <t>Contreventements verticaux (croix)</t>
        </is>
      </c>
      <c r="C79" s="56" t="str">
        <f>"L 70x7"</f>
        <v>L 70x7</v>
      </c>
      <c r="D79" s="51" t="n"/>
      <c r="E79" s="30" t="str">
        <f>IF('PRÉDIMENSIONNEMENT'!$D$79="",'PRÉDIMENSIONNEMENT'!$C$79,'PRÉDIMENSIONNEMENT'!$D$79)</f>
        <v>L 70x7</v>
      </c>
      <c r="F79" s="57">
        <f>IFERROR(_xlfn.XLOOKUP('PRÉDIMENSIONNEMENT'!$E$79,'BASE_PROFILÉS'!$B$5:$B$200,'BASE_PROFILÉS'!$D$5:$D$200),IFERROR(INDEX('BASE_PROFILÉS'!$D$5:$D$200,MATCH('PRÉDIMENSIONNEMENT'!$E$79,'BASE_PROFILÉS'!$B$5:$B$200,0)),0))</f>
        <v>7.38</v>
      </c>
      <c r="G79" s="58">
        <f>IFERROR(_xlfn.XLOOKUP('PRÉDIMENSIONNEMENT'!$E$79,'BASE_PROFILÉS'!$B$5:$B$200,'BASE_PROFILÉS'!$E$5:$E$200),IFERROR(INDEX('BASE_PROFILÉS'!$E$5:$E$200,MATCH('PRÉDIMENSIONNEMENT'!$E$79,'BASE_PROFILÉS'!$B$5:$B$200,0)),0))</f>
        <v>70</v>
      </c>
      <c r="H79" s="27" t="inlineStr">
        <is>
          <t>Cornière proposée</t>
        </is>
      </c>
    </row>
    <row r="80">
      <c r="B80" s="9" t="inlineStr">
        <is>
          <t>Contreventements de couverture (poutre au vent)</t>
        </is>
      </c>
      <c r="C80" s="56" t="str">
        <f>"L 60x6"</f>
        <v>L 60x6</v>
      </c>
      <c r="D80" s="51" t="n"/>
      <c r="E80" s="30" t="str">
        <f>IF('PRÉDIMENSIONNEMENT'!$D$80="",'PRÉDIMENSIONNEMENT'!$C$80,'PRÉDIMENSIONNEMENT'!$D$80)</f>
        <v>L 60x6</v>
      </c>
      <c r="F80" s="57">
        <f>IFERROR(_xlfn.XLOOKUP('PRÉDIMENSIONNEMENT'!$E$80,'BASE_PROFILÉS'!$B$5:$B$200,'BASE_PROFILÉS'!$D$5:$D$200),IFERROR(INDEX('BASE_PROFILÉS'!$D$5:$D$200,MATCH('PRÉDIMENSIONNEMENT'!$E$80,'BASE_PROFILÉS'!$B$5:$B$200,0)),0))</f>
        <v>5.42</v>
      </c>
      <c r="G80" s="58">
        <f>IFERROR(_xlfn.XLOOKUP('PRÉDIMENSIONNEMENT'!$E$80,'BASE_PROFILÉS'!$B$5:$B$200,'BASE_PROFILÉS'!$E$5:$E$200),IFERROR(INDEX('BASE_PROFILÉS'!$E$5:$E$200,MATCH('PRÉDIMENSIONNEMENT'!$E$80,'BASE_PROFILÉS'!$B$5:$B$200,0)),0))</f>
        <v>60</v>
      </c>
      <c r="H80" s="27" t="inlineStr">
        <is>
          <t>Cornière proposée</t>
        </is>
      </c>
    </row>
    <row r="81">
      <c r="B81" s="9" t="inlineStr">
        <is>
          <t>Liernes et bretelles</t>
        </is>
      </c>
      <c r="C81" s="56" t="str">
        <f>"Rond 12"</f>
        <v>Rond 12</v>
      </c>
      <c r="D81" s="51" t="n"/>
      <c r="E81" s="30" t="str">
        <f>IF('PRÉDIMENSIONNEMENT'!$D$81="",'PRÉDIMENSIONNEMENT'!$C$81,'PRÉDIMENSIONNEMENT'!$D$81)</f>
        <v>Rond 12</v>
      </c>
      <c r="F81" s="57">
        <f>IFERROR(_xlfn.XLOOKUP('PRÉDIMENSIONNEMENT'!$E$81,'BASE_PROFILÉS'!$B$5:$B$200,'BASE_PROFILÉS'!$D$5:$D$200),IFERROR(INDEX('BASE_PROFILÉS'!$D$5:$D$200,MATCH('PRÉDIMENSIONNEMENT'!$E$81,'BASE_PROFILÉS'!$B$5:$B$200,0)),0))</f>
        <v>0.888</v>
      </c>
      <c r="G81" s="58">
        <f>IFERROR(_xlfn.XLOOKUP('PRÉDIMENSIONNEMENT'!$E$81,'BASE_PROFILÉS'!$B$5:$B$200,'BASE_PROFILÉS'!$E$5:$E$200),IFERROR(INDEX('BASE_PROFILÉS'!$E$5:$E$200,MATCH('PRÉDIMENSIONNEMENT'!$E$81,'BASE_PROFILÉS'!$B$5:$B$200,0)),0))</f>
        <v>12</v>
      </c>
      <c r="H81" s="27" t="inlineStr">
        <is>
          <t>Rond Ø12</t>
        </is>
      </c>
    </row>
    <row r="82">
      <c r="B82" s="9" t="inlineStr">
        <is>
          <t>Chevêtres de skydome</t>
        </is>
      </c>
      <c r="C82" s="56" t="str">
        <f>"L 60x6"</f>
        <v>L 60x6</v>
      </c>
      <c r="D82" s="51" t="n"/>
      <c r="E82" s="30" t="str">
        <f>IF('PRÉDIMENSIONNEMENT'!$D$82="",'PRÉDIMENSIONNEMENT'!$C$82,'PRÉDIMENSIONNEMENT'!$D$82)</f>
        <v>L 60x6</v>
      </c>
      <c r="F82" s="57">
        <f>IFERROR(_xlfn.XLOOKUP('PRÉDIMENSIONNEMENT'!$E$82,'BASE_PROFILÉS'!$B$5:$B$200,'BASE_PROFILÉS'!$D$5:$D$200),IFERROR(INDEX('BASE_PROFILÉS'!$D$5:$D$200,MATCH('PRÉDIMENSIONNEMENT'!$E$82,'BASE_PROFILÉS'!$B$5:$B$200,0)),0))</f>
        <v>5.42</v>
      </c>
      <c r="G82" s="58">
        <f>IFERROR(_xlfn.XLOOKUP('PRÉDIMENSIONNEMENT'!$E$82,'BASE_PROFILÉS'!$B$5:$B$200,'BASE_PROFILÉS'!$E$5:$E$200),IFERROR(INDEX('BASE_PROFILÉS'!$E$5:$E$200,MATCH('PRÉDIMENSIONNEMENT'!$E$82,'BASE_PROFILÉS'!$B$5:$B$200,0)),0))</f>
        <v>60</v>
      </c>
      <c r="H82" s="27" t="inlineStr">
        <is>
          <t>Cadre en cornière</t>
        </is>
      </c>
    </row>
    <row r="83">
      <c r="B83" s="9" t="inlineStr">
        <is>
          <t>Baïonnettes d'acrotère</t>
        </is>
      </c>
      <c r="C83" s="56" t="str">
        <f>"L 50x5"</f>
        <v>L 50x5</v>
      </c>
      <c r="D83" s="51" t="n"/>
      <c r="E83" s="30" t="str">
        <f>IF('PRÉDIMENSIONNEMENT'!$D$83="",'PRÉDIMENSIONNEMENT'!$C$83,'PRÉDIMENSIONNEMENT'!$D$83)</f>
        <v>L 50x5</v>
      </c>
      <c r="F83" s="57">
        <f>IFERROR(_xlfn.XLOOKUP('PRÉDIMENSIONNEMENT'!$E$83,'BASE_PROFILÉS'!$B$5:$B$200,'BASE_PROFILÉS'!$D$5:$D$200),IFERROR(INDEX('BASE_PROFILÉS'!$D$5:$D$200,MATCH('PRÉDIMENSIONNEMENT'!$E$83,'BASE_PROFILÉS'!$B$5:$B$200,0)),0))</f>
        <v>3.77</v>
      </c>
      <c r="G83" s="58">
        <f>IFERROR(_xlfn.XLOOKUP('PRÉDIMENSIONNEMENT'!$E$83,'BASE_PROFILÉS'!$B$5:$B$200,'BASE_PROFILÉS'!$E$5:$E$200),IFERROR(INDEX('BASE_PROFILÉS'!$E$5:$E$200,MATCH('PRÉDIMENSIONNEMENT'!$E$83,'BASE_PROFILÉS'!$B$5:$B$200,0)),0))</f>
        <v>50</v>
      </c>
      <c r="H83" s="27" t="inlineStr">
        <is>
          <t>Cornière</t>
        </is>
      </c>
    </row>
    <row r="84">
      <c r="B84" s="9" t="inlineStr">
        <is>
          <t>Linteaux et potelets de baies</t>
        </is>
      </c>
      <c r="C84" s="56" t="str">
        <f>"UPN 140"</f>
        <v>UPN 140</v>
      </c>
      <c r="D84" s="51" t="n"/>
      <c r="E84" s="30" t="str">
        <f>IF('PRÉDIMENSIONNEMENT'!$D$84="",'PRÉDIMENSIONNEMENT'!$C$84,'PRÉDIMENSIONNEMENT'!$D$84)</f>
        <v>UPN 140</v>
      </c>
      <c r="F84" s="57">
        <f>IFERROR(_xlfn.XLOOKUP('PRÉDIMENSIONNEMENT'!$E$84,'BASE_PROFILÉS'!$B$5:$B$200,'BASE_PROFILÉS'!$D$5:$D$200),IFERROR(INDEX('BASE_PROFILÉS'!$D$5:$D$200,MATCH('PRÉDIMENSIONNEMENT'!$E$84,'BASE_PROFILÉS'!$B$5:$B$200,0)),0))</f>
        <v>16</v>
      </c>
      <c r="G84" s="58">
        <f>IFERROR(_xlfn.XLOOKUP('PRÉDIMENSIONNEMENT'!$E$84,'BASE_PROFILÉS'!$B$5:$B$200,'BASE_PROFILÉS'!$E$5:$E$200),IFERROR(INDEX('BASE_PROFILÉS'!$E$5:$E$200,MATCH('PRÉDIMENSIONNEMENT'!$E$84,'BASE_PROFILÉS'!$B$5:$B$200,0)),0))</f>
        <v>140</v>
      </c>
      <c r="H84" s="27" t="inlineStr">
        <is>
          <t>UPN</t>
        </is>
      </c>
    </row>
    <row r="86">
      <c r="B86" s="21" t="inlineStr">
        <is>
          <t>D. ALERTES DE PRÉDIMENSIONNEMENT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</row>
    <row r="87">
      <c r="B87" s="16" t="str">
        <f>IF(AND('PARAMÈTRES'!$C$9&gt;30,'PARAMÈTRES'!$C$21="Non"),"ALERTE : portée &gt; 30 m sans poteau intermédiaire – prévoir une file centrale (indispensable au-delà de 40 m sans appui)","OK : portée / appuis")</f>
        <v>OK : portée / appuis</v>
      </c>
      <c r="C87" s="53" t="n"/>
      <c r="D87" s="53" t="n"/>
      <c r="E87" s="53" t="n"/>
      <c r="F87" s="53" t="n"/>
      <c r="G87" s="53" t="n"/>
      <c r="H87" s="53" t="n"/>
      <c r="I87" s="53" t="n"/>
      <c r="J87" s="10" t="n"/>
    </row>
    <row r="88">
      <c r="B88" s="16" t="str">
        <f>IF('PARAMÈTRES'!$C$12&lt;0.05,"ALERTE : pente &lt; 5 % – risque de stagnation, revoir la pente","OK : pente ≥ 5 %")</f>
        <v>OK : pente ≥ 5 %</v>
      </c>
      <c r="C88" s="53" t="n"/>
      <c r="D88" s="53" t="n"/>
      <c r="E88" s="53" t="n"/>
      <c r="F88" s="53" t="n"/>
      <c r="G88" s="53" t="n"/>
      <c r="H88" s="53" t="n"/>
      <c r="I88" s="53" t="n"/>
      <c r="J88" s="10" t="n"/>
    </row>
    <row r="89">
      <c r="B89" s="16" t="str">
        <f>IF(AND('PARAMÈTRES'!$C$114="15 cm",'PARAMÈTRES'!$C$115="Nappe double"),"ALERTE : dallage 15 cm en nappe double (peu courant)","OK : dallage / ferraillage")</f>
        <v>OK : dallage / ferraillage</v>
      </c>
      <c r="C89" s="53" t="n"/>
      <c r="D89" s="53" t="n"/>
      <c r="E89" s="53" t="n"/>
      <c r="F89" s="53" t="n"/>
      <c r="G89" s="53" t="n"/>
      <c r="H89" s="53" t="n"/>
      <c r="I89" s="53" t="n"/>
      <c r="J89" s="10" t="n"/>
    </row>
    <row r="90">
      <c r="B90" s="16" t="str">
        <f>IF(OR('QUANTITATIF_CHARPENTE'!$I$78&lt;18,'QUANTITATIF_CHARPENTE'!$I$78&gt;45),"ALERTE : ratio acier "&amp;FIXED('QUANTITATIF_CHARPENTE'!$I$78,1,TRUE)&amp;" kg/m² hors fourchette 18–45","OK : ratio acier "&amp;FIXED('QUANTITATIF_CHARPENTE'!$I$78,1,TRUE)&amp;" kg/m²")</f>
        <v>OK : ratio acier 32.5 kg/m²</v>
      </c>
      <c r="C90" s="53" t="n"/>
      <c r="D90" s="53" t="n"/>
      <c r="E90" s="53" t="n"/>
      <c r="F90" s="53" t="n"/>
      <c r="G90" s="53" t="n"/>
      <c r="H90" s="53" t="n"/>
      <c r="I90" s="53" t="n"/>
      <c r="J90" s="10" t="n"/>
    </row>
    <row r="91">
      <c r="B91" s="16" t="str">
        <f>IF('PARAMÈTRES'!$C$47&lt;0.4,"ALERTE : tôle &lt; 0,40 mm","OK : épaisseur de tôle")</f>
        <v>OK : épaisseur de tôle</v>
      </c>
      <c r="C91" s="53" t="n"/>
      <c r="D91" s="53" t="n"/>
      <c r="E91" s="53" t="n"/>
      <c r="F91" s="53" t="n"/>
      <c r="G91" s="53" t="n"/>
      <c r="H91" s="53" t="n"/>
      <c r="I91" s="53" t="n"/>
      <c r="J91" s="10" t="n"/>
    </row>
    <row r="92">
      <c r="B92" s="16" t="str">
        <f>IF(AND('PRÉDIMENSIONNEMENT'!$C$30&gt;6.5,'PRÉDIMENSIONNEMENT'!$E$77="Z 250"),"ALERTE : entraxe de portiques élevé, vérifier les pannes","OK : entraxe des portiques")</f>
        <v>OK : entraxe des portiques</v>
      </c>
      <c r="C92" s="53" t="n"/>
      <c r="D92" s="53" t="n"/>
      <c r="E92" s="53" t="n"/>
      <c r="F92" s="53" t="n"/>
      <c r="G92" s="53" t="n"/>
      <c r="H92" s="53" t="n"/>
      <c r="I92" s="53" t="n"/>
      <c r="J92" s="10" t="n"/>
    </row>
  </sheetData>
  <mergeCells count="48">
    <mergeCell ref="E63:J63"/>
    <mergeCell ref="E28:J28"/>
    <mergeCell ref="E60:J60"/>
    <mergeCell ref="E40:J40"/>
    <mergeCell ref="E31:J31"/>
    <mergeCell ref="B88:J88"/>
    <mergeCell ref="E65:J65"/>
    <mergeCell ref="E34:J34"/>
    <mergeCell ref="E30:J30"/>
    <mergeCell ref="E59:J59"/>
    <mergeCell ref="B87:J87"/>
    <mergeCell ref="E49:J49"/>
    <mergeCell ref="E46:J46"/>
    <mergeCell ref="E36:J36"/>
    <mergeCell ref="E27:J27"/>
    <mergeCell ref="E45:J45"/>
    <mergeCell ref="E61:J61"/>
    <mergeCell ref="E26:J26"/>
    <mergeCell ref="E44:J44"/>
    <mergeCell ref="E57:J57"/>
    <mergeCell ref="B92:J92"/>
    <mergeCell ref="E54:J54"/>
    <mergeCell ref="E25:J25"/>
    <mergeCell ref="A1:J1"/>
    <mergeCell ref="E41:J41"/>
    <mergeCell ref="E32:J32"/>
    <mergeCell ref="B89:J89"/>
    <mergeCell ref="E37:J37"/>
    <mergeCell ref="E56:J56"/>
    <mergeCell ref="E53:J53"/>
    <mergeCell ref="E47:J47"/>
    <mergeCell ref="E43:J43"/>
    <mergeCell ref="E50:J50"/>
    <mergeCell ref="E58:J58"/>
    <mergeCell ref="B91:J91"/>
    <mergeCell ref="E33:J33"/>
    <mergeCell ref="B90:J90"/>
    <mergeCell ref="E55:J55"/>
    <mergeCell ref="E62:J62"/>
    <mergeCell ref="E42:J42"/>
    <mergeCell ref="E52:J52"/>
    <mergeCell ref="E48:J48"/>
    <mergeCell ref="E39:J39"/>
    <mergeCell ref="E35:J35"/>
    <mergeCell ref="E51:J51"/>
    <mergeCell ref="E64:J64"/>
    <mergeCell ref="E38:J38"/>
    <mergeCell ref="E29:J29"/>
  </mergeCells>
  <conditionalFormatting sqref="F69">
    <cfRule type="expression" priority="1" dxfId="0">
      <formula>F69=0</formula>
    </cfRule>
  </conditionalFormatting>
  <conditionalFormatting sqref="F70">
    <cfRule type="expression" priority="2" dxfId="0">
      <formula>F70=0</formula>
    </cfRule>
  </conditionalFormatting>
  <conditionalFormatting sqref="F71">
    <cfRule type="expression" priority="3" dxfId="0">
      <formula>F71=0</formula>
    </cfRule>
  </conditionalFormatting>
  <conditionalFormatting sqref="F72">
    <cfRule type="expression" priority="4" dxfId="0">
      <formula>F72=0</formula>
    </cfRule>
  </conditionalFormatting>
  <conditionalFormatting sqref="F73">
    <cfRule type="expression" priority="5" dxfId="0">
      <formula>F73=0</formula>
    </cfRule>
  </conditionalFormatting>
  <conditionalFormatting sqref="F74">
    <cfRule type="expression" priority="6" dxfId="0">
      <formula>F74=0</formula>
    </cfRule>
  </conditionalFormatting>
  <conditionalFormatting sqref="F75">
    <cfRule type="expression" priority="7" dxfId="0">
      <formula>F75=0</formula>
    </cfRule>
  </conditionalFormatting>
  <conditionalFormatting sqref="F76">
    <cfRule type="expression" priority="8" dxfId="0">
      <formula>F76=0</formula>
    </cfRule>
  </conditionalFormatting>
  <conditionalFormatting sqref="F77">
    <cfRule type="expression" priority="9" dxfId="0">
      <formula>F77=0</formula>
    </cfRule>
  </conditionalFormatting>
  <conditionalFormatting sqref="F78">
    <cfRule type="expression" priority="10" dxfId="0">
      <formula>F78=0</formula>
    </cfRule>
  </conditionalFormatting>
  <conditionalFormatting sqref="F79">
    <cfRule type="expression" priority="11" dxfId="0">
      <formula>F79=0</formula>
    </cfRule>
  </conditionalFormatting>
  <conditionalFormatting sqref="F80">
    <cfRule type="expression" priority="12" dxfId="0">
      <formula>F80=0</formula>
    </cfRule>
  </conditionalFormatting>
  <conditionalFormatting sqref="F81">
    <cfRule type="expression" priority="13" dxfId="0">
      <formula>F81=0</formula>
    </cfRule>
  </conditionalFormatting>
  <conditionalFormatting sqref="F82">
    <cfRule type="expression" priority="14" dxfId="0">
      <formula>F82=0</formula>
    </cfRule>
  </conditionalFormatting>
  <conditionalFormatting sqref="F83">
    <cfRule type="expression" priority="15" dxfId="0">
      <formula>F83=0</formula>
    </cfRule>
  </conditionalFormatting>
  <conditionalFormatting sqref="F84">
    <cfRule type="expression" priority="16" dxfId="0">
      <formula>F84=0</formula>
    </cfRule>
  </conditionalFormatting>
  <conditionalFormatting sqref="B87">
    <cfRule type="expression" priority="17" dxfId="0">
      <formula>LEFT(B87,6)="ALERTE"</formula>
    </cfRule>
  </conditionalFormatting>
  <conditionalFormatting sqref="B88">
    <cfRule type="expression" priority="18" dxfId="0">
      <formula>LEFT(B88,6)="ALERTE"</formula>
    </cfRule>
  </conditionalFormatting>
  <conditionalFormatting sqref="B89">
    <cfRule type="expression" priority="19" dxfId="0">
      <formula>LEFT(B89,6)="ALERTE"</formula>
    </cfRule>
  </conditionalFormatting>
  <conditionalFormatting sqref="B90">
    <cfRule type="expression" priority="20" dxfId="0">
      <formula>LEFT(B90,6)="ALERTE"</formula>
    </cfRule>
  </conditionalFormatting>
  <conditionalFormatting sqref="B91">
    <cfRule type="expression" priority="21" dxfId="0">
      <formula>LEFT(B91,6)="ALERTE"</formula>
    </cfRule>
  </conditionalFormatting>
  <conditionalFormatting sqref="B92">
    <cfRule type="expression" priority="22" dxfId="0">
      <formula>LEFT(B92,6)="ALERTE"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&amp;L&amp;8 &amp;A&amp;C&amp;8 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16" customWidth="1" min="3" max="3"/>
    <col width="8" customWidth="1" min="4" max="4"/>
    <col width="12" customWidth="1" min="5" max="5"/>
    <col width="12" customWidth="1" min="6" max="6"/>
    <col width="13" customWidth="1" min="7" max="7"/>
    <col width="11" customWidth="1" min="8" max="8"/>
    <col width="14" customWidth="1" min="9" max="9"/>
    <col width="62" customWidth="1" min="10" max="10"/>
  </cols>
  <sheetData>
    <row r="1" ht="24" customHeight="1">
      <c r="A1" s="20" t="inlineStr">
        <is>
          <t>QUANTITATIF CHARPENTE MÉTALLIQUE (EC3 / EC1)</t>
        </is>
      </c>
    </row>
    <row r="2">
      <c r="A2" s="3" t="inlineStr">
        <is>
          <t>Une ligne par élément. Toutes les quantités se recalculent depuis PARAMÈTRES et PRÉDIMENSIONNEMENT.</t>
        </is>
      </c>
    </row>
    <row r="4" ht="30" customHeight="1">
      <c r="B4" s="8" t="inlineStr">
        <is>
          <t>Désignation</t>
        </is>
      </c>
      <c r="C4" s="8" t="inlineStr">
        <is>
          <t>Profilé / section</t>
        </is>
      </c>
      <c r="D4" s="8" t="inlineStr">
        <is>
          <t>Unité</t>
        </is>
      </c>
      <c r="E4" s="8" t="inlineStr">
        <is>
          <t>Quantité</t>
        </is>
      </c>
      <c r="F4" s="8" t="inlineStr">
        <is>
          <t>Long. unitaire (m)</t>
        </is>
      </c>
      <c r="G4" s="8" t="inlineStr">
        <is>
          <t>Long. totale (m)</t>
        </is>
      </c>
      <c r="H4" s="8" t="inlineStr">
        <is>
          <t>kg/ml ou kg/u</t>
        </is>
      </c>
      <c r="I4" s="8" t="inlineStr">
        <is>
          <t>Poids total (kg)</t>
        </is>
      </c>
      <c r="J4" s="8" t="inlineStr">
        <is>
          <t>Règle de calcul (aussi en commentaire)</t>
        </is>
      </c>
    </row>
    <row r="5">
      <c r="B5" s="21" t="inlineStr">
        <is>
          <t>A1. OSSATURE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</row>
    <row r="6">
      <c r="B6" s="59" t="inlineStr">
        <is>
          <t>Poteaux de portiques (2 par portique)</t>
        </is>
      </c>
      <c r="C6" s="60" t="str">
        <f>'PRÉDIMENSIONNEMENT'!$E$69</f>
        <v>IPE 330</v>
      </c>
      <c r="D6" s="26" t="inlineStr">
        <is>
          <t>ml</t>
        </is>
      </c>
      <c r="E6" s="57">
        <f>2*'PRÉDIMENSIONNEMENT'!$C$29</f>
        <v>16</v>
      </c>
      <c r="F6" s="57">
        <f>'PRÉDIMENSIONNEMENT'!$C$33</f>
        <v>6</v>
      </c>
      <c r="G6" s="57">
        <f>'QUANTITATIF_CHARPENTE'!$E$6*'QUANTITATIF_CHARPENTE'!$F$6</f>
        <v>96</v>
      </c>
      <c r="H6" s="61">
        <f>'PRÉDIMENSIONNEMENT'!$F$69</f>
        <v>49.1</v>
      </c>
      <c r="I6" s="57">
        <f>'QUANTITATIF_CHARPENTE'!$G$6*'QUANTITATIF_CHARPENTE'!$H$6</f>
        <v>4713.6</v>
      </c>
      <c r="J6" s="62" t="inlineStr">
        <is>
          <t>2 × N poteaux × hauteur à l'égout (H + hauteur de ferme)</t>
        </is>
      </c>
    </row>
    <row r="7">
      <c r="B7" s="59" t="inlineStr">
        <is>
          <t>Poteaux de pignon (hauteur variable avec la pente)</t>
        </is>
      </c>
      <c r="C7" s="60" t="str">
        <f>'PRÉDIMENSIONNEMENT'!$E$75</f>
        <v>IPE 220</v>
      </c>
      <c r="D7" s="26" t="inlineStr">
        <is>
          <t>ml</t>
        </is>
      </c>
      <c r="E7" s="57">
        <f>'PRÉDIMENSIONNEMENT'!$C$37</f>
        <v>6</v>
      </c>
      <c r="F7" s="57">
        <f>IF('QUANTITATIF_CHARPENTE'!$E$7&gt;0,'QUANTITATIF_CHARPENTE'!$G$7/'QUANTITATIF_CHARPENTE'!$E$7,0)</f>
        <v>7.06666666666667</v>
      </c>
      <c r="G7" s="57">
        <f>2*(('PRÉDIMENSIONNEMENT'!$C$35-1)*'PRÉDIMENSIONNEMENT'!$C$33+'PARAMÈTRES'!$C$12*'PRÉDIMENSIONNEMENT'!$C$36*INT('PRÉDIMENSIONNEMENT'!$C$35^2/4))</f>
        <v>42.4</v>
      </c>
      <c r="H7" s="61">
        <f>'PRÉDIMENSIONNEMENT'!$F$75</f>
        <v>26.2</v>
      </c>
      <c r="I7" s="57">
        <f>'QUANTITATIF_CHARPENTE'!$G$7*'QUANTITATIF_CHARPENTE'!$H$7</f>
        <v>1110.88</v>
      </c>
      <c r="J7" s="62" t="inlineStr">
        <is>
          <t>2 pignons × Σ (Hm + pente × min(x ; B − x)) ; Σ min = (B / n) × ENT(n² / 4)</t>
        </is>
      </c>
    </row>
    <row r="8">
      <c r="B8" s="59" t="inlineStr">
        <is>
          <t>Poteaux intermédiaires (file centrale)</t>
        </is>
      </c>
      <c r="C8" s="60" t="str">
        <f>'PRÉDIMENSIONNEMENT'!$E$76</f>
        <v>HEA 200</v>
      </c>
      <c r="D8" s="26" t="inlineStr">
        <is>
          <t>ml</t>
        </is>
      </c>
      <c r="E8" s="57">
        <f>'PRÉDIMENSIONNEMENT'!$C$38</f>
        <v>0</v>
      </c>
      <c r="F8" s="57">
        <f>IF('PRÉDIMENSIONNEMENT'!$C$27=1,'PARAMÈTRES'!$C$11,'PRÉDIMENSIONNEMENT'!$C$34)</f>
        <v>7.6</v>
      </c>
      <c r="G8" s="57">
        <f>'QUANTITATIF_CHARPENTE'!$E$8*'QUANTITATIF_CHARPENTE'!$F$8</f>
        <v>0</v>
      </c>
      <c r="H8" s="61">
        <f>'PRÉDIMENSIONNEMENT'!$F$76</f>
        <v>42.3</v>
      </c>
      <c r="I8" s="57">
        <f>'QUANTITATIF_CHARPENTE'!$G$8*'QUANTITATIF_CHARPENTE'!$H$8</f>
        <v>0</v>
      </c>
      <c r="J8" s="62" t="inlineStr">
        <is>
          <t>1 par portique si file centrale = Oui</t>
        </is>
      </c>
    </row>
    <row r="9">
      <c r="B9" s="59" t="inlineStr">
        <is>
          <t>Traverses de portique (2 versants)</t>
        </is>
      </c>
      <c r="C9" s="60" t="str">
        <f>'PRÉDIMENSIONNEMENT'!$E$70</f>
        <v>IPE 300</v>
      </c>
      <c r="D9" s="26" t="inlineStr">
        <is>
          <t>ml</t>
        </is>
      </c>
      <c r="E9" s="57">
        <f>'PRÉDIMENSIONNEMENT'!$C$29*(1-'PRÉDIMENSIONNEMENT'!$C$27)</f>
        <v>8</v>
      </c>
      <c r="F9" s="57">
        <f>2*'PRÉDIMENSIONNEMENT'!$C$31</f>
        <v>20.2543822418755</v>
      </c>
      <c r="G9" s="57">
        <f>'QUANTITATIF_CHARPENTE'!$E$9*'QUANTITATIF_CHARPENTE'!$F$9</f>
        <v>162.035057935004</v>
      </c>
      <c r="H9" s="61">
        <f>'PRÉDIMENSIONNEMENT'!$F$70</f>
        <v>42.2</v>
      </c>
      <c r="I9" s="57">
        <f>'QUANTITATIF_CHARPENTE'!$G$9*'QUANTITATIF_CHARPENTE'!$H$9</f>
        <v>6837.87944485716</v>
      </c>
      <c r="J9" s="62" t="inlineStr">
        <is>
          <t>Longueur rampante = (portée / 2) / cos(arctan(pente)) × 2</t>
        </is>
      </c>
    </row>
    <row r="10">
      <c r="B10" s="59" t="inlineStr">
        <is>
          <t>Jarrets (renforts poteau-traverse)</t>
        </is>
      </c>
      <c r="C10" s="60" t="str">
        <f>'PRÉDIMENSIONNEMENT'!$E$70</f>
        <v>IPE 300</v>
      </c>
      <c r="D10" s="26" t="inlineStr">
        <is>
          <t>ml</t>
        </is>
      </c>
      <c r="E10" s="57">
        <f>2*'PRÉDIMENSIONNEMENT'!$C$29*(1-'PRÉDIMENSIONNEMENT'!$C$27)</f>
        <v>16</v>
      </c>
      <c r="F10" s="57">
        <f>'PARAMÈTRES'!$C$24*'PARAMÈTRES'!$C$9</f>
        <v>2</v>
      </c>
      <c r="G10" s="57">
        <f>'QUANTITATIF_CHARPENTE'!$E$10*'QUANTITATIF_CHARPENTE'!$F$10</f>
        <v>32</v>
      </c>
      <c r="H10" s="61">
        <f>'PRÉDIMENSIONNEMENT'!$F$70</f>
        <v>42.2</v>
      </c>
      <c r="I10" s="57">
        <f>'QUANTITATIF_CHARPENTE'!$G$10*'QUANTITATIF_CHARPENTE'!$H$10</f>
        <v>1350.4</v>
      </c>
      <c r="J10" s="62" t="inlineStr">
        <is>
          <t>2 par portique, longueur = % × portée, découpés dans le profil de traverse</t>
        </is>
      </c>
    </row>
    <row r="11">
      <c r="B11" s="59" t="inlineStr">
        <is>
          <t>Ferme treillis – membrures supérieures</t>
        </is>
      </c>
      <c r="C11" s="60" t="str">
        <f>'PRÉDIMENSIONNEMENT'!$E$71</f>
        <v>L 70x7</v>
      </c>
      <c r="D11" s="26" t="inlineStr">
        <is>
          <t>ml</t>
        </is>
      </c>
      <c r="E11" s="57">
        <f>'PRÉDIMENSIONNEMENT'!$C$29*'PRÉDIMENSIONNEMENT'!$C$27</f>
        <v>0</v>
      </c>
      <c r="F11" s="57">
        <f>2*'PRÉDIMENSIONNEMENT'!$C$31</f>
        <v>20.2543822418755</v>
      </c>
      <c r="G11" s="57">
        <f>'QUANTITATIF_CHARPENTE'!$E$11*'QUANTITATIF_CHARPENTE'!$F$11</f>
        <v>0</v>
      </c>
      <c r="H11" s="61">
        <f>'PRÉDIMENSIONNEMENT'!$F$71</f>
        <v>14.76</v>
      </c>
      <c r="I11" s="57">
        <f>'QUANTITATIF_CHARPENTE'!$G$11*'QUANTITATIF_CHARPENTE'!$H$11</f>
        <v>0</v>
      </c>
      <c r="J11" s="62" t="inlineStr">
        <is>
          <t>1 par ferme, longueur = 2 × rampant ; poids × cornières accolées</t>
        </is>
      </c>
    </row>
    <row r="12">
      <c r="B12" s="59" t="inlineStr">
        <is>
          <t>Ferme treillis – membrures inférieures</t>
        </is>
      </c>
      <c r="C12" s="60" t="str">
        <f>'PRÉDIMENSIONNEMENT'!$E$72</f>
        <v>L 60x6</v>
      </c>
      <c r="D12" s="26" t="inlineStr">
        <is>
          <t>ml</t>
        </is>
      </c>
      <c r="E12" s="57">
        <f>'PRÉDIMENSIONNEMENT'!$C$29*'PRÉDIMENSIONNEMENT'!$C$27</f>
        <v>0</v>
      </c>
      <c r="F12" s="57">
        <f>'PARAMÈTRES'!$C$9</f>
        <v>20</v>
      </c>
      <c r="G12" s="57">
        <f>'QUANTITATIF_CHARPENTE'!$E$12*'QUANTITATIF_CHARPENTE'!$F$12</f>
        <v>0</v>
      </c>
      <c r="H12" s="61">
        <f>'PRÉDIMENSIONNEMENT'!$F$72</f>
        <v>10.84</v>
      </c>
      <c r="I12" s="57">
        <f>'QUANTITATIF_CHARPENTE'!$G$12*'QUANTITATIF_CHARPENTE'!$H$12</f>
        <v>0</v>
      </c>
      <c r="J12" s="62" t="inlineStr">
        <is>
          <t>1 par ferme, longueur = portée</t>
        </is>
      </c>
    </row>
    <row r="13">
      <c r="B13" s="59" t="inlineStr">
        <is>
          <t>Ferme treillis – montants</t>
        </is>
      </c>
      <c r="C13" s="60" t="str">
        <f>'PRÉDIMENSIONNEMENT'!$E$73</f>
        <v>L 45x4.5</v>
      </c>
      <c r="D13" s="26" t="inlineStr">
        <is>
          <t>ml</t>
        </is>
      </c>
      <c r="E13" s="57">
        <f>'PRÉDIMENSIONNEMENT'!$C$29*'PRÉDIMENSIONNEMENT'!$C$27*('PRÉDIMENSIONNEMENT'!$C$39+1)</f>
        <v>0</v>
      </c>
      <c r="F13" s="57">
        <f>IF('QUANTITATIF_CHARPENTE'!$E$13&gt;0,'QUANTITATIF_CHARPENTE'!$G$13/'QUANTITATIF_CHARPENTE'!$E$13,0)</f>
        <v>0</v>
      </c>
      <c r="G13" s="57">
        <f>'PRÉDIMENSIONNEMENT'!$C$29*'PRÉDIMENSIONNEMENT'!$C$27*(('PRÉDIMENSIONNEMENT'!$C$39+1)*'PRÉDIMENSIONNEMENT'!$C$32+'PARAMÈTRES'!$C$12*('PARAMÈTRES'!$C$9/'PRÉDIMENSIONNEMENT'!$C$52)*INT('PRÉDIMENSIONNEMENT'!$C$39^2/4))</f>
        <v>0</v>
      </c>
      <c r="H13" s="61">
        <f>'PRÉDIMENSIONNEMENT'!$F$73</f>
        <v>3.06</v>
      </c>
      <c r="I13" s="57">
        <f>'QUANTITATIF_CHARPENTE'!$G$13*'QUANTITATIF_CHARPENTE'!$H$13</f>
        <v>0</v>
      </c>
      <c r="J13" s="62" t="inlineStr">
        <is>
          <t>(n + 1) montants par ferme, hauteur h0 + pente × min(x ; B − x)</t>
        </is>
      </c>
    </row>
    <row r="14">
      <c r="B14" s="59" t="inlineStr">
        <is>
          <t>Ferme treillis – diagonales</t>
        </is>
      </c>
      <c r="C14" s="60" t="str">
        <f>'PRÉDIMENSIONNEMENT'!$E$74</f>
        <v>L 50x5</v>
      </c>
      <c r="D14" s="26" t="inlineStr">
        <is>
          <t>ml</t>
        </is>
      </c>
      <c r="E14" s="57">
        <f>'PRÉDIMENSIONNEMENT'!$C$29*'PRÉDIMENSIONNEMENT'!$C$27*'PRÉDIMENSIONNEMENT'!$C$39</f>
        <v>0</v>
      </c>
      <c r="F14" s="57">
        <f>'PRÉDIMENSIONNEMENT'!$C$27*SQRT(('PARAMÈTRES'!$C$9/'PRÉDIMENSIONNEMENT'!$C$52)^2+('PRÉDIMENSIONNEMENT'!$C$32+'PARAMÈTRES'!$C$12*'PARAMÈTRES'!$C$9/4)^2)</f>
        <v>0</v>
      </c>
      <c r="G14" s="57">
        <f>'QUANTITATIF_CHARPENTE'!$E$14*'QUANTITATIF_CHARPENTE'!$F$14</f>
        <v>0</v>
      </c>
      <c r="H14" s="61">
        <f>'PRÉDIMENSIONNEMENT'!$F$74</f>
        <v>3.77</v>
      </c>
      <c r="I14" s="57">
        <f>'QUANTITATIF_CHARPENTE'!$G$14*'QUANTITATIF_CHARPENTE'!$H$14</f>
        <v>0</v>
      </c>
      <c r="J14" s="62" t="inlineStr">
        <is>
          <t>n diagonales par ferme, longueur √(pas² + h moyenne²)</t>
        </is>
      </c>
    </row>
    <row r="15">
      <c r="B15" s="59" t="inlineStr">
        <is>
          <t>Platines de pied – poteaux de portique</t>
        </is>
      </c>
      <c r="C15" s="60" t="str">
        <f>"PL"</f>
        <v>PL</v>
      </c>
      <c r="D15" s="26" t="inlineStr">
        <is>
          <t>u</t>
        </is>
      </c>
      <c r="E15" s="63">
        <f>2*'PRÉDIMENSIONNEMENT'!$C$29+'PRÉDIMENSIONNEMENT'!$C$38</f>
        <v>16</v>
      </c>
      <c r="F15" s="50" t="n"/>
      <c r="G15" s="50" t="n"/>
      <c r="H15" s="61">
        <f>'PARAMÈTRES'!$K$18</f>
        <v>24.7275</v>
      </c>
      <c r="I15" s="57">
        <f>'QUANTITATIF_CHARPENTE'!$E$15*'QUANTITATIF_CHARPENTE'!$H$15</f>
        <v>395.64</v>
      </c>
      <c r="J15" s="62" t="inlineStr">
        <is>
          <t>1 par poteau de portique ou intermédiaire</t>
        </is>
      </c>
    </row>
    <row r="16">
      <c r="B16" s="59" t="inlineStr">
        <is>
          <t>Platines de pied – poteaux de pignon</t>
        </is>
      </c>
      <c r="C16" s="60" t="str">
        <f>"PL"</f>
        <v>PL</v>
      </c>
      <c r="D16" s="26" t="inlineStr">
        <is>
          <t>u</t>
        </is>
      </c>
      <c r="E16" s="63">
        <f>'PRÉDIMENSIONNEMENT'!$C$37</f>
        <v>6</v>
      </c>
      <c r="F16" s="50" t="n"/>
      <c r="G16" s="50" t="n"/>
      <c r="H16" s="61">
        <f>'PARAMÈTRES'!$K$19</f>
        <v>8.83125</v>
      </c>
      <c r="I16" s="57">
        <f>'QUANTITATIF_CHARPENTE'!$E$16*'QUANTITATIF_CHARPENTE'!$H$16</f>
        <v>52.9875</v>
      </c>
      <c r="J16" s="62" t="inlineStr">
        <is>
          <t>1 par poteau de pignon</t>
        </is>
      </c>
    </row>
    <row r="17">
      <c r="B17" s="59" t="inlineStr">
        <is>
          <t>Platines de tête de poteau et d'about de jarret</t>
        </is>
      </c>
      <c r="C17" s="60" t="str">
        <f>"PL"</f>
        <v>PL</v>
      </c>
      <c r="D17" s="26" t="inlineStr">
        <is>
          <t>u</t>
        </is>
      </c>
      <c r="E17" s="63">
        <f>IF('PRÉDIMENSIONNEMENT'!$C$27=1,2,4)*'PRÉDIMENSIONNEMENT'!$C$29</f>
        <v>32</v>
      </c>
      <c r="F17" s="50" t="n"/>
      <c r="G17" s="50" t="n"/>
      <c r="H17" s="61">
        <f>'PARAMÈTRES'!$K$20</f>
        <v>21.5875</v>
      </c>
      <c r="I17" s="57">
        <f>'QUANTITATIF_CHARPENTE'!$E$17*'QUANTITATIF_CHARPENTE'!$H$17</f>
        <v>690.8</v>
      </c>
      <c r="J17" s="62" t="inlineStr">
        <is>
          <t>Portique : 2 platines par nœud × 2 nœuds ; treillis : 1 platine de tête par poteau</t>
        </is>
      </c>
    </row>
    <row r="18">
      <c r="B18" s="59" t="inlineStr">
        <is>
          <t>Platines de tête – poteaux de pignon</t>
        </is>
      </c>
      <c r="C18" s="60" t="str">
        <f>"PL"</f>
        <v>PL</v>
      </c>
      <c r="D18" s="26" t="inlineStr">
        <is>
          <t>u</t>
        </is>
      </c>
      <c r="E18" s="63">
        <f>'PRÉDIMENSIONNEMENT'!$C$37</f>
        <v>6</v>
      </c>
      <c r="F18" s="50" t="n"/>
      <c r="G18" s="50" t="n"/>
      <c r="H18" s="61">
        <f>'PARAMÈTRES'!$K$21</f>
        <v>4.71</v>
      </c>
      <c r="I18" s="57">
        <f>'QUANTITATIF_CHARPENTE'!$E$18*'QUANTITATIF_CHARPENTE'!$H$18</f>
        <v>28.26</v>
      </c>
      <c r="J18" s="62" t="inlineStr">
        <is>
          <t>1 par poteau de pignon</t>
        </is>
      </c>
    </row>
    <row r="19">
      <c r="B19" s="59" t="inlineStr">
        <is>
          <t>Goussets de nœuds de treillis</t>
        </is>
      </c>
      <c r="C19" s="60" t="str">
        <f>"PL"</f>
        <v>PL</v>
      </c>
      <c r="D19" s="26" t="inlineStr">
        <is>
          <t>u</t>
        </is>
      </c>
      <c r="E19" s="63">
        <f>'PRÉDIMENSIONNEMENT'!$C$29*'PRÉDIMENSIONNEMENT'!$C$27*(2*'PRÉDIMENSIONNEMENT'!$C$39+2)</f>
        <v>0</v>
      </c>
      <c r="F19" s="50" t="n"/>
      <c r="G19" s="50" t="n"/>
      <c r="H19" s="61">
        <f>'PARAMÈTRES'!$K$23</f>
        <v>7.065</v>
      </c>
      <c r="I19" s="57">
        <f>'QUANTITATIF_CHARPENTE'!$E$19*'QUANTITATIF_CHARPENTE'!$H$19</f>
        <v>0</v>
      </c>
      <c r="J19" s="62" t="inlineStr">
        <is>
          <t>2 (n + 1) nœuds par ferme</t>
        </is>
      </c>
    </row>
    <row r="20">
      <c r="B20" s="59" t="inlineStr">
        <is>
          <t>Éclisses de faîtage (paires de plaques)</t>
        </is>
      </c>
      <c r="C20" s="60" t="str">
        <f>"PL"</f>
        <v>PL</v>
      </c>
      <c r="D20" s="26" t="inlineStr">
        <is>
          <t>u</t>
        </is>
      </c>
      <c r="E20" s="63">
        <f>'PRÉDIMENSIONNEMENT'!$C$29</f>
        <v>8</v>
      </c>
      <c r="F20" s="50" t="n"/>
      <c r="G20" s="50" t="n"/>
      <c r="H20" s="61">
        <f>2*'PARAMÈTRES'!$K$22</f>
        <v>29.4375</v>
      </c>
      <c r="I20" s="57">
        <f>'QUANTITATIF_CHARPENTE'!$E$20*'QUANTITATIF_CHARPENTE'!$H$20</f>
        <v>235.5</v>
      </c>
      <c r="J20" s="62" t="inlineStr">
        <is>
          <t>1 paire par portique</t>
        </is>
      </c>
    </row>
    <row r="21">
      <c r="B21" s="59" t="inlineStr">
        <is>
          <t>Éclisses de pannes (à chaque raboutage)</t>
        </is>
      </c>
      <c r="C21" s="60" t="str">
        <f>"PL"</f>
        <v>PL</v>
      </c>
      <c r="D21" s="26" t="inlineStr">
        <is>
          <t>u</t>
        </is>
      </c>
      <c r="E21" s="63">
        <f>2*'PRÉDIMENSIONNEMENT'!$C$40*MAX(0,ROUNDUP('PRÉDIMENSIONNEMENT'!$C$42/'PARAMÈTRES'!$C$58,0)-1)</f>
        <v>54</v>
      </c>
      <c r="F21" s="50" t="n"/>
      <c r="G21" s="50" t="n"/>
      <c r="H21" s="61">
        <f>'PARAMÈTRES'!$C$62</f>
        <v>2.5</v>
      </c>
      <c r="I21" s="57">
        <f>'QUANTITATIF_CHARPENTE'!$E$21*'QUANTITATIF_CHARPENTE'!$H$21</f>
        <v>135</v>
      </c>
      <c r="J21" s="62" t="inlineStr">
        <is>
          <t>Pannes × (ARRONDI.SUP(longueur / 12 m) − 1)</t>
        </is>
      </c>
    </row>
    <row r="23">
      <c r="B23" s="21" t="inlineStr">
        <is>
          <t>A2. STABILITÉ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</row>
    <row r="24">
      <c r="B24" s="59" t="inlineStr">
        <is>
          <t>Contreventements verticaux – croix de Saint-André (long-pans)</t>
        </is>
      </c>
      <c r="C24" s="60" t="str">
        <f>'PRÉDIMENSIONNEMENT'!$E$79</f>
        <v>L 70x7</v>
      </c>
      <c r="D24" s="26" t="inlineStr">
        <is>
          <t>ml</t>
        </is>
      </c>
      <c r="E24" s="57">
        <f>'PRÉDIMENSIONNEMENT'!$C$44*2*2</f>
        <v>12</v>
      </c>
      <c r="F24" s="57">
        <f>SQRT('PRÉDIMENSIONNEMENT'!$C$30^2+'PRÉDIMENSIONNEMENT'!$C$33^2)</f>
        <v>8.28571428571429</v>
      </c>
      <c r="G24" s="57">
        <f>'QUANTITATIF_CHARPENTE'!$E$24*'QUANTITATIF_CHARPENTE'!$F$24</f>
        <v>99.4285714285714</v>
      </c>
      <c r="H24" s="61">
        <f>'PRÉDIMENSIONNEMENT'!$F$79</f>
        <v>7.38</v>
      </c>
      <c r="I24" s="57">
        <f>'QUANTITATIF_CHARPENTE'!$G$24*'QUANTITATIF_CHARPENTE'!$H$24</f>
        <v>733.782857142857</v>
      </c>
      <c r="J24" s="62" t="inlineStr">
        <is>
          <t>Travées d'extrémité + 1 sur 5 ; 2 long-pans × 2 diagonales</t>
        </is>
      </c>
    </row>
    <row r="25">
      <c r="B25" s="59" t="inlineStr">
        <is>
          <t>Contreventements de couverture – poutre au vent</t>
        </is>
      </c>
      <c r="C25" s="60" t="str">
        <f>'PRÉDIMENSIONNEMENT'!$E$80</f>
        <v>L 60x6</v>
      </c>
      <c r="D25" s="26" t="inlineStr">
        <is>
          <t>ml</t>
        </is>
      </c>
      <c r="E25" s="57">
        <f>'PRÉDIMENSIONNEMENT'!$C$44*2*'PRÉDIMENSIONNEMENT'!$C$45*2</f>
        <v>24</v>
      </c>
      <c r="F25" s="57">
        <f>SQRT('PRÉDIMENSIONNEMENT'!$C$30^2+('PRÉDIMENSIONNEMENT'!$C$31/'PRÉDIMENSIONNEMENT'!$C$45)^2)</f>
        <v>7.63498927468073</v>
      </c>
      <c r="G25" s="57">
        <f>'QUANTITATIF_CHARPENTE'!$E$25*'QUANTITATIF_CHARPENTE'!$F$25</f>
        <v>183.239742592338</v>
      </c>
      <c r="H25" s="61">
        <f>'PRÉDIMENSIONNEMENT'!$F$80</f>
        <v>5.42</v>
      </c>
      <c r="I25" s="57">
        <f>'QUANTITATIF_CHARPENTE'!$G$25*'QUANTITATIF_CHARPENTE'!$H$25</f>
        <v>993.159404850469</v>
      </c>
      <c r="J25" s="62" t="inlineStr">
        <is>
          <t>Mêmes travées ; 2 versants × panneaux × 2 diagonales</t>
        </is>
      </c>
    </row>
    <row r="26">
      <c r="B26" s="59" t="inlineStr">
        <is>
          <t>Liernes de pannes</t>
        </is>
      </c>
      <c r="C26" s="60" t="str">
        <f>'PRÉDIMENSIONNEMENT'!$E$81</f>
        <v>Rond 12</v>
      </c>
      <c r="D26" s="26" t="inlineStr">
        <is>
          <t>ml</t>
        </is>
      </c>
      <c r="E26" s="57">
        <f>'PRÉDIMENSIONNEMENT'!$C$28*'PRÉDIMENSIONNEMENT'!$C$43*2*('PRÉDIMENSIONNEMENT'!$C$40-1)</f>
        <v>112</v>
      </c>
      <c r="F26" s="57">
        <f>'PRÉDIMENSIONNEMENT'!$C$41</f>
        <v>1.26589889011722</v>
      </c>
      <c r="G26" s="57">
        <f>'QUANTITATIF_CHARPENTE'!$E$26*'QUANTITATIF_CHARPENTE'!$F$26</f>
        <v>141.780675693128</v>
      </c>
      <c r="H26" s="61">
        <f>'PRÉDIMENSIONNEMENT'!$F$81</f>
        <v>0.888</v>
      </c>
      <c r="I26" s="57">
        <f>'QUANTITATIF_CHARPENTE'!$G$26*'QUANTITATIF_CHARPENTE'!$H$26</f>
        <v>125.901240015498</v>
      </c>
      <c r="J26" s="62" t="inlineStr">
        <is>
          <t>À mi-portée (au tiers si entraxe &gt; 6 m), entre pannes successives</t>
        </is>
      </c>
    </row>
    <row r="27">
      <c r="B27" s="59" t="inlineStr">
        <is>
          <t>Bretelles de faîtage</t>
        </is>
      </c>
      <c r="C27" s="60" t="str">
        <f>'PRÉDIMENSIONNEMENT'!$E$81</f>
        <v>Rond 12</v>
      </c>
      <c r="D27" s="26" t="inlineStr">
        <is>
          <t>ml</t>
        </is>
      </c>
      <c r="E27" s="57">
        <f>'PRÉDIMENSIONNEMENT'!$C$28*'PRÉDIMENSIONNEMENT'!$C$43*2</f>
        <v>14</v>
      </c>
      <c r="F27" s="57">
        <f>SQRT(('PRÉDIMENSIONNEMENT'!$C$30/('PRÉDIMENSIONNEMENT'!$C$43+1))^2+'PRÉDIMENSIONNEMENT'!$C$41^2)</f>
        <v>3.12502244889896</v>
      </c>
      <c r="G27" s="57">
        <f>'QUANTITATIF_CHARPENTE'!$E$27*'QUANTITATIF_CHARPENTE'!$F$27</f>
        <v>43.7503142845854</v>
      </c>
      <c r="H27" s="61">
        <f>'PRÉDIMENSIONNEMENT'!$F$81</f>
        <v>0.888</v>
      </c>
      <c r="I27" s="57">
        <f>'QUANTITATIF_CHARPENTE'!$G$27*'QUANTITATIF_CHARPENTE'!$H$27</f>
        <v>38.8502790847119</v>
      </c>
      <c r="J27" s="62" t="inlineStr">
        <is>
          <t>2 par ligne de liernes au faîtage</t>
        </is>
      </c>
    </row>
    <row r="28">
      <c r="B28" s="59" t="inlineStr">
        <is>
          <t>Liernes de lisses – long-pans</t>
        </is>
      </c>
      <c r="C28" s="60" t="str">
        <f>'PRÉDIMENSIONNEMENT'!$E$81</f>
        <v>Rond 12</v>
      </c>
      <c r="D28" s="26" t="inlineStr">
        <is>
          <t>ml</t>
        </is>
      </c>
      <c r="E28" s="57">
        <f>'PRÉDIMENSIONNEMENT'!$C$28*'PRÉDIMENSIONNEMENT'!$C$43*2*'PRÉDIMENSIONNEMENT'!$C$59</f>
        <v>56</v>
      </c>
      <c r="F28" s="57">
        <f>IF('PRÉDIMENSIONNEMENT'!$C$59&gt;0,('PRÉDIMENSIONNEMENT'!$C$33-'PRÉDIMENSIONNEMENT'!$C$49)/'PRÉDIMENSIONNEMENT'!$C$59,0)</f>
        <v>1.5</v>
      </c>
      <c r="G28" s="57">
        <f>'QUANTITATIF_CHARPENTE'!$E$28*'QUANTITATIF_CHARPENTE'!$F$28</f>
        <v>84</v>
      </c>
      <c r="H28" s="61">
        <f>'PRÉDIMENSIONNEMENT'!$F$81</f>
        <v>0.888</v>
      </c>
      <c r="I28" s="57">
        <f>'QUANTITATIF_CHARPENTE'!$G$28*'QUANTITATIF_CHARPENTE'!$H$28</f>
        <v>74.592</v>
      </c>
      <c r="J28" s="62" t="inlineStr">
        <is>
          <t>Par ligne de liernes : hauteur bardée ; 0 en façade agglos</t>
        </is>
      </c>
    </row>
    <row r="29">
      <c r="B29" s="59" t="inlineStr">
        <is>
          <t>Liernes de lisses – pignons</t>
        </is>
      </c>
      <c r="C29" s="60" t="str">
        <f>'PRÉDIMENSIONNEMENT'!$E$81</f>
        <v>Rond 12</v>
      </c>
      <c r="D29" s="26" t="inlineStr">
        <is>
          <t>ml</t>
        </is>
      </c>
      <c r="E29" s="57">
        <f>'PRÉDIMENSIONNEMENT'!$C$50*2*'PRÉDIMENSIONNEMENT'!$C$35</f>
        <v>8</v>
      </c>
      <c r="F29" s="57">
        <f>IF('QUANTITATIF_CHARPENTE'!$E$29&gt;0,'QUANTITATIF_CHARPENTE'!$G$29/'QUANTITATIF_CHARPENTE'!$E$29,0)</f>
        <v>6.8</v>
      </c>
      <c r="G29" s="57">
        <f>'PRÉDIMENSIONNEMENT'!$C$50*2*'PRÉDIMENSIONNEMENT'!$C$35*(('PRÉDIMENSIONNEMENT'!$C$33-'PRÉDIMENSIONNEMENT'!$C$49)+'PARAMÈTRES'!$C$12*'PARAMÈTRES'!$C$9/4)</f>
        <v>54.4</v>
      </c>
      <c r="H29" s="61">
        <f>'PRÉDIMENSIONNEMENT'!$F$81</f>
        <v>0.888</v>
      </c>
      <c r="I29" s="57">
        <f>'QUANTITATIF_CHARPENTE'!$G$29*'QUANTITATIF_CHARPENTE'!$H$29</f>
        <v>48.3072</v>
      </c>
      <c r="J29" s="62" t="inlineStr">
        <is>
          <t>1 par intervalle de pignon, hauteur moyenne</t>
        </is>
      </c>
    </row>
    <row r="31">
      <c r="B31" s="21" t="inlineStr">
        <is>
          <t>A3. COUVERTURE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</row>
    <row r="32">
      <c r="B32" s="59" t="inlineStr">
        <is>
          <t>Pannes</t>
        </is>
      </c>
      <c r="C32" s="60" t="str">
        <f>'PRÉDIMENSIONNEMENT'!$E$77</f>
        <v>Z 200</v>
      </c>
      <c r="D32" s="26" t="inlineStr">
        <is>
          <t>ml</t>
        </is>
      </c>
      <c r="E32" s="57">
        <f>2*'PRÉDIMENSIONNEMENT'!$C$40</f>
        <v>18</v>
      </c>
      <c r="F32" s="57">
        <f>'PRÉDIMENSIONNEMENT'!$C$42</f>
        <v>40.6</v>
      </c>
      <c r="G32" s="57">
        <f>'QUANTITATIF_CHARPENTE'!$E$32*'QUANTITATIF_CHARPENTE'!$F$32</f>
        <v>730.8</v>
      </c>
      <c r="H32" s="61">
        <f>'PRÉDIMENSIONNEMENT'!$F$77</f>
        <v>5.2</v>
      </c>
      <c r="I32" s="57">
        <f>'QUANTITATIF_CHARPENTE'!$G$32*'QUANTITATIF_CHARPENTE'!$H$32</f>
        <v>3800.16</v>
      </c>
      <c r="J32" s="62" t="inlineStr">
        <is>
          <t>Par versant : ARRONDI.SUP(rampant / entraxe) + 1 ; longueur = L + débords</t>
        </is>
      </c>
    </row>
    <row r="33">
      <c r="B33" s="59" t="inlineStr">
        <is>
          <t>Échantignoles (taquets de pannes)</t>
        </is>
      </c>
      <c r="C33" s="60" t="str">
        <f>"Taquet"</f>
        <v>Taquet</v>
      </c>
      <c r="D33" s="26" t="inlineStr">
        <is>
          <t>u</t>
        </is>
      </c>
      <c r="E33" s="63">
        <f>2*'PRÉDIMENSIONNEMENT'!$C$40*'PRÉDIMENSIONNEMENT'!$C$29</f>
        <v>144</v>
      </c>
      <c r="F33" s="50" t="n"/>
      <c r="G33" s="50" t="n"/>
      <c r="H33" s="61">
        <f>'PARAMÈTRES'!$C$61</f>
        <v>1.8</v>
      </c>
      <c r="I33" s="57">
        <f>'QUANTITATIF_CHARPENTE'!$E$33*'QUANTITATIF_CHARPENTE'!$H$33</f>
        <v>259.2</v>
      </c>
      <c r="J33" s="62" t="inlineStr">
        <is>
          <t>1 par panne et par portique</t>
        </is>
      </c>
    </row>
    <row r="34">
      <c r="B34" s="59" t="inlineStr">
        <is>
          <t>Chevêtres de skydomes</t>
        </is>
      </c>
      <c r="C34" s="60" t="str">
        <f>'PRÉDIMENSIONNEMENT'!$E$82</f>
        <v>L 60x6</v>
      </c>
      <c r="D34" s="26" t="inlineStr">
        <is>
          <t>ml</t>
        </is>
      </c>
      <c r="E34" s="57">
        <f>'PARAMÈTRES'!$C$37</f>
        <v>4</v>
      </c>
      <c r="F34" s="57">
        <f>2*('PARAMÈTRES'!$C$38+'PARAMÈTRES'!$C$39)</f>
        <v>4.8</v>
      </c>
      <c r="G34" s="57">
        <f>'QUANTITATIF_CHARPENTE'!$E$34*'QUANTITATIF_CHARPENTE'!$F$34</f>
        <v>19.2</v>
      </c>
      <c r="H34" s="61">
        <f>'PRÉDIMENSIONNEMENT'!$F$82</f>
        <v>5.42</v>
      </c>
      <c r="I34" s="57">
        <f>'QUANTITATIF_CHARPENTE'!$G$34*'QUANTITATIF_CHARPENTE'!$H$34</f>
        <v>104.064</v>
      </c>
      <c r="J34" s="62" t="inlineStr">
        <is>
          <t>1 cadre par skydome</t>
        </is>
      </c>
    </row>
    <row r="35">
      <c r="B35" s="59" t="inlineStr">
        <is>
          <t>Baïonnettes d'acrotère</t>
        </is>
      </c>
      <c r="C35" s="60" t="str">
        <f>'PRÉDIMENSIONNEMENT'!$E$83</f>
        <v>L 50x5</v>
      </c>
      <c r="D35" s="26" t="inlineStr">
        <is>
          <t>ml</t>
        </is>
      </c>
      <c r="E35" s="57">
        <f>IF('PARAMÈTRES'!$C$42="Oui",ROUNDUP('PRÉDIMENSIONNEMENT'!$C$47/'PARAMÈTRES'!$C$44,0),0)</f>
        <v>0</v>
      </c>
      <c r="F35" s="57">
        <f>'PARAMÈTRES'!$C$43</f>
        <v>1</v>
      </c>
      <c r="G35" s="57">
        <f>'QUANTITATIF_CHARPENTE'!$E$35*'QUANTITATIF_CHARPENTE'!$F$35</f>
        <v>0</v>
      </c>
      <c r="H35" s="61">
        <f>'PRÉDIMENSIONNEMENT'!$F$83</f>
        <v>3.77</v>
      </c>
      <c r="I35" s="57">
        <f>'QUANTITATIF_CHARPENTE'!$G$35*'QUANTITATIF_CHARPENTE'!$H$35</f>
        <v>0</v>
      </c>
      <c r="J35" s="62" t="inlineStr">
        <is>
          <t>1 tous les 1,0 à 1,5 m de périmètre si acrotère</t>
        </is>
      </c>
    </row>
    <row r="36">
      <c r="B36" s="59" t="inlineStr">
        <is>
          <t>Tôles bac acier (ép. selon paramètre)</t>
        </is>
      </c>
      <c r="C36" s="60" t="str">
        <f>"Bac acier "&amp;FIXED('PARAMÈTRES'!$C$47,2,TRUE)&amp;" mm"</f>
        <v>Bac acier 0.45 mm</v>
      </c>
      <c r="D36" s="26" t="inlineStr">
        <is>
          <t>m²</t>
        </is>
      </c>
      <c r="E36" s="57">
        <f>'PRÉDIMENSIONNEMENT'!$C$63*(1+'PARAMÈTRES'!$C$46)-'PARAMÈTRES'!$C$45*'PRÉDIMENSIONNEMENT'!$C$63-'PARAMÈTRES'!$C$37*'PARAMÈTRES'!$C$38*'PARAMÈTRES'!$C$39</f>
        <v>816.567919020144</v>
      </c>
      <c r="F36" s="50" t="n"/>
      <c r="G36" s="50" t="n"/>
      <c r="H36" s="50" t="n"/>
      <c r="I36" s="50" t="n"/>
      <c r="J36" s="62" t="inlineStr">
        <is>
          <t>rampant × longueur × 2 × (1 + recouvrement) − translucides − skydomes</t>
        </is>
      </c>
    </row>
    <row r="37">
      <c r="B37" s="59" t="inlineStr">
        <is>
          <t>Panneaux sandwich translucides</t>
        </is>
      </c>
      <c r="C37" s="60" t="str">
        <f>"Translucide"</f>
        <v>Translucide</v>
      </c>
      <c r="D37" s="26" t="inlineStr">
        <is>
          <t>m²</t>
        </is>
      </c>
      <c r="E37" s="57">
        <f>'PARAMÈTRES'!$C$45*'PRÉDIMENSIONNEMENT'!$C$63</f>
        <v>82.2327919020144</v>
      </c>
      <c r="F37" s="50" t="n"/>
      <c r="G37" s="50" t="n"/>
      <c r="H37" s="50" t="n"/>
      <c r="I37" s="50" t="n"/>
      <c r="J37" s="62" t="inlineStr">
        <is>
          <t>% × surface de couverture</t>
        </is>
      </c>
    </row>
    <row r="38">
      <c r="B38" s="59" t="inlineStr">
        <is>
          <t>Faîtières</t>
        </is>
      </c>
      <c r="C38" s="60" t="str">
        <f>"Faîtière"</f>
        <v>Faîtière</v>
      </c>
      <c r="D38" s="26" t="inlineStr">
        <is>
          <t>ml</t>
        </is>
      </c>
      <c r="E38" s="57">
        <f>'PRÉDIMENSIONNEMENT'!$C$42</f>
        <v>40.6</v>
      </c>
      <c r="F38" s="50" t="n"/>
      <c r="G38" s="50" t="n"/>
      <c r="H38" s="50" t="n"/>
      <c r="I38" s="50" t="n"/>
      <c r="J38" s="62" t="inlineStr">
        <is>
          <t>Longueur couverte</t>
        </is>
      </c>
    </row>
    <row r="39">
      <c r="B39" s="59" t="inlineStr">
        <is>
          <t>Rives</t>
        </is>
      </c>
      <c r="C39" s="60" t="str">
        <f>"Rive"</f>
        <v>Rive</v>
      </c>
      <c r="D39" s="26" t="inlineStr">
        <is>
          <t>ml</t>
        </is>
      </c>
      <c r="E39" s="57">
        <f>4*'PRÉDIMENSIONNEMENT'!$C$31</f>
        <v>40.5087644837509</v>
      </c>
      <c r="F39" s="50" t="n"/>
      <c r="G39" s="50" t="n"/>
      <c r="H39" s="50" t="n"/>
      <c r="I39" s="50" t="n"/>
      <c r="J39" s="62" t="inlineStr">
        <is>
          <t>2 pignons × 2 versants × rampant</t>
        </is>
      </c>
    </row>
    <row r="40">
      <c r="B40" s="59" t="inlineStr">
        <is>
          <t>Larmiers / bavettes de couverture</t>
        </is>
      </c>
      <c r="C40" s="60" t="str">
        <f>"Bavette"</f>
        <v>Bavette</v>
      </c>
      <c r="D40" s="26" t="inlineStr">
        <is>
          <t>ml</t>
        </is>
      </c>
      <c r="E40" s="57">
        <f>2*'PRÉDIMENSIONNEMENT'!$C$42</f>
        <v>81.2</v>
      </c>
      <c r="F40" s="50" t="n"/>
      <c r="G40" s="50" t="n"/>
      <c r="H40" s="50" t="n"/>
      <c r="I40" s="50" t="n"/>
      <c r="J40" s="62" t="inlineStr">
        <is>
          <t>2 égouts</t>
        </is>
      </c>
    </row>
    <row r="41">
      <c r="B41" s="59" t="inlineStr">
        <is>
          <t>Chéneaux d'eau (2 côtés)</t>
        </is>
      </c>
      <c r="C41" s="60" t="str">
        <f>"Chéneau"</f>
        <v>Chéneau</v>
      </c>
      <c r="D41" s="26" t="inlineStr">
        <is>
          <t>ml</t>
        </is>
      </c>
      <c r="E41" s="57">
        <f>2*'PARAMÈTRES'!$C$10</f>
        <v>80</v>
      </c>
      <c r="F41" s="50" t="n"/>
      <c r="G41" s="50" t="n"/>
      <c r="H41" s="50" t="n"/>
      <c r="I41" s="50" t="n"/>
      <c r="J41" s="62" t="inlineStr">
        <is>
          <t>2 × longueur</t>
        </is>
      </c>
    </row>
    <row r="42">
      <c r="B42" s="59" t="inlineStr">
        <is>
          <t>Naissances EP</t>
        </is>
      </c>
      <c r="C42" s="60" t="str">
        <f>"Naissance"</f>
        <v>Naissance</v>
      </c>
      <c r="D42" s="26" t="inlineStr">
        <is>
          <t>u</t>
        </is>
      </c>
      <c r="E42" s="63">
        <f>'PRÉDIMENSIONNEMENT'!$C$64</f>
        <v>6</v>
      </c>
      <c r="F42" s="50" t="n"/>
      <c r="G42" s="50" t="n"/>
      <c r="H42" s="50" t="n"/>
      <c r="I42" s="50" t="n"/>
      <c r="J42" s="62" t="inlineStr">
        <is>
          <t>1 descente pour 150 à 200 m² de toiture</t>
        </is>
      </c>
    </row>
    <row r="43">
      <c r="B43" s="59" t="inlineStr">
        <is>
          <t>Descentes EP</t>
        </is>
      </c>
      <c r="C43" s="60" t="str">
        <f>"PVC Ø110"</f>
        <v>PVC Ø110</v>
      </c>
      <c r="D43" s="26" t="inlineStr">
        <is>
          <t>ml</t>
        </is>
      </c>
      <c r="E43" s="57">
        <f>'PRÉDIMENSIONNEMENT'!$C$64*'PRÉDIMENSIONNEMENT'!$C$33</f>
        <v>36</v>
      </c>
      <c r="F43" s="50" t="n"/>
      <c r="G43" s="50" t="n"/>
      <c r="H43" s="50" t="n"/>
      <c r="I43" s="50" t="n"/>
      <c r="J43" s="62" t="inlineStr">
        <is>
          <t>Nombre × hauteur</t>
        </is>
      </c>
    </row>
    <row r="44">
      <c r="B44" s="59" t="inlineStr">
        <is>
          <t>Skydomes</t>
        </is>
      </c>
      <c r="C44" s="60" t="str">
        <f>"Skydome"</f>
        <v>Skydome</v>
      </c>
      <c r="D44" s="26" t="inlineStr">
        <is>
          <t>u</t>
        </is>
      </c>
      <c r="E44" s="63">
        <f>'PARAMÈTRES'!$C$37</f>
        <v>4</v>
      </c>
      <c r="F44" s="50" t="n"/>
      <c r="G44" s="50" t="n"/>
      <c r="H44" s="50" t="n"/>
      <c r="I44" s="50" t="n"/>
      <c r="J44" s="62" t="inlineStr">
        <is>
          <t>Paramètre</t>
        </is>
      </c>
    </row>
    <row r="45">
      <c r="B45" s="59" t="inlineStr">
        <is>
          <t>Rivets de chéneaux</t>
        </is>
      </c>
      <c r="C45" s="60" t="str">
        <f>"Rivet"</f>
        <v>Rivet</v>
      </c>
      <c r="D45" s="26" t="inlineStr">
        <is>
          <t>u</t>
        </is>
      </c>
      <c r="E45" s="63">
        <f>'QUANTITATIF_CHARPENTE'!$E$41*'PARAMÈTRES'!$C$50</f>
        <v>400</v>
      </c>
      <c r="F45" s="50" t="n"/>
      <c r="G45" s="50" t="n"/>
      <c r="H45" s="50" t="n"/>
      <c r="I45" s="50" t="n"/>
      <c r="J45" s="62" t="inlineStr">
        <is>
          <t>ml de chéneaux × rivets / ml</t>
        </is>
      </c>
    </row>
    <row r="47">
      <c r="B47" s="21" t="inlineStr">
        <is>
          <t>A4. BARDAGE ET BAIES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</row>
    <row r="48">
      <c r="B48" s="59" t="inlineStr">
        <is>
          <t>Lisses de bardage – long-pans</t>
        </is>
      </c>
      <c r="C48" s="60" t="str">
        <f>'PRÉDIMENSIONNEMENT'!$E$78</f>
        <v>C 160</v>
      </c>
      <c r="D48" s="26" t="inlineStr">
        <is>
          <t>ml</t>
        </is>
      </c>
      <c r="E48" s="57">
        <f>2*'PRÉDIMENSIONNEMENT'!$C$59*'PRÉDIMENSIONNEMENT'!$C$28</f>
        <v>56</v>
      </c>
      <c r="F48" s="57">
        <f>IF('QUANTITATIF_CHARPENTE'!$E$48&gt;0,'QUANTITATIF_CHARPENTE'!$G$48/'QUANTITATIF_CHARPENTE'!$E$48,0)</f>
        <v>5.41964285714286</v>
      </c>
      <c r="G48" s="57">
        <f>MAX(0,2*'PRÉDIMENSIONNEMENT'!$C$59*'PARAMÈTRES'!$C$10-'PRÉDIMENSIONNEMENT'!$C$53*'PARAMÈTRES'!$C$29*'PRÉDIMENSIONNEMENT'!$C$60-'PRÉDIMENSIONNEMENT'!$C$54*'PARAMÈTRES'!$C$33*'PRÉDIMENSIONNEMENT'!$C$61)</f>
        <v>303.5</v>
      </c>
      <c r="H48" s="61">
        <f>'PRÉDIMENSIONNEMENT'!$F$78</f>
        <v>4.57</v>
      </c>
      <c r="I48" s="57">
        <f>'QUANTITATIF_CHARPENTE'!$G$48*'QUANTITATIF_CHARPENTE'!$H$48</f>
        <v>1386.995</v>
      </c>
      <c r="J48" s="62" t="inlineStr">
        <is>
          <t>Rangées × 2 × L − ouvertures coupées ; 0 si agglos, au-dessus du soubassement si mixte</t>
        </is>
      </c>
    </row>
    <row r="49">
      <c r="B49" s="59" t="inlineStr">
        <is>
          <t>Lisses de bardage – pignons</t>
        </is>
      </c>
      <c r="C49" s="60" t="str">
        <f>'PRÉDIMENSIONNEMENT'!$E$78</f>
        <v>C 160</v>
      </c>
      <c r="D49" s="26" t="inlineStr">
        <is>
          <t>ml</t>
        </is>
      </c>
      <c r="E49" s="57">
        <f>ROUNDUP('QUANTITATIF_CHARPENTE'!$G$49/'PRÉDIMENSIONNEMENT'!$C$36,0)</f>
        <v>28</v>
      </c>
      <c r="F49" s="57">
        <f>IF('QUANTITATIF_CHARPENTE'!$E$49&gt;0,'QUANTITATIF_CHARPENTE'!$G$49/'QUANTITATIF_CHARPENTE'!$E$49,0)</f>
        <v>4.96825396825397</v>
      </c>
      <c r="G49" s="57">
        <f>MAX(0,'PRÉDIMENSIONNEMENT'!$C$62/'PARAMÈTRES'!$C$17-('PARAMÈTRES'!$C$28-'PRÉDIMENSIONNEMENT'!$C$53)*'PARAMÈTRES'!$C$29*'PRÉDIMENSIONNEMENT'!$C$60-('PARAMÈTRES'!$C$32-'PRÉDIMENSIONNEMENT'!$C$54)*'PARAMÈTRES'!$C$33*'PRÉDIMENSIONNEMENT'!$C$61)</f>
        <v>139.111111111111</v>
      </c>
      <c r="H49" s="61">
        <f>'PRÉDIMENSIONNEMENT'!$F$78</f>
        <v>4.57</v>
      </c>
      <c r="I49" s="57">
        <f>'QUANTITATIF_CHARPENTE'!$G$49*'QUANTITATIF_CHARPENTE'!$H$49</f>
        <v>635.737777777778</v>
      </c>
      <c r="J49" s="62" t="inlineStr">
        <is>
          <t>Surface du trapèze bardé / entraxe − ouvertures coupées</t>
        </is>
      </c>
    </row>
    <row r="50">
      <c r="B50" s="59" t="inlineStr">
        <is>
          <t>Linteaux de baies</t>
        </is>
      </c>
      <c r="C50" s="60" t="str">
        <f>'PRÉDIMENSIONNEMENT'!$E$84</f>
        <v>UPN 140</v>
      </c>
      <c r="D50" s="26" t="inlineStr">
        <is>
          <t>ml</t>
        </is>
      </c>
      <c r="E50" s="57">
        <f>'PARAMÈTRES'!$C$28+'PARAMÈTRES'!$C$32</f>
        <v>2</v>
      </c>
      <c r="F50" s="57">
        <f>IF('QUANTITATIF_CHARPENTE'!$E$50&gt;0,'QUANTITATIF_CHARPENTE'!$G$50/'QUANTITATIF_CHARPENTE'!$E$50,0)</f>
        <v>4.75</v>
      </c>
      <c r="G50" s="57">
        <f>'PRÉDIMENSIONNEMENT'!$C$56</f>
        <v>9.5</v>
      </c>
      <c r="H50" s="61">
        <f>'PRÉDIMENSIONNEMENT'!$F$84</f>
        <v>16</v>
      </c>
      <c r="I50" s="57">
        <f>'QUANTITATIF_CHARPENTE'!$G$50*'QUANTITATIF_CHARPENTE'!$H$50</f>
        <v>152</v>
      </c>
      <c r="J50" s="62" t="inlineStr">
        <is>
          <t>1 au-dessus de chaque porte ou portillon</t>
        </is>
      </c>
    </row>
    <row r="51">
      <c r="B51" s="59" t="inlineStr">
        <is>
          <t>Potelets de baies</t>
        </is>
      </c>
      <c r="C51" s="60" t="str">
        <f>'PRÉDIMENSIONNEMENT'!$E$84</f>
        <v>UPN 140</v>
      </c>
      <c r="D51" s="26" t="inlineStr">
        <is>
          <t>ml</t>
        </is>
      </c>
      <c r="E51" s="57">
        <f>2*('PARAMÈTRES'!$C$28+'PARAMÈTRES'!$C$32)</f>
        <v>4</v>
      </c>
      <c r="F51" s="57">
        <f>'PRÉDIMENSIONNEMENT'!$C$33</f>
        <v>6</v>
      </c>
      <c r="G51" s="57">
        <f>'QUANTITATIF_CHARPENTE'!$E$51*'QUANTITATIF_CHARPENTE'!$F$51</f>
        <v>24</v>
      </c>
      <c r="H51" s="61">
        <f>'PRÉDIMENSIONNEMENT'!$F$84</f>
        <v>16</v>
      </c>
      <c r="I51" s="57">
        <f>'QUANTITATIF_CHARPENTE'!$G$51*'QUANTITATIF_CHARPENTE'!$H$51</f>
        <v>384</v>
      </c>
      <c r="J51" s="62" t="inlineStr">
        <is>
          <t>2 par baie, toute hauteur</t>
        </is>
      </c>
    </row>
    <row r="52">
      <c r="B52" s="59" t="inlineStr">
        <is>
          <t>Bardage bac acier</t>
        </is>
      </c>
      <c r="C52" s="60" t="str">
        <f>"Bac acier"</f>
        <v>Bac acier</v>
      </c>
      <c r="D52" s="26" t="inlineStr">
        <is>
          <t>m²</t>
        </is>
      </c>
      <c r="E52" s="57">
        <f>('PRÉDIMENSIONNEMENT'!$C$50*2*'PARAMÈTRES'!$C$10*('PRÉDIMENSIONNEMENT'!$C$33-'PRÉDIMENSIONNEMENT'!$C$49)+'PRÉDIMENSIONNEMENT'!$C$62-'PRÉDIMENSIONNEMENT'!$C$57)*(1+'PARAMÈTRES'!$C$46)+IF('PARAMÈTRES'!$C$42="Oui",'PRÉDIMENSIONNEMENT'!$C$50*'PRÉDIMENSIONNEMENT'!$C$47*'PARAMÈTRES'!$C$43,0)</f>
        <v>783.2</v>
      </c>
      <c r="F52" s="50" t="n"/>
      <c r="G52" s="50" t="n"/>
      <c r="H52" s="50" t="n"/>
      <c r="I52" s="50" t="n"/>
      <c r="J52" s="62" t="inlineStr">
        <is>
          <t>Long-pans + pignons en trapèze − ouvertures, × (1 + recouvrement) ; 0 si agglos</t>
        </is>
      </c>
    </row>
    <row r="53">
      <c r="B53" s="59" t="inlineStr">
        <is>
          <t>Larmiers de portes coulissantes</t>
        </is>
      </c>
      <c r="C53" s="60" t="str">
        <f>"Larmier"</f>
        <v>Larmier</v>
      </c>
      <c r="D53" s="26" t="inlineStr">
        <is>
          <t>ml</t>
        </is>
      </c>
      <c r="E53" s="57">
        <f>'PARAMÈTRES'!$C$28*('PARAMÈTRES'!$C$29+'PARAMÈTRES'!$C$36)</f>
        <v>4.2</v>
      </c>
      <c r="F53" s="50" t="n"/>
      <c r="G53" s="50" t="n"/>
      <c r="H53" s="50" t="n"/>
      <c r="I53" s="50" t="n"/>
      <c r="J53" s="62" t="inlineStr">
        <is>
          <t>Largeur de porte + 0,20 m</t>
        </is>
      </c>
    </row>
    <row r="54">
      <c r="B54" s="59" t="inlineStr">
        <is>
          <t>Rails hauts de portes coulissantes</t>
        </is>
      </c>
      <c r="C54" s="60" t="str">
        <f>"Rail"</f>
        <v>Rail</v>
      </c>
      <c r="D54" s="26" t="inlineStr">
        <is>
          <t>ml</t>
        </is>
      </c>
      <c r="E54" s="57">
        <f>'PARAMÈTRES'!$C$28*2*'PARAMÈTRES'!$C$29</f>
        <v>8</v>
      </c>
      <c r="F54" s="50" t="n"/>
      <c r="G54" s="50" t="n"/>
      <c r="H54" s="50" t="n"/>
      <c r="I54" s="50" t="n"/>
      <c r="J54" s="62" t="inlineStr">
        <is>
          <t>2 × largeur par porte</t>
        </is>
      </c>
    </row>
    <row r="55">
      <c r="B55" s="59" t="inlineStr">
        <is>
          <t>Larmiers de bardage (pied + angles)</t>
        </is>
      </c>
      <c r="C55" s="60" t="str">
        <f>"Larmier"</f>
        <v>Larmier</v>
      </c>
      <c r="D55" s="26" t="inlineStr">
        <is>
          <t>ml</t>
        </is>
      </c>
      <c r="E55" s="57">
        <f>'PRÉDIMENSIONNEMENT'!$C$50*(MAX(0,'PRÉDIMENSIONNEMENT'!$C$47-'PRÉDIMENSIONNEMENT'!$C$56)+4*('PRÉDIMENSIONNEMENT'!$C$33-'PRÉDIMENSIONNEMENT'!$C$49))</f>
        <v>134.5</v>
      </c>
      <c r="F55" s="50" t="n"/>
      <c r="G55" s="50" t="n"/>
      <c r="H55" s="50" t="n"/>
      <c r="I55" s="50" t="n"/>
      <c r="J55" s="62" t="inlineStr">
        <is>
          <t>Périmètre − portes + 4 angles ; 0 si agglos</t>
        </is>
      </c>
    </row>
    <row r="57">
      <c r="B57" s="21" t="inlineStr">
        <is>
          <t>A5. ASSEMBLAGES ET ANCRAGES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</row>
    <row r="58">
      <c r="B58" s="59" t="inlineStr">
        <is>
          <t>Boulons HR M20 – assemblages poteau-traverse / jarrets</t>
        </is>
      </c>
      <c r="C58" s="60" t="str">
        <f>"HR M20"</f>
        <v>HR M20</v>
      </c>
      <c r="D58" s="26" t="inlineStr">
        <is>
          <t>u</t>
        </is>
      </c>
      <c r="E58" s="63">
        <f>2*'PRÉDIMENSIONNEMENT'!$C$29*'PARAMÈTRES'!$C$63</f>
        <v>128</v>
      </c>
      <c r="F58" s="50" t="n"/>
      <c r="G58" s="50" t="n"/>
      <c r="H58" s="61">
        <f>'PARAMÈTRES'!$C$69</f>
        <v>0.45</v>
      </c>
      <c r="I58" s="57">
        <f>'QUANTITATIF_CHARPENTE'!$E$58*'QUANTITATIF_CHARPENTE'!$H$58</f>
        <v>57.6</v>
      </c>
      <c r="J58" s="62" t="inlineStr">
        <is>
          <t>2 nœuds par portique × boulons par nœud</t>
        </is>
      </c>
    </row>
    <row r="59">
      <c r="B59" s="59" t="inlineStr">
        <is>
          <t>Boulons HR M20 – faîtage</t>
        </is>
      </c>
      <c r="C59" s="60" t="str">
        <f>"HR M20"</f>
        <v>HR M20</v>
      </c>
      <c r="D59" s="26" t="inlineStr">
        <is>
          <t>u</t>
        </is>
      </c>
      <c r="E59" s="63">
        <f>'PRÉDIMENSIONNEMENT'!$C$29*'PARAMÈTRES'!$C$64</f>
        <v>64</v>
      </c>
      <c r="F59" s="50" t="n"/>
      <c r="G59" s="50" t="n"/>
      <c r="H59" s="61">
        <f>'PARAMÈTRES'!$C$69</f>
        <v>0.45</v>
      </c>
      <c r="I59" s="57">
        <f>'QUANTITATIF_CHARPENTE'!$E$59*'QUANTITATIF_CHARPENTE'!$H$59</f>
        <v>28.8</v>
      </c>
      <c r="J59" s="62" t="inlineStr">
        <is>
          <t>1 faîtage par portique</t>
        </is>
      </c>
    </row>
    <row r="60">
      <c r="B60" s="59" t="inlineStr">
        <is>
          <t>Boulons M12 – pannes sur échantignoles</t>
        </is>
      </c>
      <c r="C60" s="60" t="str">
        <f>"M12"</f>
        <v>M12</v>
      </c>
      <c r="D60" s="26" t="inlineStr">
        <is>
          <t>u</t>
        </is>
      </c>
      <c r="E60" s="63">
        <f>'QUANTITATIF_CHARPENTE'!$E$33*'PARAMÈTRES'!$C$65</f>
        <v>288</v>
      </c>
      <c r="F60" s="50" t="n"/>
      <c r="G60" s="50" t="n"/>
      <c r="H60" s="61">
        <f>'PARAMÈTRES'!$C$71</f>
        <v>0.1</v>
      </c>
      <c r="I60" s="57">
        <f>'QUANTITATIF_CHARPENTE'!$E$60*'QUANTITATIF_CHARPENTE'!$H$60</f>
        <v>28.8</v>
      </c>
      <c r="J60" s="62" t="inlineStr">
        <is>
          <t>Échantignoles × boulons</t>
        </is>
      </c>
    </row>
    <row r="61">
      <c r="B61" s="59" t="inlineStr">
        <is>
          <t>Boulons M12 – éclisses de pannes</t>
        </is>
      </c>
      <c r="C61" s="60" t="str">
        <f>"M12"</f>
        <v>M12</v>
      </c>
      <c r="D61" s="26" t="inlineStr">
        <is>
          <t>u</t>
        </is>
      </c>
      <c r="E61" s="63">
        <f>'QUANTITATIF_CHARPENTE'!$E$21*'PARAMÈTRES'!$C$68</f>
        <v>216</v>
      </c>
      <c r="F61" s="50" t="n"/>
      <c r="G61" s="50" t="n"/>
      <c r="H61" s="61">
        <f>'PARAMÈTRES'!$C$71</f>
        <v>0.1</v>
      </c>
      <c r="I61" s="57">
        <f>'QUANTITATIF_CHARPENTE'!$E$61*'QUANTITATIF_CHARPENTE'!$H$61</f>
        <v>21.6</v>
      </c>
      <c r="J61" s="62" t="inlineStr">
        <is>
          <t>Éclisses × boulons</t>
        </is>
      </c>
    </row>
    <row r="62">
      <c r="B62" s="59" t="inlineStr">
        <is>
          <t>Boulons HR M16 – contreventements</t>
        </is>
      </c>
      <c r="C62" s="60" t="str">
        <f>"HR M16"</f>
        <v>HR M16</v>
      </c>
      <c r="D62" s="26" t="inlineStr">
        <is>
          <t>u</t>
        </is>
      </c>
      <c r="E62" s="63">
        <f>('QUANTITATIF_CHARPENTE'!$E$24+'QUANTITATIF_CHARPENTE'!$E$25)*2*'PARAMÈTRES'!$C$66</f>
        <v>144</v>
      </c>
      <c r="F62" s="50" t="n"/>
      <c r="G62" s="50" t="n"/>
      <c r="H62" s="61">
        <f>'PARAMÈTRES'!$C$70</f>
        <v>0.25</v>
      </c>
      <c r="I62" s="57">
        <f>'QUANTITATIF_CHARPENTE'!$E$62*'QUANTITATIF_CHARPENTE'!$H$62</f>
        <v>36</v>
      </c>
      <c r="J62" s="62" t="inlineStr">
        <is>
          <t>Diagonales × 2 extrémités × boulons</t>
        </is>
      </c>
    </row>
    <row r="63">
      <c r="B63" s="59" t="inlineStr">
        <is>
          <t>Boulons M12 – lisses</t>
        </is>
      </c>
      <c r="C63" s="60" t="str">
        <f>"M12"</f>
        <v>M12</v>
      </c>
      <c r="D63" s="26" t="inlineStr">
        <is>
          <t>u</t>
        </is>
      </c>
      <c r="E63" s="63">
        <f>('QUANTITATIF_CHARPENTE'!$E$48+'QUANTITATIF_CHARPENTE'!$E$49)*2*'PARAMÈTRES'!$C$67</f>
        <v>336</v>
      </c>
      <c r="F63" s="50" t="n"/>
      <c r="G63" s="50" t="n"/>
      <c r="H63" s="61">
        <f>'PARAMÈTRES'!$C$71</f>
        <v>0.1</v>
      </c>
      <c r="I63" s="57">
        <f>'QUANTITATIF_CHARPENTE'!$E$63*'QUANTITATIF_CHARPENTE'!$H$63</f>
        <v>33.6</v>
      </c>
      <c r="J63" s="62" t="inlineStr">
        <is>
          <t>Tronçons de lisses × 2 attaches × boulons</t>
        </is>
      </c>
    </row>
    <row r="64">
      <c r="B64" s="59" t="inlineStr">
        <is>
          <t>Tiges d'ancrage – poteaux de portique</t>
        </is>
      </c>
      <c r="C64" s="60" t="str">
        <f>'PARAMÈTRES'!$C$72</f>
        <v>Rond 24</v>
      </c>
      <c r="D64" s="26" t="inlineStr">
        <is>
          <t>ml</t>
        </is>
      </c>
      <c r="E64" s="57">
        <f>(2*'PRÉDIMENSIONNEMENT'!$C$29+'PRÉDIMENSIONNEMENT'!$C$38)*'PARAMÈTRES'!$C$74</f>
        <v>64</v>
      </c>
      <c r="F64" s="57">
        <f>'PARAMÈTRES'!$C$73</f>
        <v>0.6</v>
      </c>
      <c r="G64" s="57">
        <f>'QUANTITATIF_CHARPENTE'!$E$64*'QUANTITATIF_CHARPENTE'!$F$64</f>
        <v>38.4</v>
      </c>
      <c r="H64" s="61">
        <f>IFERROR(_xlfn.XLOOKUP('PARAMÈTRES'!$C$72,'BASE_PROFILÉS'!$B$5:$B$200,'BASE_PROFILÉS'!$D$5:$D$200),IFERROR(INDEX('BASE_PROFILÉS'!$D$5:$D$200,MATCH('PARAMÈTRES'!$C$72,'BASE_PROFILÉS'!$B$5:$B$200,0)),0))</f>
        <v>3.55</v>
      </c>
      <c r="I64" s="57">
        <f>'QUANTITATIF_CHARPENTE'!$G$64*'QUANTITATIF_CHARPENTE'!$H$64</f>
        <v>136.32</v>
      </c>
      <c r="J64" s="62" t="inlineStr">
        <is>
          <t>4 par poteau de portique</t>
        </is>
      </c>
    </row>
    <row r="65">
      <c r="B65" s="59" t="inlineStr">
        <is>
          <t>Tiges d'ancrage – poteaux de pignon</t>
        </is>
      </c>
      <c r="C65" s="60" t="str">
        <f>'PARAMÈTRES'!$C$75</f>
        <v>Rond 20</v>
      </c>
      <c r="D65" s="26" t="inlineStr">
        <is>
          <t>ml</t>
        </is>
      </c>
      <c r="E65" s="57">
        <f>'PRÉDIMENSIONNEMENT'!$C$37*'PARAMÈTRES'!$C$77</f>
        <v>12</v>
      </c>
      <c r="F65" s="57">
        <f>'PARAMÈTRES'!$C$76</f>
        <v>0.5</v>
      </c>
      <c r="G65" s="57">
        <f>'QUANTITATIF_CHARPENTE'!$E$65*'QUANTITATIF_CHARPENTE'!$F$65</f>
        <v>6</v>
      </c>
      <c r="H65" s="61">
        <f>IFERROR(_xlfn.XLOOKUP('PARAMÈTRES'!$C$75,'BASE_PROFILÉS'!$B$5:$B$200,'BASE_PROFILÉS'!$D$5:$D$200),IFERROR(INDEX('BASE_PROFILÉS'!$D$5:$D$200,MATCH('PARAMÈTRES'!$C$75,'BASE_PROFILÉS'!$B$5:$B$200,0)),0))</f>
        <v>2.47</v>
      </c>
      <c r="I65" s="57">
        <f>'QUANTITATIF_CHARPENTE'!$G$65*'QUANTITATIF_CHARPENTE'!$H$65</f>
        <v>14.82</v>
      </c>
      <c r="J65" s="62" t="inlineStr">
        <is>
          <t>2 par poteau de pignon</t>
        </is>
      </c>
    </row>
    <row r="66">
      <c r="B66" s="59" t="inlineStr">
        <is>
          <t>Écrous de tiges d'ancrage</t>
        </is>
      </c>
      <c r="C66" s="60" t="str">
        <f>"Écrou"</f>
        <v>Écrou</v>
      </c>
      <c r="D66" s="26" t="inlineStr">
        <is>
          <t>u</t>
        </is>
      </c>
      <c r="E66" s="63">
        <f>2*('QUANTITATIF_CHARPENTE'!$E$64+'QUANTITATIF_CHARPENTE'!$E$65)</f>
        <v>152</v>
      </c>
      <c r="F66" s="50" t="n"/>
      <c r="G66" s="50" t="n"/>
      <c r="H66" s="50" t="n"/>
      <c r="I66" s="50" t="n"/>
      <c r="J66" s="62" t="inlineStr">
        <is>
          <t>2 par tige</t>
        </is>
      </c>
    </row>
    <row r="67">
      <c r="B67" s="59" t="inlineStr">
        <is>
          <t>Rondelles de tiges d'ancrage</t>
        </is>
      </c>
      <c r="C67" s="60" t="str">
        <f>"Rondelle"</f>
        <v>Rondelle</v>
      </c>
      <c r="D67" s="26" t="inlineStr">
        <is>
          <t>u</t>
        </is>
      </c>
      <c r="E67" s="63">
        <f>2*('QUANTITATIF_CHARPENTE'!$E$64+'QUANTITATIF_CHARPENTE'!$E$65)</f>
        <v>152</v>
      </c>
      <c r="F67" s="50" t="n"/>
      <c r="G67" s="50" t="n"/>
      <c r="H67" s="50" t="n"/>
      <c r="I67" s="50" t="n"/>
      <c r="J67" s="62" t="inlineStr">
        <is>
          <t>2 par tige</t>
        </is>
      </c>
    </row>
    <row r="68">
      <c r="B68" s="59" t="inlineStr">
        <is>
          <t>Gabarits de pose des tiges</t>
        </is>
      </c>
      <c r="C68" s="60" t="str">
        <f>"Gabarit"</f>
        <v>Gabarit</v>
      </c>
      <c r="D68" s="26" t="inlineStr">
        <is>
          <t>u</t>
        </is>
      </c>
      <c r="E68" s="63">
        <f>2*'PRÉDIMENSIONNEMENT'!$C$29+'PRÉDIMENSIONNEMENT'!$C$38+'PRÉDIMENSIONNEMENT'!$C$37</f>
        <v>22</v>
      </c>
      <c r="F68" s="50" t="n"/>
      <c r="G68" s="50" t="n"/>
      <c r="H68" s="50" t="n"/>
      <c r="I68" s="50" t="n"/>
      <c r="J68" s="62" t="inlineStr">
        <is>
          <t>1 par poteau</t>
        </is>
      </c>
    </row>
    <row r="69">
      <c r="B69" s="59" t="inlineStr">
        <is>
          <t>Vis autoforeuses</t>
        </is>
      </c>
      <c r="C69" s="60" t="str">
        <f>"Vis"</f>
        <v>Vis</v>
      </c>
      <c r="D69" s="26" t="inlineStr">
        <is>
          <t>u</t>
        </is>
      </c>
      <c r="E69" s="63">
        <f>ROUNDUP('PARAMÈTRES'!$C$49*('QUANTITATIF_CHARPENTE'!$E$36+'QUANTITATIF_CHARPENTE'!$E$37+'QUANTITATIF_CHARPENTE'!$E$52),0)</f>
        <v>10093</v>
      </c>
      <c r="F69" s="50" t="n"/>
      <c r="G69" s="50" t="n"/>
      <c r="H69" s="50" t="n"/>
      <c r="I69" s="50" t="n"/>
      <c r="J69" s="62" t="inlineStr">
        <is>
          <t>≈ 6 par m² de tôle, translucide et bardage</t>
        </is>
      </c>
    </row>
    <row r="71">
      <c r="B71" s="21" t="inlineStr">
        <is>
          <t>A6. TOTAUX CHARPENTE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</row>
    <row r="72">
      <c r="B72" s="5" t="inlineStr">
        <is>
          <t>Acier de structure (profilés, platines, pièces)</t>
        </is>
      </c>
      <c r="C72" s="64" t="n"/>
      <c r="D72" s="65" t="inlineStr">
        <is>
          <t>kg</t>
        </is>
      </c>
      <c r="E72" s="64" t="n"/>
      <c r="F72" s="64" t="n"/>
      <c r="G72" s="64" t="n"/>
      <c r="H72" s="64" t="n"/>
      <c r="I72" s="66">
        <f>'QUANTITATIF_CHARPENTE'!$I$6+'QUANTITATIF_CHARPENTE'!$I$7+'QUANTITATIF_CHARPENTE'!$I$8+'QUANTITATIF_CHARPENTE'!$I$9+'QUANTITATIF_CHARPENTE'!$I$10+'QUANTITATIF_CHARPENTE'!$I$11+'QUANTITATIF_CHARPENTE'!$I$12+'QUANTITATIF_CHARPENTE'!$I$13+'QUANTITATIF_CHARPENTE'!$I$14+'QUANTITATIF_CHARPENTE'!$I$15+'QUANTITATIF_CHARPENTE'!$I$16+'QUANTITATIF_CHARPENTE'!$I$17+'QUANTITATIF_CHARPENTE'!$I$18+'QUANTITATIF_CHARPENTE'!$I$19+'QUANTITATIF_CHARPENTE'!$I$20+'QUANTITATIF_CHARPENTE'!$I$21+'QUANTITATIF_CHARPENTE'!$I$24+'QUANTITATIF_CHARPENTE'!$I$25+'QUANTITATIF_CHARPENTE'!$I$26+'QUANTITATIF_CHARPENTE'!$I$27+'QUANTITATIF_CHARPENTE'!$I$28+'QUANTITATIF_CHARPENTE'!$I$29+'QUANTITATIF_CHARPENTE'!$I$32+'QUANTITATIF_CHARPENTE'!$I$33+'QUANTITATIF_CHARPENTE'!$I$34+'QUANTITATIF_CHARPENTE'!$I$35+'QUANTITATIF_CHARPENTE'!$I$48+'QUANTITATIF_CHARPENTE'!$I$49+'QUANTITATIF_CHARPENTE'!$I$50+'QUANTITATIF_CHARPENTE'!$I$51</f>
        <v>24287.6967037285</v>
      </c>
      <c r="J72" s="67" t="inlineStr">
        <is>
          <t>Somme des lignes acier A1 à A4</t>
        </is>
      </c>
    </row>
    <row r="73">
      <c r="B73" s="5" t="inlineStr">
        <is>
          <t>Boulonnerie et tiges d'ancrage (détail)</t>
        </is>
      </c>
      <c r="C73" s="64" t="n"/>
      <c r="D73" s="65" t="inlineStr">
        <is>
          <t>kg</t>
        </is>
      </c>
      <c r="E73" s="64" t="n"/>
      <c r="F73" s="64" t="n"/>
      <c r="G73" s="64" t="n"/>
      <c r="H73" s="64" t="n"/>
      <c r="I73" s="66">
        <f>'QUANTITATIF_CHARPENTE'!$I$58+'QUANTITATIF_CHARPENTE'!$I$59+'QUANTITATIF_CHARPENTE'!$I$60+'QUANTITATIF_CHARPENTE'!$I$61+'QUANTITATIF_CHARPENTE'!$I$62+'QUANTITATIF_CHARPENTE'!$I$63+'QUANTITATIF_CHARPENTE'!$I$64+'QUANTITATIF_CHARPENTE'!$I$65</f>
        <v>357.54</v>
      </c>
      <c r="J73" s="67" t="inlineStr">
        <is>
          <t>Somme A5</t>
        </is>
      </c>
    </row>
    <row r="74">
      <c r="B74" s="5" t="inlineStr">
        <is>
          <t>Boulonnerie retenue</t>
        </is>
      </c>
      <c r="C74" s="64" t="n"/>
      <c r="D74" s="65" t="inlineStr">
        <is>
          <t>kg</t>
        </is>
      </c>
      <c r="E74" s="64" t="n"/>
      <c r="F74" s="64" t="n"/>
      <c r="G74" s="64" t="n"/>
      <c r="H74" s="64" t="n"/>
      <c r="I74" s="66">
        <f>MAX('QUANTITATIF_CHARPENTE'!$I$73,'PARAMÈTRES'!$C$56*'QUANTITATIF_CHARPENTE'!$I$72)</f>
        <v>485.753934074569</v>
      </c>
      <c r="J74" s="67" t="inlineStr">
        <is>
          <t>Maximum (détail ; % du tonnage)</t>
        </is>
      </c>
    </row>
    <row r="75">
      <c r="B75" s="5" t="inlineStr">
        <is>
          <t>Chutes</t>
        </is>
      </c>
      <c r="C75" s="64" t="n"/>
      <c r="D75" s="65" t="inlineStr">
        <is>
          <t>kg</t>
        </is>
      </c>
      <c r="E75" s="64" t="n"/>
      <c r="F75" s="64" t="n"/>
      <c r="G75" s="64" t="n"/>
      <c r="H75" s="64" t="n"/>
      <c r="I75" s="66">
        <f>'PARAMÈTRES'!$C$55*'QUANTITATIF_CHARPENTE'!$I$72</f>
        <v>1214.38483518642</v>
      </c>
      <c r="J75" s="67" t="inlineStr">
        <is>
          <t>% chutes × acier de structure</t>
        </is>
      </c>
    </row>
    <row r="76">
      <c r="B76" s="5" t="inlineStr">
        <is>
          <t>TONNAGE TOTAL CHARPENTE</t>
        </is>
      </c>
      <c r="C76" s="64" t="n"/>
      <c r="D76" s="65" t="inlineStr">
        <is>
          <t>kg</t>
        </is>
      </c>
      <c r="E76" s="64" t="n"/>
      <c r="F76" s="64" t="n"/>
      <c r="G76" s="64" t="n"/>
      <c r="H76" s="64" t="n"/>
      <c r="I76" s="66">
        <f>'QUANTITATIF_CHARPENTE'!$I$72+'QUANTITATIF_CHARPENTE'!$I$74+'QUANTITATIF_CHARPENTE'!$I$75</f>
        <v>25987.8354729895</v>
      </c>
      <c r="J76" s="67" t="inlineStr">
        <is>
          <t>Structure + boulonnerie + chutes</t>
        </is>
      </c>
    </row>
    <row r="77">
      <c r="B77" s="5" t="inlineStr">
        <is>
          <t>Tonnage total</t>
        </is>
      </c>
      <c r="C77" s="64" t="n"/>
      <c r="D77" s="65" t="inlineStr">
        <is>
          <t>t</t>
        </is>
      </c>
      <c r="E77" s="64" t="n"/>
      <c r="F77" s="64" t="n"/>
      <c r="G77" s="64" t="n"/>
      <c r="H77" s="64" t="n"/>
      <c r="I77" s="66">
        <f>'QUANTITATIF_CHARPENTE'!$I$76/1000</f>
        <v>25.9878354729895</v>
      </c>
      <c r="J77" s="67" t="inlineStr"/>
    </row>
    <row r="78">
      <c r="B78" s="5" t="inlineStr">
        <is>
          <t>Ratio acier</t>
        </is>
      </c>
      <c r="C78" s="64" t="n"/>
      <c r="D78" s="65" t="inlineStr">
        <is>
          <t>kg/m²</t>
        </is>
      </c>
      <c r="E78" s="64" t="n"/>
      <c r="F78" s="64" t="n"/>
      <c r="G78" s="64" t="n"/>
      <c r="H78" s="64" t="n"/>
      <c r="I78" s="66">
        <f>'QUANTITATIF_CHARPENTE'!$I$76/'PRÉDIMENSIONNEMENT'!$C$46</f>
        <v>32.4847943412368</v>
      </c>
      <c r="J78" s="67" t="inlineStr">
        <is>
          <t>Contrôle : 18 à 45 kg/m²</t>
        </is>
      </c>
    </row>
    <row r="79">
      <c r="B79" s="5" t="inlineStr">
        <is>
          <t>Protection : galvanisation (acier à traiter)</t>
        </is>
      </c>
      <c r="C79" s="64" t="n"/>
      <c r="D79" s="65" t="inlineStr">
        <is>
          <t>kg</t>
        </is>
      </c>
      <c r="E79" s="64" t="n"/>
      <c r="F79" s="64" t="n"/>
      <c r="G79" s="64" t="n"/>
      <c r="H79" s="64" t="n"/>
      <c r="I79" s="66">
        <f>'QUANTITATIF_CHARPENTE'!$I$72</f>
        <v>24287.6967037285</v>
      </c>
      <c r="J79" s="67" t="inlineStr">
        <is>
          <t>Acier de structure</t>
        </is>
      </c>
    </row>
    <row r="80">
      <c r="B80" s="5" t="inlineStr">
        <is>
          <t>Protection : peinture (surface)</t>
        </is>
      </c>
      <c r="C80" s="64" t="n"/>
      <c r="D80" s="65" t="inlineStr">
        <is>
          <t>m²</t>
        </is>
      </c>
      <c r="E80" s="64" t="n"/>
      <c r="F80" s="64" t="n"/>
      <c r="G80" s="64" t="n"/>
      <c r="H80" s="64" t="n"/>
      <c r="I80" s="66">
        <f>'QUANTITATIF_CHARPENTE'!$I$72/1000*'PARAMÈTRES'!$C$60</f>
        <v>607.192417593212</v>
      </c>
      <c r="J80" s="67" t="inlineStr">
        <is>
          <t>t × m²/t</t>
        </is>
      </c>
    </row>
  </sheetData>
  <mergeCells count="1">
    <mergeCell ref="A1:J1"/>
  </mergeCells>
  <conditionalFormatting sqref="I78">
    <cfRule type="expression" priority="1" dxfId="0">
      <formula>OR(I78&lt;18,I78&gt;45)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&amp;L&amp;8 &amp;A&amp;C&amp;8 Page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16" customWidth="1" min="3" max="3"/>
    <col width="8" customWidth="1" min="4" max="4"/>
    <col width="12" customWidth="1" min="5" max="5"/>
    <col width="12" customWidth="1" min="6" max="6"/>
    <col width="13" customWidth="1" min="7" max="7"/>
    <col width="11" customWidth="1" min="8" max="8"/>
    <col width="14" customWidth="1" min="9" max="9"/>
    <col width="62" customWidth="1" min="10" max="10"/>
  </cols>
  <sheetData>
    <row r="1" ht="24" customHeight="1">
      <c r="A1" s="20" t="inlineStr">
        <is>
          <t>GROS ŒUVRE ET FONDATIONS (BAEL 91 mod. 99 / EC2)</t>
        </is>
      </c>
    </row>
    <row r="2">
      <c r="A2" s="3" t="inlineStr">
        <is>
          <t>Sol latéritique : remblai en latérite compactée à 95 % OPM. Ciment CPJ 42.5. Aciers : longueurs avec recouvrement de 40 Ø et barres de 12 m.</t>
        </is>
      </c>
    </row>
    <row r="4" ht="30" customHeight="1">
      <c r="B4" s="8" t="inlineStr">
        <is>
          <t>Désignation</t>
        </is>
      </c>
      <c r="C4" s="8" t="inlineStr">
        <is>
          <t>Profilé / section</t>
        </is>
      </c>
      <c r="D4" s="8" t="inlineStr">
        <is>
          <t>Unité</t>
        </is>
      </c>
      <c r="E4" s="8" t="inlineStr">
        <is>
          <t>Quantité</t>
        </is>
      </c>
      <c r="F4" s="8" t="inlineStr">
        <is>
          <t>Long. unitaire (m)</t>
        </is>
      </c>
      <c r="G4" s="8" t="inlineStr">
        <is>
          <t>Long. totale (m)</t>
        </is>
      </c>
      <c r="H4" s="8" t="inlineStr">
        <is>
          <t>kg/ml ou kg/u</t>
        </is>
      </c>
      <c r="I4" s="8" t="inlineStr">
        <is>
          <t>Poids total (kg)</t>
        </is>
      </c>
      <c r="J4" s="8" t="inlineStr">
        <is>
          <t>Règle de calcul (aussi en commentaire)</t>
        </is>
      </c>
    </row>
    <row r="5">
      <c r="B5" s="21" t="inlineStr">
        <is>
          <t>B0. DONNÉES DE CALCUL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</row>
    <row r="6">
      <c r="B6" s="29" t="inlineStr">
        <is>
          <t>Épaisseur du dallage</t>
        </is>
      </c>
      <c r="D6" s="26" t="inlineStr">
        <is>
          <t>m</t>
        </is>
      </c>
      <c r="E6" s="54">
        <f>VALUE(LEFT('PARAMÈTRES'!$C$114,2))/100</f>
        <v>0.2</v>
      </c>
      <c r="J6" s="27" t="inlineStr">
        <is>
          <t>Liste 15 / 20 cm</t>
        </is>
      </c>
    </row>
    <row r="7">
      <c r="B7" s="29" t="inlineStr">
        <is>
          <t>Épaisseur du remblai compacté</t>
        </is>
      </c>
      <c r="D7" s="26" t="inlineStr">
        <is>
          <t>m</t>
        </is>
      </c>
      <c r="E7" s="54">
        <f>VALUE(LEFT('PARAMÈTRES'!$C$86,2))/100</f>
        <v>0.2</v>
      </c>
      <c r="J7" s="27" t="inlineStr">
        <is>
          <t>Liste 20 / 40 cm</t>
        </is>
      </c>
    </row>
    <row r="8">
      <c r="B8" s="29" t="inlineStr">
        <is>
          <t>Maille du dallage</t>
        </is>
      </c>
      <c r="D8" s="26" t="inlineStr">
        <is>
          <t>m</t>
        </is>
      </c>
      <c r="E8" s="54">
        <f>VALUE(LEFT('PARAMÈTRES'!$C$120,2))/100</f>
        <v>0.2</v>
      </c>
      <c r="J8" s="27" t="inlineStr">
        <is>
          <t>Liste 15 / 20 / 25 cm</t>
        </is>
      </c>
    </row>
    <row r="9">
      <c r="B9" s="29" t="inlineStr">
        <is>
          <t>Nappe double (1 = oui)</t>
        </is>
      </c>
      <c r="D9" s="26" t="inlineStr"/>
      <c r="E9" s="55">
        <f>IF('PARAMÈTRES'!$C$115="Nappe double",1,0)</f>
        <v>0</v>
      </c>
      <c r="J9" s="27" t="inlineStr"/>
    </row>
    <row r="10">
      <c r="B10" s="29" t="inlineStr">
        <is>
          <t>Semelles isolées 1 (poteaux de portique et file centrale)</t>
        </is>
      </c>
      <c r="D10" s="26" t="inlineStr">
        <is>
          <t>u</t>
        </is>
      </c>
      <c r="E10" s="55">
        <f>2*'PRÉDIMENSIONNEMENT'!$C$29+'PRÉDIMENSIONNEMENT'!$C$38</f>
        <v>16</v>
      </c>
      <c r="J10" s="27" t="inlineStr"/>
    </row>
    <row r="11">
      <c r="B11" s="29" t="inlineStr">
        <is>
          <t>Semelles isolées 2 (poteaux de pignon)</t>
        </is>
      </c>
      <c r="D11" s="26" t="inlineStr">
        <is>
          <t>u</t>
        </is>
      </c>
      <c r="E11" s="55">
        <f>'PRÉDIMENSIONNEMENT'!$C$37</f>
        <v>6</v>
      </c>
      <c r="J11" s="27" t="inlineStr"/>
    </row>
    <row r="12">
      <c r="B12" s="29" t="inlineStr">
        <is>
          <t>Longueur de semelle filante</t>
        </is>
      </c>
      <c r="D12" s="26" t="inlineStr">
        <is>
          <t>m</t>
        </is>
      </c>
      <c r="E12" s="54">
        <f>MAX(0,'PRÉDIMENSIONNEMENT'!$C$47-2*'PRÉDIMENSIONNEMENT'!$C$29*'PARAMÈTRES'!$C$89-'PRÉDIMENSIONNEMENT'!$C$37*'PARAMÈTRES'!$C$92)</f>
        <v>96</v>
      </c>
      <c r="J12" s="27" t="inlineStr">
        <is>
          <t>Périmètre − largeur des semelles isolées traversées</t>
        </is>
      </c>
    </row>
    <row r="13">
      <c r="B13" s="29" t="inlineStr">
        <is>
          <t>Dallage : longueur intérieure (sens X)</t>
        </is>
      </c>
      <c r="D13" s="26" t="inlineStr">
        <is>
          <t>m</t>
        </is>
      </c>
      <c r="E13" s="54">
        <f>'PARAMÈTRES'!$C$10-'PARAMÈTRES'!$C$85</f>
        <v>39.85</v>
      </c>
      <c r="J13" s="27" t="inlineStr">
        <is>
          <t>L − épaisseur de mur</t>
        </is>
      </c>
    </row>
    <row r="14">
      <c r="B14" s="29" t="inlineStr">
        <is>
          <t>Dallage : largeur intérieure (sens Y)</t>
        </is>
      </c>
      <c r="D14" s="26" t="inlineStr">
        <is>
          <t>m</t>
        </is>
      </c>
      <c r="E14" s="54">
        <f>'PARAMÈTRES'!$C$9-'PARAMÈTRES'!$C$85</f>
        <v>19.85</v>
      </c>
      <c r="J14" s="27" t="inlineStr">
        <is>
          <t>B − épaisseur de mur</t>
        </is>
      </c>
    </row>
    <row r="15">
      <c r="B15" s="29" t="inlineStr">
        <is>
          <t>Surface intérieure</t>
        </is>
      </c>
      <c r="D15" s="26" t="inlineStr">
        <is>
          <t>m²</t>
        </is>
      </c>
      <c r="E15" s="54">
        <f>'GROS_ŒUVRE'!$E$13*'GROS_ŒUVRE'!$E$14</f>
        <v>791.0225</v>
      </c>
      <c r="J15" s="27" t="inlineStr"/>
    </row>
    <row r="16">
      <c r="B16" s="29" t="inlineStr">
        <is>
          <t>Hauteur de maçonnerie d'élévation</t>
        </is>
      </c>
      <c r="D16" s="26" t="inlineStr">
        <is>
          <t>m</t>
        </is>
      </c>
      <c r="E16" s="54">
        <f>'PRÉDIMENSIONNEMENT'!$C$49</f>
        <v>0</v>
      </c>
      <c r="J16" s="27" t="inlineStr">
        <is>
          <t>selon type de façade</t>
        </is>
      </c>
    </row>
    <row r="17">
      <c r="B17" s="29" t="inlineStr">
        <is>
          <t>Nombre de chaînages horizontaux</t>
        </is>
      </c>
      <c r="D17" s="26" t="inlineStr">
        <is>
          <t>u</t>
        </is>
      </c>
      <c r="E17" s="55">
        <f>IF('PRÉDIMENSIONNEMENT'!$C$48="Agglos 15 creux",3,IF('PRÉDIMENSIONNEMENT'!$C$48="Mixte",2,0))</f>
        <v>0</v>
      </c>
      <c r="J17" s="27" t="inlineStr">
        <is>
          <t>Agglos : bas, intermédiaire, haut · Mixte : bas et haut</t>
        </is>
      </c>
    </row>
    <row r="18">
      <c r="B18" s="29" t="inlineStr">
        <is>
          <t>Panneaux de maçonnerie (travées du périmètre)</t>
        </is>
      </c>
      <c r="D18" s="26" t="inlineStr">
        <is>
          <t>u</t>
        </is>
      </c>
      <c r="E18" s="55">
        <f>'PRÉDIMENSIONNEMENT'!$C$51*(2*'PRÉDIMENSIONNEMENT'!$C$28+2*'PRÉDIMENSIONNEMENT'!$C$35)</f>
        <v>0</v>
      </c>
      <c r="J18" s="27" t="inlineStr"/>
    </row>
    <row r="19">
      <c r="B19" s="29" t="inlineStr">
        <is>
          <t>Coût matériaux d'1 m³ de béton armé</t>
        </is>
      </c>
      <c r="D19" s="26" t="inlineStr">
        <is>
          <t>FCFA/m³</t>
        </is>
      </c>
      <c r="E19" s="55">
        <f>'PARAMÈTRES'!$C$143/'PARAMÈTRES'!$C$145*'PARAMÈTRES'!$C$185+'PARAMÈTRES'!$C$146*'PARAMÈTRES'!$C$186+'PARAMÈTRES'!$C$147*'PARAMÈTRES'!$C$187+'PARAMÈTRES'!$C$148*'PARAMÈTRES'!$C$188</f>
        <v>59900</v>
      </c>
      <c r="J19" s="27" t="inlineStr"/>
    </row>
    <row r="20">
      <c r="B20" s="29" t="inlineStr">
        <is>
          <t>Coût matériaux d'1 m³ de mortier</t>
        </is>
      </c>
      <c r="D20" s="26" t="inlineStr">
        <is>
          <t>FCFA/m³</t>
        </is>
      </c>
      <c r="E20" s="55">
        <f>'PARAMÈTRES'!$C$144/'PARAMÈTRES'!$C$145*'PARAMÈTRES'!$C$185+'PARAMÈTRES'!$C$149*'PARAMÈTRES'!$C$186</f>
        <v>46200</v>
      </c>
      <c r="J20" s="27" t="inlineStr"/>
    </row>
    <row r="22">
      <c r="B22" s="21" t="inlineStr">
        <is>
          <t>B1. TERRASSEMENTS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</row>
    <row r="23">
      <c r="B23" s="59" t="inlineStr">
        <is>
          <t>Décapage de l'emprise</t>
        </is>
      </c>
      <c r="C23" s="50" t="n"/>
      <c r="D23" s="26" t="inlineStr">
        <is>
          <t>m²</t>
        </is>
      </c>
      <c r="E23" s="57">
        <f>('PARAMÈTRES'!$C$9+2*'PARAMÈTRES'!$C$81)*('PARAMÈTRES'!$C$10+2*'PARAMÈTRES'!$C$81)</f>
        <v>924</v>
      </c>
      <c r="F23" s="50" t="n"/>
      <c r="G23" s="50" t="n"/>
      <c r="H23" s="50" t="n"/>
      <c r="I23" s="50" t="n"/>
      <c r="J23" s="62" t="inlineStr">
        <is>
          <t>(B + 2 débords) × (L + 2 débords)</t>
        </is>
      </c>
    </row>
    <row r="24">
      <c r="B24" s="59" t="inlineStr">
        <is>
          <t>Fouilles en puits – semelles isolées 1</t>
        </is>
      </c>
      <c r="C24" s="50" t="n"/>
      <c r="D24" s="26" t="inlineStr">
        <is>
          <t>m³</t>
        </is>
      </c>
      <c r="E24" s="57">
        <f>'GROS_ŒUVRE'!$E$10*('PARAMÈTRES'!$C$89+2*'PARAMÈTRES'!$C$82)^2*'PARAMÈTRES'!$C$83</f>
        <v>37.632</v>
      </c>
      <c r="F24" s="50" t="n"/>
      <c r="G24" s="50" t="n"/>
      <c r="H24" s="50" t="n"/>
      <c r="I24" s="50" t="n"/>
      <c r="J24" s="62" t="inlineStr">
        <is>
          <t>n × (a + 2 surlargeurs)² × profondeur 1,20 m</t>
        </is>
      </c>
    </row>
    <row r="25">
      <c r="B25" s="59" t="inlineStr">
        <is>
          <t>Fouilles en puits – semelles isolées 2</t>
        </is>
      </c>
      <c r="C25" s="50" t="n"/>
      <c r="D25" s="26" t="inlineStr">
        <is>
          <t>m³</t>
        </is>
      </c>
      <c r="E25" s="57">
        <f>'GROS_ŒUVRE'!$E$11*('PARAMÈTRES'!$C$92+2*'PARAMÈTRES'!$C$82)^2*'PARAMÈTRES'!$C$83</f>
        <v>7.2</v>
      </c>
      <c r="F25" s="50" t="n"/>
      <c r="G25" s="50" t="n"/>
      <c r="H25" s="50" t="n"/>
      <c r="I25" s="50" t="n"/>
      <c r="J25" s="62" t="inlineStr">
        <is>
          <t>n × (a + 2 surlargeurs)² × profondeur</t>
        </is>
      </c>
    </row>
    <row r="26">
      <c r="B26" s="59" t="inlineStr">
        <is>
          <t>Fouilles en rigole – semelles filantes</t>
        </is>
      </c>
      <c r="C26" s="50" t="n"/>
      <c r="D26" s="26" t="inlineStr">
        <is>
          <t>m³</t>
        </is>
      </c>
      <c r="E26" s="57">
        <f>'GROS_ŒUVRE'!$E$12*('PARAMÈTRES'!$C$102+2*'PARAMÈTRES'!$C$82)*'PARAMÈTRES'!$C$83</f>
        <v>92.16</v>
      </c>
      <c r="F26" s="50" t="n"/>
      <c r="G26" s="50" t="n"/>
      <c r="H26" s="50" t="n"/>
      <c r="I26" s="50" t="n"/>
      <c r="J26" s="62" t="inlineStr">
        <is>
          <t>Longueur filante × (b + 2 surlargeurs) × profondeur</t>
        </is>
      </c>
    </row>
    <row r="27">
      <c r="B27" s="59" t="inlineStr">
        <is>
          <t>Remblai latérite compactée sous dallage (approvisionnement)</t>
        </is>
      </c>
      <c r="C27" s="50" t="n"/>
      <c r="D27" s="26" t="inlineStr">
        <is>
          <t>m³</t>
        </is>
      </c>
      <c r="E27" s="57">
        <f>'GROS_ŒUVRE'!$E$15*'GROS_ŒUVRE'!$E$7*'PARAMÈTRES'!$C$84</f>
        <v>197.755625</v>
      </c>
      <c r="F27" s="50" t="n"/>
      <c r="G27" s="50" t="n"/>
      <c r="H27" s="50" t="n"/>
      <c r="I27" s="50" t="n"/>
      <c r="J27" s="62" t="inlineStr">
        <is>
          <t>Surface intérieure × épaisseur × foisonnement 1,25 (95 % OPM)</t>
        </is>
      </c>
    </row>
    <row r="28">
      <c r="B28" s="59" t="inlineStr">
        <is>
          <t>Lit de sable de réglage (nid de sable)</t>
        </is>
      </c>
      <c r="C28" s="50" t="n"/>
      <c r="D28" s="26" t="inlineStr">
        <is>
          <t>m³</t>
        </is>
      </c>
      <c r="E28" s="57">
        <f>'GROS_ŒUVRE'!$E$15*'PARAMÈTRES'!$C$87</f>
        <v>39.551125</v>
      </c>
      <c r="F28" s="50" t="n"/>
      <c r="G28" s="50" t="n"/>
      <c r="H28" s="50" t="n"/>
      <c r="I28" s="50" t="n"/>
      <c r="J28" s="62" t="inlineStr">
        <is>
          <t>Surface × 5 cm</t>
        </is>
      </c>
    </row>
    <row r="29">
      <c r="B29" s="59" t="inlineStr">
        <is>
          <t>Évacuation des déblais</t>
        </is>
      </c>
      <c r="C29" s="50" t="n"/>
      <c r="D29" s="26" t="inlineStr">
        <is>
          <t>m³</t>
        </is>
      </c>
      <c r="E29" s="57">
        <f>('GROS_ŒUVRE'!$E$23*'PARAMÈTRES'!$C$80+'GROS_ŒUVRE'!$E$24+'GROS_ŒUVRE'!$E$25+'GROS_ŒUVRE'!$E$26)*'PARAMÈTRES'!$C$84</f>
        <v>402.24</v>
      </c>
      <c r="F29" s="50" t="n"/>
      <c r="G29" s="50" t="n"/>
      <c r="H29" s="50" t="n"/>
      <c r="I29" s="50" t="n"/>
      <c r="J29" s="62" t="inlineStr">
        <is>
          <t>(décapage + fouilles) × foisonnement</t>
        </is>
      </c>
    </row>
    <row r="31">
      <c r="B31" s="21" t="inlineStr">
        <is>
          <t>B2. SEMELLES ISOLÉES – POTEAUX DE PORTIQUE (120 × 120)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</row>
    <row r="32">
      <c r="B32" s="59" t="inlineStr">
        <is>
          <t>Béton de propreté (5 cm)</t>
        </is>
      </c>
      <c r="C32" s="50" t="n"/>
      <c r="D32" s="26" t="inlineStr">
        <is>
          <t>m³</t>
        </is>
      </c>
      <c r="E32" s="57">
        <f>'GROS_ŒUVRE'!$E$10*'PARAMÈTRES'!$C$89^2*'PARAMÈTRES'!$C$88</f>
        <v>1.152</v>
      </c>
      <c r="F32" s="50" t="n"/>
      <c r="G32" s="50" t="n"/>
      <c r="H32" s="50" t="n"/>
      <c r="I32" s="50" t="n"/>
      <c r="J32" s="62" t="inlineStr">
        <is>
          <t>n × a² × 5 cm</t>
        </is>
      </c>
    </row>
    <row r="33">
      <c r="B33" s="59" t="inlineStr">
        <is>
          <t>Béton armé – semelles</t>
        </is>
      </c>
      <c r="C33" s="50" t="n"/>
      <c r="D33" s="26" t="inlineStr">
        <is>
          <t>m³</t>
        </is>
      </c>
      <c r="E33" s="57">
        <f>'GROS_ŒUVRE'!$E$10*'PARAMÈTRES'!$C$89^2*'PARAMÈTRES'!$C$90</f>
        <v>9.216</v>
      </c>
      <c r="F33" s="50" t="n"/>
      <c r="G33" s="50" t="n"/>
      <c r="H33" s="50" t="n"/>
      <c r="I33" s="50" t="n"/>
      <c r="J33" s="62" t="inlineStr">
        <is>
          <t>n × a² × h</t>
        </is>
      </c>
    </row>
    <row r="34">
      <c r="B34" s="59" t="inlineStr">
        <is>
          <t>Béton armé – fûts (amorces)</t>
        </is>
      </c>
      <c r="C34" s="50" t="n"/>
      <c r="D34" s="26" t="inlineStr">
        <is>
          <t>m³</t>
        </is>
      </c>
      <c r="E34" s="57">
        <f>'GROS_ŒUVRE'!$E$10*'PARAMÈTRES'!$C$91^2*'PARAMÈTRES'!$C$95</f>
        <v>3.072</v>
      </c>
      <c r="F34" s="50" t="n"/>
      <c r="G34" s="50" t="n"/>
      <c r="H34" s="50" t="n"/>
      <c r="I34" s="50" t="n"/>
      <c r="J34" s="62" t="inlineStr">
        <is>
          <t>n × côté² × hauteur du fût (1,20 m)</t>
        </is>
      </c>
    </row>
    <row r="35">
      <c r="B35" s="59" t="inlineStr">
        <is>
          <t>Coffrage semelles et fûts</t>
        </is>
      </c>
      <c r="C35" s="50" t="n"/>
      <c r="D35" s="26" t="inlineStr">
        <is>
          <t>m²</t>
        </is>
      </c>
      <c r="E35" s="57">
        <f>'GROS_ŒUVRE'!$E$10*(4*'PARAMÈTRES'!$C$89*'PARAMÈTRES'!$C$90+4*'PARAMÈTRES'!$C$91*'PARAMÈTRES'!$C$95)</f>
        <v>61.44</v>
      </c>
      <c r="F35" s="50" t="n"/>
      <c r="G35" s="50" t="n"/>
      <c r="H35" s="50" t="n"/>
      <c r="I35" s="50" t="n"/>
      <c r="J35" s="62" t="inlineStr">
        <is>
          <t>n × (4 a h + 4 côté × h fût)</t>
        </is>
      </c>
    </row>
    <row r="36">
      <c r="B36" s="59" t="inlineStr">
        <is>
          <t>Aciers – quadrillage inférieur</t>
        </is>
      </c>
      <c r="C36" s="60" t="str">
        <f>'PARAMÈTRES'!$C$97</f>
        <v>HA12</v>
      </c>
      <c r="D36" s="26" t="inlineStr">
        <is>
          <t>barres</t>
        </is>
      </c>
      <c r="E36" s="63">
        <f>'GROS_ŒUVRE'!$E$10*2*(ROUNDDOWN(('PARAMÈTRES'!$C$89-2*'PARAMÈTRES'!$C$108)/'PARAMÈTRES'!$C$96,0)+1)</f>
        <v>256</v>
      </c>
      <c r="F36" s="57">
        <f>'PARAMÈTRES'!$C$89-2*'PARAMÈTRES'!$C$108+2*'PARAMÈTRES'!$C$109</f>
        <v>1.4</v>
      </c>
      <c r="G36" s="57">
        <f>'GROS_ŒUVRE'!$E$36*'GROS_ŒUVRE'!$F$36</f>
        <v>358.4</v>
      </c>
      <c r="H36" s="61">
        <f>IFERROR(_xlfn.XLOOKUP('PARAMÈTRES'!$C$97,'BASE_ACIERS'!$B$5:$B$20,'BASE_ACIERS'!$D$5:$D$20),IFERROR(INDEX('BASE_ACIERS'!$D$5:$D$20,MATCH('PARAMÈTRES'!$C$97,'BASE_ACIERS'!$B$5:$B$20,0)),0))</f>
        <v>0.888</v>
      </c>
      <c r="I36" s="57">
        <f>'GROS_ŒUVRE'!$G$36*'GROS_ŒUVRE'!$H$36</f>
        <v>318.2592</v>
      </c>
      <c r="J36" s="62" t="inlineStr">
        <is>
          <t>2 sens × (ENT((a − 2c) / maille) + 1) barres ; L = a − 2c + 2 retours</t>
        </is>
      </c>
    </row>
    <row r="37">
      <c r="B37" s="59" t="inlineStr">
        <is>
          <t>Aciers – fûts (barres longitudinales)</t>
        </is>
      </c>
      <c r="C37" s="60" t="str">
        <f>'PARAMÈTRES'!$C$98</f>
        <v>HA12</v>
      </c>
      <c r="D37" s="26" t="inlineStr">
        <is>
          <t>barres</t>
        </is>
      </c>
      <c r="E37" s="63">
        <f>'GROS_ŒUVRE'!$E$10*'PARAMÈTRES'!$C$99</f>
        <v>64</v>
      </c>
      <c r="F37" s="57">
        <f>'PARAMÈTRES'!$C$95+'PARAMÈTRES'!$C$90-'PARAMÈTRES'!$C$108+'PARAMÈTRES'!$C$109</f>
        <v>1.7</v>
      </c>
      <c r="G37" s="57">
        <f>'GROS_ŒUVRE'!$E$37*'GROS_ŒUVRE'!$F$37</f>
        <v>108.8</v>
      </c>
      <c r="H37" s="61">
        <f>IFERROR(_xlfn.XLOOKUP('PARAMÈTRES'!$C$98,'BASE_ACIERS'!$B$5:$B$20,'BASE_ACIERS'!$D$5:$D$20),IFERROR(INDEX('BASE_ACIERS'!$D$5:$D$20,MATCH('PARAMÈTRES'!$C$98,'BASE_ACIERS'!$B$5:$B$20,0)),0))</f>
        <v>0.888</v>
      </c>
      <c r="I37" s="57">
        <f>'GROS_ŒUVRE'!$G$37*'GROS_ŒUVRE'!$H$37</f>
        <v>96.6144</v>
      </c>
      <c r="J37" s="62" t="inlineStr">
        <is>
          <t>4 barres par fût, ancrées dans la semelle</t>
        </is>
      </c>
    </row>
    <row r="38">
      <c r="B38" s="59" t="inlineStr">
        <is>
          <t>Aciers – cadres des fûts</t>
        </is>
      </c>
      <c r="C38" s="60" t="str">
        <f>'PARAMÈTRES'!$C$100</f>
        <v>HA6</v>
      </c>
      <c r="D38" s="26" t="inlineStr">
        <is>
          <t>barres</t>
        </is>
      </c>
      <c r="E38" s="63">
        <f>'GROS_ŒUVRE'!$E$10*(ROUNDDOWN('PARAMÈTRES'!$C$95/'PARAMÈTRES'!$C$101,0)+1)</f>
        <v>144</v>
      </c>
      <c r="F38" s="57">
        <f>4*('PARAMÈTRES'!$C$91-2*'PARAMÈTRES'!$C$108)+2*'PARAMÈTRES'!$C$110</f>
        <v>1.4</v>
      </c>
      <c r="G38" s="57">
        <f>'GROS_ŒUVRE'!$E$38*'GROS_ŒUVRE'!$F$38</f>
        <v>201.6</v>
      </c>
      <c r="H38" s="61">
        <f>IFERROR(_xlfn.XLOOKUP('PARAMÈTRES'!$C$100,'BASE_ACIERS'!$B$5:$B$20,'BASE_ACIERS'!$D$5:$D$20),IFERROR(INDEX('BASE_ACIERS'!$D$5:$D$20,MATCH('PARAMÈTRES'!$C$100,'BASE_ACIERS'!$B$5:$B$20,0)),0))</f>
        <v>0.222</v>
      </c>
      <c r="I38" s="57">
        <f>'GROS_ŒUVRE'!$G$38*'GROS_ŒUVRE'!$H$38</f>
        <v>44.7552</v>
      </c>
      <c r="J38" s="62" t="inlineStr">
        <is>
          <t>Cadres tous les 15 cm</t>
        </is>
      </c>
    </row>
    <row r="40">
      <c r="B40" s="21" t="inlineStr">
        <is>
          <t>B3. SEMELLES ISOLÉES – POTEAUX DE PIGNON (80 × 80)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</row>
    <row r="41">
      <c r="B41" s="59" t="inlineStr">
        <is>
          <t>Béton de propreté (5 cm)</t>
        </is>
      </c>
      <c r="C41" s="50" t="n"/>
      <c r="D41" s="26" t="inlineStr">
        <is>
          <t>m³</t>
        </is>
      </c>
      <c r="E41" s="57">
        <f>'GROS_ŒUVRE'!$E$11*'PARAMÈTRES'!$C$92^2*'PARAMÈTRES'!$C$88</f>
        <v>0.192</v>
      </c>
      <c r="F41" s="50" t="n"/>
      <c r="G41" s="50" t="n"/>
      <c r="H41" s="50" t="n"/>
      <c r="I41" s="50" t="n"/>
      <c r="J41" s="62" t="inlineStr">
        <is>
          <t>n × a² × 5 cm</t>
        </is>
      </c>
    </row>
    <row r="42">
      <c r="B42" s="59" t="inlineStr">
        <is>
          <t>Béton armé – semelles</t>
        </is>
      </c>
      <c r="C42" s="50" t="n"/>
      <c r="D42" s="26" t="inlineStr">
        <is>
          <t>m³</t>
        </is>
      </c>
      <c r="E42" s="57">
        <f>'GROS_ŒUVRE'!$E$11*'PARAMÈTRES'!$C$92^2*'PARAMÈTRES'!$C$93</f>
        <v>1.152</v>
      </c>
      <c r="F42" s="50" t="n"/>
      <c r="G42" s="50" t="n"/>
      <c r="H42" s="50" t="n"/>
      <c r="I42" s="50" t="n"/>
      <c r="J42" s="62" t="inlineStr">
        <is>
          <t>n × a² × h</t>
        </is>
      </c>
    </row>
    <row r="43">
      <c r="B43" s="59" t="inlineStr">
        <is>
          <t>Béton armé – fûts (amorces)</t>
        </is>
      </c>
      <c r="C43" s="50" t="n"/>
      <c r="D43" s="26" t="inlineStr">
        <is>
          <t>m³</t>
        </is>
      </c>
      <c r="E43" s="57">
        <f>'GROS_ŒUVRE'!$E$11*'PARAMÈTRES'!$C$94^2*'PARAMÈTRES'!$C$95</f>
        <v>0.648</v>
      </c>
      <c r="F43" s="50" t="n"/>
      <c r="G43" s="50" t="n"/>
      <c r="H43" s="50" t="n"/>
      <c r="I43" s="50" t="n"/>
      <c r="J43" s="62" t="inlineStr">
        <is>
          <t>n × côté² × hauteur du fût (1,20 m)</t>
        </is>
      </c>
    </row>
    <row r="44">
      <c r="B44" s="59" t="inlineStr">
        <is>
          <t>Coffrage semelles et fûts</t>
        </is>
      </c>
      <c r="C44" s="50" t="n"/>
      <c r="D44" s="26" t="inlineStr">
        <is>
          <t>m²</t>
        </is>
      </c>
      <c r="E44" s="57">
        <f>'GROS_ŒUVRE'!$E$11*(4*'PARAMÈTRES'!$C$92*'PARAMÈTRES'!$C$93+4*'PARAMÈTRES'!$C$94*'PARAMÈTRES'!$C$95)</f>
        <v>14.4</v>
      </c>
      <c r="F44" s="50" t="n"/>
      <c r="G44" s="50" t="n"/>
      <c r="H44" s="50" t="n"/>
      <c r="I44" s="50" t="n"/>
      <c r="J44" s="62" t="inlineStr">
        <is>
          <t>n × (4 a h + 4 côté × h fût)</t>
        </is>
      </c>
    </row>
    <row r="45">
      <c r="B45" s="59" t="inlineStr">
        <is>
          <t>Aciers – quadrillage inférieur</t>
        </is>
      </c>
      <c r="C45" s="60" t="str">
        <f>'PARAMÈTRES'!$C$97</f>
        <v>HA12</v>
      </c>
      <c r="D45" s="26" t="inlineStr">
        <is>
          <t>barres</t>
        </is>
      </c>
      <c r="E45" s="63">
        <f>'GROS_ŒUVRE'!$E$11*2*(ROUNDDOWN(('PARAMÈTRES'!$C$92-2*'PARAMÈTRES'!$C$108)/'PARAMÈTRES'!$C$96,0)+1)</f>
        <v>60</v>
      </c>
      <c r="F45" s="57">
        <f>'PARAMÈTRES'!$C$92-2*'PARAMÈTRES'!$C$108+2*'PARAMÈTRES'!$C$109</f>
        <v>1</v>
      </c>
      <c r="G45" s="57">
        <f>'GROS_ŒUVRE'!$E$45*'GROS_ŒUVRE'!$F$45</f>
        <v>60</v>
      </c>
      <c r="H45" s="61">
        <f>IFERROR(_xlfn.XLOOKUP('PARAMÈTRES'!$C$97,'BASE_ACIERS'!$B$5:$B$20,'BASE_ACIERS'!$D$5:$D$20),IFERROR(INDEX('BASE_ACIERS'!$D$5:$D$20,MATCH('PARAMÈTRES'!$C$97,'BASE_ACIERS'!$B$5:$B$20,0)),0))</f>
        <v>0.888</v>
      </c>
      <c r="I45" s="57">
        <f>'GROS_ŒUVRE'!$G$45*'GROS_ŒUVRE'!$H$45</f>
        <v>53.28</v>
      </c>
      <c r="J45" s="62" t="inlineStr">
        <is>
          <t>2 sens × (ENT((a − 2c) / maille) + 1) barres ; L = a − 2c + 2 retours</t>
        </is>
      </c>
    </row>
    <row r="46">
      <c r="B46" s="59" t="inlineStr">
        <is>
          <t>Aciers – fûts (barres longitudinales)</t>
        </is>
      </c>
      <c r="C46" s="60" t="str">
        <f>'PARAMÈTRES'!$C$98</f>
        <v>HA12</v>
      </c>
      <c r="D46" s="26" t="inlineStr">
        <is>
          <t>barres</t>
        </is>
      </c>
      <c r="E46" s="63">
        <f>'GROS_ŒUVRE'!$E$11*'PARAMÈTRES'!$C$99</f>
        <v>24</v>
      </c>
      <c r="F46" s="57">
        <f>'PARAMÈTRES'!$C$95+'PARAMÈTRES'!$C$93-'PARAMÈTRES'!$C$108+'PARAMÈTRES'!$C$109</f>
        <v>1.6</v>
      </c>
      <c r="G46" s="57">
        <f>'GROS_ŒUVRE'!$E$46*'GROS_ŒUVRE'!$F$46</f>
        <v>38.4</v>
      </c>
      <c r="H46" s="61">
        <f>IFERROR(_xlfn.XLOOKUP('PARAMÈTRES'!$C$98,'BASE_ACIERS'!$B$5:$B$20,'BASE_ACIERS'!$D$5:$D$20),IFERROR(INDEX('BASE_ACIERS'!$D$5:$D$20,MATCH('PARAMÈTRES'!$C$98,'BASE_ACIERS'!$B$5:$B$20,0)),0))</f>
        <v>0.888</v>
      </c>
      <c r="I46" s="57">
        <f>'GROS_ŒUVRE'!$G$46*'GROS_ŒUVRE'!$H$46</f>
        <v>34.0992</v>
      </c>
      <c r="J46" s="62" t="inlineStr">
        <is>
          <t>4 barres par fût, ancrées dans la semelle</t>
        </is>
      </c>
    </row>
    <row r="47">
      <c r="B47" s="59" t="inlineStr">
        <is>
          <t>Aciers – cadres des fûts</t>
        </is>
      </c>
      <c r="C47" s="60" t="str">
        <f>'PARAMÈTRES'!$C$100</f>
        <v>HA6</v>
      </c>
      <c r="D47" s="26" t="inlineStr">
        <is>
          <t>barres</t>
        </is>
      </c>
      <c r="E47" s="63">
        <f>'GROS_ŒUVRE'!$E$11*(ROUNDDOWN('PARAMÈTRES'!$C$95/'PARAMÈTRES'!$C$101,0)+1)</f>
        <v>54</v>
      </c>
      <c r="F47" s="57">
        <f>4*('PARAMÈTRES'!$C$94-2*'PARAMÈTRES'!$C$108)+2*'PARAMÈTRES'!$C$110</f>
        <v>1</v>
      </c>
      <c r="G47" s="57">
        <f>'GROS_ŒUVRE'!$E$47*'GROS_ŒUVRE'!$F$47</f>
        <v>54</v>
      </c>
      <c r="H47" s="61">
        <f>IFERROR(_xlfn.XLOOKUP('PARAMÈTRES'!$C$100,'BASE_ACIERS'!$B$5:$B$20,'BASE_ACIERS'!$D$5:$D$20),IFERROR(INDEX('BASE_ACIERS'!$D$5:$D$20,MATCH('PARAMÈTRES'!$C$100,'BASE_ACIERS'!$B$5:$B$20,0)),0))</f>
        <v>0.222</v>
      </c>
      <c r="I47" s="57">
        <f>'GROS_ŒUVRE'!$G$47*'GROS_ŒUVRE'!$H$47</f>
        <v>11.988</v>
      </c>
      <c r="J47" s="62" t="inlineStr">
        <is>
          <t>Cadres tous les 15 cm</t>
        </is>
      </c>
    </row>
    <row r="49">
      <c r="B49" s="21" t="inlineStr">
        <is>
          <t>B4. SEMELLES FILANTES (SOUS MURS)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</row>
    <row r="50">
      <c r="B50" s="59" t="inlineStr">
        <is>
          <t>Béton de propreté (5 cm)</t>
        </is>
      </c>
      <c r="C50" s="50" t="n"/>
      <c r="D50" s="26" t="inlineStr">
        <is>
          <t>m³</t>
        </is>
      </c>
      <c r="E50" s="57">
        <f>'GROS_ŒUVRE'!$E$12*'PARAMÈTRES'!$C$102*'PARAMÈTRES'!$C$88</f>
        <v>2.88</v>
      </c>
      <c r="F50" s="50" t="n"/>
      <c r="G50" s="50" t="n"/>
      <c r="H50" s="50" t="n"/>
      <c r="I50" s="50" t="n"/>
      <c r="J50" s="62" t="inlineStr">
        <is>
          <t>L × b × 5 cm</t>
        </is>
      </c>
    </row>
    <row r="51">
      <c r="B51" s="59" t="inlineStr">
        <is>
          <t>Béton armé – semelle filante 60 × 20</t>
        </is>
      </c>
      <c r="C51" s="50" t="n"/>
      <c r="D51" s="26" t="inlineStr">
        <is>
          <t>m³</t>
        </is>
      </c>
      <c r="E51" s="57">
        <f>'GROS_ŒUVRE'!$E$12*'PARAMÈTRES'!$C$102*'PARAMÈTRES'!$C$103</f>
        <v>11.52</v>
      </c>
      <c r="F51" s="50" t="n"/>
      <c r="G51" s="50" t="n"/>
      <c r="H51" s="50" t="n"/>
      <c r="I51" s="50" t="n"/>
      <c r="J51" s="62" t="inlineStr">
        <is>
          <t>L × b × h</t>
        </is>
      </c>
    </row>
    <row r="52">
      <c r="B52" s="59" t="inlineStr">
        <is>
          <t>Coffrage semelle filante</t>
        </is>
      </c>
      <c r="C52" s="50" t="n"/>
      <c r="D52" s="26" t="inlineStr">
        <is>
          <t>m²</t>
        </is>
      </c>
      <c r="E52" s="57">
        <f>2*'GROS_ŒUVRE'!$E$12*'PARAMÈTRES'!$C$103</f>
        <v>38.4</v>
      </c>
      <c r="F52" s="50" t="n"/>
      <c r="G52" s="50" t="n"/>
      <c r="H52" s="50" t="n"/>
      <c r="I52" s="50" t="n"/>
      <c r="J52" s="62" t="inlineStr">
        <is>
          <t>2 faces × L × h</t>
        </is>
      </c>
    </row>
    <row r="53">
      <c r="B53" s="59" t="inlineStr">
        <is>
          <t>Aciers filants (4 HA10)</t>
        </is>
      </c>
      <c r="C53" s="60" t="str">
        <f>'PARAMÈTRES'!$C$104</f>
        <v>HA10</v>
      </c>
      <c r="D53" s="26" t="inlineStr">
        <is>
          <t>barres</t>
        </is>
      </c>
      <c r="E53" s="63">
        <f>'PARAMÈTRES'!$C$105</f>
        <v>4</v>
      </c>
      <c r="F53" s="57">
        <f>('GROS_ŒUVRE'!$E$12+MAX(0,ROUNDUP(('GROS_ŒUVRE'!$E$12)/'PARAMÈTRES'!$C$58,0)-1)*'PARAMÈTRES'!$C$153*IFERROR(_xlfn.XLOOKUP('PARAMÈTRES'!$C$104,'BASE_ACIERS'!$B$5:$B$20,'BASE_ACIERS'!$C$5:$C$20),IFERROR(INDEX('BASE_ACIERS'!$C$5:$C$20,MATCH('PARAMÈTRES'!$C$104,'BASE_ACIERS'!$B$5:$B$20,0)),0))/1000)</f>
        <v>98.8</v>
      </c>
      <c r="G53" s="57">
        <f>'GROS_ŒUVRE'!$E$53*'GROS_ŒUVRE'!$F$53</f>
        <v>395.2</v>
      </c>
      <c r="H53" s="61">
        <f>IFERROR(_xlfn.XLOOKUP('PARAMÈTRES'!$C$104,'BASE_ACIERS'!$B$5:$B$20,'BASE_ACIERS'!$D$5:$D$20),IFERROR(INDEX('BASE_ACIERS'!$D$5:$D$20,MATCH('PARAMÈTRES'!$C$104,'BASE_ACIERS'!$B$5:$B$20,0)),0))</f>
        <v>0.617</v>
      </c>
      <c r="I53" s="57">
        <f>'GROS_ŒUVRE'!$G$53*'GROS_ŒUVRE'!$H$53</f>
        <v>243.8384</v>
      </c>
      <c r="J53" s="62" t="inlineStr">
        <is>
          <t>4 filants × longueur avec recouvrements de 40 Ø</t>
        </is>
      </c>
    </row>
    <row r="54">
      <c r="B54" s="59" t="inlineStr">
        <is>
          <t>Aciers de répartition (HA8 e = 20 cm)</t>
        </is>
      </c>
      <c r="C54" s="60" t="str">
        <f>'PARAMÈTRES'!$C$106</f>
        <v>HA8</v>
      </c>
      <c r="D54" s="26" t="inlineStr">
        <is>
          <t>barres</t>
        </is>
      </c>
      <c r="E54" s="63">
        <f>ROUNDDOWN('GROS_ŒUVRE'!$E$12/'PARAMÈTRES'!$C$107,0)+1</f>
        <v>481</v>
      </c>
      <c r="F54" s="57">
        <f>'PARAMÈTRES'!$C$102-2*'PARAMÈTRES'!$C$108</f>
        <v>0.5</v>
      </c>
      <c r="G54" s="57">
        <f>'GROS_ŒUVRE'!$E$54*'GROS_ŒUVRE'!$F$54</f>
        <v>240.5</v>
      </c>
      <c r="H54" s="61">
        <f>IFERROR(_xlfn.XLOOKUP('PARAMÈTRES'!$C$106,'BASE_ACIERS'!$B$5:$B$20,'BASE_ACIERS'!$D$5:$D$20),IFERROR(INDEX('BASE_ACIERS'!$D$5:$D$20,MATCH('PARAMÈTRES'!$C$106,'BASE_ACIERS'!$B$5:$B$20,0)),0))</f>
        <v>0.395</v>
      </c>
      <c r="I54" s="57">
        <f>'GROS_ŒUVRE'!$G$54*'GROS_ŒUVRE'!$H$54</f>
        <v>94.9975</v>
      </c>
      <c r="J54" s="62" t="inlineStr">
        <is>
          <t>L / espacement + 1 ; L = b − 2c</t>
        </is>
      </c>
    </row>
    <row r="56">
      <c r="B56" s="21" t="inlineStr">
        <is>
          <t>B5. MAÇONNERIE DE FONDATION (AGGLOS 15 PLEINS)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</row>
    <row r="57">
      <c r="B57" s="59" t="inlineStr">
        <is>
          <t>Maçonnerie agglos 15 pleins (h = 1,00 m)</t>
        </is>
      </c>
      <c r="C57" s="50" t="n"/>
      <c r="D57" s="26" t="inlineStr">
        <is>
          <t>m²</t>
        </is>
      </c>
      <c r="E57" s="57">
        <f>'PRÉDIMENSIONNEMENT'!$C$47*'PARAMÈTRES'!$C$111</f>
        <v>120</v>
      </c>
      <c r="F57" s="50" t="n"/>
      <c r="G57" s="50" t="n"/>
      <c r="H57" s="50" t="n"/>
      <c r="I57" s="50" t="n"/>
      <c r="J57" s="62" t="inlineStr">
        <is>
          <t>Périmètre × 1,00 m</t>
        </is>
      </c>
    </row>
    <row r="58">
      <c r="B58" s="59" t="inlineStr">
        <is>
          <t>Agglos 15 pleins</t>
        </is>
      </c>
      <c r="C58" s="50" t="n"/>
      <c r="D58" s="26" t="inlineStr">
        <is>
          <t>u</t>
        </is>
      </c>
      <c r="E58" s="63">
        <f>ROUNDUP('GROS_ŒUVRE'!$E$57*'PARAMÈTRES'!$C$151*(1+'PARAMÈTRES'!$C$152),0)</f>
        <v>1575</v>
      </c>
      <c r="F58" s="50" t="n"/>
      <c r="G58" s="50" t="n"/>
      <c r="H58" s="50" t="n"/>
      <c r="I58" s="50" t="n"/>
      <c r="J58" s="62" t="inlineStr">
        <is>
          <t>12,5 /m² + 5 % de casse</t>
        </is>
      </c>
    </row>
    <row r="59">
      <c r="B59" s="59" t="inlineStr">
        <is>
          <t>Mortier de pose</t>
        </is>
      </c>
      <c r="C59" s="50" t="n"/>
      <c r="D59" s="26" t="inlineStr">
        <is>
          <t>m³</t>
        </is>
      </c>
      <c r="E59" s="57">
        <f>'GROS_ŒUVRE'!$E$57*'PARAMÈTRES'!$C$150</f>
        <v>1.8</v>
      </c>
      <c r="F59" s="50" t="n"/>
      <c r="G59" s="50" t="n"/>
      <c r="H59" s="50" t="n"/>
      <c r="I59" s="50" t="n"/>
      <c r="J59" s="62" t="inlineStr">
        <is>
          <t>m² × mortier / m²</t>
        </is>
      </c>
    </row>
    <row r="61">
      <c r="B61" s="21" t="inlineStr">
        <is>
          <t>B6. DALLAGE INTÉRIEUR</t>
        </is>
      </c>
      <c r="C61" s="22" t="n"/>
      <c r="D61" s="22" t="n"/>
      <c r="E61" s="22" t="n"/>
      <c r="F61" s="22" t="n"/>
      <c r="G61" s="22" t="n"/>
      <c r="H61" s="22" t="n"/>
      <c r="I61" s="22" t="n"/>
      <c r="J61" s="22" t="n"/>
    </row>
    <row r="62">
      <c r="B62" s="59" t="inlineStr">
        <is>
          <t>Film polyane</t>
        </is>
      </c>
      <c r="C62" s="50" t="n"/>
      <c r="D62" s="26" t="inlineStr">
        <is>
          <t>m²</t>
        </is>
      </c>
      <c r="E62" s="57">
        <f>'GROS_ŒUVRE'!$E$15*(1+'PARAMÈTRES'!$C$126)</f>
        <v>870.12475</v>
      </c>
      <c r="F62" s="50" t="n"/>
      <c r="G62" s="50" t="n"/>
      <c r="H62" s="50" t="n"/>
      <c r="I62" s="50" t="n"/>
      <c r="J62" s="62" t="inlineStr">
        <is>
          <t>Surface intérieure × 1,10</t>
        </is>
      </c>
    </row>
    <row r="63">
      <c r="B63" s="59" t="inlineStr">
        <is>
          <t>Béton du dallage</t>
        </is>
      </c>
      <c r="C63" s="50" t="n"/>
      <c r="D63" s="26" t="inlineStr">
        <is>
          <t>m³</t>
        </is>
      </c>
      <c r="E63" s="57">
        <f>'GROS_ŒUVRE'!$E$15*'GROS_ŒUVRE'!$E$6</f>
        <v>158.2045</v>
      </c>
      <c r="F63" s="50" t="n"/>
      <c r="G63" s="50" t="n"/>
      <c r="H63" s="50" t="n"/>
      <c r="I63" s="50" t="n"/>
      <c r="J63" s="62" t="inlineStr">
        <is>
          <t>Surface × épaisseur (15 ou 20 cm)</t>
        </is>
      </c>
    </row>
    <row r="64">
      <c r="B64" s="59" t="inlineStr">
        <is>
          <t>Nappe inférieure – sens X</t>
        </is>
      </c>
      <c r="C64" s="60" t="str">
        <f>'PARAMÈTRES'!$C$116</f>
        <v>HA10</v>
      </c>
      <c r="D64" s="26" t="inlineStr">
        <is>
          <t>barres</t>
        </is>
      </c>
      <c r="E64" s="63">
        <f>ROUNDDOWN('GROS_ŒUVRE'!$E$14/'GROS_ŒUVRE'!$E$8,0)+1</f>
        <v>100</v>
      </c>
      <c r="F64" s="57">
        <f>('GROS_ŒUVRE'!$E$13-2*'PARAMÈTRES'!$C$121+MAX(0,ROUNDUP(('GROS_ŒUVRE'!$E$13-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40.99</v>
      </c>
      <c r="G64" s="57">
        <f>'GROS_ŒUVRE'!$E$64*'GROS_ŒUVRE'!$F$64</f>
        <v>4099</v>
      </c>
      <c r="H64" s="61">
        <f>IFERROR(_xlfn.XLOOKUP('PARAMÈTRES'!$C$116,'BASE_ACIERS'!$B$5:$B$20,'BASE_ACIERS'!$D$5:$D$20),IFERROR(INDEX('BASE_ACIERS'!$D$5:$D$20,MATCH('PARAMÈTRES'!$C$116,'BASE_ACIERS'!$B$5:$B$20,0)),0))</f>
        <v>0.617</v>
      </c>
      <c r="I64" s="57">
        <f>'GROS_ŒUVRE'!$G$64*'GROS_ŒUVRE'!$H$64</f>
        <v>2529.083</v>
      </c>
      <c r="J64" s="62" t="inlineStr">
        <is>
          <t>(côté / maille) + 1 barres ; L avec recouvrements 40 Ø</t>
        </is>
      </c>
    </row>
    <row r="65">
      <c r="B65" s="59" t="inlineStr">
        <is>
          <t>Nappe inférieure – sens Y</t>
        </is>
      </c>
      <c r="C65" s="60" t="str">
        <f>'PARAMÈTRES'!$C$117</f>
        <v>HA10</v>
      </c>
      <c r="D65" s="26" t="inlineStr">
        <is>
          <t>barres</t>
        </is>
      </c>
      <c r="E65" s="63">
        <f>ROUNDDOWN('GROS_ŒUVRE'!$E$13/'GROS_ŒUVRE'!$E$8,0)+1</f>
        <v>200</v>
      </c>
      <c r="F65" s="57">
        <f>('GROS_ŒUVRE'!$E$14-2*'PARAMÈTRES'!$C$121+MAX(0,ROUNDUP(('GROS_ŒUVRE'!$E$14-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20.19</v>
      </c>
      <c r="G65" s="57">
        <f>'GROS_ŒUVRE'!$E$65*'GROS_ŒUVRE'!$F$65</f>
        <v>4038</v>
      </c>
      <c r="H65" s="61">
        <f>IFERROR(_xlfn.XLOOKUP('PARAMÈTRES'!$C$117,'BASE_ACIERS'!$B$5:$B$20,'BASE_ACIERS'!$D$5:$D$20),IFERROR(INDEX('BASE_ACIERS'!$D$5:$D$20,MATCH('PARAMÈTRES'!$C$117,'BASE_ACIERS'!$B$5:$B$20,0)),0))</f>
        <v>0.617</v>
      </c>
      <c r="I65" s="57">
        <f>'GROS_ŒUVRE'!$G$65*'GROS_ŒUVRE'!$H$65</f>
        <v>2491.446</v>
      </c>
      <c r="J65" s="62" t="inlineStr">
        <is>
          <t>(côté / maille) + 1 barres</t>
        </is>
      </c>
    </row>
    <row r="66">
      <c r="B66" s="59" t="inlineStr">
        <is>
          <t>Nappe supérieure – sens X (si nappe double)</t>
        </is>
      </c>
      <c r="C66" s="60" t="str">
        <f>'PARAMÈTRES'!$C$118</f>
        <v>HA8</v>
      </c>
      <c r="D66" s="26" t="inlineStr">
        <is>
          <t>barres</t>
        </is>
      </c>
      <c r="E66" s="63">
        <f>'GROS_ŒUVRE'!$E$9*(ROUNDDOWN('GROS_ŒUVRE'!$E$14/'GROS_ŒUVRE'!$E$8,0)+1)</f>
        <v>0</v>
      </c>
      <c r="F66" s="57">
        <f>('GROS_ŒUVRE'!$E$13-2*'PARAMÈTRES'!$C$121+MAX(0,ROUNDUP(('GROS_ŒUVRE'!$E$13-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40.75</v>
      </c>
      <c r="G66" s="57">
        <f>'GROS_ŒUVRE'!$E$66*'GROS_ŒUVRE'!$F$66</f>
        <v>0</v>
      </c>
      <c r="H66" s="61">
        <f>IFERROR(_xlfn.XLOOKUP('PARAMÈTRES'!$C$118,'BASE_ACIERS'!$B$5:$B$20,'BASE_ACIERS'!$D$5:$D$20),IFERROR(INDEX('BASE_ACIERS'!$D$5:$D$20,MATCH('PARAMÈTRES'!$C$118,'BASE_ACIERS'!$B$5:$B$20,0)),0))</f>
        <v>0.395</v>
      </c>
      <c r="I66" s="57">
        <f>'GROS_ŒUVRE'!$G$66*'GROS_ŒUVRE'!$H$66</f>
        <v>0</v>
      </c>
      <c r="J66" s="62" t="inlineStr">
        <is>
          <t>0 en nappe simple</t>
        </is>
      </c>
    </row>
    <row r="67">
      <c r="B67" s="59" t="inlineStr">
        <is>
          <t>Nappe supérieure – sens Y (si nappe double)</t>
        </is>
      </c>
      <c r="C67" s="60" t="str">
        <f>'PARAMÈTRES'!$C$119</f>
        <v>HA8</v>
      </c>
      <c r="D67" s="26" t="inlineStr">
        <is>
          <t>barres</t>
        </is>
      </c>
      <c r="E67" s="63">
        <f>'GROS_ŒUVRE'!$E$9*(ROUNDDOWN('GROS_ŒUVRE'!$E$13/'GROS_ŒUVRE'!$E$8,0)+1)</f>
        <v>0</v>
      </c>
      <c r="F67" s="57">
        <f>('GROS_ŒUVRE'!$E$14-2*'PARAMÈTRES'!$C$121+MAX(0,ROUNDUP(('GROS_ŒUVRE'!$E$14-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20.11</v>
      </c>
      <c r="G67" s="57">
        <f>'GROS_ŒUVRE'!$E$67*'GROS_ŒUVRE'!$F$67</f>
        <v>0</v>
      </c>
      <c r="H67" s="61">
        <f>IFERROR(_xlfn.XLOOKUP('PARAMÈTRES'!$C$119,'BASE_ACIERS'!$B$5:$B$20,'BASE_ACIERS'!$D$5:$D$20),IFERROR(INDEX('BASE_ACIERS'!$D$5:$D$20,MATCH('PARAMÈTRES'!$C$119,'BASE_ACIERS'!$B$5:$B$20,0)),0))</f>
        <v>0.395</v>
      </c>
      <c r="I67" s="57">
        <f>'GROS_ŒUVRE'!$G$67*'GROS_ŒUVRE'!$H$67</f>
        <v>0</v>
      </c>
      <c r="J67" s="62" t="inlineStr">
        <is>
          <t>0 en nappe simple</t>
        </is>
      </c>
    </row>
    <row r="68">
      <c r="B68" s="59" t="inlineStr">
        <is>
          <t>Chaises (nappe double, 4 /m²)</t>
        </is>
      </c>
      <c r="C68" s="60" t="str">
        <f>'PARAMÈTRES'!$C$122</f>
        <v>HA8</v>
      </c>
      <c r="D68" s="26" t="inlineStr">
        <is>
          <t>barres</t>
        </is>
      </c>
      <c r="E68" s="63">
        <f>'GROS_ŒUVRE'!$E$9*ROUNDUP('PARAMÈTRES'!$C$123*'GROS_ŒUVRE'!$E$15,0)</f>
        <v>0</v>
      </c>
      <c r="F68" s="57">
        <f>'PARAMÈTRES'!$C$124</f>
        <v>0.6</v>
      </c>
      <c r="G68" s="57">
        <f>'GROS_ŒUVRE'!$E$68*'GROS_ŒUVRE'!$F$68</f>
        <v>0</v>
      </c>
      <c r="H68" s="61">
        <f>IFERROR(_xlfn.XLOOKUP('PARAMÈTRES'!$C$122,'BASE_ACIERS'!$B$5:$B$20,'BASE_ACIERS'!$D$5:$D$20),IFERROR(INDEX('BASE_ACIERS'!$D$5:$D$20,MATCH('PARAMÈTRES'!$C$122,'BASE_ACIERS'!$B$5:$B$20,0)),0))</f>
        <v>0.395</v>
      </c>
      <c r="I68" s="57">
        <f>'GROS_ŒUVRE'!$G$68*'GROS_ŒUVRE'!$H$68</f>
        <v>0</v>
      </c>
      <c r="J68" s="62" t="inlineStr">
        <is>
          <t>4 chaises / m² en nappe double</t>
        </is>
      </c>
    </row>
    <row r="69">
      <c r="B69" s="59" t="inlineStr">
        <is>
          <t>Joints de retrait sciés</t>
        </is>
      </c>
      <c r="C69" s="50" t="n"/>
      <c r="D69" s="26" t="inlineStr">
        <is>
          <t>ml</t>
        </is>
      </c>
      <c r="E69" s="57">
        <f>(ROUNDUP('GROS_ŒUVRE'!$E$13/'PARAMÈTRES'!$C$125,0)-1)*'GROS_ŒUVRE'!$E$14+(ROUNDUP('GROS_ŒUVRE'!$E$14/'PARAMÈTRES'!$C$125,0)-1)*'GROS_ŒUVRE'!$E$13</f>
        <v>258.5</v>
      </c>
      <c r="F69" s="50" t="n"/>
      <c r="G69" s="50" t="n"/>
      <c r="H69" s="50" t="n"/>
      <c r="I69" s="50" t="n"/>
      <c r="J69" s="62" t="inlineStr">
        <is>
          <t>Tous les 5 à 6 m dans les 2 sens</t>
        </is>
      </c>
    </row>
    <row r="70">
      <c r="B70" s="59" t="inlineStr">
        <is>
          <t>Cure du béton</t>
        </is>
      </c>
      <c r="C70" s="50" t="n"/>
      <c r="D70" s="26" t="inlineStr">
        <is>
          <t>m²</t>
        </is>
      </c>
      <c r="E70" s="57">
        <f>'GROS_ŒUVRE'!$E$15</f>
        <v>791.0225</v>
      </c>
      <c r="F70" s="50" t="n"/>
      <c r="G70" s="50" t="n"/>
      <c r="H70" s="50" t="n"/>
      <c r="I70" s="50" t="n"/>
      <c r="J70" s="62" t="inlineStr">
        <is>
          <t>Surface du dallage</t>
        </is>
      </c>
    </row>
    <row r="72">
      <c r="B72" s="21" t="inlineStr">
        <is>
          <t>B7. VARIANTE ÉLÉVATION EN AGGLOS 15 CREUX (selon type de façade)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</row>
    <row r="73">
      <c r="B73" s="59" t="inlineStr">
        <is>
          <t>Surface des murs (− ouvertures, pignons en trapèze)</t>
        </is>
      </c>
      <c r="C73" s="50" t="n"/>
      <c r="D73" s="26" t="inlineStr">
        <is>
          <t>m²</t>
        </is>
      </c>
      <c r="E73" s="57">
        <f>MAX(0,'PRÉDIMENSIONNEMENT'!$C$51*('PRÉDIMENSIONNEMENT'!$C$47*'GROS_ŒUVRE'!$E$16+IF('PRÉDIMENSIONNEMENT'!$C$48="Agglos 15 creux",2*'PARAMÈTRES'!$C$12*'PARAMÈTRES'!$C$9^2/4,0))-'PRÉDIMENSIONNEMENT'!$C$58)</f>
        <v>0</v>
      </c>
      <c r="F73" s="50" t="n"/>
      <c r="G73" s="50" t="n"/>
      <c r="H73" s="50" t="n"/>
      <c r="I73" s="50" t="n"/>
      <c r="J73" s="62" t="inlineStr">
        <is>
          <t>Périmètre × hauteur + pignons (agglos) − ouvertures</t>
        </is>
      </c>
    </row>
    <row r="74">
      <c r="B74" s="59" t="inlineStr">
        <is>
          <t>Agglos 15 creux</t>
        </is>
      </c>
      <c r="C74" s="50" t="n"/>
      <c r="D74" s="26" t="inlineStr">
        <is>
          <t>u</t>
        </is>
      </c>
      <c r="E74" s="63">
        <f>ROUNDUP('GROS_ŒUVRE'!$E$73*'PARAMÈTRES'!$C$151*(1+'PARAMÈTRES'!$C$152),0)</f>
        <v>0</v>
      </c>
      <c r="F74" s="50" t="n"/>
      <c r="G74" s="50" t="n"/>
      <c r="H74" s="50" t="n"/>
      <c r="I74" s="50" t="n"/>
      <c r="J74" s="62" t="inlineStr">
        <is>
          <t>12,5 /m² + 5 % de casse</t>
        </is>
      </c>
    </row>
    <row r="75">
      <c r="B75" s="59" t="inlineStr">
        <is>
          <t>Mortier de pose</t>
        </is>
      </c>
      <c r="C75" s="50" t="n"/>
      <c r="D75" s="26" t="inlineStr">
        <is>
          <t>m³</t>
        </is>
      </c>
      <c r="E75" s="57">
        <f>'GROS_ŒUVRE'!$E$73*'PARAMÈTRES'!$C$150</f>
        <v>0</v>
      </c>
      <c r="F75" s="50" t="n"/>
      <c r="G75" s="50" t="n"/>
      <c r="H75" s="50" t="n"/>
      <c r="I75" s="50" t="n"/>
      <c r="J75" s="62" t="inlineStr">
        <is>
          <t>m² × mortier / m²</t>
        </is>
      </c>
    </row>
    <row r="76">
      <c r="B76" s="59" t="inlineStr">
        <is>
          <t>Chaînages 15 × 20 (bas, intermédiaire, haut + rampants)</t>
        </is>
      </c>
      <c r="C76" s="50" t="n"/>
      <c r="D76" s="26" t="inlineStr">
        <is>
          <t>ml</t>
        </is>
      </c>
      <c r="E76" s="57">
        <f>'GROS_ŒUVRE'!$E$17*'PRÉDIMENSIONNEMENT'!$C$47+IF('PRÉDIMENSIONNEMENT'!$C$48="Agglos 15 creux",4*'PRÉDIMENSIONNEMENT'!$C$31,0)</f>
        <v>0</v>
      </c>
      <c r="F76" s="50" t="n"/>
      <c r="G76" s="50" t="n"/>
      <c r="H76" s="50" t="n"/>
      <c r="I76" s="50" t="n"/>
      <c r="J76" s="62" t="inlineStr">
        <is>
          <t>Nombre de chaînages × périmètre (+ rampants des pignons)</t>
        </is>
      </c>
    </row>
    <row r="77">
      <c r="B77" s="59" t="inlineStr">
        <is>
          <t>Béton des chaînages</t>
        </is>
      </c>
      <c r="C77" s="50" t="n"/>
      <c r="D77" s="26" t="inlineStr">
        <is>
          <t>m³</t>
        </is>
      </c>
      <c r="E77" s="57">
        <f>'GROS_ŒUVRE'!$E$76*'PARAMÈTRES'!$C$129*'PARAMÈTRES'!$C$130</f>
        <v>0</v>
      </c>
      <c r="F77" s="50" t="n"/>
      <c r="G77" s="50" t="n"/>
      <c r="H77" s="50" t="n"/>
      <c r="I77" s="50" t="n"/>
      <c r="J77" s="62" t="inlineStr">
        <is>
          <t>ml × 0,15 × 0,20</t>
        </is>
      </c>
    </row>
    <row r="78">
      <c r="B78" s="59" t="inlineStr">
        <is>
          <t>Coffrage des chaînages</t>
        </is>
      </c>
      <c r="C78" s="50" t="n"/>
      <c r="D78" s="26" t="inlineStr">
        <is>
          <t>m²</t>
        </is>
      </c>
      <c r="E78" s="57">
        <f>'GROS_ŒUVRE'!$E$76*2*'PARAMÈTRES'!$C$130</f>
        <v>0</v>
      </c>
      <c r="F78" s="50" t="n"/>
      <c r="G78" s="50" t="n"/>
      <c r="H78" s="50" t="n"/>
      <c r="I78" s="50" t="n"/>
      <c r="J78" s="62" t="inlineStr">
        <is>
          <t>2 faces</t>
        </is>
      </c>
    </row>
    <row r="79">
      <c r="B79" s="59" t="inlineStr">
        <is>
          <t>Chaînages – aciers longitudinaux (4 HA10)</t>
        </is>
      </c>
      <c r="C79" s="60" t="str">
        <f>'PARAMÈTRES'!$C$131</f>
        <v>HA10</v>
      </c>
      <c r="D79" s="26" t="inlineStr">
        <is>
          <t>barres</t>
        </is>
      </c>
      <c r="E79" s="63">
        <f>'PARAMÈTRES'!$C$132</f>
        <v>4</v>
      </c>
      <c r="F79" s="57">
        <f>'GROS_ŒUVRE'!$E$76*(1+'PARAMÈTRES'!$C$153*IFERROR(_xlfn.XLOOKUP('PARAMÈTRES'!$C$131,'BASE_ACIERS'!$B$5:$B$20,'BASE_ACIERS'!$C$5:$C$20),IFERROR(INDEX('BASE_ACIERS'!$C$5:$C$20,MATCH('PARAMÈTRES'!$C$131,'BASE_ACIERS'!$B$5:$B$20,0)),0))/1000/'PARAMÈTRES'!$C$58)</f>
        <v>0</v>
      </c>
      <c r="G79" s="57">
        <f>'GROS_ŒUVRE'!$E$79*'GROS_ŒUVRE'!$F$79</f>
        <v>0</v>
      </c>
      <c r="H79" s="61">
        <f>IFERROR(_xlfn.XLOOKUP('PARAMÈTRES'!$C$131,'BASE_ACIERS'!$B$5:$B$20,'BASE_ACIERS'!$D$5:$D$20),IFERROR(INDEX('BASE_ACIERS'!$D$5:$D$20,MATCH('PARAMÈTRES'!$C$131,'BASE_ACIERS'!$B$5:$B$20,0)),0))</f>
        <v>0.617</v>
      </c>
      <c r="I79" s="57">
        <f>'GROS_ŒUVRE'!$G$79*'GROS_ŒUVRE'!$H$79</f>
        <v>0</v>
      </c>
      <c r="J79" s="62" t="inlineStr">
        <is>
          <t>4 barres × ml × (1 + 40 Ø / 12 m)</t>
        </is>
      </c>
    </row>
    <row r="80">
      <c r="B80" s="59" t="inlineStr">
        <is>
          <t>Chaînages – cadres HA6 e = 20 cm</t>
        </is>
      </c>
      <c r="C80" s="60" t="str">
        <f>'PARAMÈTRES'!$C$133</f>
        <v>HA6</v>
      </c>
      <c r="D80" s="26" t="inlineStr">
        <is>
          <t>barres</t>
        </is>
      </c>
      <c r="E80" s="63">
        <f>ROUNDDOWN('GROS_ŒUVRE'!$E$76/'PARAMÈTRES'!$C$134,0)+'GROS_ŒUVRE'!$E$17</f>
        <v>0</v>
      </c>
      <c r="F80" s="57">
        <f>2*('PARAMÈTRES'!$C$129+'PARAMÈTRES'!$C$130)-8*'PARAMÈTRES'!$C$108+2*'PARAMÈTRES'!$C$110</f>
        <v>0.5</v>
      </c>
      <c r="G80" s="57">
        <f>'GROS_ŒUVRE'!$E$80*'GROS_ŒUVRE'!$F$80</f>
        <v>0</v>
      </c>
      <c r="H80" s="61">
        <f>IFERROR(_xlfn.XLOOKUP('PARAMÈTRES'!$C$133,'BASE_ACIERS'!$B$5:$B$20,'BASE_ACIERS'!$D$5:$D$20),IFERROR(INDEX('BASE_ACIERS'!$D$5:$D$20,MATCH('PARAMÈTRES'!$C$133,'BASE_ACIERS'!$B$5:$B$20,0)),0))</f>
        <v>0.222</v>
      </c>
      <c r="I80" s="57">
        <f>'GROS_ŒUVRE'!$G$80*'GROS_ŒUVRE'!$H$80</f>
        <v>0</v>
      </c>
      <c r="J80" s="62" t="inlineStr">
        <is>
          <t>ml / 0,20 + 1 par chaînage</t>
        </is>
      </c>
    </row>
    <row r="81">
      <c r="B81" s="59" t="inlineStr">
        <is>
          <t>Poteaux raidisseurs 15 × 15 (3 par panneau)</t>
        </is>
      </c>
      <c r="C81" s="50" t="n"/>
      <c r="D81" s="26" t="inlineStr">
        <is>
          <t>u</t>
        </is>
      </c>
      <c r="E81" s="63">
        <f>'PARAMÈTRES'!$C$136*'GROS_ŒUVRE'!$E$18</f>
        <v>0</v>
      </c>
      <c r="F81" s="50" t="n"/>
      <c r="G81" s="50" t="n"/>
      <c r="H81" s="50" t="n"/>
      <c r="I81" s="50" t="n"/>
      <c r="J81" s="62" t="inlineStr">
        <is>
          <t>3 × nombre de travées sur le périmètre</t>
        </is>
      </c>
    </row>
    <row r="82">
      <c r="B82" s="59" t="inlineStr">
        <is>
          <t>Béton des raidisseurs</t>
        </is>
      </c>
      <c r="C82" s="50" t="n"/>
      <c r="D82" s="26" t="inlineStr">
        <is>
          <t>m³</t>
        </is>
      </c>
      <c r="E82" s="57">
        <f>'GROS_ŒUVRE'!$E$81*'PARAMÈTRES'!$C$135^2*'GROS_ŒUVRE'!$E$16</f>
        <v>0</v>
      </c>
      <c r="F82" s="50" t="n"/>
      <c r="G82" s="50" t="n"/>
      <c r="H82" s="50" t="n"/>
      <c r="I82" s="50" t="n"/>
      <c r="J82" s="62" t="inlineStr">
        <is>
          <t>n × 0,15² × hauteur du mur</t>
        </is>
      </c>
    </row>
    <row r="83">
      <c r="B83" s="59" t="inlineStr">
        <is>
          <t>Coffrage des raidisseurs</t>
        </is>
      </c>
      <c r="C83" s="50" t="n"/>
      <c r="D83" s="26" t="inlineStr">
        <is>
          <t>m²</t>
        </is>
      </c>
      <c r="E83" s="57">
        <f>'GROS_ŒUVRE'!$E$81*2*'PARAMÈTRES'!$C$135*'GROS_ŒUVRE'!$E$16</f>
        <v>0</v>
      </c>
      <c r="F83" s="50" t="n"/>
      <c r="G83" s="50" t="n"/>
      <c r="H83" s="50" t="n"/>
      <c r="I83" s="50" t="n"/>
      <c r="J83" s="62" t="inlineStr">
        <is>
          <t>2 faces coffrées</t>
        </is>
      </c>
    </row>
    <row r="84">
      <c r="B84" s="59" t="inlineStr">
        <is>
          <t>Raidisseurs – aciers (4 HA10)</t>
        </is>
      </c>
      <c r="C84" s="60" t="str">
        <f>'PARAMÈTRES'!$C$131</f>
        <v>HA10</v>
      </c>
      <c r="D84" s="26" t="inlineStr">
        <is>
          <t>barres</t>
        </is>
      </c>
      <c r="E84" s="63">
        <f>'GROS_ŒUVRE'!$E$81*'PARAMÈTRES'!$C$132</f>
        <v>0</v>
      </c>
      <c r="F84" s="57">
        <f>'GROS_ŒUVRE'!$E$16+2*'PARAMÈTRES'!$C$109</f>
        <v>0.3</v>
      </c>
      <c r="G84" s="57">
        <f>'GROS_ŒUVRE'!$E$84*'GROS_ŒUVRE'!$F$84</f>
        <v>0</v>
      </c>
      <c r="H84" s="61">
        <f>IFERROR(_xlfn.XLOOKUP('PARAMÈTRES'!$C$131,'BASE_ACIERS'!$B$5:$B$20,'BASE_ACIERS'!$D$5:$D$20),IFERROR(INDEX('BASE_ACIERS'!$D$5:$D$20,MATCH('PARAMÈTRES'!$C$131,'BASE_ACIERS'!$B$5:$B$20,0)),0))</f>
        <v>0.617</v>
      </c>
      <c r="I84" s="57">
        <f>'GROS_ŒUVRE'!$G$84*'GROS_ŒUVRE'!$H$84</f>
        <v>0</v>
      </c>
      <c r="J84" s="62" t="inlineStr">
        <is>
          <t>4 barres × (hauteur + 2 retours)</t>
        </is>
      </c>
    </row>
    <row r="85">
      <c r="B85" s="59" t="inlineStr">
        <is>
          <t>Raidisseurs – cadres HA6 e = 20 cm</t>
        </is>
      </c>
      <c r="C85" s="60" t="str">
        <f>'PARAMÈTRES'!$C$133</f>
        <v>HA6</v>
      </c>
      <c r="D85" s="26" t="inlineStr">
        <is>
          <t>barres</t>
        </is>
      </c>
      <c r="E85" s="63">
        <f>'GROS_ŒUVRE'!$E$81*(ROUNDDOWN('GROS_ŒUVRE'!$E$16/'PARAMÈTRES'!$C$134,0)+1)</f>
        <v>0</v>
      </c>
      <c r="F85" s="57">
        <f>4*'PARAMÈTRES'!$C$135-8*'PARAMÈTRES'!$C$108+2*'PARAMÈTRES'!$C$110</f>
        <v>0.4</v>
      </c>
      <c r="G85" s="57">
        <f>'GROS_ŒUVRE'!$E$85*'GROS_ŒUVRE'!$F$85</f>
        <v>0</v>
      </c>
      <c r="H85" s="61">
        <f>IFERROR(_xlfn.XLOOKUP('PARAMÈTRES'!$C$133,'BASE_ACIERS'!$B$5:$B$20,'BASE_ACIERS'!$D$5:$D$20),IFERROR(INDEX('BASE_ACIERS'!$D$5:$D$20,MATCH('PARAMÈTRES'!$C$133,'BASE_ACIERS'!$B$5:$B$20,0)),0))</f>
        <v>0.222</v>
      </c>
      <c r="I85" s="57">
        <f>'GROS_ŒUVRE'!$G$85*'GROS_ŒUVRE'!$H$85</f>
        <v>0</v>
      </c>
      <c r="J85" s="62" t="inlineStr">
        <is>
          <t>hauteur / 0,20 + 1 par raidisseur</t>
        </is>
      </c>
    </row>
    <row r="86">
      <c r="B86" s="59" t="inlineStr">
        <is>
          <t>Linteaux BA au-dessus des baies (appuis 20 cm)</t>
        </is>
      </c>
      <c r="C86" s="50" t="n"/>
      <c r="D86" s="26" t="inlineStr">
        <is>
          <t>ml</t>
        </is>
      </c>
      <c r="E86" s="57">
        <f>'PRÉDIMENSIONNEMENT'!$C$51*(IF('PARAMÈTRES'!$C$30&lt;'GROS_ŒUVRE'!$E$16,'PARAMÈTRES'!$C$28*('PARAMÈTRES'!$C$29+2*'PARAMÈTRES'!$C$137),0)+IF('PARAMÈTRES'!$C$34&lt;'GROS_ŒUVRE'!$E$16,'PARAMÈTRES'!$C$32*('PARAMÈTRES'!$C$33+2*'PARAMÈTRES'!$C$137),0))</f>
        <v>0</v>
      </c>
      <c r="F86" s="50" t="n"/>
      <c r="G86" s="50" t="n"/>
      <c r="H86" s="50" t="n"/>
      <c r="I86" s="50" t="n"/>
      <c r="J86" s="62" t="inlineStr">
        <is>
          <t>Baies dans la maçonnerie : largeur + 2 × 0,20 m</t>
        </is>
      </c>
    </row>
    <row r="87">
      <c r="B87" s="59" t="inlineStr">
        <is>
          <t>Béton des linteaux</t>
        </is>
      </c>
      <c r="C87" s="50" t="n"/>
      <c r="D87" s="26" t="inlineStr">
        <is>
          <t>m³</t>
        </is>
      </c>
      <c r="E87" s="57">
        <f>'GROS_ŒUVRE'!$E$86*'PARAMÈTRES'!$C$129*'PARAMÈTRES'!$C$130</f>
        <v>0</v>
      </c>
      <c r="F87" s="50" t="n"/>
      <c r="G87" s="50" t="n"/>
      <c r="H87" s="50" t="n"/>
      <c r="I87" s="50" t="n"/>
      <c r="J87" s="62" t="inlineStr">
        <is>
          <t>ml × 0,15 × 0,20</t>
        </is>
      </c>
    </row>
    <row r="88">
      <c r="B88" s="59" t="inlineStr">
        <is>
          <t>Coffrage des linteaux</t>
        </is>
      </c>
      <c r="C88" s="50" t="n"/>
      <c r="D88" s="26" t="inlineStr">
        <is>
          <t>m²</t>
        </is>
      </c>
      <c r="E88" s="57">
        <f>'GROS_ŒUVRE'!$E$86*(2*'PARAMÈTRES'!$C$130+'PARAMÈTRES'!$C$129)</f>
        <v>0</v>
      </c>
      <c r="F88" s="50" t="n"/>
      <c r="G88" s="50" t="n"/>
      <c r="H88" s="50" t="n"/>
      <c r="I88" s="50" t="n"/>
      <c r="J88" s="62" t="inlineStr">
        <is>
          <t>2 joues + fond</t>
        </is>
      </c>
    </row>
    <row r="89">
      <c r="B89" s="59" t="inlineStr">
        <is>
          <t>Linteaux – aciers (4 HA10)</t>
        </is>
      </c>
      <c r="C89" s="60" t="str">
        <f>'PARAMÈTRES'!$C$131</f>
        <v>HA10</v>
      </c>
      <c r="D89" s="26" t="inlineStr">
        <is>
          <t>barres</t>
        </is>
      </c>
      <c r="E89" s="63">
        <f>'PARAMÈTRES'!$C$132</f>
        <v>4</v>
      </c>
      <c r="F89" s="57">
        <f>'GROS_ŒUVRE'!$E$86</f>
        <v>0</v>
      </c>
      <c r="G89" s="57">
        <f>'GROS_ŒUVRE'!$E$89*'GROS_ŒUVRE'!$F$89</f>
        <v>0</v>
      </c>
      <c r="H89" s="61">
        <f>IFERROR(_xlfn.XLOOKUP('PARAMÈTRES'!$C$131,'BASE_ACIERS'!$B$5:$B$20,'BASE_ACIERS'!$D$5:$D$20),IFERROR(INDEX('BASE_ACIERS'!$D$5:$D$20,MATCH('PARAMÈTRES'!$C$131,'BASE_ACIERS'!$B$5:$B$20,0)),0))</f>
        <v>0.617</v>
      </c>
      <c r="I89" s="57">
        <f>'GROS_ŒUVRE'!$G$89*'GROS_ŒUVRE'!$H$89</f>
        <v>0</v>
      </c>
      <c r="J89" s="62" t="inlineStr">
        <is>
          <t>4 barres × ml</t>
        </is>
      </c>
    </row>
    <row r="90">
      <c r="B90" s="59" t="inlineStr">
        <is>
          <t>Linteaux – cadres HA6</t>
        </is>
      </c>
      <c r="C90" s="60" t="str">
        <f>'PARAMÈTRES'!$C$133</f>
        <v>HA6</v>
      </c>
      <c r="D90" s="26" t="inlineStr">
        <is>
          <t>barres</t>
        </is>
      </c>
      <c r="E90" s="63">
        <f>ROUNDDOWN('GROS_ŒUVRE'!$E$86/'PARAMÈTRES'!$C$134,0)</f>
        <v>0</v>
      </c>
      <c r="F90" s="57">
        <f>2*('PARAMÈTRES'!$C$129+'PARAMÈTRES'!$C$130)-8*'PARAMÈTRES'!$C$108+2*'PARAMÈTRES'!$C$110</f>
        <v>0.5</v>
      </c>
      <c r="G90" s="57">
        <f>'GROS_ŒUVRE'!$E$90*'GROS_ŒUVRE'!$F$90</f>
        <v>0</v>
      </c>
      <c r="H90" s="61">
        <f>IFERROR(_xlfn.XLOOKUP('PARAMÈTRES'!$C$133,'BASE_ACIERS'!$B$5:$B$20,'BASE_ACIERS'!$D$5:$D$20),IFERROR(INDEX('BASE_ACIERS'!$D$5:$D$20,MATCH('PARAMÈTRES'!$C$133,'BASE_ACIERS'!$B$5:$B$20,0)),0))</f>
        <v>0.222</v>
      </c>
      <c r="I90" s="57">
        <f>'GROS_ŒUVRE'!$G$90*'GROS_ŒUVRE'!$H$90</f>
        <v>0</v>
      </c>
      <c r="J90" s="62" t="inlineStr">
        <is>
          <t>ml / 0,20</t>
        </is>
      </c>
    </row>
    <row r="91">
      <c r="B91" s="59" t="inlineStr">
        <is>
          <t>Enduit 2 faces (option)</t>
        </is>
      </c>
      <c r="C91" s="50" t="n"/>
      <c r="D91" s="26" t="inlineStr">
        <is>
          <t>m²</t>
        </is>
      </c>
      <c r="E91" s="57">
        <f>IF('PARAMÈTRES'!$C$138="Oui",2*'GROS_ŒUVRE'!$E$73,0)</f>
        <v>0</v>
      </c>
      <c r="F91" s="50" t="n"/>
      <c r="G91" s="50" t="n"/>
      <c r="H91" s="50" t="n"/>
      <c r="I91" s="50" t="n"/>
      <c r="J91" s="62" t="inlineStr">
        <is>
          <t>2 × surface des murs</t>
        </is>
      </c>
    </row>
    <row r="92">
      <c r="B92" s="59" t="inlineStr">
        <is>
          <t>Mortier d'enduit</t>
        </is>
      </c>
      <c r="C92" s="50" t="n"/>
      <c r="D92" s="26" t="inlineStr">
        <is>
          <t>m³</t>
        </is>
      </c>
      <c r="E92" s="57">
        <f>'GROS_ŒUVRE'!$E$91*'PARAMÈTRES'!$C$139</f>
        <v>0</v>
      </c>
      <c r="F92" s="50" t="n"/>
      <c r="G92" s="50" t="n"/>
      <c r="H92" s="50" t="n"/>
      <c r="I92" s="50" t="n"/>
      <c r="J92" s="62" t="inlineStr">
        <is>
          <t>m² × épaisseur</t>
        </is>
      </c>
    </row>
    <row r="94">
      <c r="B94" s="21" t="inlineStr">
        <is>
          <t>B8. RÉCAPITULATIF DES MATÉRIAUX DE GROS ŒUVRE</t>
        </is>
      </c>
      <c r="C94" s="22" t="n"/>
      <c r="D94" s="22" t="n"/>
      <c r="E94" s="22" t="n"/>
      <c r="F94" s="22" t="n"/>
      <c r="G94" s="22" t="n"/>
      <c r="H94" s="22" t="n"/>
      <c r="I94" s="22" t="n"/>
      <c r="J94" s="22" t="n"/>
    </row>
    <row r="95">
      <c r="B95" s="5" t="inlineStr">
        <is>
          <t>Béton de propreté (150 kg/m³)</t>
        </is>
      </c>
      <c r="C95" s="64" t="n"/>
      <c r="D95" s="65" t="inlineStr">
        <is>
          <t>m³</t>
        </is>
      </c>
      <c r="E95" s="66">
        <f>'GROS_ŒUVRE'!$E$32+'GROS_ŒUVRE'!$E$41+'GROS_ŒUVRE'!$E$50</f>
        <v>4.224</v>
      </c>
      <c r="F95" s="64" t="n"/>
      <c r="G95" s="64" t="n"/>
      <c r="H95" s="64" t="n"/>
      <c r="I95" s="64" t="n"/>
      <c r="J95" s="67" t="inlineStr"/>
    </row>
    <row r="96">
      <c r="B96" s="5" t="inlineStr">
        <is>
          <t>Béton armé (350 kg/m³)</t>
        </is>
      </c>
      <c r="C96" s="64" t="n"/>
      <c r="D96" s="65" t="inlineStr">
        <is>
          <t>m³</t>
        </is>
      </c>
      <c r="E96" s="66">
        <f>'GROS_ŒUVRE'!$E$33+'GROS_ŒUVRE'!$E$34+'GROS_ŒUVRE'!$E$42+'GROS_ŒUVRE'!$E$43+'GROS_ŒUVRE'!$E$51+'GROS_ŒUVRE'!$E$63+'GROS_ŒUVRE'!$E$77+'GROS_ŒUVRE'!$E$82+'GROS_ŒUVRE'!$E$87</f>
        <v>183.8125</v>
      </c>
      <c r="F96" s="64" t="n"/>
      <c r="G96" s="64" t="n"/>
      <c r="H96" s="64" t="n"/>
      <c r="I96" s="64" t="n"/>
      <c r="J96" s="67" t="inlineStr"/>
    </row>
    <row r="97">
      <c r="B97" s="5" t="inlineStr">
        <is>
          <t>Mortier (300 kg/m³)</t>
        </is>
      </c>
      <c r="C97" s="64" t="n"/>
      <c r="D97" s="65" t="inlineStr">
        <is>
          <t>m³</t>
        </is>
      </c>
      <c r="E97" s="66">
        <f>'GROS_ŒUVRE'!$E$59+'GROS_ŒUVRE'!$E$75+'GROS_ŒUVRE'!$E$92</f>
        <v>1.8</v>
      </c>
      <c r="F97" s="64" t="n"/>
      <c r="G97" s="64" t="n"/>
      <c r="H97" s="64" t="n"/>
      <c r="I97" s="64" t="n"/>
      <c r="J97" s="67" t="inlineStr"/>
    </row>
    <row r="98">
      <c r="B98" s="5" t="inlineStr">
        <is>
          <t>Béton total</t>
        </is>
      </c>
      <c r="C98" s="64" t="n"/>
      <c r="D98" s="65" t="inlineStr">
        <is>
          <t>m³</t>
        </is>
      </c>
      <c r="E98" s="66">
        <f>'GROS_ŒUVRE'!$E$95+'GROS_ŒUVRE'!$E$96</f>
        <v>188.0365</v>
      </c>
      <c r="F98" s="64" t="n"/>
      <c r="G98" s="64" t="n"/>
      <c r="H98" s="64" t="n"/>
      <c r="I98" s="64" t="n"/>
      <c r="J98" s="67" t="inlineStr"/>
    </row>
    <row r="99">
      <c r="B99" s="5" t="inlineStr">
        <is>
          <t>Ciment CPJ 42.5</t>
        </is>
      </c>
      <c r="C99" s="64" t="n"/>
      <c r="D99" s="65" t="inlineStr">
        <is>
          <t>sacs</t>
        </is>
      </c>
      <c r="E99" s="68">
        <f>ROUNDUP(('GROS_ŒUVRE'!$E$95*'PARAMÈTRES'!$C$142+'GROS_ŒUVRE'!$E$96*'PARAMÈTRES'!$C$143+'GROS_ŒUVRE'!$E$97*'PARAMÈTRES'!$C$144)/'PARAMÈTRES'!$C$145,0)</f>
        <v>1311</v>
      </c>
      <c r="F99" s="64" t="n"/>
      <c r="G99" s="64" t="n"/>
      <c r="H99" s="64" t="n"/>
      <c r="I99" s="64" t="n"/>
      <c r="J99" s="67" t="inlineStr">
        <is>
          <t>Σ volumes × dosages / 50 kg</t>
        </is>
      </c>
    </row>
    <row r="100">
      <c r="B100" s="5" t="inlineStr">
        <is>
          <t>Sable</t>
        </is>
      </c>
      <c r="C100" s="64" t="n"/>
      <c r="D100" s="65" t="inlineStr">
        <is>
          <t>m³</t>
        </is>
      </c>
      <c r="E100" s="66">
        <f>'GROS_ŒUVRE'!$E$98*'PARAMÈTRES'!$C$146+'GROS_ŒUVRE'!$E$97*'PARAMÈTRES'!$C$149+'GROS_ŒUVRE'!$E$28</f>
        <v>116.745725</v>
      </c>
      <c r="F100" s="64" t="n"/>
      <c r="G100" s="64" t="n"/>
      <c r="H100" s="64" t="n"/>
      <c r="I100" s="64" t="n"/>
      <c r="J100" s="67" t="inlineStr">
        <is>
          <t>béton × 0,40 + mortier × 1,10 + lit de sable</t>
        </is>
      </c>
    </row>
    <row r="101">
      <c r="B101" s="5" t="inlineStr">
        <is>
          <t>Gravier 5/15</t>
        </is>
      </c>
      <c r="C101" s="64" t="n"/>
      <c r="D101" s="65" t="inlineStr">
        <is>
          <t>m³</t>
        </is>
      </c>
      <c r="E101" s="66">
        <f>'GROS_ŒUVRE'!$E$98*'PARAMÈTRES'!$C$147</f>
        <v>56.41095</v>
      </c>
      <c r="F101" s="64" t="n"/>
      <c r="G101" s="64" t="n"/>
      <c r="H101" s="64" t="n"/>
      <c r="I101" s="64" t="n"/>
      <c r="J101" s="67" t="inlineStr"/>
    </row>
    <row r="102">
      <c r="B102" s="5" t="inlineStr">
        <is>
          <t>Gravier 15/25</t>
        </is>
      </c>
      <c r="C102" s="64" t="n"/>
      <c r="D102" s="65" t="inlineStr">
        <is>
          <t>m³</t>
        </is>
      </c>
      <c r="E102" s="66">
        <f>'GROS_ŒUVRE'!$E$98*'PARAMÈTRES'!$C$148</f>
        <v>94.01825</v>
      </c>
      <c r="F102" s="64" t="n"/>
      <c r="G102" s="64" t="n"/>
      <c r="H102" s="64" t="n"/>
      <c r="I102" s="64" t="n"/>
      <c r="J102" s="67" t="inlineStr"/>
    </row>
    <row r="103">
      <c r="B103" s="5" t="inlineStr">
        <is>
          <t>Aciers HA6 (chutes comprises)</t>
        </is>
      </c>
      <c r="C103" s="64" t="n"/>
      <c r="D103" s="65" t="inlineStr">
        <is>
          <t>kg</t>
        </is>
      </c>
      <c r="E103" s="69">
        <f>ROUNDUP('GROS_ŒUVRE'!$I$103/(IFERROR(_xlfn.XLOOKUP("HA6",'BASE_ACIERS'!$B$5:$B$20,'BASE_ACIERS'!$D$5:$D$20),IFERROR(INDEX('BASE_ACIERS'!$D$5:$D$20,MATCH("HA6",'BASE_ACIERS'!$B$5:$B$20,0)),0))*'PARAMÈTRES'!$C$58),0)</f>
        <v>23</v>
      </c>
      <c r="F103" s="70" t="inlineStr">
        <is>
          <t>← barres de 12 m</t>
        </is>
      </c>
      <c r="G103" s="64" t="n"/>
      <c r="H103" s="64" t="n"/>
      <c r="I103" s="66">
        <f>(IF('GROS_ŒUVRE'!$C$36="HA6",'GROS_ŒUVRE'!$I$36,0)+IF('GROS_ŒUVRE'!$C$37="HA6",'GROS_ŒUVRE'!$I$37,0)+IF('GROS_ŒUVRE'!$C$38="HA6",'GROS_ŒUVRE'!$I$38,0)+IF('GROS_ŒUVRE'!$C$45="HA6",'GROS_ŒUVRE'!$I$45,0)+IF('GROS_ŒUVRE'!$C$46="HA6",'GROS_ŒUVRE'!$I$46,0)+IF('GROS_ŒUVRE'!$C$47="HA6",'GROS_ŒUVRE'!$I$47,0)+IF('GROS_ŒUVRE'!$C$53="HA6",'GROS_ŒUVRE'!$I$53,0)+IF('GROS_ŒUVRE'!$C$54="HA6",'GROS_ŒUVRE'!$I$54,0)+IF('GROS_ŒUVRE'!$C$64="HA6",'GROS_ŒUVRE'!$I$64,0)+IF('GROS_ŒUVRE'!$C$65="HA6",'GROS_ŒUVRE'!$I$65,0)+IF('GROS_ŒUVRE'!$C$66="HA6",'GROS_ŒUVRE'!$I$66,0)+IF('GROS_ŒUVRE'!$C$67="HA6",'GROS_ŒUVRE'!$I$67,0)+IF('GROS_ŒUVRE'!$C$68="HA6",'GROS_ŒUVRE'!$I$68,0)+IF('GROS_ŒUVRE'!$C$79="HA6",'GROS_ŒUVRE'!$I$79,0)+IF('GROS_ŒUVRE'!$C$80="HA6",'GROS_ŒUVRE'!$I$80,0)+IF('GROS_ŒUVRE'!$C$84="HA6",'GROS_ŒUVRE'!$I$84,0)+IF('GROS_ŒUVRE'!$C$85="HA6",'GROS_ŒUVRE'!$I$85,0)+IF('GROS_ŒUVRE'!$C$89="HA6",'GROS_ŒUVRE'!$I$89,0)+IF('GROS_ŒUVRE'!$C$90="HA6",'GROS_ŒUVRE'!$I$90,0))*(1+'PARAMÈTRES'!$C$154)</f>
        <v>59.58036</v>
      </c>
      <c r="J103" s="67" t="inlineStr">
        <is>
          <t>Somme des lignes de ce diamètre × (1 + chutes)</t>
        </is>
      </c>
    </row>
    <row r="104">
      <c r="B104" s="5" t="inlineStr">
        <is>
          <t>Aciers HA8 (chutes comprises)</t>
        </is>
      </c>
      <c r="C104" s="64" t="n"/>
      <c r="D104" s="65" t="inlineStr">
        <is>
          <t>kg</t>
        </is>
      </c>
      <c r="E104" s="69">
        <f>ROUNDUP('GROS_ŒUVRE'!$I$104/(IFERROR(_xlfn.XLOOKUP("HA8",'BASE_ACIERS'!$B$5:$B$20,'BASE_ACIERS'!$D$5:$D$20),IFERROR(INDEX('BASE_ACIERS'!$D$5:$D$20,MATCH("HA8",'BASE_ACIERS'!$B$5:$B$20,0)),0))*'PARAMÈTRES'!$C$58),0)</f>
        <v>22</v>
      </c>
      <c r="F104" s="70" t="inlineStr">
        <is>
          <t>← barres de 12 m</t>
        </is>
      </c>
      <c r="G104" s="64" t="n"/>
      <c r="H104" s="64" t="n"/>
      <c r="I104" s="66">
        <f>(IF('GROS_ŒUVRE'!$C$36="HA8",'GROS_ŒUVRE'!$I$36,0)+IF('GROS_ŒUVRE'!$C$37="HA8",'GROS_ŒUVRE'!$I$37,0)+IF('GROS_ŒUVRE'!$C$38="HA8",'GROS_ŒUVRE'!$I$38,0)+IF('GROS_ŒUVRE'!$C$45="HA8",'GROS_ŒUVRE'!$I$45,0)+IF('GROS_ŒUVRE'!$C$46="HA8",'GROS_ŒUVRE'!$I$46,0)+IF('GROS_ŒUVRE'!$C$47="HA8",'GROS_ŒUVRE'!$I$47,0)+IF('GROS_ŒUVRE'!$C$53="HA8",'GROS_ŒUVRE'!$I$53,0)+IF('GROS_ŒUVRE'!$C$54="HA8",'GROS_ŒUVRE'!$I$54,0)+IF('GROS_ŒUVRE'!$C$64="HA8",'GROS_ŒUVRE'!$I$64,0)+IF('GROS_ŒUVRE'!$C$65="HA8",'GROS_ŒUVRE'!$I$65,0)+IF('GROS_ŒUVRE'!$C$66="HA8",'GROS_ŒUVRE'!$I$66,0)+IF('GROS_ŒUVRE'!$C$67="HA8",'GROS_ŒUVRE'!$I$67,0)+IF('GROS_ŒUVRE'!$C$68="HA8",'GROS_ŒUVRE'!$I$68,0)+IF('GROS_ŒUVRE'!$C$79="HA8",'GROS_ŒUVRE'!$I$79,0)+IF('GROS_ŒUVRE'!$C$80="HA8",'GROS_ŒUVRE'!$I$80,0)+IF('GROS_ŒUVRE'!$C$84="HA8",'GROS_ŒUVRE'!$I$84,0)+IF('GROS_ŒUVRE'!$C$85="HA8",'GROS_ŒUVRE'!$I$85,0)+IF('GROS_ŒUVRE'!$C$89="HA8",'GROS_ŒUVRE'!$I$89,0)+IF('GROS_ŒUVRE'!$C$90="HA8",'GROS_ŒUVRE'!$I$90,0))*(1+'PARAMÈTRES'!$C$154)</f>
        <v>99.747375</v>
      </c>
      <c r="J104" s="67" t="inlineStr">
        <is>
          <t>Somme des lignes de ce diamètre × (1 + chutes)</t>
        </is>
      </c>
    </row>
    <row r="105">
      <c r="B105" s="5" t="inlineStr">
        <is>
          <t>Aciers HA10 (chutes comprises)</t>
        </is>
      </c>
      <c r="C105" s="64" t="n"/>
      <c r="D105" s="65" t="inlineStr">
        <is>
          <t>kg</t>
        </is>
      </c>
      <c r="E105" s="69">
        <f>ROUNDUP('GROS_ŒUVRE'!$I$105/(IFERROR(_xlfn.XLOOKUP("HA10",'BASE_ACIERS'!$B$5:$B$20,'BASE_ACIERS'!$D$5:$D$20),IFERROR(INDEX('BASE_ACIERS'!$D$5:$D$20,MATCH("HA10",'BASE_ACIERS'!$B$5:$B$20,0)),0))*'PARAMÈTRES'!$C$58),0)</f>
        <v>747</v>
      </c>
      <c r="F105" s="70" t="inlineStr">
        <is>
          <t>← barres de 12 m</t>
        </is>
      </c>
      <c r="G105" s="64" t="n"/>
      <c r="H105" s="64" t="n"/>
      <c r="I105" s="66">
        <f>(IF('GROS_ŒUVRE'!$C$36="HA10",'GROS_ŒUVRE'!$I$36,0)+IF('GROS_ŒUVRE'!$C$37="HA10",'GROS_ŒUVRE'!$I$37,0)+IF('GROS_ŒUVRE'!$C$38="HA10",'GROS_ŒUVRE'!$I$38,0)+IF('GROS_ŒUVRE'!$C$45="HA10",'GROS_ŒUVRE'!$I$45,0)+IF('GROS_ŒUVRE'!$C$46="HA10",'GROS_ŒUVRE'!$I$46,0)+IF('GROS_ŒUVRE'!$C$47="HA10",'GROS_ŒUVRE'!$I$47,0)+IF('GROS_ŒUVRE'!$C$53="HA10",'GROS_ŒUVRE'!$I$53,0)+IF('GROS_ŒUVRE'!$C$54="HA10",'GROS_ŒUVRE'!$I$54,0)+IF('GROS_ŒUVRE'!$C$64="HA10",'GROS_ŒUVRE'!$I$64,0)+IF('GROS_ŒUVRE'!$C$65="HA10",'GROS_ŒUVRE'!$I$65,0)+IF('GROS_ŒUVRE'!$C$66="HA10",'GROS_ŒUVRE'!$I$66,0)+IF('GROS_ŒUVRE'!$C$67="HA10",'GROS_ŒUVRE'!$I$67,0)+IF('GROS_ŒUVRE'!$C$68="HA10",'GROS_ŒUVRE'!$I$68,0)+IF('GROS_ŒUVRE'!$C$79="HA10",'GROS_ŒUVRE'!$I$79,0)+IF('GROS_ŒUVRE'!$C$80="HA10",'GROS_ŒUVRE'!$I$80,0)+IF('GROS_ŒUVRE'!$C$84="HA10",'GROS_ŒUVRE'!$I$84,0)+IF('GROS_ŒUVRE'!$C$85="HA10",'GROS_ŒUVRE'!$I$85,0)+IF('GROS_ŒUVRE'!$C$89="HA10",'GROS_ŒUVRE'!$I$89,0)+IF('GROS_ŒUVRE'!$C$90="HA10",'GROS_ŒUVRE'!$I$90,0))*(1+'PARAMÈTRES'!$C$154)</f>
        <v>5527.58577</v>
      </c>
      <c r="J105" s="67" t="inlineStr">
        <is>
          <t>Somme des lignes de ce diamètre × (1 + chutes)</t>
        </is>
      </c>
    </row>
    <row r="106">
      <c r="B106" s="5" t="inlineStr">
        <is>
          <t>Aciers HA12 (chutes comprises)</t>
        </is>
      </c>
      <c r="C106" s="64" t="n"/>
      <c r="D106" s="65" t="inlineStr">
        <is>
          <t>kg</t>
        </is>
      </c>
      <c r="E106" s="69">
        <f>ROUNDUP('GROS_ŒUVRE'!$I$106/(IFERROR(_xlfn.XLOOKUP("HA12",'BASE_ACIERS'!$B$5:$B$20,'BASE_ACIERS'!$D$5:$D$20),IFERROR(INDEX('BASE_ACIERS'!$D$5:$D$20,MATCH("HA12",'BASE_ACIERS'!$B$5:$B$20,0)),0))*'PARAMÈTRES'!$C$58),0)</f>
        <v>50</v>
      </c>
      <c r="F106" s="70" t="inlineStr">
        <is>
          <t>← barres de 12 m</t>
        </is>
      </c>
      <c r="G106" s="64" t="n"/>
      <c r="H106" s="64" t="n"/>
      <c r="I106" s="66">
        <f>(IF('GROS_ŒUVRE'!$C$36="HA12",'GROS_ŒUVRE'!$I$36,0)+IF('GROS_ŒUVRE'!$C$37="HA12",'GROS_ŒUVRE'!$I$37,0)+IF('GROS_ŒUVRE'!$C$38="HA12",'GROS_ŒUVRE'!$I$38,0)+IF('GROS_ŒUVRE'!$C$45="HA12",'GROS_ŒUVRE'!$I$45,0)+IF('GROS_ŒUVRE'!$C$46="HA12",'GROS_ŒUVRE'!$I$46,0)+IF('GROS_ŒUVRE'!$C$47="HA12",'GROS_ŒUVRE'!$I$47,0)+IF('GROS_ŒUVRE'!$C$53="HA12",'GROS_ŒUVRE'!$I$53,0)+IF('GROS_ŒUVRE'!$C$54="HA12",'GROS_ŒUVRE'!$I$54,0)+IF('GROS_ŒUVRE'!$C$64="HA12",'GROS_ŒUVRE'!$I$64,0)+IF('GROS_ŒUVRE'!$C$65="HA12",'GROS_ŒUVRE'!$I$65,0)+IF('GROS_ŒUVRE'!$C$66="HA12",'GROS_ŒUVRE'!$I$66,0)+IF('GROS_ŒUVRE'!$C$67="HA12",'GROS_ŒUVRE'!$I$67,0)+IF('GROS_ŒUVRE'!$C$68="HA12",'GROS_ŒUVRE'!$I$68,0)+IF('GROS_ŒUVRE'!$C$79="HA12",'GROS_ŒUVRE'!$I$79,0)+IF('GROS_ŒUVRE'!$C$80="HA12",'GROS_ŒUVRE'!$I$80,0)+IF('GROS_ŒUVRE'!$C$84="HA12",'GROS_ŒUVRE'!$I$84,0)+IF('GROS_ŒUVRE'!$C$85="HA12",'GROS_ŒUVRE'!$I$85,0)+IF('GROS_ŒUVRE'!$C$89="HA12",'GROS_ŒUVRE'!$I$89,0)+IF('GROS_ŒUVRE'!$C$90="HA12",'GROS_ŒUVRE'!$I$90,0))*(1+'PARAMÈTRES'!$C$154)</f>
        <v>527.36544</v>
      </c>
      <c r="J106" s="67" t="inlineStr">
        <is>
          <t>Somme des lignes de ce diamètre × (1 + chutes)</t>
        </is>
      </c>
    </row>
    <row r="107">
      <c r="B107" s="5" t="inlineStr">
        <is>
          <t>Aciers HA14 (chutes comprises)</t>
        </is>
      </c>
      <c r="C107" s="64" t="n"/>
      <c r="D107" s="65" t="inlineStr">
        <is>
          <t>kg</t>
        </is>
      </c>
      <c r="E107" s="69">
        <f>ROUNDUP('GROS_ŒUVRE'!$I$107/(IFERROR(_xlfn.XLOOKUP("HA14",'BASE_ACIERS'!$B$5:$B$20,'BASE_ACIERS'!$D$5:$D$20),IFERROR(INDEX('BASE_ACIERS'!$D$5:$D$20,MATCH("HA14",'BASE_ACIERS'!$B$5:$B$20,0)),0))*'PARAMÈTRES'!$C$58),0)</f>
        <v>0</v>
      </c>
      <c r="F107" s="70" t="inlineStr">
        <is>
          <t>← barres de 12 m</t>
        </is>
      </c>
      <c r="G107" s="64" t="n"/>
      <c r="H107" s="64" t="n"/>
      <c r="I107" s="66">
        <f>(IF('GROS_ŒUVRE'!$C$36="HA14",'GROS_ŒUVRE'!$I$36,0)+IF('GROS_ŒUVRE'!$C$37="HA14",'GROS_ŒUVRE'!$I$37,0)+IF('GROS_ŒUVRE'!$C$38="HA14",'GROS_ŒUVRE'!$I$38,0)+IF('GROS_ŒUVRE'!$C$45="HA14",'GROS_ŒUVRE'!$I$45,0)+IF('GROS_ŒUVRE'!$C$46="HA14",'GROS_ŒUVRE'!$I$46,0)+IF('GROS_ŒUVRE'!$C$47="HA14",'GROS_ŒUVRE'!$I$47,0)+IF('GROS_ŒUVRE'!$C$53="HA14",'GROS_ŒUVRE'!$I$53,0)+IF('GROS_ŒUVRE'!$C$54="HA14",'GROS_ŒUVRE'!$I$54,0)+IF('GROS_ŒUVRE'!$C$64="HA14",'GROS_ŒUVRE'!$I$64,0)+IF('GROS_ŒUVRE'!$C$65="HA14",'GROS_ŒUVRE'!$I$65,0)+IF('GROS_ŒUVRE'!$C$66="HA14",'GROS_ŒUVRE'!$I$66,0)+IF('GROS_ŒUVRE'!$C$67="HA14",'GROS_ŒUVRE'!$I$67,0)+IF('GROS_ŒUVRE'!$C$68="HA14",'GROS_ŒUVRE'!$I$68,0)+IF('GROS_ŒUVRE'!$C$79="HA14",'GROS_ŒUVRE'!$I$79,0)+IF('GROS_ŒUVRE'!$C$80="HA14",'GROS_ŒUVRE'!$I$80,0)+IF('GROS_ŒUVRE'!$C$84="HA14",'GROS_ŒUVRE'!$I$84,0)+IF('GROS_ŒUVRE'!$C$85="HA14",'GROS_ŒUVRE'!$I$85,0)+IF('GROS_ŒUVRE'!$C$89="HA14",'GROS_ŒUVRE'!$I$89,0)+IF('GROS_ŒUVRE'!$C$90="HA14",'GROS_ŒUVRE'!$I$90,0))*(1+'PARAMÈTRES'!$C$154)</f>
        <v>0</v>
      </c>
      <c r="J107" s="67" t="inlineStr">
        <is>
          <t>Somme des lignes de ce diamètre × (1 + chutes)</t>
        </is>
      </c>
    </row>
    <row r="108">
      <c r="B108" s="5" t="inlineStr">
        <is>
          <t>Aciers HA16 (chutes comprises)</t>
        </is>
      </c>
      <c r="C108" s="64" t="n"/>
      <c r="D108" s="65" t="inlineStr">
        <is>
          <t>kg</t>
        </is>
      </c>
      <c r="E108" s="69">
        <f>ROUNDUP('GROS_ŒUVRE'!$I$108/(IFERROR(_xlfn.XLOOKUP("HA16",'BASE_ACIERS'!$B$5:$B$20,'BASE_ACIERS'!$D$5:$D$20),IFERROR(INDEX('BASE_ACIERS'!$D$5:$D$20,MATCH("HA16",'BASE_ACIERS'!$B$5:$B$20,0)),0))*'PARAMÈTRES'!$C$58),0)</f>
        <v>0</v>
      </c>
      <c r="F108" s="70" t="inlineStr">
        <is>
          <t>← barres de 12 m</t>
        </is>
      </c>
      <c r="G108" s="64" t="n"/>
      <c r="H108" s="64" t="n"/>
      <c r="I108" s="66">
        <f>(IF('GROS_ŒUVRE'!$C$36="HA16",'GROS_ŒUVRE'!$I$36,0)+IF('GROS_ŒUVRE'!$C$37="HA16",'GROS_ŒUVRE'!$I$37,0)+IF('GROS_ŒUVRE'!$C$38="HA16",'GROS_ŒUVRE'!$I$38,0)+IF('GROS_ŒUVRE'!$C$45="HA16",'GROS_ŒUVRE'!$I$45,0)+IF('GROS_ŒUVRE'!$C$46="HA16",'GROS_ŒUVRE'!$I$46,0)+IF('GROS_ŒUVRE'!$C$47="HA16",'GROS_ŒUVRE'!$I$47,0)+IF('GROS_ŒUVRE'!$C$53="HA16",'GROS_ŒUVRE'!$I$53,0)+IF('GROS_ŒUVRE'!$C$54="HA16",'GROS_ŒUVRE'!$I$54,0)+IF('GROS_ŒUVRE'!$C$64="HA16",'GROS_ŒUVRE'!$I$64,0)+IF('GROS_ŒUVRE'!$C$65="HA16",'GROS_ŒUVRE'!$I$65,0)+IF('GROS_ŒUVRE'!$C$66="HA16",'GROS_ŒUVRE'!$I$66,0)+IF('GROS_ŒUVRE'!$C$67="HA16",'GROS_ŒUVRE'!$I$67,0)+IF('GROS_ŒUVRE'!$C$68="HA16",'GROS_ŒUVRE'!$I$68,0)+IF('GROS_ŒUVRE'!$C$79="HA16",'GROS_ŒUVRE'!$I$79,0)+IF('GROS_ŒUVRE'!$C$80="HA16",'GROS_ŒUVRE'!$I$80,0)+IF('GROS_ŒUVRE'!$C$84="HA16",'GROS_ŒUVRE'!$I$84,0)+IF('GROS_ŒUVRE'!$C$85="HA16",'GROS_ŒUVRE'!$I$85,0)+IF('GROS_ŒUVRE'!$C$89="HA16",'GROS_ŒUVRE'!$I$89,0)+IF('GROS_ŒUVRE'!$C$90="HA16",'GROS_ŒUVRE'!$I$90,0))*(1+'PARAMÈTRES'!$C$154)</f>
        <v>0</v>
      </c>
      <c r="J108" s="67" t="inlineStr">
        <is>
          <t>Somme des lignes de ce diamètre × (1 + chutes)</t>
        </is>
      </c>
    </row>
    <row r="109">
      <c r="B109" s="5" t="inlineStr">
        <is>
          <t>Aciers HA – total</t>
        </is>
      </c>
      <c r="C109" s="64" t="n"/>
      <c r="D109" s="65" t="inlineStr">
        <is>
          <t>kg</t>
        </is>
      </c>
      <c r="E109" s="64" t="n"/>
      <c r="F109" s="64" t="n"/>
      <c r="G109" s="64" t="n"/>
      <c r="H109" s="64" t="n"/>
      <c r="I109" s="66">
        <f>'GROS_ŒUVRE'!$I$103+'GROS_ŒUVRE'!$I$104+'GROS_ŒUVRE'!$I$105+'GROS_ŒUVRE'!$I$106+'GROS_ŒUVRE'!$I$107+'GROS_ŒUVRE'!$I$108</f>
        <v>6214.278945</v>
      </c>
      <c r="J109" s="67" t="inlineStr"/>
    </row>
    <row r="110">
      <c r="B110" s="5" t="inlineStr">
        <is>
          <t>Agglos 15 pleins</t>
        </is>
      </c>
      <c r="C110" s="64" t="n"/>
      <c r="D110" s="65" t="inlineStr">
        <is>
          <t>u</t>
        </is>
      </c>
      <c r="E110" s="68">
        <f>'GROS_ŒUVRE'!$E$58</f>
        <v>1575</v>
      </c>
      <c r="F110" s="64" t="n"/>
      <c r="G110" s="64" t="n"/>
      <c r="H110" s="64" t="n"/>
      <c r="I110" s="64" t="n"/>
      <c r="J110" s="67" t="inlineStr"/>
    </row>
    <row r="111">
      <c r="B111" s="5" t="inlineStr">
        <is>
          <t>Agglos 15 creux</t>
        </is>
      </c>
      <c r="C111" s="64" t="n"/>
      <c r="D111" s="65" t="inlineStr">
        <is>
          <t>u</t>
        </is>
      </c>
      <c r="E111" s="68">
        <f>'GROS_ŒUVRE'!$E$74</f>
        <v>0</v>
      </c>
      <c r="F111" s="64" t="n"/>
      <c r="G111" s="64" t="n"/>
      <c r="H111" s="64" t="n"/>
      <c r="I111" s="64" t="n"/>
      <c r="J111" s="67" t="inlineStr"/>
    </row>
    <row r="112">
      <c r="B112" s="5" t="inlineStr">
        <is>
          <t>Polyane</t>
        </is>
      </c>
      <c r="C112" s="64" t="n"/>
      <c r="D112" s="65" t="inlineStr">
        <is>
          <t>m²</t>
        </is>
      </c>
      <c r="E112" s="66">
        <f>'GROS_ŒUVRE'!$E$62</f>
        <v>870.12475</v>
      </c>
      <c r="F112" s="64" t="n"/>
      <c r="G112" s="64" t="n"/>
      <c r="H112" s="64" t="n"/>
      <c r="I112" s="64" t="n"/>
      <c r="J112" s="67" t="inlineStr"/>
    </row>
    <row r="113">
      <c r="B113" s="5" t="inlineStr">
        <is>
          <t>Bois de coffrage</t>
        </is>
      </c>
      <c r="C113" s="64" t="n"/>
      <c r="D113" s="65" t="inlineStr">
        <is>
          <t>m²</t>
        </is>
      </c>
      <c r="E113" s="66">
        <f>'GROS_ŒUVRE'!$E$35+'GROS_ŒUVRE'!$E$44+'GROS_ŒUVRE'!$E$52+'GROS_ŒUVRE'!$E$78+'GROS_ŒUVRE'!$E$83+'GROS_ŒUVRE'!$E$88</f>
        <v>114.24</v>
      </c>
      <c r="F113" s="64" t="n"/>
      <c r="G113" s="64" t="n"/>
      <c r="H113" s="64" t="n"/>
      <c r="I113" s="64" t="n"/>
      <c r="J113" s="67" t="inlineStr"/>
    </row>
    <row r="114">
      <c r="B114" s="5" t="inlineStr">
        <is>
          <t>Coût matériaux + main d'œuvre de la façade maçonnée</t>
        </is>
      </c>
      <c r="C114" s="64" t="n"/>
      <c r="D114" s="65" t="inlineStr">
        <is>
          <t>FCFA</t>
        </is>
      </c>
      <c r="E114" s="64" t="n"/>
      <c r="F114" s="64" t="n"/>
      <c r="G114" s="64" t="n"/>
      <c r="H114" s="64" t="n"/>
      <c r="I114" s="68">
        <f>('GROS_ŒUVRE'!$E$74*'PARAMÈTRES'!$C$196+('GROS_ŒUVRE'!$E$77+'GROS_ŒUVRE'!$E$82+'GROS_ŒUVRE'!$E$87)*'GROS_ŒUVRE'!$E$19+('GROS_ŒUVRE'!$E$75+'GROS_ŒUVRE'!$E$92)*'GROS_ŒUVRE'!$E$20+('GROS_ŒUVRE'!$I$79*IF('GROS_ŒUVRE'!$C$79="HA6",'PARAMÈTRES'!$C$189,IF('GROS_ŒUVRE'!$C$79="HA8",'PARAMÈTRES'!$C$190,IF('GROS_ŒUVRE'!$C$79="HA10",'PARAMÈTRES'!$C$191,IF('GROS_ŒUVRE'!$C$79="HA12",'PARAMÈTRES'!$C$192,IF('GROS_ŒUVRE'!$C$79="HA14",'PARAMÈTRES'!$C$193,IF('GROS_ŒUVRE'!$C$79="HA16",'PARAMÈTRES'!$C$194,0))))))+'GROS_ŒUVRE'!$I$80*IF('GROS_ŒUVRE'!$C$80="HA6",'PARAMÈTRES'!$C$189,IF('GROS_ŒUVRE'!$C$80="HA8",'PARAMÈTRES'!$C$190,IF('GROS_ŒUVRE'!$C$80="HA10",'PARAMÈTRES'!$C$191,IF('GROS_ŒUVRE'!$C$80="HA12",'PARAMÈTRES'!$C$192,IF('GROS_ŒUVRE'!$C$80="HA14",'PARAMÈTRES'!$C$193,IF('GROS_ŒUVRE'!$C$80="HA16",'PARAMÈTRES'!$C$194,0))))))+'GROS_ŒUVRE'!$I$84*IF('GROS_ŒUVRE'!$C$84="HA6",'PARAMÈTRES'!$C$189,IF('GROS_ŒUVRE'!$C$84="HA8",'PARAMÈTRES'!$C$190,IF('GROS_ŒUVRE'!$C$84="HA10",'PARAMÈTRES'!$C$191,IF('GROS_ŒUVRE'!$C$84="HA12",'PARAMÈTRES'!$C$192,IF('GROS_ŒUVRE'!$C$84="HA14",'PARAMÈTRES'!$C$193,IF('GROS_ŒUVRE'!$C$84="HA16",'PARAMÈTRES'!$C$194,0))))))+'GROS_ŒUVRE'!$I$85*IF('GROS_ŒUVRE'!$C$85="HA6",'PARAMÈTRES'!$C$189,IF('GROS_ŒUVRE'!$C$85="HA8",'PARAMÈTRES'!$C$190,IF('GROS_ŒUVRE'!$C$85="HA10",'PARAMÈTRES'!$C$191,IF('GROS_ŒUVRE'!$C$85="HA12",'PARAMÈTRES'!$C$192,IF('GROS_ŒUVRE'!$C$85="HA14",'PARAMÈTRES'!$C$193,IF('GROS_ŒUVRE'!$C$85="HA16",'PARAMÈTRES'!$C$194,0))))))+'GROS_ŒUVRE'!$I$89*IF('GROS_ŒUVRE'!$C$89="HA6",'PARAMÈTRES'!$C$189,IF('GROS_ŒUVRE'!$C$89="HA8",'PARAMÈTRES'!$C$190,IF('GROS_ŒUVRE'!$C$89="HA10",'PARAMÈTRES'!$C$191,IF('GROS_ŒUVRE'!$C$89="HA12",'PARAMÈTRES'!$C$192,IF('GROS_ŒUVRE'!$C$89="HA14",'PARAMÈTRES'!$C$193,IF('GROS_ŒUVRE'!$C$89="HA16",'PARAMÈTRES'!$C$194,0))))))+'GROS_ŒUVRE'!$I$90*IF('GROS_ŒUVRE'!$C$90="HA6",'PARAMÈTRES'!$C$189,IF('GROS_ŒUVRE'!$C$90="HA8",'PARAMÈTRES'!$C$190,IF('GROS_ŒUVRE'!$C$90="HA10",'PARAMÈTRES'!$C$191,IF('GROS_ŒUVRE'!$C$90="HA12",'PARAMÈTRES'!$C$192,IF('GROS_ŒUVRE'!$C$90="HA14",'PARAMÈTRES'!$C$193,IF('GROS_ŒUVRE'!$C$90="HA16",'PARAMÈTRES'!$C$194,0)))))))*(1+'PARAMÈTRES'!$C$154)+('GROS_ŒUVRE'!$E$78+'GROS_ŒUVRE'!$E$83+'GROS_ŒUVRE'!$E$88)*'PARAMÈTRES'!$C$198)*(1+'PARAMÈTRES'!$C$155)</f>
        <v>0</v>
      </c>
      <c r="J114" s="67" t="inlineStr">
        <is>
          <t>Pour le comparatif des façades (hors TVA)</t>
        </is>
      </c>
    </row>
  </sheetData>
  <mergeCells count="1">
    <mergeCell ref="A1:J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&amp;L&amp;8 &amp;A&amp;C&amp;8 Page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7" customWidth="1" min="2" max="2"/>
    <col width="70" customWidth="1" min="3" max="3"/>
    <col width="8" customWidth="1" min="4" max="4"/>
    <col width="14" customWidth="1" min="5" max="5"/>
    <col width="12" customWidth="1" min="6" max="6"/>
    <col width="18" customWidth="1" min="7" max="7"/>
    <col width="4" customWidth="1" min="8" max="8"/>
  </cols>
  <sheetData>
    <row r="1" ht="24" customHeight="1">
      <c r="A1" s="20" t="inlineStr">
        <is>
          <t>DÉTAIL QUANTITATIF ET ESTIMATIF (DQE) – DEVIS</t>
        </is>
      </c>
    </row>
    <row r="2">
      <c r="A2" s="3" t="inlineStr">
        <is>
          <t>Montants en FCFA HT. Prix unitaires saisis dans PARAMÈTRES (section 10). TVA 18 %.</t>
        </is>
      </c>
    </row>
    <row r="4" ht="30" customHeight="1">
      <c r="B4" s="8" t="inlineStr">
        <is>
          <t>N°</t>
        </is>
      </c>
      <c r="C4" s="8" t="inlineStr">
        <is>
          <t>Désignation</t>
        </is>
      </c>
      <c r="D4" s="8" t="inlineStr">
        <is>
          <t>Unité</t>
        </is>
      </c>
      <c r="E4" s="8" t="inlineStr">
        <is>
          <t>Quantité</t>
        </is>
      </c>
      <c r="F4" s="8" t="inlineStr">
        <is>
          <t>PU (FCFA)</t>
        </is>
      </c>
      <c r="G4" s="8" t="inlineStr">
        <is>
          <t>Montant (FCFA)</t>
        </is>
      </c>
    </row>
    <row r="6">
      <c r="B6" s="21" t="inlineStr">
        <is>
          <t>LOT 1 – CHARPENTE MÉTALLIQUE</t>
        </is>
      </c>
      <c r="C6" s="22" t="n"/>
      <c r="D6" s="22" t="n"/>
      <c r="E6" s="22" t="n"/>
      <c r="F6" s="22" t="n"/>
      <c r="G6" s="22" t="n"/>
    </row>
    <row r="7">
      <c r="B7" s="50" t="inlineStr">
        <is>
          <t>1.1</t>
        </is>
      </c>
      <c r="C7" s="9" t="inlineStr">
        <is>
          <t>Fourniture et fabrication de la charpente (profilés, platines, boulonnerie, chutes)</t>
        </is>
      </c>
      <c r="D7" s="50" t="inlineStr">
        <is>
          <t>kg</t>
        </is>
      </c>
      <c r="E7" s="71">
        <f>'QUANTITATIF_CHARPENTE'!$I$76</f>
        <v>25987.8354729895</v>
      </c>
      <c r="F7" s="72">
        <f>'PARAMÈTRES'!$C$158</f>
        <v>1150</v>
      </c>
      <c r="G7" s="72">
        <f>'DQE_DEVIS'!$E$7*'DQE_DEVIS'!$F$7</f>
        <v>29886010.7939379</v>
      </c>
    </row>
    <row r="8">
      <c r="B8" s="50" t="inlineStr">
        <is>
          <t>1.2</t>
        </is>
      </c>
      <c r="C8" s="9" t="inlineStr">
        <is>
          <t>Transport et montage de la charpente</t>
        </is>
      </c>
      <c r="D8" s="50" t="inlineStr">
        <is>
          <t>kg</t>
        </is>
      </c>
      <c r="E8" s="71">
        <f>'QUANTITATIF_CHARPENTE'!$I$76</f>
        <v>25987.8354729895</v>
      </c>
      <c r="F8" s="72">
        <f>'PARAMÈTRES'!$C$159</f>
        <v>250</v>
      </c>
      <c r="G8" s="72">
        <f>'DQE_DEVIS'!$E$8*'DQE_DEVIS'!$F$8</f>
        <v>6496958.86824736</v>
      </c>
    </row>
    <row r="9">
      <c r="B9" s="50" t="inlineStr">
        <is>
          <t>1.3</t>
        </is>
      </c>
      <c r="C9" s="9" t="inlineStr">
        <is>
          <t>Protection anticorrosion (galvanisation ou peinture, climat tropical humide)</t>
        </is>
      </c>
      <c r="D9" s="50" t="str">
        <f>IF('PARAMÈTRES'!$C$59="Galvanisation à chaud","kg","m²")</f>
        <v>kg</v>
      </c>
      <c r="E9" s="71">
        <f>IF('PARAMÈTRES'!$C$59="Galvanisation à chaud",'QUANTITATIF_CHARPENTE'!$I$79,'QUANTITATIF_CHARPENTE'!$I$80)</f>
        <v>24287.6967037285</v>
      </c>
      <c r="F9" s="72">
        <f>IF('PARAMÈTRES'!$C$59="Galvanisation à chaud",'PARAMÈTRES'!$C$160,'PARAMÈTRES'!$C$161)</f>
        <v>450</v>
      </c>
      <c r="G9" s="72">
        <f>'DQE_DEVIS'!$E$9*'DQE_DEVIS'!$F$9</f>
        <v>10929463.5166778</v>
      </c>
    </row>
    <row r="10">
      <c r="B10" s="50" t="inlineStr">
        <is>
          <t>1.4</t>
        </is>
      </c>
      <c r="C10" s="9" t="inlineStr">
        <is>
          <t>Tiges d'ancrage avec écrous et rondelles</t>
        </is>
      </c>
      <c r="D10" s="50" t="inlineStr">
        <is>
          <t>u</t>
        </is>
      </c>
      <c r="E10" s="71">
        <f>'QUANTITATIF_CHARPENTE'!$E$64+'QUANTITATIF_CHARPENTE'!$E$65</f>
        <v>76</v>
      </c>
      <c r="F10" s="72">
        <f>'PARAMÈTRES'!$C$162</f>
        <v>6000</v>
      </c>
      <c r="G10" s="72">
        <f>'DQE_DEVIS'!$E$10*'DQE_DEVIS'!$F$10</f>
        <v>456000</v>
      </c>
    </row>
    <row r="11">
      <c r="B11" s="50" t="inlineStr">
        <is>
          <t>1.5</t>
        </is>
      </c>
      <c r="C11" s="9" t="inlineStr">
        <is>
          <t>Gabarits de pose des tiges d'ancrage</t>
        </is>
      </c>
      <c r="D11" s="50" t="inlineStr">
        <is>
          <t>u</t>
        </is>
      </c>
      <c r="E11" s="71">
        <f>'QUANTITATIF_CHARPENTE'!$E$68</f>
        <v>22</v>
      </c>
      <c r="F11" s="72">
        <f>'PARAMÈTRES'!$C$163</f>
        <v>7500</v>
      </c>
      <c r="G11" s="72">
        <f>'DQE_DEVIS'!$E$11*'DQE_DEVIS'!$F$11</f>
        <v>165000</v>
      </c>
    </row>
    <row r="12">
      <c r="B12" s="64" t="n"/>
      <c r="C12" s="5" t="inlineStr">
        <is>
          <t>Sous-total LOT 1</t>
        </is>
      </c>
      <c r="D12" s="64" t="n"/>
      <c r="E12" s="64" t="n"/>
      <c r="F12" s="64" t="n"/>
      <c r="G12" s="73">
        <f>'DQE_DEVIS'!$G$7+'DQE_DEVIS'!$G$8+'DQE_DEVIS'!$G$9+'DQE_DEVIS'!$G$10+'DQE_DEVIS'!$G$11</f>
        <v>47933433.178863</v>
      </c>
    </row>
    <row r="14">
      <c r="B14" s="21" t="inlineStr">
        <is>
          <t>LOT 2 – COUVERTURE</t>
        </is>
      </c>
      <c r="C14" s="22" t="n"/>
      <c r="D14" s="22" t="n"/>
      <c r="E14" s="22" t="n"/>
      <c r="F14" s="22" t="n"/>
      <c r="G14" s="22" t="n"/>
    </row>
    <row r="15">
      <c r="B15" s="50" t="inlineStr">
        <is>
          <t>2.1</t>
        </is>
      </c>
      <c r="C15" s="9" t="inlineStr">
        <is>
          <t>Couverture en tôles bac acier</t>
        </is>
      </c>
      <c r="D15" s="50" t="inlineStr">
        <is>
          <t>m²</t>
        </is>
      </c>
      <c r="E15" s="71">
        <f>'QUANTITATIF_CHARPENTE'!$E$36</f>
        <v>816.567919020144</v>
      </c>
      <c r="F15" s="72">
        <f>'PARAMÈTRES'!$C$164</f>
        <v>6500</v>
      </c>
      <c r="G15" s="72">
        <f>'DQE_DEVIS'!$E$15*'DQE_DEVIS'!$F$15</f>
        <v>5307691.47363094</v>
      </c>
    </row>
    <row r="16">
      <c r="B16" s="50" t="inlineStr">
        <is>
          <t>2.2</t>
        </is>
      </c>
      <c r="C16" s="9" t="inlineStr">
        <is>
          <t>Panneaux translucides</t>
        </is>
      </c>
      <c r="D16" s="50" t="inlineStr">
        <is>
          <t>m²</t>
        </is>
      </c>
      <c r="E16" s="71">
        <f>'QUANTITATIF_CHARPENTE'!$E$37</f>
        <v>82.2327919020144</v>
      </c>
      <c r="F16" s="72">
        <f>'PARAMÈTRES'!$C$165</f>
        <v>12000</v>
      </c>
      <c r="G16" s="72">
        <f>'DQE_DEVIS'!$E$16*'DQE_DEVIS'!$F$16</f>
        <v>986793.502824172</v>
      </c>
    </row>
    <row r="17">
      <c r="B17" s="50" t="inlineStr">
        <is>
          <t>2.3</t>
        </is>
      </c>
      <c r="C17" s="9" t="inlineStr">
        <is>
          <t>Faîtières</t>
        </is>
      </c>
      <c r="D17" s="50" t="inlineStr">
        <is>
          <t>ml</t>
        </is>
      </c>
      <c r="E17" s="71">
        <f>'QUANTITATIF_CHARPENTE'!$E$38</f>
        <v>40.6</v>
      </c>
      <c r="F17" s="72">
        <f>'PARAMÈTRES'!$C$166</f>
        <v>4500</v>
      </c>
      <c r="G17" s="72">
        <f>'DQE_DEVIS'!$E$17*'DQE_DEVIS'!$F$17</f>
        <v>182700</v>
      </c>
    </row>
    <row r="18">
      <c r="B18" s="50" t="inlineStr">
        <is>
          <t>2.4</t>
        </is>
      </c>
      <c r="C18" s="9" t="inlineStr">
        <is>
          <t>Rives</t>
        </is>
      </c>
      <c r="D18" s="50" t="inlineStr">
        <is>
          <t>ml</t>
        </is>
      </c>
      <c r="E18" s="71">
        <f>'QUANTITATIF_CHARPENTE'!$E$39</f>
        <v>40.5087644837509</v>
      </c>
      <c r="F18" s="72">
        <f>'PARAMÈTRES'!$C$167</f>
        <v>3500</v>
      </c>
      <c r="G18" s="72">
        <f>'DQE_DEVIS'!$E$18*'DQE_DEVIS'!$F$18</f>
        <v>141780.675693128</v>
      </c>
    </row>
    <row r="19">
      <c r="B19" s="50" t="inlineStr">
        <is>
          <t>2.5</t>
        </is>
      </c>
      <c r="C19" s="9" t="inlineStr">
        <is>
          <t>Larmiers et bavettes de couverture</t>
        </is>
      </c>
      <c r="D19" s="50" t="inlineStr">
        <is>
          <t>ml</t>
        </is>
      </c>
      <c r="E19" s="71">
        <f>'QUANTITATIF_CHARPENTE'!$E$40</f>
        <v>81.2</v>
      </c>
      <c r="F19" s="72">
        <f>'PARAMÈTRES'!$C$168</f>
        <v>3000</v>
      </c>
      <c r="G19" s="72">
        <f>'DQE_DEVIS'!$E$19*'DQE_DEVIS'!$F$19</f>
        <v>243600</v>
      </c>
    </row>
    <row r="20">
      <c r="B20" s="50" t="inlineStr">
        <is>
          <t>2.6</t>
        </is>
      </c>
      <c r="C20" s="9" t="inlineStr">
        <is>
          <t>Chéneaux d'eau</t>
        </is>
      </c>
      <c r="D20" s="50" t="inlineStr">
        <is>
          <t>ml</t>
        </is>
      </c>
      <c r="E20" s="71">
        <f>'QUANTITATIF_CHARPENTE'!$E$41</f>
        <v>80</v>
      </c>
      <c r="F20" s="72">
        <f>'PARAMÈTRES'!$C$169</f>
        <v>15000</v>
      </c>
      <c r="G20" s="72">
        <f>'DQE_DEVIS'!$E$20*'DQE_DEVIS'!$F$20</f>
        <v>1200000</v>
      </c>
    </row>
    <row r="21">
      <c r="B21" s="50" t="inlineStr">
        <is>
          <t>2.7</t>
        </is>
      </c>
      <c r="C21" s="9" t="inlineStr">
        <is>
          <t>Naissances EP</t>
        </is>
      </c>
      <c r="D21" s="50" t="inlineStr">
        <is>
          <t>u</t>
        </is>
      </c>
      <c r="E21" s="71">
        <f>'QUANTITATIF_CHARPENTE'!$E$42</f>
        <v>6</v>
      </c>
      <c r="F21" s="72">
        <f>'PARAMÈTRES'!$C$170</f>
        <v>7500</v>
      </c>
      <c r="G21" s="72">
        <f>'DQE_DEVIS'!$E$21*'DQE_DEVIS'!$F$21</f>
        <v>45000</v>
      </c>
    </row>
    <row r="22">
      <c r="B22" s="50" t="inlineStr">
        <is>
          <t>2.8</t>
        </is>
      </c>
      <c r="C22" s="9" t="inlineStr">
        <is>
          <t>Descentes EP PVC Ø110</t>
        </is>
      </c>
      <c r="D22" s="50" t="inlineStr">
        <is>
          <t>ml</t>
        </is>
      </c>
      <c r="E22" s="71">
        <f>'QUANTITATIF_CHARPENTE'!$E$43</f>
        <v>36</v>
      </c>
      <c r="F22" s="72">
        <f>'PARAMÈTRES'!$C$171</f>
        <v>6000</v>
      </c>
      <c r="G22" s="72">
        <f>'DQE_DEVIS'!$E$22*'DQE_DEVIS'!$F$22</f>
        <v>216000</v>
      </c>
    </row>
    <row r="23">
      <c r="B23" s="50" t="inlineStr">
        <is>
          <t>2.9</t>
        </is>
      </c>
      <c r="C23" s="9" t="inlineStr">
        <is>
          <t>Skydomes avec chevêtres</t>
        </is>
      </c>
      <c r="D23" s="50" t="inlineStr">
        <is>
          <t>u</t>
        </is>
      </c>
      <c r="E23" s="71">
        <f>'QUANTITATIF_CHARPENTE'!$E$44</f>
        <v>4</v>
      </c>
      <c r="F23" s="72">
        <f>'PARAMÈTRES'!$C$172</f>
        <v>150000</v>
      </c>
      <c r="G23" s="72">
        <f>'DQE_DEVIS'!$E$23*'DQE_DEVIS'!$F$23</f>
        <v>600000</v>
      </c>
    </row>
    <row r="24">
      <c r="B24" s="50" t="inlineStr">
        <is>
          <t>2.10</t>
        </is>
      </c>
      <c r="C24" s="9" t="inlineStr">
        <is>
          <t>Vis autoforeuses</t>
        </is>
      </c>
      <c r="D24" s="50" t="inlineStr">
        <is>
          <t>u</t>
        </is>
      </c>
      <c r="E24" s="71">
        <f>'QUANTITATIF_CHARPENTE'!$E$69</f>
        <v>10093</v>
      </c>
      <c r="F24" s="72">
        <f>'PARAMÈTRES'!$C$173</f>
        <v>75</v>
      </c>
      <c r="G24" s="72">
        <f>'DQE_DEVIS'!$E$24*'DQE_DEVIS'!$F$24</f>
        <v>756975</v>
      </c>
    </row>
    <row r="25">
      <c r="B25" s="50" t="inlineStr">
        <is>
          <t>2.11</t>
        </is>
      </c>
      <c r="C25" s="9" t="inlineStr">
        <is>
          <t>Rivets de chéneaux</t>
        </is>
      </c>
      <c r="D25" s="50" t="inlineStr">
        <is>
          <t>u</t>
        </is>
      </c>
      <c r="E25" s="71">
        <f>'QUANTITATIF_CHARPENTE'!$E$45</f>
        <v>400</v>
      </c>
      <c r="F25" s="72">
        <f>'PARAMÈTRES'!$C$174</f>
        <v>25</v>
      </c>
      <c r="G25" s="72">
        <f>'DQE_DEVIS'!$E$25*'DQE_DEVIS'!$F$25</f>
        <v>10000</v>
      </c>
    </row>
    <row r="26">
      <c r="B26" s="64" t="n"/>
      <c r="C26" s="5" t="inlineStr">
        <is>
          <t>Sous-total LOT 2</t>
        </is>
      </c>
      <c r="D26" s="64" t="n"/>
      <c r="E26" s="64" t="n"/>
      <c r="F26" s="64" t="n"/>
      <c r="G26" s="73">
        <f>'DQE_DEVIS'!$G$15+'DQE_DEVIS'!$G$16+'DQE_DEVIS'!$G$17+'DQE_DEVIS'!$G$18+'DQE_DEVIS'!$G$19+'DQE_DEVIS'!$G$20+'DQE_DEVIS'!$G$21+'DQE_DEVIS'!$G$22+'DQE_DEVIS'!$G$23+'DQE_DEVIS'!$G$24+'DQE_DEVIS'!$G$25</f>
        <v>9690540.65214824</v>
      </c>
    </row>
    <row r="28">
      <c r="B28" s="21" t="inlineStr">
        <is>
          <t>LOT 3 – BARDAGE ET MENUISERIES MÉTALLIQUES</t>
        </is>
      </c>
      <c r="C28" s="22" t="n"/>
      <c r="D28" s="22" t="n"/>
      <c r="E28" s="22" t="n"/>
      <c r="F28" s="22" t="n"/>
      <c r="G28" s="22" t="n"/>
    </row>
    <row r="29">
      <c r="B29" s="50" t="inlineStr">
        <is>
          <t>3.1</t>
        </is>
      </c>
      <c r="C29" s="9" t="inlineStr">
        <is>
          <t>Bardage en bac acier</t>
        </is>
      </c>
      <c r="D29" s="50" t="inlineStr">
        <is>
          <t>m²</t>
        </is>
      </c>
      <c r="E29" s="71">
        <f>'QUANTITATIF_CHARPENTE'!$E$52</f>
        <v>783.2</v>
      </c>
      <c r="F29" s="72">
        <f>'PARAMÈTRES'!$C$175</f>
        <v>6000</v>
      </c>
      <c r="G29" s="72">
        <f>'DQE_DEVIS'!$E$29*'DQE_DEVIS'!$F$29</f>
        <v>4699200</v>
      </c>
    </row>
    <row r="30">
      <c r="B30" s="50" t="inlineStr">
        <is>
          <t>3.2</t>
        </is>
      </c>
      <c r="C30" s="9" t="inlineStr">
        <is>
          <t>Larmiers de bardage (pied et angles)</t>
        </is>
      </c>
      <c r="D30" s="50" t="inlineStr">
        <is>
          <t>ml</t>
        </is>
      </c>
      <c r="E30" s="71">
        <f>'QUANTITATIF_CHARPENTE'!$E$55</f>
        <v>134.5</v>
      </c>
      <c r="F30" s="72">
        <f>'PARAMÈTRES'!$C$176</f>
        <v>3000</v>
      </c>
      <c r="G30" s="72">
        <f>'DQE_DEVIS'!$E$30*'DQE_DEVIS'!$F$30</f>
        <v>403500</v>
      </c>
    </row>
    <row r="31">
      <c r="B31" s="50" t="inlineStr">
        <is>
          <t>3.3</t>
        </is>
      </c>
      <c r="C31" s="9" t="inlineStr">
        <is>
          <t>Larmiers de portes coulissantes</t>
        </is>
      </c>
      <c r="D31" s="50" t="inlineStr">
        <is>
          <t>ml</t>
        </is>
      </c>
      <c r="E31" s="71">
        <f>'QUANTITATIF_CHARPENTE'!$E$53</f>
        <v>4.2</v>
      </c>
      <c r="F31" s="72">
        <f>'PARAMÈTRES'!$C$177</f>
        <v>3500</v>
      </c>
      <c r="G31" s="72">
        <f>'DQE_DEVIS'!$E$31*'DQE_DEVIS'!$F$31</f>
        <v>14700</v>
      </c>
    </row>
    <row r="32">
      <c r="B32" s="50" t="inlineStr">
        <is>
          <t>3.4</t>
        </is>
      </c>
      <c r="C32" s="9" t="inlineStr">
        <is>
          <t>Rails hauts de portes coulissantes</t>
        </is>
      </c>
      <c r="D32" s="50" t="inlineStr">
        <is>
          <t>ml</t>
        </is>
      </c>
      <c r="E32" s="71">
        <f>'QUANTITATIF_CHARPENTE'!$E$54</f>
        <v>8</v>
      </c>
      <c r="F32" s="72">
        <f>'PARAMÈTRES'!$C$178</f>
        <v>15000</v>
      </c>
      <c r="G32" s="72">
        <f>'DQE_DEVIS'!$E$32*'DQE_DEVIS'!$F$32</f>
        <v>120000</v>
      </c>
    </row>
    <row r="33">
      <c r="B33" s="50" t="inlineStr">
        <is>
          <t>3.5</t>
        </is>
      </c>
      <c r="C33" s="9" t="inlineStr">
        <is>
          <t>Portes coulissantes</t>
        </is>
      </c>
      <c r="D33" s="50" t="inlineStr">
        <is>
          <t>m²</t>
        </is>
      </c>
      <c r="E33" s="71">
        <f>'PARAMÈTRES'!$C$28*'PARAMÈTRES'!$C$29*'PARAMÈTRES'!$C$30</f>
        <v>18</v>
      </c>
      <c r="F33" s="72">
        <f>'PARAMÈTRES'!$C$179</f>
        <v>45000</v>
      </c>
      <c r="G33" s="72">
        <f>'DQE_DEVIS'!$E$33*'DQE_DEVIS'!$F$33</f>
        <v>810000</v>
      </c>
    </row>
    <row r="34">
      <c r="B34" s="50" t="inlineStr">
        <is>
          <t>3.6</t>
        </is>
      </c>
      <c r="C34" s="9" t="inlineStr">
        <is>
          <t>Portillons</t>
        </is>
      </c>
      <c r="D34" s="50" t="inlineStr">
        <is>
          <t>m²</t>
        </is>
      </c>
      <c r="E34" s="71">
        <f>'PARAMÈTRES'!$C$32*'PARAMÈTRES'!$C$33*'PARAMÈTRES'!$C$34</f>
        <v>22</v>
      </c>
      <c r="F34" s="72">
        <f>'PARAMÈTRES'!$C$180</f>
        <v>50000</v>
      </c>
      <c r="G34" s="72">
        <f>'DQE_DEVIS'!$E$34*'DQE_DEVIS'!$F$34</f>
        <v>1100000</v>
      </c>
    </row>
    <row r="35">
      <c r="B35" s="64" t="n"/>
      <c r="C35" s="5" t="inlineStr">
        <is>
          <t>Sous-total LOT 3</t>
        </is>
      </c>
      <c r="D35" s="64" t="n"/>
      <c r="E35" s="64" t="n"/>
      <c r="F35" s="64" t="n"/>
      <c r="G35" s="73">
        <f>'DQE_DEVIS'!$G$29+'DQE_DEVIS'!$G$30+'DQE_DEVIS'!$G$31+'DQE_DEVIS'!$G$32+'DQE_DEVIS'!$G$33+'DQE_DEVIS'!$G$34</f>
        <v>7147400</v>
      </c>
    </row>
    <row r="37">
      <c r="B37" s="21" t="inlineStr">
        <is>
          <t>LOT 4 – TERRASSEMENTS</t>
        </is>
      </c>
      <c r="C37" s="22" t="n"/>
      <c r="D37" s="22" t="n"/>
      <c r="E37" s="22" t="n"/>
      <c r="F37" s="22" t="n"/>
      <c r="G37" s="22" t="n"/>
    </row>
    <row r="38">
      <c r="B38" s="50" t="inlineStr">
        <is>
          <t>4.1</t>
        </is>
      </c>
      <c r="C38" s="9" t="inlineStr">
        <is>
          <t>Décapage de l'emprise</t>
        </is>
      </c>
      <c r="D38" s="50" t="inlineStr">
        <is>
          <t>m²</t>
        </is>
      </c>
      <c r="E38" s="71">
        <f>'GROS_ŒUVRE'!$E$23</f>
        <v>924</v>
      </c>
      <c r="F38" s="72">
        <f>'PARAMÈTRES'!$C$181</f>
        <v>500</v>
      </c>
      <c r="G38" s="72">
        <f>'DQE_DEVIS'!$E$38*'DQE_DEVIS'!$F$38</f>
        <v>462000</v>
      </c>
    </row>
    <row r="39">
      <c r="B39" s="50" t="inlineStr">
        <is>
          <t>4.2</t>
        </is>
      </c>
      <c r="C39" s="9" t="inlineStr">
        <is>
          <t>Fouilles en puits et en rigole (profondeur 1,20 m)</t>
        </is>
      </c>
      <c r="D39" s="50" t="inlineStr">
        <is>
          <t>m³</t>
        </is>
      </c>
      <c r="E39" s="71">
        <f>'GROS_ŒUVRE'!$E$24+'GROS_ŒUVRE'!$E$25+'GROS_ŒUVRE'!$E$26</f>
        <v>136.992</v>
      </c>
      <c r="F39" s="72">
        <f>'PARAMÈTRES'!$C$182</f>
        <v>4500</v>
      </c>
      <c r="G39" s="72">
        <f>'DQE_DEVIS'!$E$39*'DQE_DEVIS'!$F$39</f>
        <v>616464</v>
      </c>
    </row>
    <row r="40">
      <c r="B40" s="50" t="inlineStr">
        <is>
          <t>4.3</t>
        </is>
      </c>
      <c r="C40" s="9" t="inlineStr">
        <is>
          <t>Remblai en latérite compactée à 95 % OPM</t>
        </is>
      </c>
      <c r="D40" s="50" t="inlineStr">
        <is>
          <t>m³</t>
        </is>
      </c>
      <c r="E40" s="71">
        <f>'GROS_ŒUVRE'!$E$27</f>
        <v>197.755625</v>
      </c>
      <c r="F40" s="72">
        <f>'PARAMÈTRES'!$C$183</f>
        <v>9000</v>
      </c>
      <c r="G40" s="72">
        <f>'DQE_DEVIS'!$E$40*'DQE_DEVIS'!$F$40</f>
        <v>1779800.625</v>
      </c>
    </row>
    <row r="41">
      <c r="B41" s="50" t="inlineStr">
        <is>
          <t>4.4</t>
        </is>
      </c>
      <c r="C41" s="9" t="inlineStr">
        <is>
          <t>Évacuation des déblais</t>
        </is>
      </c>
      <c r="D41" s="50" t="inlineStr">
        <is>
          <t>m³</t>
        </is>
      </c>
      <c r="E41" s="71">
        <f>'GROS_ŒUVRE'!$E$29</f>
        <v>402.24</v>
      </c>
      <c r="F41" s="72">
        <f>'PARAMÈTRES'!$C$184</f>
        <v>3500</v>
      </c>
      <c r="G41" s="72">
        <f>'DQE_DEVIS'!$E$41*'DQE_DEVIS'!$F$41</f>
        <v>1407840</v>
      </c>
    </row>
    <row r="42">
      <c r="B42" s="64" t="n"/>
      <c r="C42" s="5" t="inlineStr">
        <is>
          <t>Sous-total LOT 4</t>
        </is>
      </c>
      <c r="D42" s="64" t="n"/>
      <c r="E42" s="64" t="n"/>
      <c r="F42" s="64" t="n"/>
      <c r="G42" s="73">
        <f>'DQE_DEVIS'!$G$38+'DQE_DEVIS'!$G$39+'DQE_DEVIS'!$G$40+'DQE_DEVIS'!$G$41</f>
        <v>4266104.625</v>
      </c>
    </row>
    <row r="44">
      <c r="B44" s="21" t="inlineStr">
        <is>
          <t>LOT 5 – GROS ŒUVRE (matériaux et main d'œuvre)</t>
        </is>
      </c>
      <c r="C44" s="22" t="n"/>
      <c r="D44" s="22" t="n"/>
      <c r="E44" s="22" t="n"/>
      <c r="F44" s="22" t="n"/>
      <c r="G44" s="22" t="n"/>
    </row>
    <row r="45">
      <c r="B45" s="50" t="inlineStr">
        <is>
          <t>5.1</t>
        </is>
      </c>
      <c r="C45" s="9" t="inlineStr">
        <is>
          <t>Ciment CPJ 42.5 (sacs de 50 kg)</t>
        </is>
      </c>
      <c r="D45" s="50" t="inlineStr">
        <is>
          <t>sacs</t>
        </is>
      </c>
      <c r="E45" s="71">
        <f>'GROS_ŒUVRE'!$E$99</f>
        <v>1311</v>
      </c>
      <c r="F45" s="72">
        <f>'PARAMÈTRES'!$C$185</f>
        <v>5500</v>
      </c>
      <c r="G45" s="72">
        <f>'DQE_DEVIS'!$E$45*'DQE_DEVIS'!$F$45</f>
        <v>7210500</v>
      </c>
    </row>
    <row r="46">
      <c r="B46" s="50" t="inlineStr">
        <is>
          <t>5.2</t>
        </is>
      </c>
      <c r="C46" s="9" t="inlineStr">
        <is>
          <t>Sable</t>
        </is>
      </c>
      <c r="D46" s="50" t="inlineStr">
        <is>
          <t>m³</t>
        </is>
      </c>
      <c r="E46" s="71">
        <f>'GROS_ŒUVRE'!$E$100</f>
        <v>116.745725</v>
      </c>
      <c r="F46" s="72">
        <f>'PARAMÈTRES'!$C$186</f>
        <v>12000</v>
      </c>
      <c r="G46" s="72">
        <f>'DQE_DEVIS'!$E$46*'DQE_DEVIS'!$F$46</f>
        <v>1400948.7</v>
      </c>
    </row>
    <row r="47">
      <c r="B47" s="50" t="inlineStr">
        <is>
          <t>5.3</t>
        </is>
      </c>
      <c r="C47" s="9" t="inlineStr">
        <is>
          <t>Gravier 5/15</t>
        </is>
      </c>
      <c r="D47" s="50" t="inlineStr">
        <is>
          <t>m³</t>
        </is>
      </c>
      <c r="E47" s="71">
        <f>'GROS_ŒUVRE'!$E$101</f>
        <v>56.41095</v>
      </c>
      <c r="F47" s="72">
        <f>'PARAMÈTRES'!$C$187</f>
        <v>22000</v>
      </c>
      <c r="G47" s="72">
        <f>'DQE_DEVIS'!$E$47*'DQE_DEVIS'!$F$47</f>
        <v>1241040.9</v>
      </c>
    </row>
    <row r="48">
      <c r="B48" s="50" t="inlineStr">
        <is>
          <t>5.4</t>
        </is>
      </c>
      <c r="C48" s="9" t="inlineStr">
        <is>
          <t>Gravier 15/25</t>
        </is>
      </c>
      <c r="D48" s="50" t="inlineStr">
        <is>
          <t>m³</t>
        </is>
      </c>
      <c r="E48" s="71">
        <f>'GROS_ŒUVRE'!$E$102</f>
        <v>94.01825</v>
      </c>
      <c r="F48" s="72">
        <f>'PARAMÈTRES'!$C$188</f>
        <v>20000</v>
      </c>
      <c r="G48" s="72">
        <f>'DQE_DEVIS'!$E$48*'DQE_DEVIS'!$F$48</f>
        <v>1880365</v>
      </c>
    </row>
    <row r="49">
      <c r="B49" s="50" t="inlineStr">
        <is>
          <t>5.5</t>
        </is>
      </c>
      <c r="C49" s="9" t="inlineStr">
        <is>
          <t>Aciers HA6</t>
        </is>
      </c>
      <c r="D49" s="50" t="inlineStr">
        <is>
          <t>kg</t>
        </is>
      </c>
      <c r="E49" s="71">
        <f>'GROS_ŒUVRE'!$I$103</f>
        <v>59.58036</v>
      </c>
      <c r="F49" s="72">
        <f>'PARAMÈTRES'!$C$189</f>
        <v>800</v>
      </c>
      <c r="G49" s="72">
        <f>'DQE_DEVIS'!$E$49*'DQE_DEVIS'!$F$49</f>
        <v>47664.288</v>
      </c>
    </row>
    <row r="50">
      <c r="B50" s="50" t="inlineStr">
        <is>
          <t>5.6</t>
        </is>
      </c>
      <c r="C50" s="9" t="inlineStr">
        <is>
          <t>Aciers HA8</t>
        </is>
      </c>
      <c r="D50" s="50" t="inlineStr">
        <is>
          <t>kg</t>
        </is>
      </c>
      <c r="E50" s="71">
        <f>'GROS_ŒUVRE'!$I$104</f>
        <v>99.747375</v>
      </c>
      <c r="F50" s="72">
        <f>'PARAMÈTRES'!$C$190</f>
        <v>750</v>
      </c>
      <c r="G50" s="72">
        <f>'DQE_DEVIS'!$E$50*'DQE_DEVIS'!$F$50</f>
        <v>74810.53125</v>
      </c>
    </row>
    <row r="51">
      <c r="B51" s="50" t="inlineStr">
        <is>
          <t>5.7</t>
        </is>
      </c>
      <c r="C51" s="9" t="inlineStr">
        <is>
          <t>Aciers HA10</t>
        </is>
      </c>
      <c r="D51" s="50" t="inlineStr">
        <is>
          <t>kg</t>
        </is>
      </c>
      <c r="E51" s="71">
        <f>'GROS_ŒUVRE'!$I$105</f>
        <v>5527.58577</v>
      </c>
      <c r="F51" s="72">
        <f>'PARAMÈTRES'!$C$191</f>
        <v>725</v>
      </c>
      <c r="G51" s="72">
        <f>'DQE_DEVIS'!$E$51*'DQE_DEVIS'!$F$51</f>
        <v>4007499.68325</v>
      </c>
    </row>
    <row r="52">
      <c r="B52" s="50" t="inlineStr">
        <is>
          <t>5.8</t>
        </is>
      </c>
      <c r="C52" s="9" t="inlineStr">
        <is>
          <t>Aciers HA12</t>
        </is>
      </c>
      <c r="D52" s="50" t="inlineStr">
        <is>
          <t>kg</t>
        </is>
      </c>
      <c r="E52" s="71">
        <f>'GROS_ŒUVRE'!$I$106</f>
        <v>527.36544</v>
      </c>
      <c r="F52" s="72">
        <f>'PARAMÈTRES'!$C$192</f>
        <v>725</v>
      </c>
      <c r="G52" s="72">
        <f>'DQE_DEVIS'!$E$52*'DQE_DEVIS'!$F$52</f>
        <v>382339.944</v>
      </c>
    </row>
    <row r="53">
      <c r="B53" s="50" t="inlineStr">
        <is>
          <t>5.9</t>
        </is>
      </c>
      <c r="C53" s="9" t="inlineStr">
        <is>
          <t>Aciers HA14</t>
        </is>
      </c>
      <c r="D53" s="50" t="inlineStr">
        <is>
          <t>kg</t>
        </is>
      </c>
      <c r="E53" s="71">
        <f>'GROS_ŒUVRE'!$I$107</f>
        <v>0</v>
      </c>
      <c r="F53" s="72">
        <f>'PARAMÈTRES'!$C$193</f>
        <v>725</v>
      </c>
      <c r="G53" s="72">
        <f>'DQE_DEVIS'!$E$53*'DQE_DEVIS'!$F$53</f>
        <v>0</v>
      </c>
    </row>
    <row r="54">
      <c r="B54" s="50" t="inlineStr">
        <is>
          <t>5.10</t>
        </is>
      </c>
      <c r="C54" s="9" t="inlineStr">
        <is>
          <t>Aciers HA16</t>
        </is>
      </c>
      <c r="D54" s="50" t="inlineStr">
        <is>
          <t>kg</t>
        </is>
      </c>
      <c r="E54" s="71">
        <f>'GROS_ŒUVRE'!$I$108</f>
        <v>0</v>
      </c>
      <c r="F54" s="72">
        <f>'PARAMÈTRES'!$C$194</f>
        <v>725</v>
      </c>
      <c r="G54" s="72">
        <f>'DQE_DEVIS'!$E$54*'DQE_DEVIS'!$F$54</f>
        <v>0</v>
      </c>
    </row>
    <row r="55">
      <c r="B55" s="50" t="inlineStr">
        <is>
          <t>5.11</t>
        </is>
      </c>
      <c r="C55" s="9" t="inlineStr">
        <is>
          <t>Agglos 15 pleins</t>
        </is>
      </c>
      <c r="D55" s="50" t="inlineStr">
        <is>
          <t>u</t>
        </is>
      </c>
      <c r="E55" s="71">
        <f>'GROS_ŒUVRE'!$E$110</f>
        <v>1575</v>
      </c>
      <c r="F55" s="72">
        <f>'PARAMÈTRES'!$C$195</f>
        <v>450</v>
      </c>
      <c r="G55" s="72">
        <f>'DQE_DEVIS'!$E$55*'DQE_DEVIS'!$F$55</f>
        <v>708750</v>
      </c>
    </row>
    <row r="56">
      <c r="B56" s="50" t="inlineStr">
        <is>
          <t>5.12</t>
        </is>
      </c>
      <c r="C56" s="9" t="inlineStr">
        <is>
          <t>Agglos 15 creux</t>
        </is>
      </c>
      <c r="D56" s="50" t="inlineStr">
        <is>
          <t>u</t>
        </is>
      </c>
      <c r="E56" s="71">
        <f>'GROS_ŒUVRE'!$E$111</f>
        <v>0</v>
      </c>
      <c r="F56" s="72">
        <f>'PARAMÈTRES'!$C$196</f>
        <v>375</v>
      </c>
      <c r="G56" s="72">
        <f>'DQE_DEVIS'!$E$56*'DQE_DEVIS'!$F$56</f>
        <v>0</v>
      </c>
    </row>
    <row r="57">
      <c r="B57" s="50" t="inlineStr">
        <is>
          <t>5.13</t>
        </is>
      </c>
      <c r="C57" s="9" t="inlineStr">
        <is>
          <t>Film polyane</t>
        </is>
      </c>
      <c r="D57" s="50" t="inlineStr">
        <is>
          <t>m²</t>
        </is>
      </c>
      <c r="E57" s="71">
        <f>'GROS_ŒUVRE'!$E$112</f>
        <v>870.12475</v>
      </c>
      <c r="F57" s="72">
        <f>'PARAMÈTRES'!$C$197</f>
        <v>400</v>
      </c>
      <c r="G57" s="72">
        <f>'DQE_DEVIS'!$E$57*'DQE_DEVIS'!$F$57</f>
        <v>348049.9</v>
      </c>
    </row>
    <row r="58">
      <c r="B58" s="50" t="inlineStr">
        <is>
          <t>5.14</t>
        </is>
      </c>
      <c r="C58" s="9" t="inlineStr">
        <is>
          <t>Bois de coffrage</t>
        </is>
      </c>
      <c r="D58" s="50" t="inlineStr">
        <is>
          <t>m²</t>
        </is>
      </c>
      <c r="E58" s="71">
        <f>'GROS_ŒUVRE'!$E$113</f>
        <v>114.24</v>
      </c>
      <c r="F58" s="72">
        <f>'PARAMÈTRES'!$C$198</f>
        <v>3500</v>
      </c>
      <c r="G58" s="72">
        <f>'DQE_DEVIS'!$E$58*'DQE_DEVIS'!$F$58</f>
        <v>399840</v>
      </c>
    </row>
    <row r="59">
      <c r="B59" s="50" t="inlineStr">
        <is>
          <t>5.15</t>
        </is>
      </c>
      <c r="C59" s="9" t="inlineStr">
        <is>
          <t>Joints de retrait sciés</t>
        </is>
      </c>
      <c r="D59" s="50" t="inlineStr">
        <is>
          <t>ml</t>
        </is>
      </c>
      <c r="E59" s="71">
        <f>'GROS_ŒUVRE'!$E$69</f>
        <v>258.5</v>
      </c>
      <c r="F59" s="72">
        <f>'PARAMÈTRES'!$C$199</f>
        <v>1500</v>
      </c>
      <c r="G59" s="72">
        <f>'DQE_DEVIS'!$E$59*'DQE_DEVIS'!$F$59</f>
        <v>387750</v>
      </c>
    </row>
    <row r="60">
      <c r="B60" s="50" t="inlineStr">
        <is>
          <t>5.16</t>
        </is>
      </c>
      <c r="C60" s="9" t="inlineStr">
        <is>
          <t>Cure du béton</t>
        </is>
      </c>
      <c r="D60" s="50" t="inlineStr">
        <is>
          <t>m²</t>
        </is>
      </c>
      <c r="E60" s="71">
        <f>'GROS_ŒUVRE'!$E$70</f>
        <v>791.0225</v>
      </c>
      <c r="F60" s="72">
        <f>'PARAMÈTRES'!$C$200</f>
        <v>250</v>
      </c>
      <c r="G60" s="72">
        <f>'DQE_DEVIS'!$E$60*'DQE_DEVIS'!$F$60</f>
        <v>197755.625</v>
      </c>
    </row>
    <row r="61">
      <c r="B61" s="50" t="inlineStr">
        <is>
          <t>5.17</t>
        </is>
      </c>
      <c r="C61" s="9" t="inlineStr">
        <is>
          <t>Main d'œuvre et matériel gros œuvre (% des matériaux du lot 5)</t>
        </is>
      </c>
      <c r="D61" s="50" t="inlineStr">
        <is>
          <t>Fft</t>
        </is>
      </c>
      <c r="E61" s="71">
        <f>1</f>
        <v>1</v>
      </c>
      <c r="F61" s="72">
        <f>'PARAMÈTRES'!$C$155*('DQE_DEVIS'!$G$45+'DQE_DEVIS'!$G$46+'DQE_DEVIS'!$G$47+'DQE_DEVIS'!$G$48+'DQE_DEVIS'!$G$49+'DQE_DEVIS'!$G$50+'DQE_DEVIS'!$G$51+'DQE_DEVIS'!$G$52+'DQE_DEVIS'!$G$53+'DQE_DEVIS'!$G$54+'DQE_DEVIS'!$G$55+'DQE_DEVIS'!$G$56+'DQE_DEVIS'!$G$57+'DQE_DEVIS'!$G$58+'DQE_DEVIS'!$G$59+'DQE_DEVIS'!$G$60)</f>
        <v>7314925.8286</v>
      </c>
      <c r="G61" s="72">
        <f>'DQE_DEVIS'!$E$61*'DQE_DEVIS'!$F$61</f>
        <v>7314925.8286</v>
      </c>
    </row>
    <row r="62">
      <c r="B62" s="64" t="n"/>
      <c r="C62" s="5" t="inlineStr">
        <is>
          <t>Sous-total LOT 5</t>
        </is>
      </c>
      <c r="D62" s="64" t="n"/>
      <c r="E62" s="64" t="n"/>
      <c r="F62" s="64" t="n"/>
      <c r="G62" s="73">
        <f>'DQE_DEVIS'!$G$45+'DQE_DEVIS'!$G$46+'DQE_DEVIS'!$G$47+'DQE_DEVIS'!$G$48+'DQE_DEVIS'!$G$49+'DQE_DEVIS'!$G$50+'DQE_DEVIS'!$G$51+'DQE_DEVIS'!$G$52+'DQE_DEVIS'!$G$53+'DQE_DEVIS'!$G$54+'DQE_DEVIS'!$G$55+'DQE_DEVIS'!$G$56+'DQE_DEVIS'!$G$57+'DQE_DEVIS'!$G$58+'DQE_DEVIS'!$G$59+'DQE_DEVIS'!$G$60+'DQE_DEVIS'!$G$61</f>
        <v>25602240.4001</v>
      </c>
    </row>
    <row r="64">
      <c r="B64" s="74" t="n"/>
      <c r="C64" s="75" t="inlineStr">
        <is>
          <t>TOTAL HT</t>
        </is>
      </c>
      <c r="D64" s="74" t="n"/>
      <c r="E64" s="74" t="n"/>
      <c r="F64" s="74" t="n"/>
      <c r="G64" s="76">
        <f>'DQE_DEVIS'!$G$12+'DQE_DEVIS'!$G$26+'DQE_DEVIS'!$G$35+'DQE_DEVIS'!$G$42+'DQE_DEVIS'!$G$62</f>
        <v>94639718.8561113</v>
      </c>
    </row>
    <row r="65">
      <c r="B65" s="74" t="n"/>
      <c r="C65" s="75" t="inlineStr">
        <is>
          <t>TVA 18 %</t>
        </is>
      </c>
      <c r="D65" s="74" t="n"/>
      <c r="E65" s="74" t="n"/>
      <c r="F65" s="74" t="n"/>
      <c r="G65" s="76">
        <f>'DQE_DEVIS'!$G$64*0.18</f>
        <v>17035149.3941</v>
      </c>
    </row>
    <row r="66">
      <c r="B66" s="74" t="n"/>
      <c r="C66" s="75" t="inlineStr">
        <is>
          <t>TOTAL TTC</t>
        </is>
      </c>
      <c r="D66" s="74" t="n"/>
      <c r="E66" s="74" t="n"/>
      <c r="F66" s="74" t="n"/>
      <c r="G66" s="76">
        <f>'DQE_DEVIS'!$G$64+'DQE_DEVIS'!$G$65</f>
        <v>111674868.250211</v>
      </c>
    </row>
    <row r="67">
      <c r="C67" s="29" t="inlineStr">
        <is>
          <t>Coût HT au m² couvert</t>
        </is>
      </c>
      <c r="G67" s="77">
        <f>'DQE_DEVIS'!$G$64/'PRÉDIMENSIONNEMENT'!$C$46</f>
        <v>118299.648570139</v>
      </c>
    </row>
    <row r="68">
      <c r="C68" s="29" t="inlineStr">
        <is>
          <t>Coût de la façade bardée (bardage, lisses et liernes, larmiers)</t>
        </is>
      </c>
      <c r="G68" s="77">
        <f>'QUANTITATIF_CHARPENTE'!$E$52*'PARAMÈTRES'!$C$175+'QUANTITATIF_CHARPENTE'!$E$55*'PARAMÈTRES'!$C$176+('QUANTITATIF_CHARPENTE'!$I$48+'QUANTITATIF_CHARPENTE'!$I$49+'QUANTITATIF_CHARPENTE'!$I$28+'QUANTITATIF_CHARPENTE'!$I$29)*(1+'PARAMÈTRES'!$C$55)*('PARAMÈTRES'!$C$158+'PARAMÈTRES'!$C$159+'PRÉDIMENSIONNEMENT'!$C$65)</f>
        <v>9270590.11683334</v>
      </c>
    </row>
    <row r="69">
      <c r="C69" s="29" t="inlineStr">
        <is>
          <t>Coût de la façade maçonnée (agglos, chaînages, raidisseurs, linteaux, enduit)</t>
        </is>
      </c>
      <c r="G69" s="77">
        <f>'GROS_ŒUVRE'!$I$114</f>
        <v>0</v>
      </c>
      <c r="H69" s="78">
        <f>'DQE_DEVIS'!$G$68+'GROS_ŒUVRE'!$I$114</f>
        <v>9270590.11683334</v>
      </c>
    </row>
  </sheetData>
  <mergeCells count="1">
    <mergeCell ref="A1:G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&amp;L&amp;8 &amp;A&amp;C&amp;8 Page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26" customWidth="1" min="3" max="3"/>
    <col width="11" customWidth="1" min="4" max="4"/>
    <col width="11" customWidth="1" min="5" max="5"/>
    <col width="9" customWidth="1" min="6" max="6"/>
    <col width="11" customWidth="1" min="7" max="7"/>
    <col width="11" customWidth="1" min="8" max="8"/>
    <col width="13" customWidth="1" min="9" max="9"/>
    <col width="15" customWidth="1" min="10" max="10"/>
    <col width="12" customWidth="1" min="11" max="11"/>
    <col width="16" customWidth="1" min="12" max="12"/>
    <col width="16" customWidth="1" min="13" max="13"/>
  </cols>
  <sheetData>
    <row r="1" ht="24" customHeight="1">
      <c r="A1" s="20" t="inlineStr">
        <is>
          <t>RÉCAPITULATIF COMPARATIF DES 7 GABARITS</t>
        </is>
      </c>
    </row>
    <row r="2">
      <c r="A2" s="3" t="inlineStr">
        <is>
          <t>Calculé avec les paramètres en vigueur (hauteur, pente, prix…) et les profilés automatiques. Façades : variante bardage bac acier et variante agglos 15 creux.</t>
        </is>
      </c>
    </row>
    <row r="4" ht="30" customHeight="1">
      <c r="B4" s="8" t="inlineStr">
        <is>
          <t>Gabarit</t>
        </is>
      </c>
      <c r="C4" s="8" t="inlineStr">
        <is>
          <t>Système</t>
        </is>
      </c>
      <c r="D4" s="8" t="inlineStr">
        <is>
          <t>Surface (m²)</t>
        </is>
      </c>
      <c r="E4" s="8" t="inlineStr">
        <is>
          <t>Tonnage acier (t)</t>
        </is>
      </c>
      <c r="F4" s="8" t="inlineStr">
        <is>
          <t>kg/m²</t>
        </is>
      </c>
      <c r="G4" s="8" t="inlineStr">
        <is>
          <t>Tôles (m²)</t>
        </is>
      </c>
      <c r="H4" s="8" t="inlineStr">
        <is>
          <t>Béton (m³)</t>
        </is>
      </c>
      <c r="I4" s="8" t="inlineStr">
        <is>
          <t>Aciers HA (kg)</t>
        </is>
      </c>
      <c r="J4" s="8" t="inlineStr">
        <is>
          <t>Coût HT (FCFA)</t>
        </is>
      </c>
      <c r="K4" s="8" t="inlineStr">
        <is>
          <t>Coût HT / m²</t>
        </is>
      </c>
      <c r="L4" s="8" t="inlineStr">
        <is>
          <t>Coût façade bardage</t>
        </is>
      </c>
      <c r="M4" s="8" t="inlineStr">
        <is>
          <t>Coût façade agglos</t>
        </is>
      </c>
    </row>
    <row r="5">
      <c r="B5" s="79" t="inlineStr">
        <is>
          <t>10 × 30</t>
        </is>
      </c>
      <c r="C5" s="12" t="str">
        <f>'CALC_GABARITS'!$D$11</f>
        <v>Portique IPE avec jarrets</v>
      </c>
      <c r="D5" s="80">
        <f>'CALC_GABARITS'!$D$31</f>
        <v>300</v>
      </c>
      <c r="E5" s="80">
        <f>'CALC_GABARITS'!$D$356</f>
        <v>10.2701780390206</v>
      </c>
      <c r="F5" s="80">
        <f>'CALC_GABARITS'!$D$357</f>
        <v>34.2339267967355</v>
      </c>
      <c r="G5" s="80">
        <f>'CALC_GABARITS'!$D$256</f>
        <v>304.132048300695</v>
      </c>
      <c r="H5" s="80">
        <f>'CALC_GABARITS'!$D$531</f>
        <v>79.1485</v>
      </c>
      <c r="I5" s="80">
        <f>'CALC_GABARITS'!$D$548</f>
        <v>2576.590275</v>
      </c>
      <c r="J5" s="81">
        <f>'CALC_GABARITS'!$D$688</f>
        <v>42081885.2286782</v>
      </c>
      <c r="K5" s="81">
        <f>'CALC_GABARITS'!$D$691</f>
        <v>140272.950762261</v>
      </c>
      <c r="L5" s="81">
        <f>'CALC_GABARITS'!$E$693</f>
        <v>5896757.28483333</v>
      </c>
      <c r="M5" s="81">
        <f>'CALC_GABARITS'!$F$693</f>
        <v>7329355.21891303</v>
      </c>
    </row>
    <row r="6">
      <c r="B6" s="79" t="inlineStr">
        <is>
          <t>15 × 20</t>
        </is>
      </c>
      <c r="C6" s="12" t="str">
        <f>'CALC_GABARITS'!$G$11</f>
        <v>Portique IPE avec jarrets</v>
      </c>
      <c r="D6" s="80">
        <f>'CALC_GABARITS'!$G$31</f>
        <v>300</v>
      </c>
      <c r="E6" s="80">
        <f>'CALC_GABARITS'!$G$356</f>
        <v>11.5432988106959</v>
      </c>
      <c r="F6" s="80">
        <f>'CALC_GABARITS'!$G$357</f>
        <v>38.4776627023196</v>
      </c>
      <c r="G6" s="80">
        <f>'CALC_GABARITS'!$G$256</f>
        <v>307.170205636976</v>
      </c>
      <c r="H6" s="80">
        <f>'CALC_GABARITS'!$G$531</f>
        <v>76.9025</v>
      </c>
      <c r="I6" s="80">
        <f>'CALC_GABARITS'!$G$548</f>
        <v>2539.4625375</v>
      </c>
      <c r="J6" s="81">
        <f>'CALC_GABARITS'!$G$688</f>
        <v>43222389.4544163</v>
      </c>
      <c r="K6" s="81">
        <f>'CALC_GABARITS'!$G$691</f>
        <v>144074.631514721</v>
      </c>
      <c r="L6" s="81">
        <f>'CALC_GABARITS'!$H$693</f>
        <v>5020447.044</v>
      </c>
      <c r="M6" s="81">
        <f>'CALC_GABARITS'!$I$693</f>
        <v>6780431.66561955</v>
      </c>
    </row>
    <row r="7">
      <c r="B7" s="79" t="inlineStr">
        <is>
          <t>15 × 30</t>
        </is>
      </c>
      <c r="C7" s="12" t="str">
        <f>'CALC_GABARITS'!$J$11</f>
        <v>Portique IPE avec jarrets</v>
      </c>
      <c r="D7" s="80">
        <f>'CALC_GABARITS'!$J$31</f>
        <v>450</v>
      </c>
      <c r="E7" s="80">
        <f>'CALC_GABARITS'!$J$356</f>
        <v>14.3079077839643</v>
      </c>
      <c r="F7" s="80">
        <f>'CALC_GABARITS'!$J$357</f>
        <v>31.7953506310318</v>
      </c>
      <c r="G7" s="80">
        <f>'CALC_GABARITS'!$J$256</f>
        <v>459.078072451042</v>
      </c>
      <c r="H7" s="80">
        <f>'CALC_GABARITS'!$J$531</f>
        <v>110.9225</v>
      </c>
      <c r="I7" s="80">
        <f>'CALC_GABARITS'!$J$548</f>
        <v>3663.0846525</v>
      </c>
      <c r="J7" s="81">
        <f>'CALC_GABARITS'!$J$688</f>
        <v>56330712.7525805</v>
      </c>
      <c r="K7" s="81">
        <f>'CALC_GABARITS'!$J$691</f>
        <v>125179.361672401</v>
      </c>
      <c r="L7" s="81">
        <f>'CALC_GABARITS'!$K$693</f>
        <v>6758131.8615</v>
      </c>
      <c r="M7" s="81">
        <f>'CALC_GABARITS'!$L$693</f>
        <v>8434210.86821954</v>
      </c>
    </row>
    <row r="8">
      <c r="B8" s="79" t="inlineStr">
        <is>
          <t>20 × 20</t>
        </is>
      </c>
      <c r="C8" s="12" t="str">
        <f>'CALC_GABARITS'!$M$11</f>
        <v>Portique IPE avec jarrets</v>
      </c>
      <c r="D8" s="80">
        <f>'CALC_GABARITS'!$M$31</f>
        <v>400</v>
      </c>
      <c r="E8" s="80">
        <f>'CALC_GABARITS'!$M$356</f>
        <v>16.0514378047435</v>
      </c>
      <c r="F8" s="80">
        <f>'CALC_GABARITS'!$M$357</f>
        <v>40.1285945118586</v>
      </c>
      <c r="G8" s="80">
        <f>'CALC_GABARITS'!$M$256</f>
        <v>411.480274182634</v>
      </c>
      <c r="H8" s="80">
        <f>'CALC_GABARITS'!$M$531</f>
        <v>98.6765</v>
      </c>
      <c r="I8" s="80">
        <f>'CALC_GABARITS'!$M$548</f>
        <v>3256.682415</v>
      </c>
      <c r="J8" s="81">
        <f>'CALC_GABARITS'!$M$688</f>
        <v>56397657.6646282</v>
      </c>
      <c r="K8" s="81">
        <f>'CALC_GABARITS'!$M$691</f>
        <v>140994.14416157</v>
      </c>
      <c r="L8" s="81">
        <f>'CALC_GABARITS'!$N$693</f>
        <v>5902975.48933333</v>
      </c>
      <c r="M8" s="81">
        <f>'CALC_GABARITS'!$O$693</f>
        <v>7916598.65092606</v>
      </c>
    </row>
    <row r="9">
      <c r="B9" s="79" t="inlineStr">
        <is>
          <t>20 × 40</t>
        </is>
      </c>
      <c r="C9" s="12" t="str">
        <f>'CALC_GABARITS'!$P$11</f>
        <v>Portique IPE avec jarrets</v>
      </c>
      <c r="D9" s="80">
        <f>'CALC_GABARITS'!$P$31</f>
        <v>800</v>
      </c>
      <c r="E9" s="80">
        <f>'CALC_GABARITS'!$P$356</f>
        <v>25.9878354729895</v>
      </c>
      <c r="F9" s="80">
        <f>'CALC_GABARITS'!$P$357</f>
        <v>32.4847943412368</v>
      </c>
      <c r="G9" s="80">
        <f>'CALC_GABARITS'!$P$256</f>
        <v>816.567919020144</v>
      </c>
      <c r="H9" s="80">
        <f>'CALC_GABARITS'!$P$531</f>
        <v>188.0365</v>
      </c>
      <c r="I9" s="80">
        <f>'CALC_GABARITS'!$P$548</f>
        <v>6214.278945</v>
      </c>
      <c r="J9" s="81">
        <f>'CALC_GABARITS'!$P$688</f>
        <v>94639718.8561113</v>
      </c>
      <c r="K9" s="81">
        <f>'CALC_GABARITS'!$P$691</f>
        <v>118299.648570139</v>
      </c>
      <c r="L9" s="81">
        <f>'CALC_GABARITS'!$Q$693</f>
        <v>9270590.11683334</v>
      </c>
      <c r="M9" s="81">
        <f>'CALC_GABARITS'!$R$693</f>
        <v>11463851.6567261</v>
      </c>
    </row>
    <row r="10">
      <c r="B10" s="79" t="inlineStr">
        <is>
          <t>30 × 40</t>
        </is>
      </c>
      <c r="C10" s="12" t="str">
        <f>'CALC_GABARITS'!$S$11</f>
        <v>Portique IPE renforcé</v>
      </c>
      <c r="D10" s="80">
        <f>'CALC_GABARITS'!$S$31</f>
        <v>1200</v>
      </c>
      <c r="E10" s="80">
        <f>'CALC_GABARITS'!$S$356</f>
        <v>44.985602988224</v>
      </c>
      <c r="F10" s="80">
        <f>'CALC_GABARITS'!$S$357</f>
        <v>37.4880024901867</v>
      </c>
      <c r="G10" s="80">
        <f>'CALC_GABARITS'!$S$256</f>
        <v>1227.73187853022</v>
      </c>
      <c r="H10" s="80">
        <f>'CALC_GABARITS'!$S$531</f>
        <v>271.1605</v>
      </c>
      <c r="I10" s="80">
        <f>'CALC_GABARITS'!$S$548</f>
        <v>8993.18742</v>
      </c>
      <c r="J10" s="81">
        <f>'CALC_GABARITS'!$S$688</f>
        <v>146690703.962284</v>
      </c>
      <c r="K10" s="81">
        <f>'CALC_GABARITS'!$S$691</f>
        <v>122242.253301903</v>
      </c>
      <c r="L10" s="81">
        <f>'CALC_GABARITS'!$T$693</f>
        <v>11206035.7275</v>
      </c>
      <c r="M10" s="81">
        <f>'CALC_GABARITS'!$U$693</f>
        <v>13590952.8907391</v>
      </c>
    </row>
    <row r="11">
      <c r="B11" s="79" t="inlineStr">
        <is>
          <t>40 × 40</t>
        </is>
      </c>
      <c r="C11" s="12" t="str">
        <f>'CALC_GABARITS'!$V$11</f>
        <v>Ferme treillis</v>
      </c>
      <c r="D11" s="80">
        <f>'CALC_GABARITS'!$V$31</f>
        <v>1600</v>
      </c>
      <c r="E11" s="80">
        <f>'CALC_GABARITS'!$V$356</f>
        <v>62.3806580057533</v>
      </c>
      <c r="F11" s="80">
        <f>'CALC_GABARITS'!$V$357</f>
        <v>38.9879112535958</v>
      </c>
      <c r="G11" s="80">
        <f>'CALC_GABARITS'!$V$256</f>
        <v>1638.89583804029</v>
      </c>
      <c r="H11" s="80">
        <f>'CALC_GABARITS'!$V$531</f>
        <v>354.7085</v>
      </c>
      <c r="I11" s="80">
        <f>'CALC_GABARITS'!$V$548</f>
        <v>11800.032615</v>
      </c>
      <c r="J11" s="81">
        <f>'CALC_GABARITS'!$V$688</f>
        <v>197677966.910145</v>
      </c>
      <c r="K11" s="81">
        <f>'CALC_GABARITS'!$V$691</f>
        <v>123548.729318841</v>
      </c>
      <c r="L11" s="81">
        <f>'CALC_GABARITS'!$W$693</f>
        <v>16079602.5346111</v>
      </c>
      <c r="M11" s="81">
        <f>'CALC_GABARITS'!$X$693</f>
        <v>18483818.1285521</v>
      </c>
    </row>
    <row r="13">
      <c r="B13" s="82" t="inlineStr">
        <is>
          <t>Contrôle de cohérence (gabarit actif) : écart entre le moteur et le DQE</t>
        </is>
      </c>
      <c r="H13" s="16" t="str">
        <f>IFERROR(IF(ABS(INDEX('CALC_GABARITS'!$D$688:$X$688,1,(MATCH('ACCUEIL'!$D$6,'PARAMÈTRES'!$G$5:$G$11,0)-1)*3+1)-'DQE_DEVIS'!$G$64)&lt;1,"OK (écart nul)","ÉCART : vérifier les forçages de profilés"),"PERSONNALISÉ : sans objet")</f>
        <v>OK (écart nul)</v>
      </c>
    </row>
    <row r="14">
      <c r="B14" s="7" t="inlineStr">
        <is>
          <t>Le comparatif utilise les profilés automatiques : un forçage en PRÉDIMENSIONNEMENT ne s'applique qu'au gabarit actif. Coûts façade = bardage + lisses + liernes + larmiers, ou agglos + chaînages + raidisseurs + linteaux (+ enduit), main d'œuvre comprise.</t>
        </is>
      </c>
    </row>
  </sheetData>
  <mergeCells count="3">
    <mergeCell ref="A1:L1"/>
    <mergeCell ref="B13:G13"/>
    <mergeCell ref="H13:K13"/>
  </mergeCells>
  <conditionalFormatting sqref="F5:F11">
    <cfRule type="expression" priority="1" dxfId="0">
      <formula>OR(F5&lt;18,F5&gt;45)</formula>
    </cfRule>
  </conditionalFormatting>
  <conditionalFormatting sqref="H13">
    <cfRule type="expression" priority="2" dxfId="0">
      <formula>LEFT(H13,5)="ÉCART"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&amp;L&amp;8 &amp;A&amp;C&amp;8 Page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M249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1.3" customWidth="1" min="2" max="2"/>
    <col width="11.3" customWidth="1" min="3" max="3"/>
    <col width="11.3" customWidth="1" min="4" max="4"/>
    <col width="11.3" customWidth="1" min="5" max="5"/>
    <col width="11.3" customWidth="1" min="6" max="6"/>
    <col width="11.3" customWidth="1" min="7" max="7"/>
    <col width="11.3" customWidth="1" min="8" max="8"/>
    <col width="11.3" customWidth="1" min="9" max="9"/>
    <col width="11.3" customWidth="1" min="10" max="10"/>
    <col width="11.3" customWidth="1" min="11" max="11"/>
    <col width="11.3" customWidth="1" min="12" max="12"/>
    <col width="11.3" customWidth="1" min="13" max="13"/>
  </cols>
  <sheetData>
    <row r="1">
      <c r="B1" s="1" t="inlineStr">
        <is>
          <t>PLANCHE 1 / 7 – VUE EN PLAN – IMPLANTATION</t>
        </is>
      </c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</row>
    <row r="28">
      <c r="B28" s="84" t="inlineStr">
        <is>
          <t>VUE EN PLAN – IMPLANTATION</t>
        </is>
      </c>
      <c r="C28" s="85" t="n"/>
      <c r="D28" s="85" t="n"/>
      <c r="E28" s="85" t="n"/>
      <c r="F28" s="85" t="n"/>
      <c r="G28" s="85" t="n"/>
      <c r="H28" s="85" t="n"/>
      <c r="I28" s="85" t="n"/>
      <c r="J28" s="86" t="inlineStr">
        <is>
          <t>Planche n° 1 / 7</t>
        </is>
      </c>
      <c r="K28" s="85" t="n"/>
      <c r="L28" s="87" t="inlineStr">
        <is>
          <t>Date :</t>
        </is>
      </c>
      <c r="M28" s="88">
        <f>TODAY()</f>
        <v>46301.0</v>
      </c>
    </row>
    <row r="29" ht="24" customHeight="1">
      <c r="B29" s="89" t="str">
        <f>"Gabarit "&amp;'ACCUEIL'!$D$6&amp;" : portée "&amp;FIXED('PARAMÈTRES'!$C$9,2,TRUE)&amp;" m × longueur "&amp;FIXED('PARAMÈTRES'!$C$10,2,TRUE)&amp;" m – H sablière "&amp;FIXED('PARAMÈTRES'!$C$11,2,TRUE)&amp;" m – pente "&amp;FIXED('PARAMÈTRES'!$C$12*100,1,TRUE)&amp;" % – "&amp;'PRÉDIMENSIONNEMENT'!$C$26&amp;" – façade : "&amp;'PARAMÈTRES'!$C$51</f>
        <v>Gabarit 20 × 40 : portée 20.00 m × longueur 40.00 m – H sablière 6.00 m – pente 16.0 % – Portique IPE avec jarrets – façade : Bardage bac acier</v>
      </c>
      <c r="C29" s="85" t="n"/>
      <c r="D29" s="85" t="n"/>
      <c r="E29" s="85" t="n"/>
      <c r="F29" s="85" t="n"/>
      <c r="G29" s="85" t="n"/>
      <c r="H29" s="85" t="n"/>
      <c r="I29" s="85" t="n"/>
      <c r="J29" s="90" t="inlineStr">
        <is>
          <t>ESQUISSE NON CONTRACTUELLE</t>
        </is>
      </c>
      <c r="K29" s="85" t="n"/>
      <c r="L29" s="85" t="n"/>
      <c r="M29" s="85" t="n"/>
    </row>
    <row r="30" ht="22" customHeight="1">
      <c r="B30" s="91" t="inlineStr">
        <is>
          <t>Couleurs : charpente en bleu · contreventements en orange · béton en gris · aciers en rouge · maçonnerie en marron clair · cotes et baies en noir · translucides en bleu clair · remblai en latérite</t>
        </is>
      </c>
      <c r="C30" s="85" t="n"/>
      <c r="D30" s="85" t="n"/>
      <c r="E30" s="85" t="n"/>
      <c r="F30" s="85" t="n"/>
      <c r="G30" s="85" t="n"/>
      <c r="H30" s="85" t="n"/>
      <c r="I30" s="85" t="n"/>
      <c r="J30" s="92" t="inlineStr">
        <is>
          <t>BON POUR ACCORD</t>
        </is>
      </c>
      <c r="K30" s="85" t="n"/>
      <c r="L30" s="85" t="n"/>
      <c r="M30" s="85" t="n"/>
    </row>
    <row r="31">
      <c r="B31" s="89" t="str">
        <f>"Poteaux de portique ■ "&amp;'PRÉDIMENSIONNEMENT'!$E$69&amp;" sur semelles "&amp;'PARAMÈTRES'!$C$89*100&amp;" × "&amp;'PARAMÈTRES'!$C$89*100&amp;" ; poteaux de pignon ● "&amp;'PRÉDIMENSIONNEMENT'!$E$75&amp;" sur semelles "&amp;'PARAMÈTRES'!$C$92*100&amp;" × "&amp;'PARAMÈTRES'!$C$92*100&amp;" ; semelles filantes en pointillés."</f>
        <v>Poteaux de portique ■ IPE 330 sur semelles 120 × 120 ; poteaux de pignon ● IPE 220 sur semelles 80 × 80 ; semelles filantes en pointillés.</v>
      </c>
      <c r="C31" s="85" t="n"/>
      <c r="D31" s="85" t="n"/>
      <c r="E31" s="85" t="n"/>
      <c r="F31" s="85" t="n"/>
      <c r="G31" s="85" t="n"/>
      <c r="H31" s="85" t="n"/>
      <c r="I31" s="85" t="n"/>
      <c r="J31" s="93" t="inlineStr">
        <is>
          <t>Date :</t>
        </is>
      </c>
      <c r="K31" s="85" t="n"/>
      <c r="L31" s="94" t="n"/>
      <c r="M31" s="95" t="n"/>
    </row>
    <row r="32">
      <c r="B32" s="85" t="n"/>
      <c r="C32" s="85" t="n"/>
      <c r="D32" s="85" t="n"/>
      <c r="E32" s="85" t="n"/>
      <c r="F32" s="85" t="n"/>
      <c r="G32" s="85" t="n"/>
      <c r="H32" s="85" t="n"/>
      <c r="I32" s="85" t="n"/>
      <c r="J32" s="93" t="inlineStr">
        <is>
          <t>Signature :</t>
        </is>
      </c>
      <c r="K32" s="85" t="n"/>
      <c r="L32" s="96" t="n"/>
      <c r="M32" s="97" t="n"/>
    </row>
    <row r="33">
      <c r="B33" s="98" t="inlineStr">
        <is>
          <t>Échelle : automatique (même échelle en X et en Y) – cotes en mètres</t>
        </is>
      </c>
      <c r="C33" s="94" t="n"/>
      <c r="D33" s="94" t="n"/>
      <c r="E33" s="94" t="n"/>
      <c r="F33" s="94" t="n"/>
      <c r="G33" s="94" t="n"/>
      <c r="H33" s="94" t="n"/>
      <c r="I33" s="95" t="n"/>
      <c r="J33" s="85" t="n"/>
      <c r="K33" s="99" t="n"/>
      <c r="L33" s="100" t="n"/>
      <c r="M33" s="101" t="n"/>
    </row>
    <row r="37">
      <c r="B37" s="1" t="inlineStr">
        <is>
          <t>PLANCHE 2 / 7 – COUPE TRANSVERSALE – PORTIQUE TYPE</t>
        </is>
      </c>
      <c r="C37" s="83" t="n"/>
      <c r="D37" s="83" t="n"/>
      <c r="E37" s="83" t="n"/>
      <c r="F37" s="83" t="n"/>
      <c r="G37" s="83" t="n"/>
      <c r="H37" s="83" t="n"/>
      <c r="I37" s="83" t="n"/>
      <c r="J37" s="83" t="n"/>
      <c r="K37" s="83" t="n"/>
      <c r="L37" s="83" t="n"/>
      <c r="M37" s="83" t="n"/>
    </row>
    <row r="64">
      <c r="B64" s="84" t="inlineStr">
        <is>
          <t>COUPE TRANSVERSALE – PORTIQUE TYPE</t>
        </is>
      </c>
      <c r="C64" s="85" t="n"/>
      <c r="D64" s="85" t="n"/>
      <c r="E64" s="85" t="n"/>
      <c r="F64" s="85" t="n"/>
      <c r="G64" s="85" t="n"/>
      <c r="H64" s="85" t="n"/>
      <c r="I64" s="85" t="n"/>
      <c r="J64" s="86" t="inlineStr">
        <is>
          <t>Planche n° 2 / 7</t>
        </is>
      </c>
      <c r="K64" s="85" t="n"/>
      <c r="L64" s="87" t="inlineStr">
        <is>
          <t>Date :</t>
        </is>
      </c>
      <c r="M64" s="88">
        <f>TODAY()</f>
        <v>46301.0</v>
      </c>
    </row>
    <row r="65" ht="24" customHeight="1">
      <c r="B65" s="89" t="str">
        <f>"Gabarit "&amp;'ACCUEIL'!$D$6&amp;" : portée "&amp;FIXED('PARAMÈTRES'!$C$9,2,TRUE)&amp;" m × longueur "&amp;FIXED('PARAMÈTRES'!$C$10,2,TRUE)&amp;" m – H sablière "&amp;FIXED('PARAMÈTRES'!$C$11,2,TRUE)&amp;" m – pente "&amp;FIXED('PARAMÈTRES'!$C$12*100,1,TRUE)&amp;" % – "&amp;'PRÉDIMENSIONNEMENT'!$C$26&amp;" – façade : "&amp;'PARAMÈTRES'!$C$51</f>
        <v>Gabarit 20 × 40 : portée 20.00 m × longueur 40.00 m – H sablière 6.00 m – pente 16.0 % – Portique IPE avec jarrets – façade : Bardage bac acier</v>
      </c>
      <c r="C65" s="85" t="n"/>
      <c r="D65" s="85" t="n"/>
      <c r="E65" s="85" t="n"/>
      <c r="F65" s="85" t="n"/>
      <c r="G65" s="85" t="n"/>
      <c r="H65" s="85" t="n"/>
      <c r="I65" s="85" t="n"/>
      <c r="J65" s="90" t="inlineStr">
        <is>
          <t>ESQUISSE NON CONTRACTUELLE</t>
        </is>
      </c>
      <c r="K65" s="85" t="n"/>
      <c r="L65" s="85" t="n"/>
      <c r="M65" s="85" t="n"/>
    </row>
    <row r="66" ht="22" customHeight="1">
      <c r="B66" s="91" t="inlineStr">
        <is>
          <t>Couleurs : charpente en bleu · contreventements en orange · béton en gris · aciers en rouge · maçonnerie en marron clair · cotes et baies en noir · translucides en bleu clair · remblai en latérite</t>
        </is>
      </c>
      <c r="C66" s="85" t="n"/>
      <c r="D66" s="85" t="n"/>
      <c r="E66" s="85" t="n"/>
      <c r="F66" s="85" t="n"/>
      <c r="G66" s="85" t="n"/>
      <c r="H66" s="85" t="n"/>
      <c r="I66" s="85" t="n"/>
      <c r="J66" s="92" t="inlineStr">
        <is>
          <t>BON POUR ACCORD</t>
        </is>
      </c>
      <c r="K66" s="85" t="n"/>
      <c r="L66" s="85" t="n"/>
      <c r="M66" s="85" t="n"/>
    </row>
    <row r="67">
      <c r="B67" s="89" t="str">
        <f>"Croix de Saint-André dans les travées d'extrémité et une travée sur 5 ("&amp;'PRÉDIMENSIONNEMENT'!$C$44&amp;" travées). "&amp;IF('PRÉDIMENSIONNEMENT'!$C$50=1,"Lisses "&amp;'PRÉDIMENSIONNEMENT'!$E$78&amp;" e = "&amp;FIXED('PARAMÈTRES'!$C$17,2,TRUE)&amp;" m","Façade maçonnée : lisses sans objet")&amp;IF('PRÉDIMENSIONNEMENT'!$C$51=1," ; maçonnerie agglos 15 creux sur "&amp;FIXED('PRÉDIMENSIONNEMENT'!$C$49,2,TRUE)&amp;" m avec chaînages gris.",".")</f>
        <v>Croix de Saint-André dans les travées d'extrémité et une travée sur 5 (3 travées). Lisses C 160 e = 1.80 m.</v>
      </c>
      <c r="C67" s="85" t="n"/>
      <c r="D67" s="85" t="n"/>
      <c r="E67" s="85" t="n"/>
      <c r="F67" s="85" t="n"/>
      <c r="G67" s="85" t="n"/>
      <c r="H67" s="85" t="n"/>
      <c r="I67" s="85" t="n"/>
      <c r="J67" s="93" t="inlineStr">
        <is>
          <t>Date :</t>
        </is>
      </c>
      <c r="K67" s="85" t="n"/>
      <c r="L67" s="94" t="n"/>
      <c r="M67" s="95" t="n"/>
    </row>
    <row r="68">
      <c r="B68" s="85" t="n"/>
      <c r="C68" s="85" t="n"/>
      <c r="D68" s="85" t="n"/>
      <c r="E68" s="85" t="n"/>
      <c r="F68" s="85" t="n"/>
      <c r="G68" s="85" t="n"/>
      <c r="H68" s="85" t="n"/>
      <c r="I68" s="85" t="n"/>
      <c r="J68" s="93" t="inlineStr">
        <is>
          <t>Signature :</t>
        </is>
      </c>
      <c r="K68" s="85" t="n"/>
      <c r="L68" s="96" t="n"/>
      <c r="M68" s="97" t="n"/>
    </row>
    <row r="69">
      <c r="B69" s="98" t="inlineStr">
        <is>
          <t>Échelle : automatique (même échelle en X et en Y) – cotes en mètres</t>
        </is>
      </c>
      <c r="C69" s="94" t="n"/>
      <c r="D69" s="94" t="n"/>
      <c r="E69" s="94" t="n"/>
      <c r="F69" s="94" t="n"/>
      <c r="G69" s="94" t="n"/>
      <c r="H69" s="94" t="n"/>
      <c r="I69" s="95" t="n"/>
      <c r="J69" s="85" t="n"/>
      <c r="K69" s="99" t="n"/>
      <c r="L69" s="100" t="n"/>
      <c r="M69" s="101" t="n"/>
    </row>
    <row r="73">
      <c r="B73" s="1" t="inlineStr">
        <is>
          <t>PLANCHE 3 / 7 – ÉLÉVATION LONG-PAN</t>
        </is>
      </c>
      <c r="C73" s="83" t="n"/>
      <c r="D73" s="83" t="n"/>
      <c r="E73" s="83" t="n"/>
      <c r="F73" s="83" t="n"/>
      <c r="G73" s="83" t="n"/>
      <c r="H73" s="83" t="n"/>
      <c r="I73" s="83" t="n"/>
      <c r="J73" s="83" t="n"/>
      <c r="K73" s="83" t="n"/>
      <c r="L73" s="83" t="n"/>
      <c r="M73" s="83" t="n"/>
    </row>
    <row r="100">
      <c r="B100" s="84" t="inlineStr">
        <is>
          <t>ÉLÉVATION LONG-PAN</t>
        </is>
      </c>
      <c r="C100" s="85" t="n"/>
      <c r="D100" s="85" t="n"/>
      <c r="E100" s="85" t="n"/>
      <c r="F100" s="85" t="n"/>
      <c r="G100" s="85" t="n"/>
      <c r="H100" s="85" t="n"/>
      <c r="I100" s="85" t="n"/>
      <c r="J100" s="86" t="inlineStr">
        <is>
          <t>Planche n° 3 / 7</t>
        </is>
      </c>
      <c r="K100" s="85" t="n"/>
      <c r="L100" s="87" t="inlineStr">
        <is>
          <t>Date :</t>
        </is>
      </c>
      <c r="M100" s="88">
        <f>TODAY()</f>
        <v>46301.0</v>
      </c>
    </row>
    <row r="101" ht="24" customHeight="1">
      <c r="B101" s="89" t="str">
        <f>"Gabarit "&amp;'ACCUEIL'!$D$6&amp;" : portée "&amp;FIXED('PARAMÈTRES'!$C$9,2,TRUE)&amp;" m × longueur "&amp;FIXED('PARAMÈTRES'!$C$10,2,TRUE)&amp;" m – H sablière "&amp;FIXED('PARAMÈTRES'!$C$11,2,TRUE)&amp;" m – pente "&amp;FIXED('PARAMÈTRES'!$C$12*100,1,TRUE)&amp;" % – "&amp;'PRÉDIMENSIONNEMENT'!$C$26&amp;" – façade : "&amp;'PARAMÈTRES'!$C$51</f>
        <v>Gabarit 20 × 40 : portée 20.00 m × longueur 40.00 m – H sablière 6.00 m – pente 16.0 % – Portique IPE avec jarrets – façade : Bardage bac acier</v>
      </c>
      <c r="C101" s="85" t="n"/>
      <c r="D101" s="85" t="n"/>
      <c r="E101" s="85" t="n"/>
      <c r="F101" s="85" t="n"/>
      <c r="G101" s="85" t="n"/>
      <c r="H101" s="85" t="n"/>
      <c r="I101" s="85" t="n"/>
      <c r="J101" s="90" t="inlineStr">
        <is>
          <t>ESQUISSE NON CONTRACTUELLE</t>
        </is>
      </c>
      <c r="K101" s="85" t="n"/>
      <c r="L101" s="85" t="n"/>
      <c r="M101" s="85" t="n"/>
    </row>
    <row r="102" ht="22" customHeight="1">
      <c r="B102" s="91" t="inlineStr">
        <is>
          <t>Couleurs : charpente en bleu · contreventements en orange · béton en gris · aciers en rouge · maçonnerie en marron clair · cotes et baies en noir · translucides en bleu clair · remblai en latérite</t>
        </is>
      </c>
      <c r="C102" s="85" t="n"/>
      <c r="D102" s="85" t="n"/>
      <c r="E102" s="85" t="n"/>
      <c r="F102" s="85" t="n"/>
      <c r="G102" s="85" t="n"/>
      <c r="H102" s="85" t="n"/>
      <c r="I102" s="85" t="n"/>
      <c r="J102" s="92" t="inlineStr">
        <is>
          <t>BON POUR ACCORD</t>
        </is>
      </c>
      <c r="K102" s="85" t="n"/>
      <c r="L102" s="85" t="n"/>
      <c r="M102" s="85" t="n"/>
    </row>
    <row r="103">
      <c r="B103" s="89" t="str">
        <f>"Croix de Saint-André dans les travées d'extrémité et une travée sur 5 ("&amp;'PRÉDIMENSIONNEMENT'!$C$44&amp;" travées). "&amp;IF('PRÉDIMENSIONNEMENT'!$C$50=1,"Lisses "&amp;'PRÉDIMENSIONNEMENT'!$E$78&amp;" e = "&amp;FIXED('PARAMÈTRES'!$C$17,2,TRUE)&amp;" m","Façade maçonnée : lisses sans objet")&amp;IF('PRÉDIMENSIONNEMENT'!$C$51=1," ; maçonnerie agglos 15 creux sur "&amp;FIXED('PRÉDIMENSIONNEMENT'!$C$49,2,TRUE)&amp;" m avec chaînages gris.",".")</f>
        <v>Croix de Saint-André dans les travées d'extrémité et une travée sur 5 (3 travées). Lisses C 160 e = 1.80 m.</v>
      </c>
      <c r="C103" s="85" t="n"/>
      <c r="D103" s="85" t="n"/>
      <c r="E103" s="85" t="n"/>
      <c r="F103" s="85" t="n"/>
      <c r="G103" s="85" t="n"/>
      <c r="H103" s="85" t="n"/>
      <c r="I103" s="85" t="n"/>
      <c r="J103" s="93" t="inlineStr">
        <is>
          <t>Date :</t>
        </is>
      </c>
      <c r="K103" s="85" t="n"/>
      <c r="L103" s="94" t="n"/>
      <c r="M103" s="95" t="n"/>
    </row>
    <row r="104">
      <c r="B104" s="85" t="n"/>
      <c r="C104" s="85" t="n"/>
      <c r="D104" s="85" t="n"/>
      <c r="E104" s="85" t="n"/>
      <c r="F104" s="85" t="n"/>
      <c r="G104" s="85" t="n"/>
      <c r="H104" s="85" t="n"/>
      <c r="I104" s="85" t="n"/>
      <c r="J104" s="93" t="inlineStr">
        <is>
          <t>Signature :</t>
        </is>
      </c>
      <c r="K104" s="85" t="n"/>
      <c r="L104" s="96" t="n"/>
      <c r="M104" s="97" t="n"/>
    </row>
    <row r="105">
      <c r="B105" s="98" t="inlineStr">
        <is>
          <t>Échelle : automatique (même échelle en X et en Y) – cotes en mètres</t>
        </is>
      </c>
      <c r="C105" s="94" t="n"/>
      <c r="D105" s="94" t="n"/>
      <c r="E105" s="94" t="n"/>
      <c r="F105" s="94" t="n"/>
      <c r="G105" s="94" t="n"/>
      <c r="H105" s="94" t="n"/>
      <c r="I105" s="95" t="n"/>
      <c r="J105" s="85" t="n"/>
      <c r="K105" s="99" t="n"/>
      <c r="L105" s="100" t="n"/>
      <c r="M105" s="101" t="n"/>
    </row>
    <row r="109">
      <c r="B109" s="1" t="inlineStr">
        <is>
          <t>PLANCHE 4 / 7 – ÉLÉVATION PIGNON</t>
        </is>
      </c>
      <c r="C109" s="83" t="n"/>
      <c r="D109" s="83" t="n"/>
      <c r="E109" s="83" t="n"/>
      <c r="F109" s="83" t="n"/>
      <c r="G109" s="83" t="n"/>
      <c r="H109" s="83" t="n"/>
      <c r="I109" s="83" t="n"/>
      <c r="J109" s="83" t="n"/>
      <c r="K109" s="83" t="n"/>
      <c r="L109" s="83" t="n"/>
      <c r="M109" s="83" t="n"/>
    </row>
    <row r="136">
      <c r="B136" s="84" t="inlineStr">
        <is>
          <t>ÉLÉVATION PIGNON</t>
        </is>
      </c>
      <c r="C136" s="85" t="n"/>
      <c r="D136" s="85" t="n"/>
      <c r="E136" s="85" t="n"/>
      <c r="F136" s="85" t="n"/>
      <c r="G136" s="85" t="n"/>
      <c r="H136" s="85" t="n"/>
      <c r="I136" s="85" t="n"/>
      <c r="J136" s="86" t="inlineStr">
        <is>
          <t>Planche n° 4 / 7</t>
        </is>
      </c>
      <c r="K136" s="85" t="n"/>
      <c r="L136" s="87" t="inlineStr">
        <is>
          <t>Date :</t>
        </is>
      </c>
      <c r="M136" s="88">
        <f>TODAY()</f>
        <v>46301.0</v>
      </c>
    </row>
    <row r="137" ht="24" customHeight="1">
      <c r="B137" s="89" t="str">
        <f>"Gabarit "&amp;'ACCUEIL'!$D$6&amp;" : portée "&amp;FIXED('PARAMÈTRES'!$C$9,2,TRUE)&amp;" m × longueur "&amp;FIXED('PARAMÈTRES'!$C$10,2,TRUE)&amp;" m – H sablière "&amp;FIXED('PARAMÈTRES'!$C$11,2,TRUE)&amp;" m – pente "&amp;FIXED('PARAMÈTRES'!$C$12*100,1,TRUE)&amp;" % – "&amp;'PRÉDIMENSIONNEMENT'!$C$26&amp;" – façade : "&amp;'PARAMÈTRES'!$C$51</f>
        <v>Gabarit 20 × 40 : portée 20.00 m × longueur 40.00 m – H sablière 6.00 m – pente 16.0 % – Portique IPE avec jarrets – façade : Bardage bac acier</v>
      </c>
      <c r="C137" s="85" t="n"/>
      <c r="D137" s="85" t="n"/>
      <c r="E137" s="85" t="n"/>
      <c r="F137" s="85" t="n"/>
      <c r="G137" s="85" t="n"/>
      <c r="H137" s="85" t="n"/>
      <c r="I137" s="85" t="n"/>
      <c r="J137" s="90" t="inlineStr">
        <is>
          <t>ESQUISSE NON CONTRACTUELLE</t>
        </is>
      </c>
      <c r="K137" s="85" t="n"/>
      <c r="L137" s="85" t="n"/>
      <c r="M137" s="85" t="n"/>
    </row>
    <row r="138" ht="22" customHeight="1">
      <c r="B138" s="91" t="inlineStr">
        <is>
          <t>Couleurs : charpente en bleu · contreventements en orange · béton en gris · aciers en rouge · maçonnerie en marron clair · cotes et baies en noir · translucides en bleu clair · remblai en latérite</t>
        </is>
      </c>
      <c r="C138" s="85" t="n"/>
      <c r="D138" s="85" t="n"/>
      <c r="E138" s="85" t="n"/>
      <c r="F138" s="85" t="n"/>
      <c r="G138" s="85" t="n"/>
      <c r="H138" s="85" t="n"/>
      <c r="I138" s="85" t="n"/>
      <c r="J138" s="92" t="inlineStr">
        <is>
          <t>BON POUR ACCORD</t>
        </is>
      </c>
      <c r="K138" s="85" t="n"/>
      <c r="L138" s="85" t="n"/>
      <c r="M138" s="85" t="n"/>
    </row>
    <row r="139">
      <c r="B139" s="89" t="str">
        <f>"Croix de Saint-André dans les travées d'extrémité et une travée sur 5 ("&amp;'PRÉDIMENSIONNEMENT'!$C$44&amp;" travées). "&amp;IF('PRÉDIMENSIONNEMENT'!$C$50=1,"Lisses "&amp;'PRÉDIMENSIONNEMENT'!$E$78&amp;" e = "&amp;FIXED('PARAMÈTRES'!$C$17,2,TRUE)&amp;" m","Façade maçonnée : lisses sans objet")&amp;IF('PRÉDIMENSIONNEMENT'!$C$51=1," ; maçonnerie agglos 15 creux sur "&amp;FIXED('PRÉDIMENSIONNEMENT'!$C$49,2,TRUE)&amp;" m avec chaînages gris.",".")</f>
        <v>Croix de Saint-André dans les travées d'extrémité et une travée sur 5 (3 travées). Lisses C 160 e = 1.80 m.</v>
      </c>
      <c r="C139" s="85" t="n"/>
      <c r="D139" s="85" t="n"/>
      <c r="E139" s="85" t="n"/>
      <c r="F139" s="85" t="n"/>
      <c r="G139" s="85" t="n"/>
      <c r="H139" s="85" t="n"/>
      <c r="I139" s="85" t="n"/>
      <c r="J139" s="93" t="inlineStr">
        <is>
          <t>Date :</t>
        </is>
      </c>
      <c r="K139" s="85" t="n"/>
      <c r="L139" s="94" t="n"/>
      <c r="M139" s="95" t="n"/>
    </row>
    <row r="140">
      <c r="B140" s="85" t="n"/>
      <c r="C140" s="85" t="n"/>
      <c r="D140" s="85" t="n"/>
      <c r="E140" s="85" t="n"/>
      <c r="F140" s="85" t="n"/>
      <c r="G140" s="85" t="n"/>
      <c r="H140" s="85" t="n"/>
      <c r="I140" s="85" t="n"/>
      <c r="J140" s="93" t="inlineStr">
        <is>
          <t>Signature :</t>
        </is>
      </c>
      <c r="K140" s="85" t="n"/>
      <c r="L140" s="96" t="n"/>
      <c r="M140" s="97" t="n"/>
    </row>
    <row r="141">
      <c r="B141" s="98" t="inlineStr">
        <is>
          <t>Échelle : automatique (même échelle en X et en Y) – cotes en mètres</t>
        </is>
      </c>
      <c r="C141" s="94" t="n"/>
      <c r="D141" s="94" t="n"/>
      <c r="E141" s="94" t="n"/>
      <c r="F141" s="94" t="n"/>
      <c r="G141" s="94" t="n"/>
      <c r="H141" s="94" t="n"/>
      <c r="I141" s="95" t="n"/>
      <c r="J141" s="85" t="n"/>
      <c r="K141" s="99" t="n"/>
      <c r="L141" s="100" t="n"/>
      <c r="M141" s="101" t="n"/>
    </row>
    <row r="145">
      <c r="B145" s="1" t="inlineStr">
        <is>
          <t>PLANCHE 5 / 7 – VUE EN PLAN TOITURE – CALEPINAGE</t>
        </is>
      </c>
      <c r="C145" s="83" t="n"/>
      <c r="D145" s="83" t="n"/>
      <c r="E145" s="83" t="n"/>
      <c r="F145" s="83" t="n"/>
      <c r="G145" s="83" t="n"/>
      <c r="H145" s="83" t="n"/>
      <c r="I145" s="83" t="n"/>
      <c r="J145" s="83" t="n"/>
      <c r="K145" s="83" t="n"/>
      <c r="L145" s="83" t="n"/>
      <c r="M145" s="83" t="n"/>
    </row>
    <row r="172">
      <c r="B172" s="84" t="inlineStr">
        <is>
          <t>VUE EN PLAN TOITURE – CALEPINAGE</t>
        </is>
      </c>
      <c r="C172" s="85" t="n"/>
      <c r="D172" s="85" t="n"/>
      <c r="E172" s="85" t="n"/>
      <c r="F172" s="85" t="n"/>
      <c r="G172" s="85" t="n"/>
      <c r="H172" s="85" t="n"/>
      <c r="I172" s="85" t="n"/>
      <c r="J172" s="86" t="inlineStr">
        <is>
          <t>Planche n° 5 / 7</t>
        </is>
      </c>
      <c r="K172" s="85" t="n"/>
      <c r="L172" s="87" t="inlineStr">
        <is>
          <t>Date :</t>
        </is>
      </c>
      <c r="M172" s="88">
        <f>TODAY()</f>
        <v>46301.0</v>
      </c>
    </row>
    <row r="173" ht="24" customHeight="1">
      <c r="B173" s="89" t="str">
        <f>"Gabarit "&amp;'ACCUEIL'!$D$6&amp;" : portée "&amp;FIXED('PARAMÈTRES'!$C$9,2,TRUE)&amp;" m × longueur "&amp;FIXED('PARAMÈTRES'!$C$10,2,TRUE)&amp;" m – H sablière "&amp;FIXED('PARAMÈTRES'!$C$11,2,TRUE)&amp;" m – pente "&amp;FIXED('PARAMÈTRES'!$C$12*100,1,TRUE)&amp;" % – "&amp;'PRÉDIMENSIONNEMENT'!$C$26&amp;" – façade : "&amp;'PARAMÈTRES'!$C$51</f>
        <v>Gabarit 20 × 40 : portée 20.00 m × longueur 40.00 m – H sablière 6.00 m – pente 16.0 % – Portique IPE avec jarrets – façade : Bardage bac acier</v>
      </c>
      <c r="C173" s="85" t="n"/>
      <c r="D173" s="85" t="n"/>
      <c r="E173" s="85" t="n"/>
      <c r="F173" s="85" t="n"/>
      <c r="G173" s="85" t="n"/>
      <c r="H173" s="85" t="n"/>
      <c r="I173" s="85" t="n"/>
      <c r="J173" s="90" t="inlineStr">
        <is>
          <t>ESQUISSE NON CONTRACTUELLE</t>
        </is>
      </c>
      <c r="K173" s="85" t="n"/>
      <c r="L173" s="85" t="n"/>
      <c r="M173" s="85" t="n"/>
    </row>
    <row r="174" ht="22" customHeight="1">
      <c r="B174" s="91" t="inlineStr">
        <is>
          <t>Couleurs : charpente en bleu · contreventements en orange · béton en gris · aciers en rouge · maçonnerie en marron clair · cotes et baies en noir · translucides en bleu clair · remblai en latérite</t>
        </is>
      </c>
      <c r="C174" s="85" t="n"/>
      <c r="D174" s="85" t="n"/>
      <c r="E174" s="85" t="n"/>
      <c r="F174" s="85" t="n"/>
      <c r="G174" s="85" t="n"/>
      <c r="H174" s="85" t="n"/>
      <c r="I174" s="85" t="n"/>
      <c r="J174" s="92" t="inlineStr">
        <is>
          <t>BON POUR ACCORD</t>
        </is>
      </c>
      <c r="K174" s="85" t="n"/>
      <c r="L174" s="85" t="n"/>
      <c r="M174" s="85" t="n"/>
    </row>
    <row r="175">
      <c r="B175" s="89" t="str">
        <f>"Translucides : "&amp;FIXED('PARAMÈTRES'!$C$45*100,0,TRUE)&amp;" % – skydomes : "&amp;'PARAMÈTRES'!$C$37&amp;" – descentes EP : "&amp;'PRÉDIMENSIONNEMENT'!$C$64&amp;" – poutre au vent : "&amp;'PRÉDIMENSIONNEMENT'!$C$44&amp;" travées – liernes : "&amp;'PRÉDIMENSIONNEMENT'!$C$43&amp;" ligne(s) par travée."</f>
        <v>Translucides : 10 % – skydomes : 4 – descentes EP : 6 – poutre au vent : 3 travées – liernes : 1 ligne(s) par travée.</v>
      </c>
      <c r="C175" s="85" t="n"/>
      <c r="D175" s="85" t="n"/>
      <c r="E175" s="85" t="n"/>
      <c r="F175" s="85" t="n"/>
      <c r="G175" s="85" t="n"/>
      <c r="H175" s="85" t="n"/>
      <c r="I175" s="85" t="n"/>
      <c r="J175" s="93" t="inlineStr">
        <is>
          <t>Date :</t>
        </is>
      </c>
      <c r="K175" s="85" t="n"/>
      <c r="L175" s="94" t="n"/>
      <c r="M175" s="95" t="n"/>
    </row>
    <row r="176"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93" t="inlineStr">
        <is>
          <t>Signature :</t>
        </is>
      </c>
      <c r="K176" s="85" t="n"/>
      <c r="L176" s="96" t="n"/>
      <c r="M176" s="97" t="n"/>
    </row>
    <row r="177">
      <c r="B177" s="98" t="inlineStr">
        <is>
          <t>Échelle : automatique (même échelle en X et en Y) – cotes en mètres</t>
        </is>
      </c>
      <c r="C177" s="94" t="n"/>
      <c r="D177" s="94" t="n"/>
      <c r="E177" s="94" t="n"/>
      <c r="F177" s="94" t="n"/>
      <c r="G177" s="94" t="n"/>
      <c r="H177" s="94" t="n"/>
      <c r="I177" s="95" t="n"/>
      <c r="J177" s="85" t="n"/>
      <c r="K177" s="99" t="n"/>
      <c r="L177" s="100" t="n"/>
      <c r="M177" s="101" t="n"/>
    </row>
    <row r="181">
      <c r="B181" s="1" t="inlineStr">
        <is>
          <t>PLANCHE 6 / 7 – COUPE DE FONDATION ET DALLAGE (DÉTAIL)</t>
        </is>
      </c>
      <c r="C181" s="83" t="n"/>
      <c r="D181" s="83" t="n"/>
      <c r="E181" s="83" t="n"/>
      <c r="F181" s="83" t="n"/>
      <c r="G181" s="83" t="n"/>
      <c r="H181" s="83" t="n"/>
      <c r="I181" s="83" t="n"/>
      <c r="J181" s="83" t="n"/>
      <c r="K181" s="83" t="n"/>
      <c r="L181" s="83" t="n"/>
      <c r="M181" s="83" t="n"/>
    </row>
    <row r="208">
      <c r="B208" s="84" t="inlineStr">
        <is>
          <t>COUPE DE FONDATION ET DALLAGE (DÉTAIL)</t>
        </is>
      </c>
      <c r="C208" s="85" t="n"/>
      <c r="D208" s="85" t="n"/>
      <c r="E208" s="85" t="n"/>
      <c r="F208" s="85" t="n"/>
      <c r="G208" s="85" t="n"/>
      <c r="H208" s="85" t="n"/>
      <c r="I208" s="85" t="n"/>
      <c r="J208" s="86" t="inlineStr">
        <is>
          <t>Planche n° 6 / 7</t>
        </is>
      </c>
      <c r="K208" s="85" t="n"/>
      <c r="L208" s="87" t="inlineStr">
        <is>
          <t>Date :</t>
        </is>
      </c>
      <c r="M208" s="88">
        <f>TODAY()</f>
        <v>46301.0</v>
      </c>
    </row>
    <row r="209" ht="24" customHeight="1">
      <c r="B209" s="89" t="str">
        <f>"Gabarit "&amp;'ACCUEIL'!$D$6&amp;" : portée "&amp;FIXED('PARAMÈTRES'!$C$9,2,TRUE)&amp;" m × longueur "&amp;FIXED('PARAMÈTRES'!$C$10,2,TRUE)&amp;" m – H sablière "&amp;FIXED('PARAMÈTRES'!$C$11,2,TRUE)&amp;" m – pente "&amp;FIXED('PARAMÈTRES'!$C$12*100,1,TRUE)&amp;" % – "&amp;'PRÉDIMENSIONNEMENT'!$C$26&amp;" – façade : "&amp;'PARAMÈTRES'!$C$51</f>
        <v>Gabarit 20 × 40 : portée 20.00 m × longueur 40.00 m – H sablière 6.00 m – pente 16.0 % – Portique IPE avec jarrets – façade : Bardage bac acier</v>
      </c>
      <c r="C209" s="85" t="n"/>
      <c r="D209" s="85" t="n"/>
      <c r="E209" s="85" t="n"/>
      <c r="F209" s="85" t="n"/>
      <c r="G209" s="85" t="n"/>
      <c r="H209" s="85" t="n"/>
      <c r="I209" s="85" t="n"/>
      <c r="J209" s="90" t="inlineStr">
        <is>
          <t>ESQUISSE NON CONTRACTUELLE</t>
        </is>
      </c>
      <c r="K209" s="85" t="n"/>
      <c r="L209" s="85" t="n"/>
      <c r="M209" s="85" t="n"/>
    </row>
    <row r="210" ht="22" customHeight="1">
      <c r="B210" s="91" t="inlineStr">
        <is>
          <t>Couleurs : charpente en bleu · contreventements en orange · béton en gris · aciers en rouge · maçonnerie en marron clair · cotes et baies en noir · translucides en bleu clair · remblai en latérite</t>
        </is>
      </c>
      <c r="C210" s="85" t="n"/>
      <c r="D210" s="85" t="n"/>
      <c r="E210" s="85" t="n"/>
      <c r="F210" s="85" t="n"/>
      <c r="G210" s="85" t="n"/>
      <c r="H210" s="85" t="n"/>
      <c r="I210" s="85" t="n"/>
      <c r="J210" s="92" t="inlineStr">
        <is>
          <t>BON POUR ACCORD</t>
        </is>
      </c>
      <c r="K210" s="85" t="n"/>
      <c r="L210" s="85" t="n"/>
      <c r="M210" s="85" t="n"/>
    </row>
    <row r="211">
      <c r="B211" s="89" t="str">
        <f>"Légende aciers : semelles isolées "&amp;'PARAMÈTRES'!$C$97&amp;" maille "&amp;'PARAMÈTRES'!$C$96*100&amp;" cm ; fûts "&amp;'PARAMÈTRES'!$C$99&amp;" "&amp;'PARAMÈTRES'!$C$98&amp;" + cadres "&amp;'PARAMÈTRES'!$C$100&amp;" e = "&amp;'PARAMÈTRES'!$C$101*100&amp;" cm ; semelle filante "&amp;'PARAMÈTRES'!$C$105&amp;" "&amp;'PARAMÈTRES'!$C$104&amp;" + "&amp;'PARAMÈTRES'!$C$106&amp;" e = "&amp;'PARAMÈTRES'!$C$107*100&amp;" cm ; dallage "&amp;'PARAMÈTRES'!$C$115&amp;" "&amp;'PARAMÈTRES'!$C$116&amp;" (X) / "&amp;'PARAMÈTRES'!$C$117&amp;" (Y)"&amp;IF('GROS_ŒUVRE'!$E$9=1," + nappe sup. "&amp;'PARAMÈTRES'!$C$118&amp;" / "&amp;'PARAMÈTRES'!$C$119&amp;" + chaises "&amp;'PARAMÈTRES'!$C$122,"")&amp;", maille "&amp;'GROS_ŒUVRE'!$E$8*100&amp;" cm."</f>
        <v>Légende aciers : semelles isolées HA12 maille 15 cm ; fûts 4 HA12 + cadres HA6 e = 15 cm ; semelle filante 4 HA10 + HA8 e = 20 cm ; dallage Nappe simple HA10 (X) / HA10 (Y), maille 20 cm.</v>
      </c>
      <c r="C211" s="85" t="n"/>
      <c r="D211" s="85" t="n"/>
      <c r="E211" s="85" t="n"/>
      <c r="F211" s="85" t="n"/>
      <c r="G211" s="85" t="n"/>
      <c r="H211" s="85" t="n"/>
      <c r="I211" s="85" t="n"/>
      <c r="J211" s="93" t="inlineStr">
        <is>
          <t>Date :</t>
        </is>
      </c>
      <c r="K211" s="85" t="n"/>
      <c r="L211" s="94" t="n"/>
      <c r="M211" s="95" t="n"/>
    </row>
    <row r="212"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93" t="inlineStr">
        <is>
          <t>Signature :</t>
        </is>
      </c>
      <c r="K212" s="85" t="n"/>
      <c r="L212" s="96" t="n"/>
      <c r="M212" s="97" t="n"/>
    </row>
    <row r="213">
      <c r="B213" s="98" t="inlineStr">
        <is>
          <t>Échelle : automatique (même échelle en X et en Y) – cotes en mètres</t>
        </is>
      </c>
      <c r="C213" s="94" t="n"/>
      <c r="D213" s="94" t="n"/>
      <c r="E213" s="94" t="n"/>
      <c r="F213" s="94" t="n"/>
      <c r="G213" s="94" t="n"/>
      <c r="H213" s="94" t="n"/>
      <c r="I213" s="95" t="n"/>
      <c r="J213" s="85" t="n"/>
      <c r="K213" s="99" t="n"/>
      <c r="L213" s="100" t="n"/>
      <c r="M213" s="101" t="n"/>
    </row>
    <row r="217">
      <c r="B217" s="1" t="inlineStr">
        <is>
          <t>PLANCHE 7 / 7 – ÉLÉVATION MUR AGGLOS – PANNEAU TYPE</t>
        </is>
      </c>
      <c r="C217" s="83" t="n"/>
      <c r="D217" s="83" t="n"/>
      <c r="E217" s="83" t="n"/>
      <c r="F217" s="83" t="n"/>
      <c r="G217" s="83" t="n"/>
      <c r="H217" s="83" t="n"/>
      <c r="I217" s="83" t="n"/>
      <c r="J217" s="83" t="n"/>
      <c r="K217" s="83" t="n"/>
      <c r="L217" s="83" t="n"/>
      <c r="M217" s="83" t="n"/>
    </row>
    <row r="244">
      <c r="B244" s="84" t="inlineStr">
        <is>
          <t>ÉLÉVATION MUR AGGLOS – PANNEAU TYPE</t>
        </is>
      </c>
      <c r="C244" s="85" t="n"/>
      <c r="D244" s="85" t="n"/>
      <c r="E244" s="85" t="n"/>
      <c r="F244" s="85" t="n"/>
      <c r="G244" s="85" t="n"/>
      <c r="H244" s="85" t="n"/>
      <c r="I244" s="85" t="n"/>
      <c r="J244" s="86" t="inlineStr">
        <is>
          <t>Planche n° 7 / 7</t>
        </is>
      </c>
      <c r="K244" s="85" t="n"/>
      <c r="L244" s="87" t="inlineStr">
        <is>
          <t>Date :</t>
        </is>
      </c>
      <c r="M244" s="88">
        <f>TODAY()</f>
        <v>46301.0</v>
      </c>
    </row>
    <row r="245" ht="24" customHeight="1">
      <c r="B245" s="89" t="str">
        <f>"Gabarit "&amp;'ACCUEIL'!$D$6&amp;" : portée "&amp;FIXED('PARAMÈTRES'!$C$9,2,TRUE)&amp;" m × longueur "&amp;FIXED('PARAMÈTRES'!$C$10,2,TRUE)&amp;" m – H sablière "&amp;FIXED('PARAMÈTRES'!$C$11,2,TRUE)&amp;" m – pente "&amp;FIXED('PARAMÈTRES'!$C$12*100,1,TRUE)&amp;" % – "&amp;'PRÉDIMENSIONNEMENT'!$C$26&amp;" – façade : "&amp;'PARAMÈTRES'!$C$51</f>
        <v>Gabarit 20 × 40 : portée 20.00 m × longueur 40.00 m – H sablière 6.00 m – pente 16.0 % – Portique IPE avec jarrets – façade : Bardage bac acier</v>
      </c>
      <c r="C245" s="85" t="n"/>
      <c r="D245" s="85" t="n"/>
      <c r="E245" s="85" t="n"/>
      <c r="F245" s="85" t="n"/>
      <c r="G245" s="85" t="n"/>
      <c r="H245" s="85" t="n"/>
      <c r="I245" s="85" t="n"/>
      <c r="J245" s="90" t="inlineStr">
        <is>
          <t>ESQUISSE NON CONTRACTUELLE</t>
        </is>
      </c>
      <c r="K245" s="85" t="n"/>
      <c r="L245" s="85" t="n"/>
      <c r="M245" s="85" t="n"/>
    </row>
    <row r="246" ht="22" customHeight="1">
      <c r="B246" s="91" t="inlineStr">
        <is>
          <t>Couleurs : charpente en bleu · contreventements en orange · béton en gris · aciers en rouge · maçonnerie en marron clair · cotes et baies en noir · translucides en bleu clair · remblai en latérite</t>
        </is>
      </c>
      <c r="C246" s="85" t="n"/>
      <c r="D246" s="85" t="n"/>
      <c r="E246" s="85" t="n"/>
      <c r="F246" s="85" t="n"/>
      <c r="G246" s="85" t="n"/>
      <c r="H246" s="85" t="n"/>
      <c r="I246" s="85" t="n"/>
      <c r="J246" s="92" t="inlineStr">
        <is>
          <t>BON POUR ACCORD</t>
        </is>
      </c>
      <c r="K246" s="85" t="n"/>
      <c r="L246" s="85" t="n"/>
      <c r="M246" s="85" t="n"/>
    </row>
    <row r="247">
      <c r="B247" s="89" t="str">
        <f>"Sections : chaînages "&amp;'PARAMÈTRES'!$C$129*100&amp;" × "&amp;'PARAMÈTRES'!$C$130*100&amp;" cm et raidisseurs "&amp;'PARAMÈTRES'!$C$135*100&amp;" × "&amp;'PARAMÈTRES'!$C$135*100&amp;" cm – "&amp;'PARAMÈTRES'!$C$132&amp;" "&amp;'PARAMÈTRES'!$C$131&amp;" + cadres "&amp;'PARAMÈTRES'!$C$133&amp;" e = "&amp;'PARAMÈTRES'!$C$134*100&amp;" cm ; linteaux idem avec appuis de "&amp;'PARAMÈTRES'!$C$137*100&amp;" cm."</f>
        <v>Sections : chaînages 15 × 20 cm et raidisseurs 15 × 15 cm – 4 HA10 + cadres HA6 e = 20 cm ; linteaux idem avec appuis de 20 cm.</v>
      </c>
      <c r="C247" s="85" t="n"/>
      <c r="D247" s="85" t="n"/>
      <c r="E247" s="85" t="n"/>
      <c r="F247" s="85" t="n"/>
      <c r="G247" s="85" t="n"/>
      <c r="H247" s="85" t="n"/>
      <c r="I247" s="85" t="n"/>
      <c r="J247" s="93" t="inlineStr">
        <is>
          <t>Date :</t>
        </is>
      </c>
      <c r="K247" s="85" t="n"/>
      <c r="L247" s="94" t="n"/>
      <c r="M247" s="95" t="n"/>
    </row>
    <row r="248"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93" t="inlineStr">
        <is>
          <t>Signature :</t>
        </is>
      </c>
      <c r="K248" s="85" t="n"/>
      <c r="L248" s="96" t="n"/>
      <c r="M248" s="97" t="n"/>
    </row>
    <row r="249">
      <c r="B249" s="98" t="inlineStr">
        <is>
          <t>Échelle : automatique (même échelle en X et en Y) – cotes en mètres</t>
        </is>
      </c>
      <c r="C249" s="94" t="n"/>
      <c r="D249" s="94" t="n"/>
      <c r="E249" s="94" t="n"/>
      <c r="F249" s="94" t="n"/>
      <c r="G249" s="94" t="n"/>
      <c r="H249" s="94" t="n"/>
      <c r="I249" s="95" t="n"/>
      <c r="J249" s="85" t="n"/>
      <c r="K249" s="99" t="n"/>
      <c r="L249" s="100" t="n"/>
      <c r="M249" s="101" t="n"/>
    </row>
  </sheetData>
  <mergeCells count="70">
    <mergeCell ref="J137:M137"/>
    <mergeCell ref="B173:I173"/>
    <mergeCell ref="J64:K64"/>
    <mergeCell ref="B175:I176"/>
    <mergeCell ref="J246:M246"/>
    <mergeCell ref="J66:M66"/>
    <mergeCell ref="B100:I100"/>
    <mergeCell ref="B138:I138"/>
    <mergeCell ref="J173:M173"/>
    <mergeCell ref="B209:I209"/>
    <mergeCell ref="K212:M213"/>
    <mergeCell ref="K31:M31"/>
    <mergeCell ref="B141:I141"/>
    <mergeCell ref="B66:I66"/>
    <mergeCell ref="K67:M67"/>
    <mergeCell ref="J28:K28"/>
    <mergeCell ref="B208:I208"/>
    <mergeCell ref="B102:I102"/>
    <mergeCell ref="J138:M138"/>
    <mergeCell ref="B211:I212"/>
    <mergeCell ref="J136:K136"/>
    <mergeCell ref="K68:M69"/>
    <mergeCell ref="B103:I104"/>
    <mergeCell ref="K248:M249"/>
    <mergeCell ref="B105:I105"/>
    <mergeCell ref="B210:I210"/>
    <mergeCell ref="K247:M247"/>
    <mergeCell ref="B139:I140"/>
    <mergeCell ref="K211:M211"/>
    <mergeCell ref="B244:I244"/>
    <mergeCell ref="B136:I136"/>
    <mergeCell ref="J209:M209"/>
    <mergeCell ref="K32:M33"/>
    <mergeCell ref="J29:M29"/>
    <mergeCell ref="B101:I101"/>
    <mergeCell ref="K104:M105"/>
    <mergeCell ref="K103:M103"/>
    <mergeCell ref="B249:I249"/>
    <mergeCell ref="B29:I29"/>
    <mergeCell ref="J102:M102"/>
    <mergeCell ref="B69:I69"/>
    <mergeCell ref="J172:K172"/>
    <mergeCell ref="J100:K100"/>
    <mergeCell ref="K175:M175"/>
    <mergeCell ref="B245:I245"/>
    <mergeCell ref="B172:I172"/>
    <mergeCell ref="B174:I174"/>
    <mergeCell ref="B28:I28"/>
    <mergeCell ref="B137:I137"/>
    <mergeCell ref="J210:M210"/>
    <mergeCell ref="K140:M141"/>
    <mergeCell ref="J30:M30"/>
    <mergeCell ref="J208:K208"/>
    <mergeCell ref="B31:I32"/>
    <mergeCell ref="B246:I246"/>
    <mergeCell ref="B65:I65"/>
    <mergeCell ref="K139:M139"/>
    <mergeCell ref="J245:M245"/>
    <mergeCell ref="J65:M65"/>
    <mergeCell ref="B30:I30"/>
    <mergeCell ref="B64:I64"/>
    <mergeCell ref="B177:I177"/>
    <mergeCell ref="B33:I33"/>
    <mergeCell ref="J101:M101"/>
    <mergeCell ref="K176:M177"/>
    <mergeCell ref="B213:I213"/>
    <mergeCell ref="B247:I248"/>
    <mergeCell ref="B67:I68"/>
    <mergeCell ref="J174:M174"/>
    <mergeCell ref="J244:K244"/>
  </mergeCells>
  <printOptions horizontalCentered="1"/>
  <pageMargins left="0.4" right="0.4" top="0.5" bottom="0.5" header="0.5" footer="0.5"/>
  <pageSetup orientation="landscape" paperSize="9" fitToHeight="7" fitToWidth="1"/>
  <headerFooter>
    <oddHeader/>
    <oddFooter>&amp;L&amp;8 &amp;A&amp;C&amp;8 Page &amp;P / &amp;N</oddFooter>
    <evenHeader/>
    <evenFooter/>
    <firstHeader/>
    <firstFooter/>
  </headerFooter>
  <rowBreaks count="6" manualBreakCount="6">
    <brk id="36" min="0" max="16383" man="1"/>
    <brk id="72" min="0" max="16383" man="1"/>
    <brk id="108" min="0" max="16383" man="1"/>
    <brk id="144" min="0" max="16383" man="1"/>
    <brk id="180" min="0" max="16383" man="1"/>
    <brk id="216" min="0" max="16383" man="1"/>
  </rowBreaks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Z96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" customWidth="1" min="3" max="3"/>
    <col width="12" customWidth="1" min="4" max="4"/>
    <col width="60" customWidth="1" min="5" max="5"/>
  </cols>
  <sheetData>
    <row r="1">
      <c r="A1" s="102" t="inlineStr">
        <is>
          <t>COORDONNÉES DES ESQUISSES (feuille masquée, calculée) – les #N/A sont des ruptures de trait volontaires</t>
        </is>
      </c>
    </row>
    <row r="3">
      <c r="G3" t="inlineStr">
        <is>
          <t>P1 – Axes des files</t>
        </is>
      </c>
      <c r="I3" t="inlineStr">
        <is>
          <t>P1 – Semelles filantes</t>
        </is>
      </c>
      <c r="K3" t="inlineStr">
        <is>
          <t>P1 – Semelles isolées</t>
        </is>
      </c>
      <c r="M3" t="inlineStr">
        <is>
          <t>P1 – Poteaux de portique</t>
        </is>
      </c>
      <c r="O3" t="inlineStr">
        <is>
          <t>P1 – Poteaux de pignon</t>
        </is>
      </c>
      <c r="Q3" t="inlineStr">
        <is>
          <t>P1 – Baies</t>
        </is>
      </c>
      <c r="S3" t="inlineStr">
        <is>
          <t>P1 – étiquette</t>
        </is>
      </c>
      <c r="U3" t="inlineStr">
        <is>
          <t>P1 – étiquette</t>
        </is>
      </c>
      <c r="W3" t="inlineStr">
        <is>
          <t>P1 – étiquette</t>
        </is>
      </c>
      <c r="Y3" t="inlineStr">
        <is>
          <t>P1 – étiquette</t>
        </is>
      </c>
      <c r="AA3" t="inlineStr">
        <is>
          <t>P1 – étiquette</t>
        </is>
      </c>
      <c r="AC3" t="inlineStr">
        <is>
          <t>P1 – étiquette</t>
        </is>
      </c>
      <c r="AE3" t="inlineStr">
        <is>
          <t>P1 – étiquette</t>
        </is>
      </c>
      <c r="AG3" t="inlineStr">
        <is>
          <t>P1 – étiquette</t>
        </is>
      </c>
      <c r="AI3" t="inlineStr">
        <is>
          <t>P1 – cote</t>
        </is>
      </c>
      <c r="AK3" t="inlineStr">
        <is>
          <t>P1 – cote</t>
        </is>
      </c>
      <c r="AM3" t="inlineStr">
        <is>
          <t>P1 – cote</t>
        </is>
      </c>
      <c r="AO3" t="inlineStr">
        <is>
          <t>P1 – étiquette</t>
        </is>
      </c>
      <c r="AQ3" t="inlineStr">
        <is>
          <t>P1 – étiquette</t>
        </is>
      </c>
      <c r="AS3" t="inlineStr">
        <is>
          <t>P1 – étiquette</t>
        </is>
      </c>
      <c r="AU3" t="inlineStr">
        <is>
          <t>P1 – étiquette</t>
        </is>
      </c>
      <c r="AW3" t="inlineStr">
        <is>
          <t>P1 – étiquette</t>
        </is>
      </c>
      <c r="AY3" t="inlineStr">
        <is>
          <t>P1 – étiquette</t>
        </is>
      </c>
      <c r="BA3" t="inlineStr">
        <is>
          <t>P1 – étiquette</t>
        </is>
      </c>
      <c r="BC3" t="inlineStr">
        <is>
          <t>P1 – étiquette</t>
        </is>
      </c>
      <c r="BE3" t="inlineStr">
        <is>
          <t>P1 – étiquette</t>
        </is>
      </c>
      <c r="BG3" t="inlineStr">
        <is>
          <t>P1 – étiquette</t>
        </is>
      </c>
      <c r="BI3" t="inlineStr">
        <is>
          <t>P1 – étiquette</t>
        </is>
      </c>
      <c r="BK3" t="inlineStr">
        <is>
          <t>P1 – étiquette</t>
        </is>
      </c>
      <c r="BM3" t="inlineStr">
        <is>
          <t>P1 – étiquette</t>
        </is>
      </c>
      <c r="BO3" t="inlineStr">
        <is>
          <t>P1 – étiquette</t>
        </is>
      </c>
      <c r="BQ3" t="inlineStr">
        <is>
          <t>P1 – étiquette</t>
        </is>
      </c>
      <c r="BS3" t="inlineStr">
        <is>
          <t>P1 – étiquette</t>
        </is>
      </c>
      <c r="BU3" t="inlineStr">
        <is>
          <t>P1 – étiquette</t>
        </is>
      </c>
      <c r="BW3" t="inlineStr">
        <is>
          <t>P1 – étiquette</t>
        </is>
      </c>
      <c r="BY3" t="inlineStr">
        <is>
          <t>P1 – étiquette</t>
        </is>
      </c>
      <c r="CA3" t="inlineStr">
        <is>
          <t>P1 – étiquette</t>
        </is>
      </c>
      <c r="CC3" t="inlineStr">
        <is>
          <t>P1 – étiquette</t>
        </is>
      </c>
      <c r="CE3" t="inlineStr">
        <is>
          <t>P1 – étiquette</t>
        </is>
      </c>
      <c r="CG3" t="inlineStr">
        <is>
          <t>P1 – étiquette</t>
        </is>
      </c>
      <c r="CI3" t="inlineStr">
        <is>
          <t>P1 – étiquette</t>
        </is>
      </c>
      <c r="CK3" t="inlineStr">
        <is>
          <t>P1 – étiquette</t>
        </is>
      </c>
      <c r="CM3" t="inlineStr">
        <is>
          <t>P1 – étiquette</t>
        </is>
      </c>
      <c r="CO3" t="inlineStr">
        <is>
          <t>P1 – étiquette</t>
        </is>
      </c>
      <c r="CQ3" t="inlineStr">
        <is>
          <t>P1 – étiquette</t>
        </is>
      </c>
      <c r="CS3" t="inlineStr">
        <is>
          <t>P1 – étiquette</t>
        </is>
      </c>
      <c r="CU3" t="inlineStr">
        <is>
          <t>P1 – étiquette</t>
        </is>
      </c>
      <c r="CW3" t="inlineStr">
        <is>
          <t>P1 – étiquette</t>
        </is>
      </c>
      <c r="CY3" t="inlineStr">
        <is>
          <t>P1 – étiquette</t>
        </is>
      </c>
      <c r="DA3" t="inlineStr">
        <is>
          <t>P1 – étiquette</t>
        </is>
      </c>
      <c r="DC3" t="inlineStr">
        <is>
          <t>P1 – étiquette</t>
        </is>
      </c>
      <c r="DE3" t="inlineStr">
        <is>
          <t>P1 – étiquette</t>
        </is>
      </c>
      <c r="DG3" t="inlineStr">
        <is>
          <t>P1 – étiquette</t>
        </is>
      </c>
      <c r="DI3" t="inlineStr">
        <is>
          <t>P1 – étiquette</t>
        </is>
      </c>
      <c r="DK3" t="inlineStr">
        <is>
          <t>P1 – étiquette</t>
        </is>
      </c>
      <c r="DM3" t="inlineStr">
        <is>
          <t>P1 – étiquette</t>
        </is>
      </c>
      <c r="DO3" t="inlineStr">
        <is>
          <t>P1 – étiquette</t>
        </is>
      </c>
      <c r="DQ3" t="inlineStr">
        <is>
          <t>P1 – étiquette</t>
        </is>
      </c>
      <c r="DS3" t="inlineStr">
        <is>
          <t>P1 – étiquette</t>
        </is>
      </c>
      <c r="DU3" t="inlineStr">
        <is>
          <t>P1 – étiquette</t>
        </is>
      </c>
      <c r="DW3" t="inlineStr">
        <is>
          <t>P2 – Sol / dallage</t>
        </is>
      </c>
      <c r="DY3" t="inlineStr">
        <is>
          <t>P2 – Ossature</t>
        </is>
      </c>
      <c r="EA3" t="inlineStr">
        <is>
          <t>P2 – Treillis</t>
        </is>
      </c>
      <c r="EC3" t="inlineStr">
        <is>
          <t>P2 – Jarrets</t>
        </is>
      </c>
      <c r="EE3" t="inlineStr">
        <is>
          <t>P2 – Pannes</t>
        </is>
      </c>
      <c r="EG3" t="inlineStr">
        <is>
          <t>P2 – Faîtage</t>
        </is>
      </c>
      <c r="EI3" t="inlineStr">
        <is>
          <t>P2 – Chéneaux</t>
        </is>
      </c>
      <c r="EK3" t="inlineStr">
        <is>
          <t>P2 – Fondations</t>
        </is>
      </c>
      <c r="EM3" t="inlineStr">
        <is>
          <t>P2 – cote</t>
        </is>
      </c>
      <c r="EO3" t="inlineStr">
        <is>
          <t>P2 – cote</t>
        </is>
      </c>
      <c r="EQ3" t="inlineStr">
        <is>
          <t>P2 – cote</t>
        </is>
      </c>
      <c r="ES3" t="inlineStr">
        <is>
          <t>P2 – étiquette</t>
        </is>
      </c>
      <c r="EU3" t="inlineStr">
        <is>
          <t>P2 – étiquette</t>
        </is>
      </c>
      <c r="EW3" t="inlineStr">
        <is>
          <t>P2 – étiquette</t>
        </is>
      </c>
      <c r="EY3" t="inlineStr">
        <is>
          <t>P3 – Sol</t>
        </is>
      </c>
      <c r="FA3" t="inlineStr">
        <is>
          <t>P3 – Poteaux et sablière</t>
        </is>
      </c>
      <c r="FC3" t="inlineStr">
        <is>
          <t>P3 – Lisses</t>
        </is>
      </c>
      <c r="FE3" t="inlineStr">
        <is>
          <t>P3 – Maçonnerie agglos</t>
        </is>
      </c>
      <c r="FG3" t="inlineStr">
        <is>
          <t>P3 – Chaînages</t>
        </is>
      </c>
      <c r="FI3" t="inlineStr">
        <is>
          <t>P3 – Croix de contreventement</t>
        </is>
      </c>
      <c r="FK3" t="inlineStr">
        <is>
          <t>P3 – Potelets et linteaux</t>
        </is>
      </c>
      <c r="FM3" t="inlineStr">
        <is>
          <t>P3 – Baies et larmiers</t>
        </is>
      </c>
      <c r="FO3" t="inlineStr">
        <is>
          <t>P3 – étiquette</t>
        </is>
      </c>
      <c r="FQ3" t="inlineStr">
        <is>
          <t>P3 – étiquette</t>
        </is>
      </c>
      <c r="FS3" t="inlineStr">
        <is>
          <t>P3 – étiquette</t>
        </is>
      </c>
      <c r="FU3" t="inlineStr">
        <is>
          <t>P3 – étiquette</t>
        </is>
      </c>
      <c r="FW3" t="inlineStr">
        <is>
          <t>P3 – cote</t>
        </is>
      </c>
      <c r="FY3" t="inlineStr">
        <is>
          <t>P3 – cote</t>
        </is>
      </c>
      <c r="GA3" t="inlineStr">
        <is>
          <t>P3 – cote</t>
        </is>
      </c>
      <c r="GC3" t="inlineStr">
        <is>
          <t>P4 – Sol</t>
        </is>
      </c>
      <c r="GE3" t="inlineStr">
        <is>
          <t>P4 – Poteaux de pignon et rampants</t>
        </is>
      </c>
      <c r="GG3" t="inlineStr">
        <is>
          <t>P4 – Lisses</t>
        </is>
      </c>
      <c r="GI3" t="inlineStr">
        <is>
          <t>P4 – Maçonnerie agglos</t>
        </is>
      </c>
      <c r="GK3" t="inlineStr">
        <is>
          <t>P4 – Chaînages</t>
        </is>
      </c>
      <c r="GM3" t="inlineStr">
        <is>
          <t>P4 – Potelets et linteaux</t>
        </is>
      </c>
      <c r="GO3" t="inlineStr">
        <is>
          <t>P4 – Baies et larmiers</t>
        </is>
      </c>
      <c r="GQ3" t="inlineStr">
        <is>
          <t>P4 – étiquette</t>
        </is>
      </c>
      <c r="GS3" t="inlineStr">
        <is>
          <t>P4 – étiquette</t>
        </is>
      </c>
      <c r="GU3" t="inlineStr">
        <is>
          <t>P4 – étiquette</t>
        </is>
      </c>
      <c r="GW3" t="inlineStr">
        <is>
          <t>P4 – étiquette</t>
        </is>
      </c>
      <c r="GY3" t="inlineStr">
        <is>
          <t>P4 – cote</t>
        </is>
      </c>
      <c r="HA3" t="inlineStr">
        <is>
          <t>P4 – cote</t>
        </is>
      </c>
      <c r="HC3" t="inlineStr">
        <is>
          <t>P4 – cote</t>
        </is>
      </c>
      <c r="HE3" t="inlineStr">
        <is>
          <t>P4 – étiquette</t>
        </is>
      </c>
      <c r="HG3" t="inlineStr">
        <is>
          <t>P5 – Rives et égouts</t>
        </is>
      </c>
      <c r="HI3" t="inlineStr">
        <is>
          <t>P5 – Pannes</t>
        </is>
      </c>
      <c r="HK3" t="inlineStr">
        <is>
          <t>P5 – Fermes / traverses</t>
        </is>
      </c>
      <c r="HM3" t="inlineStr">
        <is>
          <t>P5 – Liernes</t>
        </is>
      </c>
      <c r="HO3" t="inlineStr">
        <is>
          <t>P5 – Faîtière</t>
        </is>
      </c>
      <c r="HQ3" t="inlineStr">
        <is>
          <t>P5 – Poutre au vent</t>
        </is>
      </c>
      <c r="HS3" t="inlineStr">
        <is>
          <t>P5 – Translucides (hachurés)</t>
        </is>
      </c>
      <c r="HU3" t="inlineStr">
        <is>
          <t>P5 – Skydomes et chevêtres</t>
        </is>
      </c>
      <c r="HW3" t="inlineStr">
        <is>
          <t>P5 – Descentes EP</t>
        </is>
      </c>
      <c r="HY3" t="inlineStr">
        <is>
          <t>P5 – cote</t>
        </is>
      </c>
      <c r="IA3" t="inlineStr">
        <is>
          <t>P5 – cote</t>
        </is>
      </c>
      <c r="IC3" t="inlineStr">
        <is>
          <t>P5 – étiquette</t>
        </is>
      </c>
      <c r="IE3" t="inlineStr">
        <is>
          <t>P5 – étiquette</t>
        </is>
      </c>
      <c r="IG3" t="inlineStr">
        <is>
          <t>P5 – étiquette</t>
        </is>
      </c>
      <c r="II3" t="inlineStr">
        <is>
          <t>P6 – Terrain naturel</t>
        </is>
      </c>
      <c r="IK3" t="inlineStr">
        <is>
          <t>P6 – Béton</t>
        </is>
      </c>
      <c r="IM3" t="inlineStr">
        <is>
          <t>P6 – Maçonnerie</t>
        </is>
      </c>
      <c r="IO3" t="inlineStr">
        <is>
          <t>P6 – Remblai latérite</t>
        </is>
      </c>
      <c r="IQ3" t="inlineStr">
        <is>
          <t>P6 – Polyane</t>
        </is>
      </c>
      <c r="IS3" t="inlineStr">
        <is>
          <t>P6 – Lit de sable</t>
        </is>
      </c>
      <c r="IU3" t="inlineStr">
        <is>
          <t>P6 – Aciers</t>
        </is>
      </c>
      <c r="IW3" t="inlineStr">
        <is>
          <t>P6 – Aciers (sections)</t>
        </is>
      </c>
      <c r="IY3" t="inlineStr">
        <is>
          <t>P6 – Platine et poteau</t>
        </is>
      </c>
      <c r="JA3" t="inlineStr">
        <is>
          <t>P6 – cote</t>
        </is>
      </c>
      <c r="JC3" t="inlineStr">
        <is>
          <t>P6 – cote</t>
        </is>
      </c>
      <c r="JE3" t="inlineStr">
        <is>
          <t>P6 – cote</t>
        </is>
      </c>
      <c r="JG3" t="inlineStr">
        <is>
          <t>P6 – étiquette</t>
        </is>
      </c>
      <c r="JI3" t="inlineStr">
        <is>
          <t>P6 – étiquette</t>
        </is>
      </c>
      <c r="JK3" t="inlineStr">
        <is>
          <t>P6 – étiquette</t>
        </is>
      </c>
      <c r="JM3" t="inlineStr">
        <is>
          <t>P6 – étiquette</t>
        </is>
      </c>
      <c r="JO3" t="inlineStr">
        <is>
          <t>P6 – étiquette</t>
        </is>
      </c>
      <c r="JQ3" t="inlineStr">
        <is>
          <t>P6 – étiquette</t>
        </is>
      </c>
      <c r="JS3" t="inlineStr">
        <is>
          <t>P6 – étiquette</t>
        </is>
      </c>
      <c r="JU3" t="inlineStr">
        <is>
          <t>P6 – étiquette</t>
        </is>
      </c>
      <c r="JW3" t="inlineStr">
        <is>
          <t>P6 – Repères</t>
        </is>
      </c>
      <c r="JY3" t="inlineStr">
        <is>
          <t>P6 – étiquette</t>
        </is>
      </c>
      <c r="KA3" t="inlineStr">
        <is>
          <t>P6 – étiquette</t>
        </is>
      </c>
      <c r="KC3" t="inlineStr">
        <is>
          <t>P7 – Sol</t>
        </is>
      </c>
      <c r="KE3" t="inlineStr">
        <is>
          <t>P7 – Poteaux métalliques</t>
        </is>
      </c>
      <c r="KG3" t="inlineStr">
        <is>
          <t>P7 – Béton (chaînages, raidisseurs)</t>
        </is>
      </c>
      <c r="KI3" t="inlineStr">
        <is>
          <t>P7 – Agglos 15 creux</t>
        </is>
      </c>
      <c r="KK3" t="inlineStr">
        <is>
          <t>P7 – Aciers</t>
        </is>
      </c>
      <c r="KM3" t="inlineStr">
        <is>
          <t>P7 – cote</t>
        </is>
      </c>
      <c r="KO3" t="inlineStr">
        <is>
          <t>P7 – cote</t>
        </is>
      </c>
      <c r="KQ3" t="inlineStr">
        <is>
          <t>P7 – étiquette</t>
        </is>
      </c>
      <c r="KS3" t="inlineStr">
        <is>
          <t>P7 – étiquette</t>
        </is>
      </c>
      <c r="KU3" t="inlineStr">
        <is>
          <t>P7 – étiquette</t>
        </is>
      </c>
      <c r="KW3" t="inlineStr">
        <is>
          <t>P7 – étiquette</t>
        </is>
      </c>
      <c r="KY3" t="inlineStr">
        <is>
          <t>P7 – étiquette</t>
        </is>
      </c>
    </row>
    <row r="4">
      <c r="A4" t="inlineStr">
        <is>
          <t>Grandeur</t>
        </is>
      </c>
      <c r="B4" t="inlineStr">
        <is>
          <t>Valeur</t>
        </is>
      </c>
      <c r="D4" t="inlineStr">
        <is>
          <t>Texte</t>
        </is>
      </c>
      <c r="E4" t="inlineStr">
        <is>
          <t>Contenu</t>
        </is>
      </c>
      <c r="G4" t="inlineStr">
        <is>
          <t>X</t>
        </is>
      </c>
      <c r="H4" t="inlineStr">
        <is>
          <t>Y</t>
        </is>
      </c>
      <c r="I4" t="inlineStr">
        <is>
          <t>X</t>
        </is>
      </c>
      <c r="J4" t="inlineStr">
        <is>
          <t>Y</t>
        </is>
      </c>
      <c r="K4" t="inlineStr">
        <is>
          <t>X</t>
        </is>
      </c>
      <c r="L4" t="inlineStr">
        <is>
          <t>Y</t>
        </is>
      </c>
      <c r="M4" t="inlineStr">
        <is>
          <t>X</t>
        </is>
      </c>
      <c r="N4" t="inlineStr">
        <is>
          <t>Y</t>
        </is>
      </c>
      <c r="O4" t="inlineStr">
        <is>
          <t>X</t>
        </is>
      </c>
      <c r="P4" t="inlineStr">
        <is>
          <t>Y</t>
        </is>
      </c>
      <c r="Q4" t="inlineStr">
        <is>
          <t>X</t>
        </is>
      </c>
      <c r="R4" t="inlineStr">
        <is>
          <t>Y</t>
        </is>
      </c>
      <c r="S4" t="inlineStr">
        <is>
          <t>X</t>
        </is>
      </c>
      <c r="T4" t="inlineStr">
        <is>
          <t>Y</t>
        </is>
      </c>
      <c r="U4" t="inlineStr">
        <is>
          <t>X</t>
        </is>
      </c>
      <c r="V4" t="inlineStr">
        <is>
          <t>Y</t>
        </is>
      </c>
      <c r="W4" t="inlineStr">
        <is>
          <t>X</t>
        </is>
      </c>
      <c r="X4" t="inlineStr">
        <is>
          <t>Y</t>
        </is>
      </c>
      <c r="Y4" t="inlineStr">
        <is>
          <t>X</t>
        </is>
      </c>
      <c r="Z4" t="inlineStr">
        <is>
          <t>Y</t>
        </is>
      </c>
      <c r="AA4" t="inlineStr">
        <is>
          <t>X</t>
        </is>
      </c>
      <c r="AB4" t="inlineStr">
        <is>
          <t>Y</t>
        </is>
      </c>
      <c r="AC4" t="inlineStr">
        <is>
          <t>X</t>
        </is>
      </c>
      <c r="AD4" t="inlineStr">
        <is>
          <t>Y</t>
        </is>
      </c>
      <c r="AE4" t="inlineStr">
        <is>
          <t>X</t>
        </is>
      </c>
      <c r="AF4" t="inlineStr">
        <is>
          <t>Y</t>
        </is>
      </c>
      <c r="AG4" t="inlineStr">
        <is>
          <t>X</t>
        </is>
      </c>
      <c r="AH4" t="inlineStr">
        <is>
          <t>Y</t>
        </is>
      </c>
      <c r="AI4" t="inlineStr">
        <is>
          <t>X</t>
        </is>
      </c>
      <c r="AJ4" t="inlineStr">
        <is>
          <t>Y</t>
        </is>
      </c>
      <c r="AK4" t="inlineStr">
        <is>
          <t>X</t>
        </is>
      </c>
      <c r="AL4" t="inlineStr">
        <is>
          <t>Y</t>
        </is>
      </c>
      <c r="AM4" t="inlineStr">
        <is>
          <t>X</t>
        </is>
      </c>
      <c r="AN4" t="inlineStr">
        <is>
          <t>Y</t>
        </is>
      </c>
      <c r="AO4" t="inlineStr">
        <is>
          <t>X</t>
        </is>
      </c>
      <c r="AP4" t="inlineStr">
        <is>
          <t>Y</t>
        </is>
      </c>
      <c r="AQ4" t="inlineStr">
        <is>
          <t>X</t>
        </is>
      </c>
      <c r="AR4" t="inlineStr">
        <is>
          <t>Y</t>
        </is>
      </c>
      <c r="AS4" t="inlineStr">
        <is>
          <t>X</t>
        </is>
      </c>
      <c r="AT4" t="inlineStr">
        <is>
          <t>Y</t>
        </is>
      </c>
      <c r="AU4" t="inlineStr">
        <is>
          <t>X</t>
        </is>
      </c>
      <c r="AV4" t="inlineStr">
        <is>
          <t>Y</t>
        </is>
      </c>
      <c r="AW4" t="inlineStr">
        <is>
          <t>X</t>
        </is>
      </c>
      <c r="AX4" t="inlineStr">
        <is>
          <t>Y</t>
        </is>
      </c>
      <c r="AY4" t="inlineStr">
        <is>
          <t>X</t>
        </is>
      </c>
      <c r="AZ4" t="inlineStr">
        <is>
          <t>Y</t>
        </is>
      </c>
      <c r="BA4" t="inlineStr">
        <is>
          <t>X</t>
        </is>
      </c>
      <c r="BB4" t="inlineStr">
        <is>
          <t>Y</t>
        </is>
      </c>
      <c r="BC4" t="inlineStr">
        <is>
          <t>X</t>
        </is>
      </c>
      <c r="BD4" t="inlineStr">
        <is>
          <t>Y</t>
        </is>
      </c>
      <c r="BE4" t="inlineStr">
        <is>
          <t>X</t>
        </is>
      </c>
      <c r="BF4" t="inlineStr">
        <is>
          <t>Y</t>
        </is>
      </c>
      <c r="BG4" t="inlineStr">
        <is>
          <t>X</t>
        </is>
      </c>
      <c r="BH4" t="inlineStr">
        <is>
          <t>Y</t>
        </is>
      </c>
      <c r="BI4" t="inlineStr">
        <is>
          <t>X</t>
        </is>
      </c>
      <c r="BJ4" t="inlineStr">
        <is>
          <t>Y</t>
        </is>
      </c>
      <c r="BK4" t="inlineStr">
        <is>
          <t>X</t>
        </is>
      </c>
      <c r="BL4" t="inlineStr">
        <is>
          <t>Y</t>
        </is>
      </c>
      <c r="BM4" t="inlineStr">
        <is>
          <t>X</t>
        </is>
      </c>
      <c r="BN4" t="inlineStr">
        <is>
          <t>Y</t>
        </is>
      </c>
      <c r="BO4" t="inlineStr">
        <is>
          <t>X</t>
        </is>
      </c>
      <c r="BP4" t="inlineStr">
        <is>
          <t>Y</t>
        </is>
      </c>
      <c r="BQ4" t="inlineStr">
        <is>
          <t>X</t>
        </is>
      </c>
      <c r="BR4" t="inlineStr">
        <is>
          <t>Y</t>
        </is>
      </c>
      <c r="BS4" t="inlineStr">
        <is>
          <t>X</t>
        </is>
      </c>
      <c r="BT4" t="inlineStr">
        <is>
          <t>Y</t>
        </is>
      </c>
      <c r="BU4" t="inlineStr">
        <is>
          <t>X</t>
        </is>
      </c>
      <c r="BV4" t="inlineStr">
        <is>
          <t>Y</t>
        </is>
      </c>
      <c r="BW4" t="inlineStr">
        <is>
          <t>X</t>
        </is>
      </c>
      <c r="BX4" t="inlineStr">
        <is>
          <t>Y</t>
        </is>
      </c>
      <c r="BY4" t="inlineStr">
        <is>
          <t>X</t>
        </is>
      </c>
      <c r="BZ4" t="inlineStr">
        <is>
          <t>Y</t>
        </is>
      </c>
      <c r="CA4" t="inlineStr">
        <is>
          <t>X</t>
        </is>
      </c>
      <c r="CB4" t="inlineStr">
        <is>
          <t>Y</t>
        </is>
      </c>
      <c r="CC4" t="inlineStr">
        <is>
          <t>X</t>
        </is>
      </c>
      <c r="CD4" t="inlineStr">
        <is>
          <t>Y</t>
        </is>
      </c>
      <c r="CE4" t="inlineStr">
        <is>
          <t>X</t>
        </is>
      </c>
      <c r="CF4" t="inlineStr">
        <is>
          <t>Y</t>
        </is>
      </c>
      <c r="CG4" t="inlineStr">
        <is>
          <t>X</t>
        </is>
      </c>
      <c r="CH4" t="inlineStr">
        <is>
          <t>Y</t>
        </is>
      </c>
      <c r="CI4" t="inlineStr">
        <is>
          <t>X</t>
        </is>
      </c>
      <c r="CJ4" t="inlineStr">
        <is>
          <t>Y</t>
        </is>
      </c>
      <c r="CK4" t="inlineStr">
        <is>
          <t>X</t>
        </is>
      </c>
      <c r="CL4" t="inlineStr">
        <is>
          <t>Y</t>
        </is>
      </c>
      <c r="CM4" t="inlineStr">
        <is>
          <t>X</t>
        </is>
      </c>
      <c r="CN4" t="inlineStr">
        <is>
          <t>Y</t>
        </is>
      </c>
      <c r="CO4" t="inlineStr">
        <is>
          <t>X</t>
        </is>
      </c>
      <c r="CP4" t="inlineStr">
        <is>
          <t>Y</t>
        </is>
      </c>
      <c r="CQ4" t="inlineStr">
        <is>
          <t>X</t>
        </is>
      </c>
      <c r="CR4" t="inlineStr">
        <is>
          <t>Y</t>
        </is>
      </c>
      <c r="CS4" t="inlineStr">
        <is>
          <t>X</t>
        </is>
      </c>
      <c r="CT4" t="inlineStr">
        <is>
          <t>Y</t>
        </is>
      </c>
      <c r="CU4" t="inlineStr">
        <is>
          <t>X</t>
        </is>
      </c>
      <c r="CV4" t="inlineStr">
        <is>
          <t>Y</t>
        </is>
      </c>
      <c r="CW4" t="inlineStr">
        <is>
          <t>X</t>
        </is>
      </c>
      <c r="CX4" t="inlineStr">
        <is>
          <t>Y</t>
        </is>
      </c>
      <c r="CY4" t="inlineStr">
        <is>
          <t>X</t>
        </is>
      </c>
      <c r="CZ4" t="inlineStr">
        <is>
          <t>Y</t>
        </is>
      </c>
      <c r="DA4" t="inlineStr">
        <is>
          <t>X</t>
        </is>
      </c>
      <c r="DB4" t="inlineStr">
        <is>
          <t>Y</t>
        </is>
      </c>
      <c r="DC4" t="inlineStr">
        <is>
          <t>X</t>
        </is>
      </c>
      <c r="DD4" t="inlineStr">
        <is>
          <t>Y</t>
        </is>
      </c>
      <c r="DE4" t="inlineStr">
        <is>
          <t>X</t>
        </is>
      </c>
      <c r="DF4" t="inlineStr">
        <is>
          <t>Y</t>
        </is>
      </c>
      <c r="DG4" t="inlineStr">
        <is>
          <t>X</t>
        </is>
      </c>
      <c r="DH4" t="inlineStr">
        <is>
          <t>Y</t>
        </is>
      </c>
      <c r="DI4" t="inlineStr">
        <is>
          <t>X</t>
        </is>
      </c>
      <c r="DJ4" t="inlineStr">
        <is>
          <t>Y</t>
        </is>
      </c>
      <c r="DK4" t="inlineStr">
        <is>
          <t>X</t>
        </is>
      </c>
      <c r="DL4" t="inlineStr">
        <is>
          <t>Y</t>
        </is>
      </c>
      <c r="DM4" t="inlineStr">
        <is>
          <t>X</t>
        </is>
      </c>
      <c r="DN4" t="inlineStr">
        <is>
          <t>Y</t>
        </is>
      </c>
      <c r="DO4" t="inlineStr">
        <is>
          <t>X</t>
        </is>
      </c>
      <c r="DP4" t="inlineStr">
        <is>
          <t>Y</t>
        </is>
      </c>
      <c r="DQ4" t="inlineStr">
        <is>
          <t>X</t>
        </is>
      </c>
      <c r="DR4" t="inlineStr">
        <is>
          <t>Y</t>
        </is>
      </c>
      <c r="DS4" t="inlineStr">
        <is>
          <t>X</t>
        </is>
      </c>
      <c r="DT4" t="inlineStr">
        <is>
          <t>Y</t>
        </is>
      </c>
      <c r="DU4" t="inlineStr">
        <is>
          <t>X</t>
        </is>
      </c>
      <c r="DV4" t="inlineStr">
        <is>
          <t>Y</t>
        </is>
      </c>
      <c r="DW4" t="inlineStr">
        <is>
          <t>X</t>
        </is>
      </c>
      <c r="DX4" t="inlineStr">
        <is>
          <t>Y</t>
        </is>
      </c>
      <c r="DY4" t="inlineStr">
        <is>
          <t>X</t>
        </is>
      </c>
      <c r="DZ4" t="inlineStr">
        <is>
          <t>Y</t>
        </is>
      </c>
      <c r="EA4" t="inlineStr">
        <is>
          <t>X</t>
        </is>
      </c>
      <c r="EB4" t="inlineStr">
        <is>
          <t>Y</t>
        </is>
      </c>
      <c r="EC4" t="inlineStr">
        <is>
          <t>X</t>
        </is>
      </c>
      <c r="ED4" t="inlineStr">
        <is>
          <t>Y</t>
        </is>
      </c>
      <c r="EE4" t="inlineStr">
        <is>
          <t>X</t>
        </is>
      </c>
      <c r="EF4" t="inlineStr">
        <is>
          <t>Y</t>
        </is>
      </c>
      <c r="EG4" t="inlineStr">
        <is>
          <t>X</t>
        </is>
      </c>
      <c r="EH4" t="inlineStr">
        <is>
          <t>Y</t>
        </is>
      </c>
      <c r="EI4" t="inlineStr">
        <is>
          <t>X</t>
        </is>
      </c>
      <c r="EJ4" t="inlineStr">
        <is>
          <t>Y</t>
        </is>
      </c>
      <c r="EK4" t="inlineStr">
        <is>
          <t>X</t>
        </is>
      </c>
      <c r="EL4" t="inlineStr">
        <is>
          <t>Y</t>
        </is>
      </c>
      <c r="EM4" t="inlineStr">
        <is>
          <t>X</t>
        </is>
      </c>
      <c r="EN4" t="inlineStr">
        <is>
          <t>Y</t>
        </is>
      </c>
      <c r="EO4" t="inlineStr">
        <is>
          <t>X</t>
        </is>
      </c>
      <c r="EP4" t="inlineStr">
        <is>
          <t>Y</t>
        </is>
      </c>
      <c r="EQ4" t="inlineStr">
        <is>
          <t>X</t>
        </is>
      </c>
      <c r="ER4" t="inlineStr">
        <is>
          <t>Y</t>
        </is>
      </c>
      <c r="ES4" t="inlineStr">
        <is>
          <t>X</t>
        </is>
      </c>
      <c r="ET4" t="inlineStr">
        <is>
          <t>Y</t>
        </is>
      </c>
      <c r="EU4" t="inlineStr">
        <is>
          <t>X</t>
        </is>
      </c>
      <c r="EV4" t="inlineStr">
        <is>
          <t>Y</t>
        </is>
      </c>
      <c r="EW4" t="inlineStr">
        <is>
          <t>X</t>
        </is>
      </c>
      <c r="EX4" t="inlineStr">
        <is>
          <t>Y</t>
        </is>
      </c>
      <c r="EY4" t="inlineStr">
        <is>
          <t>X</t>
        </is>
      </c>
      <c r="EZ4" t="inlineStr">
        <is>
          <t>Y</t>
        </is>
      </c>
      <c r="FA4" t="inlineStr">
        <is>
          <t>X</t>
        </is>
      </c>
      <c r="FB4" t="inlineStr">
        <is>
          <t>Y</t>
        </is>
      </c>
      <c r="FC4" t="inlineStr">
        <is>
          <t>X</t>
        </is>
      </c>
      <c r="FD4" t="inlineStr">
        <is>
          <t>Y</t>
        </is>
      </c>
      <c r="FE4" t="inlineStr">
        <is>
          <t>X</t>
        </is>
      </c>
      <c r="FF4" t="inlineStr">
        <is>
          <t>Y</t>
        </is>
      </c>
      <c r="FG4" t="inlineStr">
        <is>
          <t>X</t>
        </is>
      </c>
      <c r="FH4" t="inlineStr">
        <is>
          <t>Y</t>
        </is>
      </c>
      <c r="FI4" t="inlineStr">
        <is>
          <t>X</t>
        </is>
      </c>
      <c r="FJ4" t="inlineStr">
        <is>
          <t>Y</t>
        </is>
      </c>
      <c r="FK4" t="inlineStr">
        <is>
          <t>X</t>
        </is>
      </c>
      <c r="FL4" t="inlineStr">
        <is>
          <t>Y</t>
        </is>
      </c>
      <c r="FM4" t="inlineStr">
        <is>
          <t>X</t>
        </is>
      </c>
      <c r="FN4" t="inlineStr">
        <is>
          <t>Y</t>
        </is>
      </c>
      <c r="FO4" t="inlineStr">
        <is>
          <t>X</t>
        </is>
      </c>
      <c r="FP4" t="inlineStr">
        <is>
          <t>Y</t>
        </is>
      </c>
      <c r="FQ4" t="inlineStr">
        <is>
          <t>X</t>
        </is>
      </c>
      <c r="FR4" t="inlineStr">
        <is>
          <t>Y</t>
        </is>
      </c>
      <c r="FS4" t="inlineStr">
        <is>
          <t>X</t>
        </is>
      </c>
      <c r="FT4" t="inlineStr">
        <is>
          <t>Y</t>
        </is>
      </c>
      <c r="FU4" t="inlineStr">
        <is>
          <t>X</t>
        </is>
      </c>
      <c r="FV4" t="inlineStr">
        <is>
          <t>Y</t>
        </is>
      </c>
      <c r="FW4" t="inlineStr">
        <is>
          <t>X</t>
        </is>
      </c>
      <c r="FX4" t="inlineStr">
        <is>
          <t>Y</t>
        </is>
      </c>
      <c r="FY4" t="inlineStr">
        <is>
          <t>X</t>
        </is>
      </c>
      <c r="FZ4" t="inlineStr">
        <is>
          <t>Y</t>
        </is>
      </c>
      <c r="GA4" t="inlineStr">
        <is>
          <t>X</t>
        </is>
      </c>
      <c r="GB4" t="inlineStr">
        <is>
          <t>Y</t>
        </is>
      </c>
      <c r="GC4" t="inlineStr">
        <is>
          <t>X</t>
        </is>
      </c>
      <c r="GD4" t="inlineStr">
        <is>
          <t>Y</t>
        </is>
      </c>
      <c r="GE4" t="inlineStr">
        <is>
          <t>X</t>
        </is>
      </c>
      <c r="GF4" t="inlineStr">
        <is>
          <t>Y</t>
        </is>
      </c>
      <c r="GG4" t="inlineStr">
        <is>
          <t>X</t>
        </is>
      </c>
      <c r="GH4" t="inlineStr">
        <is>
          <t>Y</t>
        </is>
      </c>
      <c r="GI4" t="inlineStr">
        <is>
          <t>X</t>
        </is>
      </c>
      <c r="GJ4" t="inlineStr">
        <is>
          <t>Y</t>
        </is>
      </c>
      <c r="GK4" t="inlineStr">
        <is>
          <t>X</t>
        </is>
      </c>
      <c r="GL4" t="inlineStr">
        <is>
          <t>Y</t>
        </is>
      </c>
      <c r="GM4" t="inlineStr">
        <is>
          <t>X</t>
        </is>
      </c>
      <c r="GN4" t="inlineStr">
        <is>
          <t>Y</t>
        </is>
      </c>
      <c r="GO4" t="inlineStr">
        <is>
          <t>X</t>
        </is>
      </c>
      <c r="GP4" t="inlineStr">
        <is>
          <t>Y</t>
        </is>
      </c>
      <c r="GQ4" t="inlineStr">
        <is>
          <t>X</t>
        </is>
      </c>
      <c r="GR4" t="inlineStr">
        <is>
          <t>Y</t>
        </is>
      </c>
      <c r="GS4" t="inlineStr">
        <is>
          <t>X</t>
        </is>
      </c>
      <c r="GT4" t="inlineStr">
        <is>
          <t>Y</t>
        </is>
      </c>
      <c r="GU4" t="inlineStr">
        <is>
          <t>X</t>
        </is>
      </c>
      <c r="GV4" t="inlineStr">
        <is>
          <t>Y</t>
        </is>
      </c>
      <c r="GW4" t="inlineStr">
        <is>
          <t>X</t>
        </is>
      </c>
      <c r="GX4" t="inlineStr">
        <is>
          <t>Y</t>
        </is>
      </c>
      <c r="GY4" t="inlineStr">
        <is>
          <t>X</t>
        </is>
      </c>
      <c r="GZ4" t="inlineStr">
        <is>
          <t>Y</t>
        </is>
      </c>
      <c r="HA4" t="inlineStr">
        <is>
          <t>X</t>
        </is>
      </c>
      <c r="HB4" t="inlineStr">
        <is>
          <t>Y</t>
        </is>
      </c>
      <c r="HC4" t="inlineStr">
        <is>
          <t>X</t>
        </is>
      </c>
      <c r="HD4" t="inlineStr">
        <is>
          <t>Y</t>
        </is>
      </c>
      <c r="HE4" t="inlineStr">
        <is>
          <t>X</t>
        </is>
      </c>
      <c r="HF4" t="inlineStr">
        <is>
          <t>Y</t>
        </is>
      </c>
      <c r="HG4" t="inlineStr">
        <is>
          <t>X</t>
        </is>
      </c>
      <c r="HH4" t="inlineStr">
        <is>
          <t>Y</t>
        </is>
      </c>
      <c r="HI4" t="inlineStr">
        <is>
          <t>X</t>
        </is>
      </c>
      <c r="HJ4" t="inlineStr">
        <is>
          <t>Y</t>
        </is>
      </c>
      <c r="HK4" t="inlineStr">
        <is>
          <t>X</t>
        </is>
      </c>
      <c r="HL4" t="inlineStr">
        <is>
          <t>Y</t>
        </is>
      </c>
      <c r="HM4" t="inlineStr">
        <is>
          <t>X</t>
        </is>
      </c>
      <c r="HN4" t="inlineStr">
        <is>
          <t>Y</t>
        </is>
      </c>
      <c r="HO4" t="inlineStr">
        <is>
          <t>X</t>
        </is>
      </c>
      <c r="HP4" t="inlineStr">
        <is>
          <t>Y</t>
        </is>
      </c>
      <c r="HQ4" t="inlineStr">
        <is>
          <t>X</t>
        </is>
      </c>
      <c r="HR4" t="inlineStr">
        <is>
          <t>Y</t>
        </is>
      </c>
      <c r="HS4" t="inlineStr">
        <is>
          <t>X</t>
        </is>
      </c>
      <c r="HT4" t="inlineStr">
        <is>
          <t>Y</t>
        </is>
      </c>
      <c r="HU4" t="inlineStr">
        <is>
          <t>X</t>
        </is>
      </c>
      <c r="HV4" t="inlineStr">
        <is>
          <t>Y</t>
        </is>
      </c>
      <c r="HW4" t="inlineStr">
        <is>
          <t>X</t>
        </is>
      </c>
      <c r="HX4" t="inlineStr">
        <is>
          <t>Y</t>
        </is>
      </c>
      <c r="HY4" t="inlineStr">
        <is>
          <t>X</t>
        </is>
      </c>
      <c r="HZ4" t="inlineStr">
        <is>
          <t>Y</t>
        </is>
      </c>
      <c r="IA4" t="inlineStr">
        <is>
          <t>X</t>
        </is>
      </c>
      <c r="IB4" t="inlineStr">
        <is>
          <t>Y</t>
        </is>
      </c>
      <c r="IC4" t="inlineStr">
        <is>
          <t>X</t>
        </is>
      </c>
      <c r="ID4" t="inlineStr">
        <is>
          <t>Y</t>
        </is>
      </c>
      <c r="IE4" t="inlineStr">
        <is>
          <t>X</t>
        </is>
      </c>
      <c r="IF4" t="inlineStr">
        <is>
          <t>Y</t>
        </is>
      </c>
      <c r="IG4" t="inlineStr">
        <is>
          <t>X</t>
        </is>
      </c>
      <c r="IH4" t="inlineStr">
        <is>
          <t>Y</t>
        </is>
      </c>
      <c r="II4" t="inlineStr">
        <is>
          <t>X</t>
        </is>
      </c>
      <c r="IJ4" t="inlineStr">
        <is>
          <t>Y</t>
        </is>
      </c>
      <c r="IK4" t="inlineStr">
        <is>
          <t>X</t>
        </is>
      </c>
      <c r="IL4" t="inlineStr">
        <is>
          <t>Y</t>
        </is>
      </c>
      <c r="IM4" t="inlineStr">
        <is>
          <t>X</t>
        </is>
      </c>
      <c r="IN4" t="inlineStr">
        <is>
          <t>Y</t>
        </is>
      </c>
      <c r="IO4" t="inlineStr">
        <is>
          <t>X</t>
        </is>
      </c>
      <c r="IP4" t="inlineStr">
        <is>
          <t>Y</t>
        </is>
      </c>
      <c r="IQ4" t="inlineStr">
        <is>
          <t>X</t>
        </is>
      </c>
      <c r="IR4" t="inlineStr">
        <is>
          <t>Y</t>
        </is>
      </c>
      <c r="IS4" t="inlineStr">
        <is>
          <t>X</t>
        </is>
      </c>
      <c r="IT4" t="inlineStr">
        <is>
          <t>Y</t>
        </is>
      </c>
      <c r="IU4" t="inlineStr">
        <is>
          <t>X</t>
        </is>
      </c>
      <c r="IV4" t="inlineStr">
        <is>
          <t>Y</t>
        </is>
      </c>
      <c r="IW4" t="inlineStr">
        <is>
          <t>X</t>
        </is>
      </c>
      <c r="IX4" t="inlineStr">
        <is>
          <t>Y</t>
        </is>
      </c>
      <c r="IY4" t="inlineStr">
        <is>
          <t>X</t>
        </is>
      </c>
      <c r="IZ4" t="inlineStr">
        <is>
          <t>Y</t>
        </is>
      </c>
      <c r="JA4" t="inlineStr">
        <is>
          <t>X</t>
        </is>
      </c>
      <c r="JB4" t="inlineStr">
        <is>
          <t>Y</t>
        </is>
      </c>
      <c r="JC4" t="inlineStr">
        <is>
          <t>X</t>
        </is>
      </c>
      <c r="JD4" t="inlineStr">
        <is>
          <t>Y</t>
        </is>
      </c>
      <c r="JE4" t="inlineStr">
        <is>
          <t>X</t>
        </is>
      </c>
      <c r="JF4" t="inlineStr">
        <is>
          <t>Y</t>
        </is>
      </c>
      <c r="JG4" t="inlineStr">
        <is>
          <t>X</t>
        </is>
      </c>
      <c r="JH4" t="inlineStr">
        <is>
          <t>Y</t>
        </is>
      </c>
      <c r="JI4" t="inlineStr">
        <is>
          <t>X</t>
        </is>
      </c>
      <c r="JJ4" t="inlineStr">
        <is>
          <t>Y</t>
        </is>
      </c>
      <c r="JK4" t="inlineStr">
        <is>
          <t>X</t>
        </is>
      </c>
      <c r="JL4" t="inlineStr">
        <is>
          <t>Y</t>
        </is>
      </c>
      <c r="JM4" t="inlineStr">
        <is>
          <t>X</t>
        </is>
      </c>
      <c r="JN4" t="inlineStr">
        <is>
          <t>Y</t>
        </is>
      </c>
      <c r="JO4" t="inlineStr">
        <is>
          <t>X</t>
        </is>
      </c>
      <c r="JP4" t="inlineStr">
        <is>
          <t>Y</t>
        </is>
      </c>
      <c r="JQ4" t="inlineStr">
        <is>
          <t>X</t>
        </is>
      </c>
      <c r="JR4" t="inlineStr">
        <is>
          <t>Y</t>
        </is>
      </c>
      <c r="JS4" t="inlineStr">
        <is>
          <t>X</t>
        </is>
      </c>
      <c r="JT4" t="inlineStr">
        <is>
          <t>Y</t>
        </is>
      </c>
      <c r="JU4" t="inlineStr">
        <is>
          <t>X</t>
        </is>
      </c>
      <c r="JV4" t="inlineStr">
        <is>
          <t>Y</t>
        </is>
      </c>
      <c r="JW4" t="inlineStr">
        <is>
          <t>X</t>
        </is>
      </c>
      <c r="JX4" t="inlineStr">
        <is>
          <t>Y</t>
        </is>
      </c>
      <c r="JY4" t="inlineStr">
        <is>
          <t>X</t>
        </is>
      </c>
      <c r="JZ4" t="inlineStr">
        <is>
          <t>Y</t>
        </is>
      </c>
      <c r="KA4" t="inlineStr">
        <is>
          <t>X</t>
        </is>
      </c>
      <c r="KB4" t="inlineStr">
        <is>
          <t>Y</t>
        </is>
      </c>
      <c r="KC4" t="inlineStr">
        <is>
          <t>X</t>
        </is>
      </c>
      <c r="KD4" t="inlineStr">
        <is>
          <t>Y</t>
        </is>
      </c>
      <c r="KE4" t="inlineStr">
        <is>
          <t>X</t>
        </is>
      </c>
      <c r="KF4" t="inlineStr">
        <is>
          <t>Y</t>
        </is>
      </c>
      <c r="KG4" t="inlineStr">
        <is>
          <t>X</t>
        </is>
      </c>
      <c r="KH4" t="inlineStr">
        <is>
          <t>Y</t>
        </is>
      </c>
      <c r="KI4" t="inlineStr">
        <is>
          <t>X</t>
        </is>
      </c>
      <c r="KJ4" t="inlineStr">
        <is>
          <t>Y</t>
        </is>
      </c>
      <c r="KK4" t="inlineStr">
        <is>
          <t>X</t>
        </is>
      </c>
      <c r="KL4" t="inlineStr">
        <is>
          <t>Y</t>
        </is>
      </c>
      <c r="KM4" t="inlineStr">
        <is>
          <t>X</t>
        </is>
      </c>
      <c r="KN4" t="inlineStr">
        <is>
          <t>Y</t>
        </is>
      </c>
      <c r="KO4" t="inlineStr">
        <is>
          <t>X</t>
        </is>
      </c>
      <c r="KP4" t="inlineStr">
        <is>
          <t>Y</t>
        </is>
      </c>
      <c r="KQ4" t="inlineStr">
        <is>
          <t>X</t>
        </is>
      </c>
      <c r="KR4" t="inlineStr">
        <is>
          <t>Y</t>
        </is>
      </c>
      <c r="KS4" t="inlineStr">
        <is>
          <t>X</t>
        </is>
      </c>
      <c r="KT4" t="inlineStr">
        <is>
          <t>Y</t>
        </is>
      </c>
      <c r="KU4" t="inlineStr">
        <is>
          <t>X</t>
        </is>
      </c>
      <c r="KV4" t="inlineStr">
        <is>
          <t>Y</t>
        </is>
      </c>
      <c r="KW4" t="inlineStr">
        <is>
          <t>X</t>
        </is>
      </c>
      <c r="KX4" t="inlineStr">
        <is>
          <t>Y</t>
        </is>
      </c>
      <c r="KY4" t="inlineStr">
        <is>
          <t>X</t>
        </is>
      </c>
      <c r="KZ4" t="inlineStr">
        <is>
          <t>Y</t>
        </is>
      </c>
    </row>
    <row r="5">
      <c r="A5" t="inlineStr">
        <is>
          <t>B</t>
        </is>
      </c>
      <c r="B5">
        <f>'PARAMÈTRES'!$C$9</f>
        <v>20</v>
      </c>
      <c r="D5" t="inlineStr">
        <is>
          <t>LP_txt1</t>
        </is>
      </c>
      <c r="E5" t="str">
        <f>IF(1&lt;=$B$68,"Porte coul. ","Portillon ")&amp;FIXED($B$72,2,TRUE)&amp;" × "&amp;FIXED($B$73,2,TRUE)</f>
        <v>Portillon 5.50 × 4.00</v>
      </c>
      <c r="G5">
        <f>IF(0&lt;=$B$12,$B$133+$B$132*($B$13*0),NA())</f>
        <v>31.591</v>
      </c>
      <c r="H5">
        <f>IF(0&lt;=$B$12,$B$134+$B$132*(-4*$B$135),NA())</f>
        <v>12</v>
      </c>
      <c r="I5">
        <f>$B$133+$B$132*(-$B$31/2)</f>
        <v>30.571</v>
      </c>
      <c r="J5">
        <f>$B$134+$B$132*(-$B$31/2)</f>
        <v>14.98</v>
      </c>
      <c r="K5">
        <f>IF(0&lt;=$B$12,$B$133+$B$132*($B$13*0-$B$27/2),NA())</f>
        <v>29.551</v>
      </c>
      <c r="L5">
        <f>IF(0&lt;=$B$12,$B$134+$B$132*(0-$B$27/2),NA())</f>
        <v>13.96</v>
      </c>
      <c r="M5">
        <f>IF(0&lt;=$B$12,$B$133+$B$132*($B$13*0),NA())</f>
        <v>31.591</v>
      </c>
      <c r="N5">
        <f>IF(0&lt;=$B$12,$B$134+$B$132*(0),NA())</f>
        <v>16</v>
      </c>
      <c r="O5">
        <f>IF(1&lt;=$B$14-1,$B$133+$B$132*(0),NA())</f>
        <v>31.591</v>
      </c>
      <c r="P5">
        <f>IF(1&lt;=$B$14-1,$B$134+$B$132*(1*$B$15),NA())</f>
        <v>33</v>
      </c>
      <c r="Q5">
        <f>IF($B$71=1,$B$133+$B$132*($B$76),NA())</f>
        <v>90.241</v>
      </c>
      <c r="R5">
        <f>IF($B$71=1,$B$134+$B$132*(-2.5*$B$135),NA())</f>
        <v>13.5</v>
      </c>
      <c r="S5">
        <f>IF($B$71=1,$B$133+$B$132*($B$75),NA())</f>
        <v>99.591</v>
      </c>
      <c r="T5">
        <f>IF($B$71=1,$B$134+$B$132*(-2.5*$B$135),NA())</f>
        <v>13.5</v>
      </c>
      <c r="U5" t="e">
        <f>IF($B$78=1,$B$133+$B$132*($B$82),NA())</f>
        <v>#N/A</v>
      </c>
      <c r="V5" t="e">
        <f>IF($B$78=1,$B$134+$B$132*(-2.5*$B$135),NA())</f>
        <v>#N/A</v>
      </c>
      <c r="W5" t="e">
        <f>IF($B$85=1,$B$133+$B$132*($B$89),NA())</f>
        <v>#N/A</v>
      </c>
      <c r="X5" t="e">
        <f>IF($B$85=1,$B$134+$B$132*(-2.5*$B$135),NA())</f>
        <v>#N/A</v>
      </c>
      <c r="Y5" t="e">
        <f>IF($B$92=1,$B$133+$B$132*($B$96),NA())</f>
        <v>#N/A</v>
      </c>
      <c r="Z5" t="e">
        <f>IF($B$92=1,$B$134+$B$132*(-2.5*$B$135),NA())</f>
        <v>#N/A</v>
      </c>
      <c r="AA5">
        <f>IF($B$102=1,$B$133+$B$132*(-2.5*$B$135),NA())</f>
        <v>29.091</v>
      </c>
      <c r="AB5">
        <f>IF($B$102=1,$B$134+$B$132*($B$106),NA())</f>
        <v>41.5</v>
      </c>
      <c r="AC5" t="e">
        <f>IF($B$109=1,$B$133+$B$132*(-2.5*$B$135),NA())</f>
        <v>#N/A</v>
      </c>
      <c r="AD5" t="e">
        <f>IF($B$109=1,$B$134+$B$132*($B$113),NA())</f>
        <v>#N/A</v>
      </c>
      <c r="AE5" t="e">
        <f>IF($B$116=1,$B$133+$B$132*(-2.5*$B$135),NA())</f>
        <v>#N/A</v>
      </c>
      <c r="AF5" t="e">
        <f>IF($B$116=1,$B$134+$B$132*($B$120),NA())</f>
        <v>#N/A</v>
      </c>
      <c r="AG5" t="e">
        <f>IF($B$123=1,$B$133+$B$132*(-2.5*$B$135),NA())</f>
        <v>#N/A</v>
      </c>
      <c r="AH5" t="e">
        <f>IF($B$123=1,$B$134+$B$132*($B$127),NA())</f>
        <v>#N/A</v>
      </c>
      <c r="AI5">
        <f>$B$133+$B$132*(0)</f>
        <v>31.591</v>
      </c>
      <c r="AJ5">
        <f>$B$134+$B$132*(-11*$B$135+1.2*$B$135)</f>
        <v>6.2</v>
      </c>
      <c r="AK5">
        <f>$B$133+$B$132*(-12*$B$135+1.2*$B$135)</f>
        <v>20.791</v>
      </c>
      <c r="AL5">
        <f>$B$134+$B$132*(0)</f>
        <v>16</v>
      </c>
      <c r="AM5">
        <f>$B$133+$B$132*(0)</f>
        <v>31.591</v>
      </c>
      <c r="AN5">
        <f>$B$134+$B$132*($B$5+6*$B$135+1.2*$B$135)</f>
        <v>91.2</v>
      </c>
      <c r="AO5">
        <f>IF(0&lt;=$B$12,$B$133+$B$132*($B$13*0),NA())</f>
        <v>31.591</v>
      </c>
      <c r="AP5">
        <f>IF(0&lt;=$B$12,$B$134+$B$132*($B$5+11*$B$135),NA())</f>
        <v>95</v>
      </c>
      <c r="AQ5">
        <f>IF(1&lt;=$B$12,$B$133+$B$132*($B$13*1),NA())</f>
        <v>51.0195714285714</v>
      </c>
      <c r="AR5">
        <f>IF(1&lt;=$B$12,$B$134+$B$132*($B$5+11*$B$135),NA())</f>
        <v>95</v>
      </c>
      <c r="AS5">
        <f>IF(2&lt;=$B$12,$B$133+$B$132*($B$13*2),NA())</f>
        <v>70.4481428571428</v>
      </c>
      <c r="AT5">
        <f>IF(2&lt;=$B$12,$B$134+$B$132*($B$5+11*$B$135),NA())</f>
        <v>95</v>
      </c>
      <c r="AU5">
        <f>IF(3&lt;=$B$12,$B$133+$B$132*($B$13*3),NA())</f>
        <v>89.8767142857143</v>
      </c>
      <c r="AV5">
        <f>IF(3&lt;=$B$12,$B$134+$B$132*($B$5+11*$B$135),NA())</f>
        <v>95</v>
      </c>
      <c r="AW5">
        <f>IF(4&lt;=$B$12,$B$133+$B$132*($B$13*4),NA())</f>
        <v>109.305285714286</v>
      </c>
      <c r="AX5">
        <f>IF(4&lt;=$B$12,$B$134+$B$132*($B$5+11*$B$135),NA())</f>
        <v>95</v>
      </c>
      <c r="AY5">
        <f>IF(5&lt;=$B$12,$B$133+$B$132*($B$13*5),NA())</f>
        <v>128.733857142857</v>
      </c>
      <c r="AZ5">
        <f>IF(5&lt;=$B$12,$B$134+$B$132*($B$5+11*$B$135),NA())</f>
        <v>95</v>
      </c>
      <c r="BA5">
        <f>IF(6&lt;=$B$12,$B$133+$B$132*($B$13*6),NA())</f>
        <v>148.162428571429</v>
      </c>
      <c r="BB5">
        <f>IF(6&lt;=$B$12,$B$134+$B$132*($B$5+11*$B$135),NA())</f>
        <v>95</v>
      </c>
      <c r="BC5">
        <f>IF(7&lt;=$B$12,$B$133+$B$132*($B$13*7),NA())</f>
        <v>167.591</v>
      </c>
      <c r="BD5">
        <f>IF(7&lt;=$B$12,$B$134+$B$132*($B$5+11*$B$135),NA())</f>
        <v>95</v>
      </c>
      <c r="BE5" t="e">
        <f>IF(8&lt;=$B$12,$B$133+$B$132*($B$13*8),NA())</f>
        <v>#N/A</v>
      </c>
      <c r="BF5" t="e">
        <f>IF(8&lt;=$B$12,$B$134+$B$132*($B$5+11*$B$135),NA())</f>
        <v>#N/A</v>
      </c>
      <c r="BG5" t="e">
        <f>IF(9&lt;=$B$12,$B$133+$B$132*($B$13*9),NA())</f>
        <v>#N/A</v>
      </c>
      <c r="BH5" t="e">
        <f>IF(9&lt;=$B$12,$B$134+$B$132*($B$5+11*$B$135),NA())</f>
        <v>#N/A</v>
      </c>
      <c r="BI5" t="e">
        <f>IF(10&lt;=$B$12,$B$133+$B$132*($B$13*10),NA())</f>
        <v>#N/A</v>
      </c>
      <c r="BJ5" t="e">
        <f>IF(10&lt;=$B$12,$B$134+$B$132*($B$5+11*$B$135),NA())</f>
        <v>#N/A</v>
      </c>
      <c r="BK5" t="e">
        <f>IF(11&lt;=$B$12,$B$133+$B$132*($B$13*11),NA())</f>
        <v>#N/A</v>
      </c>
      <c r="BL5" t="e">
        <f>IF(11&lt;=$B$12,$B$134+$B$132*($B$5+11*$B$135),NA())</f>
        <v>#N/A</v>
      </c>
      <c r="BM5" t="e">
        <f>IF(12&lt;=$B$12,$B$133+$B$132*($B$13*12),NA())</f>
        <v>#N/A</v>
      </c>
      <c r="BN5" t="e">
        <f>IF(12&lt;=$B$12,$B$134+$B$132*($B$5+11*$B$135),NA())</f>
        <v>#N/A</v>
      </c>
      <c r="BO5" t="e">
        <f>IF(13&lt;=$B$12,$B$133+$B$132*($B$13*13),NA())</f>
        <v>#N/A</v>
      </c>
      <c r="BP5" t="e">
        <f>IF(13&lt;=$B$12,$B$134+$B$132*($B$5+11*$B$135),NA())</f>
        <v>#N/A</v>
      </c>
      <c r="BQ5" t="e">
        <f>IF(14&lt;=$B$12,$B$133+$B$132*($B$13*14),NA())</f>
        <v>#N/A</v>
      </c>
      <c r="BR5" t="e">
        <f>IF(14&lt;=$B$12,$B$134+$B$132*($B$5+11*$B$135),NA())</f>
        <v>#N/A</v>
      </c>
      <c r="BS5" t="e">
        <f>IF(15&lt;=$B$12,$B$133+$B$132*($B$13*15),NA())</f>
        <v>#N/A</v>
      </c>
      <c r="BT5" t="e">
        <f>IF(15&lt;=$B$12,$B$134+$B$132*($B$5+11*$B$135),NA())</f>
        <v>#N/A</v>
      </c>
      <c r="BU5" t="e">
        <f>IF(16&lt;=$B$12,$B$133+$B$132*($B$13*16),NA())</f>
        <v>#N/A</v>
      </c>
      <c r="BV5" t="e">
        <f>IF(16&lt;=$B$12,$B$134+$B$132*($B$5+11*$B$135),NA())</f>
        <v>#N/A</v>
      </c>
      <c r="BW5" t="e">
        <f>IF(17&lt;=$B$12,$B$133+$B$132*($B$13*17),NA())</f>
        <v>#N/A</v>
      </c>
      <c r="BX5" t="e">
        <f>IF(17&lt;=$B$12,$B$134+$B$132*($B$5+11*$B$135),NA())</f>
        <v>#N/A</v>
      </c>
      <c r="BY5" t="e">
        <f>IF(18&lt;=$B$12,$B$133+$B$132*($B$13*18),NA())</f>
        <v>#N/A</v>
      </c>
      <c r="BZ5" t="e">
        <f>IF(18&lt;=$B$12,$B$134+$B$132*($B$5+11*$B$135),NA())</f>
        <v>#N/A</v>
      </c>
      <c r="CA5" t="e">
        <f>IF(19&lt;=$B$12,$B$133+$B$132*($B$13*19),NA())</f>
        <v>#N/A</v>
      </c>
      <c r="CB5" t="e">
        <f>IF(19&lt;=$B$12,$B$134+$B$132*($B$5+11*$B$135),NA())</f>
        <v>#N/A</v>
      </c>
      <c r="CC5" t="e">
        <f>IF(20&lt;=$B$12,$B$133+$B$132*($B$13*20),NA())</f>
        <v>#N/A</v>
      </c>
      <c r="CD5" t="e">
        <f>IF(20&lt;=$B$12,$B$134+$B$132*($B$5+11*$B$135),NA())</f>
        <v>#N/A</v>
      </c>
      <c r="CE5" t="e">
        <f>IF(21&lt;=$B$12,$B$133+$B$132*($B$13*21),NA())</f>
        <v>#N/A</v>
      </c>
      <c r="CF5" t="e">
        <f>IF(21&lt;=$B$12,$B$134+$B$132*($B$5+11*$B$135),NA())</f>
        <v>#N/A</v>
      </c>
      <c r="CG5" t="e">
        <f>IF(22&lt;=$B$12,$B$133+$B$132*($B$13*22),NA())</f>
        <v>#N/A</v>
      </c>
      <c r="CH5" t="e">
        <f>IF(22&lt;=$B$12,$B$134+$B$132*($B$5+11*$B$135),NA())</f>
        <v>#N/A</v>
      </c>
      <c r="CI5" t="e">
        <f>IF(23&lt;=$B$12,$B$133+$B$132*($B$13*23),NA())</f>
        <v>#N/A</v>
      </c>
      <c r="CJ5" t="e">
        <f>IF(23&lt;=$B$12,$B$134+$B$132*($B$5+11*$B$135),NA())</f>
        <v>#N/A</v>
      </c>
      <c r="CK5" t="e">
        <f>IF(24&lt;=$B$12,$B$133+$B$132*($B$13*24),NA())</f>
        <v>#N/A</v>
      </c>
      <c r="CL5" t="e">
        <f>IF(24&lt;=$B$12,$B$134+$B$132*($B$5+11*$B$135),NA())</f>
        <v>#N/A</v>
      </c>
      <c r="CM5" t="e">
        <f>IF(25&lt;=$B$12,$B$133+$B$132*($B$13*25),NA())</f>
        <v>#N/A</v>
      </c>
      <c r="CN5" t="e">
        <f>IF(25&lt;=$B$12,$B$134+$B$132*($B$5+11*$B$135),NA())</f>
        <v>#N/A</v>
      </c>
      <c r="CO5" t="e">
        <f>IF(26&lt;=$B$12,$B$133+$B$132*($B$13*26),NA())</f>
        <v>#N/A</v>
      </c>
      <c r="CP5" t="e">
        <f>IF(26&lt;=$B$12,$B$134+$B$132*($B$5+11*$B$135),NA())</f>
        <v>#N/A</v>
      </c>
      <c r="CQ5" t="e">
        <f>IF(27&lt;=$B$12,$B$133+$B$132*($B$13*27),NA())</f>
        <v>#N/A</v>
      </c>
      <c r="CR5" t="e">
        <f>IF(27&lt;=$B$12,$B$134+$B$132*($B$5+11*$B$135),NA())</f>
        <v>#N/A</v>
      </c>
      <c r="CS5" t="e">
        <f>IF(28&lt;=$B$12,$B$133+$B$132*($B$13*28),NA())</f>
        <v>#N/A</v>
      </c>
      <c r="CT5" t="e">
        <f>IF(28&lt;=$B$12,$B$134+$B$132*($B$5+11*$B$135),NA())</f>
        <v>#N/A</v>
      </c>
      <c r="CU5" t="e">
        <f>IF(29&lt;=$B$12,$B$133+$B$132*($B$13*29),NA())</f>
        <v>#N/A</v>
      </c>
      <c r="CV5" t="e">
        <f>IF(29&lt;=$B$12,$B$134+$B$132*($B$5+11*$B$135),NA())</f>
        <v>#N/A</v>
      </c>
      <c r="CW5" t="e">
        <f>IF(30&lt;=$B$12,$B$133+$B$132*($B$13*30),NA())</f>
        <v>#N/A</v>
      </c>
      <c r="CX5" t="e">
        <f>IF(30&lt;=$B$12,$B$134+$B$132*($B$5+11*$B$135),NA())</f>
        <v>#N/A</v>
      </c>
      <c r="CY5" t="e">
        <f>IF(31&lt;=$B$12,$B$133+$B$132*($B$13*31),NA())</f>
        <v>#N/A</v>
      </c>
      <c r="CZ5" t="e">
        <f>IF(31&lt;=$B$12,$B$134+$B$132*($B$5+11*$B$135),NA())</f>
        <v>#N/A</v>
      </c>
      <c r="DA5" t="e">
        <f>IF(32&lt;=$B$12,$B$133+$B$132*($B$13*32),NA())</f>
        <v>#N/A</v>
      </c>
      <c r="DB5" t="e">
        <f>IF(32&lt;=$B$12,$B$134+$B$132*($B$5+11*$B$135),NA())</f>
        <v>#N/A</v>
      </c>
      <c r="DC5" t="e">
        <f>IF(33&lt;=$B$12,$B$133+$B$132*($B$13*33),NA())</f>
        <v>#N/A</v>
      </c>
      <c r="DD5" t="e">
        <f>IF(33&lt;=$B$12,$B$134+$B$132*($B$5+11*$B$135),NA())</f>
        <v>#N/A</v>
      </c>
      <c r="DE5" t="e">
        <f>IF(34&lt;=$B$12,$B$133+$B$132*($B$13*34),NA())</f>
        <v>#N/A</v>
      </c>
      <c r="DF5" t="e">
        <f>IF(34&lt;=$B$12,$B$134+$B$132*($B$5+11*$B$135),NA())</f>
        <v>#N/A</v>
      </c>
      <c r="DG5" t="e">
        <f>IF(35&lt;=$B$12,$B$133+$B$132*($B$13*35),NA())</f>
        <v>#N/A</v>
      </c>
      <c r="DH5" t="e">
        <f>IF(35&lt;=$B$12,$B$134+$B$132*($B$5+11*$B$135),NA())</f>
        <v>#N/A</v>
      </c>
      <c r="DI5" t="e">
        <f>IF(36&lt;=$B$12,$B$133+$B$132*($B$13*36),NA())</f>
        <v>#N/A</v>
      </c>
      <c r="DJ5" t="e">
        <f>IF(36&lt;=$B$12,$B$134+$B$132*($B$5+11*$B$135),NA())</f>
        <v>#N/A</v>
      </c>
      <c r="DK5" t="e">
        <f>IF(37&lt;=$B$12,$B$133+$B$132*($B$13*37),NA())</f>
        <v>#N/A</v>
      </c>
      <c r="DL5" t="e">
        <f>IF(37&lt;=$B$12,$B$134+$B$132*($B$5+11*$B$135),NA())</f>
        <v>#N/A</v>
      </c>
      <c r="DM5" t="e">
        <f>IF(38&lt;=$B$12,$B$133+$B$132*($B$13*38),NA())</f>
        <v>#N/A</v>
      </c>
      <c r="DN5" t="e">
        <f>IF(38&lt;=$B$12,$B$134+$B$132*($B$5+11*$B$135),NA())</f>
        <v>#N/A</v>
      </c>
      <c r="DO5" t="e">
        <f>IF(39&lt;=$B$12,$B$133+$B$132*($B$13*39),NA())</f>
        <v>#N/A</v>
      </c>
      <c r="DP5" t="e">
        <f>IF(39&lt;=$B$12,$B$134+$B$132*($B$5+11*$B$135),NA())</f>
        <v>#N/A</v>
      </c>
      <c r="DQ5" t="e">
        <f>IF(40&lt;=$B$12,$B$133+$B$132*($B$13*40),NA())</f>
        <v>#N/A</v>
      </c>
      <c r="DR5" t="e">
        <f>IF(40&lt;=$B$12,$B$134+$B$132*($B$5+11*$B$135),NA())</f>
        <v>#N/A</v>
      </c>
      <c r="DS5">
        <f>$B$133+$B$132*($B$6+6*$B$135)</f>
        <v>173.591</v>
      </c>
      <c r="DT5">
        <f>$B$134+$B$132*(0)</f>
        <v>16</v>
      </c>
      <c r="DU5">
        <f>$B$133+$B$132*($B$6+6*$B$135)</f>
        <v>173.591</v>
      </c>
      <c r="DV5">
        <f>$B$134+$B$132*($B$5)</f>
        <v>84</v>
      </c>
      <c r="DW5">
        <f>$B$139+$B$138*(-6*$B$141)</f>
        <v>14</v>
      </c>
      <c r="DX5">
        <f>$B$140+$B$138*(0)</f>
        <v>27.873835</v>
      </c>
      <c r="DY5">
        <f>$B$139+$B$138*(0)</f>
        <v>20</v>
      </c>
      <c r="DZ5">
        <f>$B$140+$B$138*(0)</f>
        <v>27.873835</v>
      </c>
      <c r="EA5" t="e">
        <f>IF(AND($B$18=1,1&lt;=$B$26-1),$B$139+$B$138*(1*($B$5/MAX(1,$B$26))),NA())</f>
        <v>#N/A</v>
      </c>
      <c r="EB5" t="e">
        <f>IF(AND($B$18=1,1&lt;=$B$26-1),$B$140+$B$138*($B$7),NA())</f>
        <v>#N/A</v>
      </c>
      <c r="EC5">
        <f>IF($B$18=0,$B$139+$B$138*(0),NA())</f>
        <v>20</v>
      </c>
      <c r="ED5">
        <f>IF($B$18=0,$B$140+$B$138*($B$7-$B$54),NA())</f>
        <v>71.530705</v>
      </c>
      <c r="EE5">
        <f>IF(0&lt;=$B$16-1,$B$139+$B$138*(0*($B$5/2)/MAX(1,$B$16-1)),NA())</f>
        <v>20</v>
      </c>
      <c r="EF5">
        <f>IF(0&lt;=$B$16-1,$B$140+$B$138*($B$9+$B$8*0*($B$5/2)/MAX(1,$B$16-1)+1.2*$B$141),NA())</f>
        <v>75.028435</v>
      </c>
      <c r="EG5">
        <f>$B$139+$B$138*($B$5/2)</f>
        <v>96.591</v>
      </c>
      <c r="EH5">
        <f>$B$140+$B$138*($B$10+3*$B$141)</f>
        <v>89.082995</v>
      </c>
      <c r="EI5">
        <f>$B$139+$B$138*(-3.5*$B$141)</f>
        <v>16.5</v>
      </c>
      <c r="EJ5">
        <f>$B$140+$B$138*($B$9+1.5*$B$141)</f>
        <v>75.328435</v>
      </c>
      <c r="EK5">
        <f>$B$139+$B$138*(0-$B$27/2)</f>
        <v>15.40454</v>
      </c>
      <c r="EL5">
        <f>$B$140+$B$138*((-$B$33+$B$34))</f>
        <v>19.06587</v>
      </c>
      <c r="EM5">
        <f>$B$139+$B$138*(-9*$B$141+1.2*$B$141)</f>
        <v>12.2</v>
      </c>
      <c r="EN5">
        <f>$B$140+$B$138*(0)</f>
        <v>27.873835</v>
      </c>
      <c r="EO5">
        <f>$B$139+$B$138*($B$5+9*$B$141+1.2*$B$141)</f>
        <v>183.382</v>
      </c>
      <c r="EP5">
        <f>$B$140+$B$138*(0)</f>
        <v>27.873835</v>
      </c>
      <c r="EQ5">
        <f>$B$139+$B$138*(0)</f>
        <v>20</v>
      </c>
      <c r="ER5">
        <f>$B$140+$B$138*(-$B$33-4*$B$141+1.2*$B$141)</f>
        <v>15.882915</v>
      </c>
      <c r="ES5">
        <f>$B$139+$B$138*($B$5/4)</f>
        <v>58.2955</v>
      </c>
      <c r="ET5">
        <f>$B$140+$B$138*($B$9+$B$8*$B$5/4+5*$B$141)</f>
        <v>84.955715</v>
      </c>
      <c r="EU5">
        <f>$B$139+$B$138*($B$5/2)</f>
        <v>96.591</v>
      </c>
      <c r="EV5">
        <f>$B$140+$B$138*($B$7/2)</f>
        <v>50.851135</v>
      </c>
      <c r="EW5">
        <f>$B$139+$B$138*($B$5/2)</f>
        <v>96.591</v>
      </c>
      <c r="EX5">
        <f>$B$140+$B$138*($B$10+7*$B$141)</f>
        <v>93.082995</v>
      </c>
      <c r="EY5">
        <f>$B$145+$B$144*(-5*$B$147)</f>
        <v>15</v>
      </c>
      <c r="EZ5">
        <f>$B$146+$B$144*(0)</f>
        <v>38.76135</v>
      </c>
      <c r="FA5">
        <f>IF(0&lt;=$B$12,$B$145+$B$144*($B$13*0),NA())</f>
        <v>20</v>
      </c>
      <c r="FB5">
        <f>IF(0&lt;=$B$12,$B$146+$B$144*(0),NA())</f>
        <v>38.76135</v>
      </c>
      <c r="FC5">
        <f>IF(0&lt;$B$22,$B$145+$B$144*(0),NA())</f>
        <v>20</v>
      </c>
      <c r="FD5">
        <f>IF(0&lt;$B$22,$B$146+$B$144*(($B$19+0*$B$64)),NA())</f>
        <v>38.76135</v>
      </c>
      <c r="FE5" t="e">
        <f>IF(AND($B$21=1,(1*$B$66)&lt;$B$62),$B$145+$B$144*(0),NA())</f>
        <v>#N/A</v>
      </c>
      <c r="FF5" t="e">
        <f>IF(AND($B$21=1,(1*$B$66)&lt;$B$62),$B$146+$B$144*((1*$B$66)),NA())</f>
        <v>#N/A</v>
      </c>
      <c r="FG5" t="e">
        <f>IF($B$21=1,$B$145+$B$144*(0),NA())</f>
        <v>#N/A</v>
      </c>
      <c r="FH5" t="e">
        <f>IF($B$21=1,$B$146+$B$144*($B$59/2),NA())</f>
        <v>#N/A</v>
      </c>
      <c r="FI5">
        <f>IF(1&lt;=$B$23,$B$145+$B$144*((IF(1=1,1,IF(1=$B$23,$B$12,5*(1-1)))-1)*$B$13),NA())</f>
        <v>20</v>
      </c>
      <c r="FJ5">
        <f>IF(1&lt;=$B$23,$B$146+$B$144*(0),NA())</f>
        <v>38.76135</v>
      </c>
      <c r="FK5">
        <f>IF($B$71=1,$B$145+$B$144*($B$76),NA())</f>
        <v>90.3722375</v>
      </c>
      <c r="FL5">
        <f>IF($B$71=1,$B$146+$B$144*(0),NA())</f>
        <v>38.76135</v>
      </c>
      <c r="FM5">
        <f>IF($B$71=1,$B$145+$B$144*($B$76),NA())</f>
        <v>90.3722375</v>
      </c>
      <c r="FN5">
        <f>IF($B$71=1,$B$146+$B$144*(0),NA())</f>
        <v>38.76135</v>
      </c>
      <c r="FO5">
        <f>IF($B$71=1,$B$145+$B$144*($B$75),NA())</f>
        <v>101.591</v>
      </c>
      <c r="FP5">
        <f>IF($B$71=1,$B$146+$B$144*($B$73+0.15),NA())</f>
        <v>55.6914825</v>
      </c>
      <c r="FQ5" t="e">
        <f>IF($B$78=1,$B$145+$B$144*($B$82),NA())</f>
        <v>#N/A</v>
      </c>
      <c r="FR5" t="e">
        <f>IF($B$78=1,$B$146+$B$144*($B$80+0.15),NA())</f>
        <v>#N/A</v>
      </c>
      <c r="FS5" t="e">
        <f>IF($B$85=1,$B$145+$B$144*($B$89),NA())</f>
        <v>#N/A</v>
      </c>
      <c r="FT5" t="e">
        <f>IF($B$85=1,$B$146+$B$144*($B$87+0.15),NA())</f>
        <v>#N/A</v>
      </c>
      <c r="FU5" t="e">
        <f>IF($B$92=1,$B$145+$B$144*($B$96),NA())</f>
        <v>#N/A</v>
      </c>
      <c r="FV5" t="e">
        <f>IF($B$92=1,$B$146+$B$144*($B$94+0.15),NA())</f>
        <v>#N/A</v>
      </c>
      <c r="FW5">
        <f>$B$145+$B$144*(0)</f>
        <v>20</v>
      </c>
      <c r="FX5">
        <f>$B$146+$B$144*(-6*$B$147+1.2*$B$147)</f>
        <v>33.96135</v>
      </c>
      <c r="FY5">
        <f>$B$145+$B$144*(-9*$B$147+1.2*$B$147)</f>
        <v>12.2</v>
      </c>
      <c r="FZ5">
        <f>$B$146+$B$144*(0)</f>
        <v>38.76135</v>
      </c>
      <c r="GA5">
        <f>$B$145+$B$144*(0)</f>
        <v>20</v>
      </c>
      <c r="GB5">
        <f>$B$146+$B$144*($B$9+$B$53+4*$B$147+1.2*$B$147)</f>
        <v>68.43865</v>
      </c>
      <c r="GC5">
        <f>$B$151+$B$150*(-5*$B$153)</f>
        <v>15</v>
      </c>
      <c r="GD5">
        <f>$B$152+$B$150*(0)</f>
        <v>23.89542</v>
      </c>
      <c r="GE5">
        <f>$B$151+$B$150*(0)</f>
        <v>20</v>
      </c>
      <c r="GF5">
        <f>$B$152+$B$150*(0)</f>
        <v>23.89542</v>
      </c>
      <c r="GG5">
        <f>IF(AND($B$20=1,($B$19+0*$B$64)&lt;$B$10-0.3),$B$151+$B$150*(IF(($B$19+0*$B$64)&lt;=$B$9,0,(($B$19+0*$B$64)-$B$9)/$B$8)),NA())</f>
        <v>20</v>
      </c>
      <c r="GH5">
        <f>IF(AND($B$20=1,($B$19+0*$B$64)&lt;$B$10-0.3),$B$152+$B$150*(($B$19+0*$B$64)),NA())</f>
        <v>23.89542</v>
      </c>
      <c r="GI5" t="e">
        <f>IF(AND($B$21=1,(1*$B$66)&lt;IF($B$63=1,$B$10-0.2,$B$62)),$B$151+$B$150*(IF((1*$B$66)&lt;=$B$9,0,((1*$B$66)-$B$9)/$B$8)),NA())</f>
        <v>#N/A</v>
      </c>
      <c r="GJ5" t="e">
        <f>IF(AND($B$21=1,(1*$B$66)&lt;IF($B$63=1,$B$10-0.2,$B$62)),$B$152+$B$150*((1*$B$66)),NA())</f>
        <v>#N/A</v>
      </c>
      <c r="GK5" t="e">
        <f>IF($B$21=1,$B$151+$B$150*(0),NA())</f>
        <v>#N/A</v>
      </c>
      <c r="GL5" t="e">
        <f>IF($B$21=1,$B$152+$B$150*($B$59/2),NA())</f>
        <v>#N/A</v>
      </c>
      <c r="GM5">
        <f>IF($B$102=1,$B$151+$B$150*($B$107),NA())</f>
        <v>62.12505</v>
      </c>
      <c r="GN5">
        <f>IF($B$102=1,$B$152+$B$150*(0),NA())</f>
        <v>23.89542</v>
      </c>
      <c r="GO5">
        <f>IF($B$102=1,$B$151+$B$150*($B$107),NA())</f>
        <v>62.12505</v>
      </c>
      <c r="GP5">
        <f>IF($B$102=1,$B$152+$B$150*(0),NA())</f>
        <v>23.89542</v>
      </c>
      <c r="GQ5">
        <f>IF($B$102=1,$B$151+$B$150*($B$106),NA())</f>
        <v>77.44325</v>
      </c>
      <c r="GR5">
        <f>IF($B$102=1,$B$152+$B$150*($B$104+0.15),NA())</f>
        <v>59.510235</v>
      </c>
      <c r="GS5" t="e">
        <f>IF($B$109=1,$B$151+$B$150*($B$113),NA())</f>
        <v>#N/A</v>
      </c>
      <c r="GT5" t="e">
        <f>IF($B$109=1,$B$152+$B$150*($B$111+0.15),NA())</f>
        <v>#N/A</v>
      </c>
      <c r="GU5" t="e">
        <f>IF($B$116=1,$B$151+$B$150*($B$120),NA())</f>
        <v>#N/A</v>
      </c>
      <c r="GV5" t="e">
        <f>IF($B$116=1,$B$152+$B$150*($B$118+0.15),NA())</f>
        <v>#N/A</v>
      </c>
      <c r="GW5" t="e">
        <f>IF($B$123=1,$B$151+$B$150*($B$127),NA())</f>
        <v>#N/A</v>
      </c>
      <c r="GX5" t="e">
        <f>IF($B$123=1,$B$152+$B$150*($B$125+0.15),NA())</f>
        <v>#N/A</v>
      </c>
      <c r="GY5">
        <f>$B$151+$B$150*(0)</f>
        <v>20</v>
      </c>
      <c r="GZ5">
        <f>$B$152+$B$150*(-6*$B$153+1.2*$B$153)</f>
        <v>19.09542</v>
      </c>
      <c r="HA5">
        <f>$B$151+$B$150*(-9*$B$153+1.2*$B$153)</f>
        <v>12.2</v>
      </c>
      <c r="HB5">
        <f>$B$152+$B$150*(0)</f>
        <v>23.89542</v>
      </c>
      <c r="HC5">
        <f>$B$151+$B$150*($B$5+9*$B$153+1.2*$B$153)</f>
        <v>183.382</v>
      </c>
      <c r="HD5">
        <f>$B$152+$B$150*(0)</f>
        <v>23.89542</v>
      </c>
      <c r="HE5">
        <f>$B$151+$B$150*($B$5/2)</f>
        <v>96.591</v>
      </c>
      <c r="HF5">
        <f>$B$152+$B$150*($B$10+3*$B$153)</f>
        <v>85.10458</v>
      </c>
      <c r="HG5">
        <f>$B$157+$B$156*(-$B$46)</f>
        <v>21.451</v>
      </c>
      <c r="HH5">
        <f>$B$158+$B$156*(0)</f>
        <v>14</v>
      </c>
      <c r="HI5">
        <f>IF(0&lt;=$B$16-1,$B$157+$B$156*(-$B$46),NA())</f>
        <v>21.451</v>
      </c>
      <c r="HJ5">
        <f>IF(0&lt;=$B$16-1,$B$158+$B$156*(0*($B$5/2)/MAX(1,$B$16-1)),NA())</f>
        <v>14</v>
      </c>
      <c r="HK5">
        <f>IF(0&lt;=$B$12,$B$157+$B$156*($B$13*0),NA())</f>
        <v>22.591</v>
      </c>
      <c r="HL5">
        <f>IF(0&lt;=$B$12,$B$158+$B$156*(0),NA())</f>
        <v>14</v>
      </c>
      <c r="HM5">
        <f>IF(AND(1&lt;=$B$12,1&lt;=$B$25),$B$157+$B$156*((1-1)*$B$13+1*$B$13/($B$25+1)),NA())</f>
        <v>33.4481428571429</v>
      </c>
      <c r="HN5">
        <f>IF(AND(1&lt;=$B$12,1&lt;=$B$25),$B$158+$B$156*(0),NA())</f>
        <v>14</v>
      </c>
      <c r="HO5">
        <f>$B$157+$B$156*(-$B$46)</f>
        <v>21.451</v>
      </c>
      <c r="HP5">
        <f>$B$158+$B$156*($B$5/2)</f>
        <v>52</v>
      </c>
      <c r="HQ5">
        <f>IF(AND(1&lt;=$B$23,1&lt;=$B$24),$B$157+$B$156*((IF(1=1,1,IF(1=$B$23,$B$12,5*(1-1)))-1)*$B$13),NA())</f>
        <v>22.591</v>
      </c>
      <c r="HR5">
        <f>IF(AND(1&lt;=$B$23,1&lt;=$B$24),$B$158+$B$156*((0*$B$5/2+(1-1)*($B$5/2)/$B$24)),NA())</f>
        <v>14</v>
      </c>
      <c r="HS5">
        <f>IF(AND(1&lt;=$B$12,$B$51&gt;0),$B$157+$B$156*(((1-0.5)*$B$13)-($B$51*$B$13)/2),NA())</f>
        <v>32.3624285714286</v>
      </c>
      <c r="HT5">
        <f>IF(AND(1&lt;=$B$12,$B$51&gt;0),$B$158+$B$156*((0*$B$5/2+0.6*$B$159)),NA())</f>
        <v>14.6</v>
      </c>
      <c r="HU5">
        <f>IF(1&lt;=$B$47,$B$157+$B$156*(((MAX(1,MIN($B$12,ROUND(1*$B$12/($B$47+1),0)))-1)*$B$13+0.25*$B$13)-$B$48/2),NA())</f>
        <v>25.7395714285714</v>
      </c>
      <c r="HV5">
        <f>IF(1&lt;=$B$47,$B$158+$B$156*(IF(MOD(1,2)=1,$B$5/4,3*$B$5/4)-$B$49/2),NA())</f>
        <v>30.72</v>
      </c>
      <c r="HW5">
        <f>IF(1&lt;=$B$50/2,$B$157+$B$156*((1-0.5)*$B$6/MAX(1,$B$50/2)),NA())</f>
        <v>47.9243333333333</v>
      </c>
      <c r="HX5">
        <f>IF(1&lt;=$B$50/2,$B$158+$B$156*(0),NA())</f>
        <v>14</v>
      </c>
      <c r="HY5">
        <f>$B$157+$B$156*(0)</f>
        <v>22.591</v>
      </c>
      <c r="HZ5">
        <f>$B$158+$B$156*(-7*$B$159+1.2*$B$159)</f>
        <v>8.2</v>
      </c>
      <c r="IA5">
        <f>$B$157+$B$156*(-$B$46-9*$B$159+1.2*$B$159)</f>
        <v>13.651</v>
      </c>
      <c r="IB5">
        <f>$B$158+$B$156*(0)</f>
        <v>14</v>
      </c>
      <c r="IC5">
        <f>$B$157+$B$156*($B$6+$B$46+2*$B$159)</f>
        <v>177.731</v>
      </c>
      <c r="ID5">
        <f>$B$158+$B$156*($B$5/2)</f>
        <v>52</v>
      </c>
      <c r="IE5">
        <f>$B$157+$B$156*($B$6+$B$46+2*$B$159)</f>
        <v>177.731</v>
      </c>
      <c r="IF5">
        <f>$B$158+$B$156*($B$5/4)</f>
        <v>33</v>
      </c>
      <c r="IG5">
        <f>$B$157+$B$156*($B$6/2)</f>
        <v>98.591</v>
      </c>
      <c r="IH5">
        <f>$B$158+$B$156*(-2.5*$B$159)</f>
        <v>11.5</v>
      </c>
      <c r="II5">
        <f>$B$174+$B$173*(-$B$31/2-0.3)</f>
        <v>16</v>
      </c>
      <c r="IJ5">
        <f>$B$175+$B$173*(0)</f>
        <v>51.3601</v>
      </c>
      <c r="IK5">
        <f>$B$174+$B$173*(-$B$31/2-0.05)</f>
        <v>22.399</v>
      </c>
      <c r="IL5">
        <f>$B$175+$B$173*($B$160)</f>
        <v>20.6449</v>
      </c>
      <c r="IM5">
        <f>$B$174+$B$173*(-0.075)</f>
        <v>29.4379</v>
      </c>
      <c r="IN5">
        <f>$B$175+$B$173*($B$162)</f>
        <v>27.0439</v>
      </c>
      <c r="IO5">
        <f>$B$174+$B$173*(0.075)</f>
        <v>33.2773</v>
      </c>
      <c r="IP5">
        <f>$B$175+$B$173*($B$164)</f>
        <v>56.4793</v>
      </c>
      <c r="IQ5">
        <f>$B$174+$B$173*(0.075)</f>
        <v>33.2773</v>
      </c>
      <c r="IR5">
        <f>$B$175+$B$173*($B$165+0.005)</f>
        <v>57.88708</v>
      </c>
      <c r="IS5">
        <f>$B$174+$B$173*(0.075)</f>
        <v>33.2773</v>
      </c>
      <c r="IT5">
        <f>$B$175+$B$173*($B$164+$B$39/2)</f>
        <v>57.1192</v>
      </c>
      <c r="IU5">
        <f>$B$174+$B$173*(-$B$31/2+$B$41)</f>
        <v>24.9586</v>
      </c>
      <c r="IV5">
        <f>$B$175+$B$173*($B$161+$B$41)</f>
        <v>23.2045</v>
      </c>
      <c r="IW5">
        <f>$B$174+$B$173*(-$B$31/2+$B$41+0*($B$31-2*$B$41)/3)</f>
        <v>24.9586</v>
      </c>
      <c r="IX5">
        <f>$B$175+$B$173*($B$161+$B$41+0.02)</f>
        <v>23.71642</v>
      </c>
      <c r="IY5">
        <f>$B$174+$B$173*($B$169-'PARAMÈTRES'!$H$18/2)</f>
        <v>89.5885</v>
      </c>
      <c r="IZ5">
        <f>$B$175+$B$173*($B$168+0.025)</f>
        <v>63.5182</v>
      </c>
      <c r="JA5">
        <f>$B$174+$B$173*(-$B$31/2-0.18+1.2*$B$176)</f>
        <v>20.27152</v>
      </c>
      <c r="JB5">
        <f>$B$175+$B$173*($B$160)</f>
        <v>20.6449</v>
      </c>
      <c r="JC5">
        <f>$B$174+$B$173*(-$B$31/2)</f>
        <v>23.6788</v>
      </c>
      <c r="JD5">
        <f>$B$175+$B$173*($B$160-0.06+1.2*$B$176)</f>
        <v>20.30914</v>
      </c>
      <c r="JE5">
        <f>$B$174+$B$173*($B$169-$B$27/2)</f>
        <v>79.99</v>
      </c>
      <c r="JF5">
        <f>$B$175+$B$173*($B$160-0.06+1.2*$B$176)</f>
        <v>20.30914</v>
      </c>
      <c r="JG5">
        <f>$B$174+$B$173*($B$170+5*$B$176)</f>
        <v>136.182</v>
      </c>
      <c r="JH5">
        <f>$B$175+$B$173*((MAX($B$166,$B$168)+0.75)-0*6.5*$B$176)</f>
        <v>82.0753</v>
      </c>
      <c r="JI5">
        <f>$B$174+$B$173*($B$170+5*$B$176)</f>
        <v>136.182</v>
      </c>
      <c r="JJ5">
        <f>$B$175+$B$173*((MAX($B$166,$B$168)+0.75)-1*6.5*$B$176)</f>
        <v>75.5753</v>
      </c>
      <c r="JK5">
        <f>$B$174+$B$173*($B$170+5*$B$176)</f>
        <v>136.182</v>
      </c>
      <c r="JL5">
        <f>$B$175+$B$173*((MAX($B$166,$B$168)+0.75)-2*6.5*$B$176)</f>
        <v>69.0753</v>
      </c>
      <c r="JM5">
        <f>$B$174+$B$173*($B$170+5*$B$176)</f>
        <v>136.182</v>
      </c>
      <c r="JN5">
        <f>$B$175+$B$173*((MAX($B$166,$B$168)+0.75)-3*6.5*$B$176)</f>
        <v>62.5753</v>
      </c>
      <c r="JO5">
        <f>$B$174+$B$173*($B$170+5*$B$176)</f>
        <v>136.182</v>
      </c>
      <c r="JP5">
        <f>$B$175+$B$173*((MAX($B$166,$B$168)+0.75)-4*6.5*$B$176)</f>
        <v>56.0753</v>
      </c>
      <c r="JQ5">
        <f>$B$174+$B$173*($B$170+5*$B$176)</f>
        <v>136.182</v>
      </c>
      <c r="JR5">
        <f>$B$175+$B$173*((MAX($B$166,$B$168)+0.75)-5*6.5*$B$176)</f>
        <v>49.5753</v>
      </c>
      <c r="JS5">
        <f>$B$174+$B$173*($B$170+5*$B$176)</f>
        <v>136.182</v>
      </c>
      <c r="JT5">
        <f>$B$175+$B$173*((MAX($B$166,$B$168)+0.75)-6*6.5*$B$176)</f>
        <v>43.0753</v>
      </c>
      <c r="JU5">
        <f>$B$174+$B$173*($B$170+5*$B$176)</f>
        <v>136.182</v>
      </c>
      <c r="JV5">
        <f>$B$175+$B$173*((MAX($B$166,$B$168)+0.75)-7*6.5*$B$176)</f>
        <v>36.5753</v>
      </c>
      <c r="JW5">
        <f>$B$174+$B$173*($B$169+$B$29/2-0.10)</f>
        <v>97.9072</v>
      </c>
      <c r="JX5">
        <f>$B$175+$B$173*($B$168+0.06)</f>
        <v>64.41406</v>
      </c>
      <c r="JY5">
        <f>$B$174+$B$173*(-0.075)</f>
        <v>29.4379</v>
      </c>
      <c r="JZ5">
        <f>$B$175+$B$173*(($B$162+$B$163)/2)</f>
        <v>39.8419</v>
      </c>
      <c r="KA5">
        <f>$B$174+$B$173*(0)</f>
        <v>31.3576</v>
      </c>
      <c r="KB5">
        <f>$B$175+$B$173*($B$160-0.30)</f>
        <v>12.9661</v>
      </c>
      <c r="KC5" t="e">
        <f>IF($B$21=1,$B$182+$B$181*(-3*$B$184),NA())</f>
        <v>#N/A</v>
      </c>
      <c r="KD5" t="e">
        <f>IF($B$21=1,$B$183+$B$181*(0),NA())</f>
        <v>#N/A</v>
      </c>
      <c r="KE5" t="e">
        <f>IF($B$21=1,$B$182+$B$181*(0),NA())</f>
        <v>#N/A</v>
      </c>
      <c r="KF5" t="e">
        <f>IF($B$21=1,$B$183+$B$181*(0),NA())</f>
        <v>#N/A</v>
      </c>
      <c r="KG5" t="e">
        <f>IF($B$21=1,$B$182+$B$181*(0),NA())</f>
        <v>#N/A</v>
      </c>
      <c r="KH5" t="e">
        <f>IF($B$21=1,$B$183+$B$181*(0),NA())</f>
        <v>#N/A</v>
      </c>
      <c r="KI5" t="e">
        <f>IF(AND($B$21=1,1*$B$67&gt;$B$59,1*$B$67&lt;$B$178-$B$59,OR($B$63=0,ABS(1*$B$67-$B$178/2)&gt;$B$59/2)),$B$182+$B$181*(0),NA())</f>
        <v>#N/A</v>
      </c>
      <c r="KJ5" t="e">
        <f>IF(AND($B$21=1,1*$B$67&gt;$B$59,1*$B$67&lt;$B$178-$B$59,OR($B$63=0,ABS(1*$B$67-$B$178/2)&gt;$B$59/2)),$B$183+$B$181*(1*$B$67),NA())</f>
        <v>#N/A</v>
      </c>
      <c r="KK5" t="e">
        <f>IF($B$21=1,$B$182+$B$181*(0),NA())</f>
        <v>#N/A</v>
      </c>
      <c r="KL5" t="e">
        <f>IF($B$21=1,$B$183+$B$181*($B$59/2-($B$59/2-$B$41*0.6)),NA())</f>
        <v>#N/A</v>
      </c>
      <c r="KM5" t="e">
        <f>IF($B$21=1,$B$182+$B$181*(0),NA())</f>
        <v>#N/A</v>
      </c>
      <c r="KN5" t="e">
        <f>IF($B$21=1,$B$183+$B$181*(-6*$B$184+1.2*$B$184),NA())</f>
        <v>#N/A</v>
      </c>
      <c r="KO5" t="e">
        <f>IF($B$21=1,$B$182+$B$181*(-6*$B$184+1.2*$B$184),NA())</f>
        <v>#N/A</v>
      </c>
      <c r="KP5" t="e">
        <f>IF($B$21=1,$B$183+$B$181*(0),NA())</f>
        <v>#N/A</v>
      </c>
      <c r="KQ5" t="e">
        <f>IF($B$21=1,$B$182+$B$181*($B$177+4*$B$184),NA())</f>
        <v>#N/A</v>
      </c>
      <c r="KR5" t="e">
        <f>IF($B$21=1,$B$183+$B$181*($B$178-$B$59/2),NA())</f>
        <v>#N/A</v>
      </c>
      <c r="KS5" t="e">
        <f>IF(AND($B$21=1,$B$63=1),$B$182+$B$181*($B$177+4*$B$184),NA())</f>
        <v>#N/A</v>
      </c>
      <c r="KT5" t="e">
        <f>IF(AND($B$21=1,$B$63=1),$B$183+$B$181*($B$178/2),NA())</f>
        <v>#N/A</v>
      </c>
      <c r="KU5" t="e">
        <f>IF($B$21=1,$B$182+$B$181*($B$177+4*$B$184),NA())</f>
        <v>#N/A</v>
      </c>
      <c r="KV5" t="e">
        <f>IF($B$21=1,$B$183+$B$181*($B$59/2),NA())</f>
        <v>#N/A</v>
      </c>
      <c r="KW5" t="e">
        <f>IF($B$21=1,$B$182+$B$181*($B$177/2),NA())</f>
        <v>#N/A</v>
      </c>
      <c r="KX5" t="e">
        <f>IF($B$21=1,$B$183+$B$181*($B$178+3*$B$184),NA())</f>
        <v>#N/A</v>
      </c>
      <c r="KY5">
        <f>IF($B$21=0,$B$182+$B$181*($B$177/2),NA())</f>
        <v>75.591</v>
      </c>
      <c r="KZ5">
        <f>IF($B$21=0,$B$183+$B$181*($B$178/2),NA())</f>
        <v>46.7857875</v>
      </c>
    </row>
    <row r="6">
      <c r="A6" t="inlineStr">
        <is>
          <t>L</t>
        </is>
      </c>
      <c r="B6">
        <f>'PARAMÈTRES'!$C$10</f>
        <v>40</v>
      </c>
      <c r="D6" t="inlineStr">
        <is>
          <t>LP_txt2</t>
        </is>
      </c>
      <c r="E6" t="str">
        <f>IF(2&lt;=$B$68,"Porte coul. ","Portillon ")&amp;FIXED($B$79,2,TRUE)&amp;" × "&amp;FIXED($B$80,2,TRUE)</f>
        <v>Portillon 5.50 × 0.00</v>
      </c>
      <c r="G6">
        <f>IF(0&lt;=$B$12,$B$133+$B$132*($B$13*0),NA())</f>
        <v>31.591</v>
      </c>
      <c r="H6">
        <f>IF(0&lt;=$B$12,$B$134+$B$132*($B$5+4*$B$135),NA())</f>
        <v>88</v>
      </c>
      <c r="I6">
        <f>$B$133+$B$132*($B$6+$B$31/2)</f>
        <v>168.611</v>
      </c>
      <c r="J6">
        <f>$B$134+$B$132*(-$B$31/2)</f>
        <v>14.98</v>
      </c>
      <c r="K6">
        <f>IF(0&lt;=$B$12,$B$133+$B$132*($B$13*0+$B$27/2),NA())</f>
        <v>33.631</v>
      </c>
      <c r="L6">
        <f>IF(0&lt;=$B$12,$B$134+$B$132*(0-$B$27/2),NA())</f>
        <v>13.96</v>
      </c>
      <c r="M6">
        <f>IF(0&lt;=$B$12,$B$133+$B$132*($B$13*0),NA())</f>
        <v>31.591</v>
      </c>
      <c r="N6">
        <f>IF(0&lt;=$B$12,$B$134+$B$132*($B$5),NA())</f>
        <v>84</v>
      </c>
      <c r="O6">
        <f>IF(1&lt;=$B$14-1,$B$133+$B$132*($B$6),NA())</f>
        <v>167.591</v>
      </c>
      <c r="P6">
        <f>IF(1&lt;=$B$14-1,$B$134+$B$132*(1*$B$15),NA())</f>
        <v>33</v>
      </c>
      <c r="Q6">
        <f>IF($B$71=1,$B$133+$B$132*($B$77),NA())</f>
        <v>108.941</v>
      </c>
      <c r="R6">
        <f>IF($B$71=1,$B$134+$B$132*(-2.5*$B$135),NA())</f>
        <v>13.5</v>
      </c>
      <c r="AI6">
        <f>$B$133+$B$132*(0)</f>
        <v>31.591</v>
      </c>
      <c r="AJ6">
        <f>$B$134+$B$132*(-11*$B$135-1.2*$B$135)</f>
        <v>3.8</v>
      </c>
      <c r="AK6">
        <f>$B$133+$B$132*(-12*$B$135-1.2*$B$135)</f>
        <v>18.391</v>
      </c>
      <c r="AL6">
        <f>$B$134+$B$132*(0)</f>
        <v>16</v>
      </c>
      <c r="AM6">
        <f>$B$133+$B$132*(0)</f>
        <v>31.591</v>
      </c>
      <c r="AN6">
        <f>$B$134+$B$132*($B$5+6*$B$135-1.2*$B$135)</f>
        <v>88.8</v>
      </c>
      <c r="DW6">
        <f>$B$139+$B$138*($B$5+6*$B$141)</f>
        <v>179.182</v>
      </c>
      <c r="DX6">
        <f>$B$140+$B$138*(0)</f>
        <v>27.873835</v>
      </c>
      <c r="DY6">
        <f>$B$139+$B$138*(0)</f>
        <v>20</v>
      </c>
      <c r="DZ6">
        <f>$B$140+$B$138*($B$9)</f>
        <v>73.828435</v>
      </c>
      <c r="EA6" t="e">
        <f>IF(AND($B$18=1,1&lt;=$B$26-1),$B$139+$B$138*(1*($B$5/MAX(1,$B$26))),NA())</f>
        <v>#N/A</v>
      </c>
      <c r="EB6" t="e">
        <f>IF(AND($B$18=1,1&lt;=$B$26-1),$B$140+$B$138*(($B$9+$B$8*MIN(1*($B$5/MAX(1,$B$26)),$B$5-(1*($B$5/MAX(1,$B$26)))))),NA())</f>
        <v>#N/A</v>
      </c>
      <c r="EC6">
        <f>IF($B$18=0,$B$139+$B$138*($B$55),NA())</f>
        <v>35.3182</v>
      </c>
      <c r="ED6">
        <f>IF($B$18=0,$B$140+$B$138*($B$7+$B$8*$B$55),NA())</f>
        <v>76.279347</v>
      </c>
      <c r="EE6">
        <f>IF(0&lt;=$B$16-1,$B$139+$B$138*($B$5-0*($B$5/2)/MAX(1,$B$16-1)),NA())</f>
        <v>173.182</v>
      </c>
      <c r="EF6">
        <f>IF(0&lt;=$B$16-1,$B$140+$B$138*($B$9+$B$8*0*($B$5/2)/MAX(1,$B$16-1)+1.2*$B$141),NA())</f>
        <v>75.028435</v>
      </c>
      <c r="EI6">
        <f>$B$139+$B$138*(-3.5*$B$141)</f>
        <v>16.5</v>
      </c>
      <c r="EJ6">
        <f>$B$140+$B$138*($B$9-0.8*$B$141)</f>
        <v>73.028435</v>
      </c>
      <c r="EK6">
        <f>$B$139+$B$138*(0+$B$27/2)</f>
        <v>24.59546</v>
      </c>
      <c r="EL6">
        <f>$B$140+$B$138*((-$B$33+$B$34))</f>
        <v>19.06587</v>
      </c>
      <c r="EM6">
        <f>$B$139+$B$138*(-9*$B$141-1.2*$B$141)</f>
        <v>9.8</v>
      </c>
      <c r="EN6">
        <f>$B$140+$B$138*(0)</f>
        <v>27.873835</v>
      </c>
      <c r="EO6">
        <f>$B$139+$B$138*($B$5+9*$B$141-1.2*$B$141)</f>
        <v>180.982</v>
      </c>
      <c r="EP6">
        <f>$B$140+$B$138*(0)</f>
        <v>27.873835</v>
      </c>
      <c r="EQ6">
        <f>$B$139+$B$138*(0)</f>
        <v>20</v>
      </c>
      <c r="ER6">
        <f>$B$140+$B$138*(-$B$33-4*$B$141-1.2*$B$141)</f>
        <v>13.482915</v>
      </c>
      <c r="EY6">
        <f>$B$145+$B$144*($B$6+5*$B$147)</f>
        <v>188.182</v>
      </c>
      <c r="EZ6">
        <f>$B$146+$B$144*(0)</f>
        <v>38.76135</v>
      </c>
      <c r="FA6">
        <f>IF(0&lt;=$B$12,$B$145+$B$144*($B$13*0),NA())</f>
        <v>20</v>
      </c>
      <c r="FB6">
        <f>IF(0&lt;=$B$12,$B$146+$B$144*($B$9),NA())</f>
        <v>63.23865</v>
      </c>
      <c r="FC6">
        <f>IF(0&lt;$B$22,$B$145+$B$144*(IF(($B$19+0*$B$64)&lt;$B$73,$B$76,$B$75)),NA())</f>
        <v>90.3722375</v>
      </c>
      <c r="FD6">
        <f>IF(0&lt;$B$22,$B$146+$B$144*(($B$19+0*$B$64)),NA())</f>
        <v>38.76135</v>
      </c>
      <c r="FE6" t="e">
        <f>IF(AND($B$21=1,(1*$B$66)&lt;$B$62),$B$145+$B$144*(IF((1*$B$66)&lt;$B$73,$B$76,$B$75)),NA())</f>
        <v>#N/A</v>
      </c>
      <c r="FF6" t="e">
        <f>IF(AND($B$21=1,(1*$B$66)&lt;$B$62),$B$146+$B$144*((1*$B$66)),NA())</f>
        <v>#N/A</v>
      </c>
      <c r="FG6" t="e">
        <f>IF($B$21=1,$B$145+$B$144*($B$6),NA())</f>
        <v>#N/A</v>
      </c>
      <c r="FH6" t="e">
        <f>IF($B$21=1,$B$146+$B$144*($B$59/2),NA())</f>
        <v>#N/A</v>
      </c>
      <c r="FI6">
        <f>IF(1&lt;=$B$23,$B$145+$B$144*(IF(1=1,1,IF(1=$B$23,$B$12,5*(1-1)))*$B$13),NA())</f>
        <v>43.3117142857143</v>
      </c>
      <c r="FJ6">
        <f>IF(1&lt;=$B$23,$B$146+$B$144*($B$9),NA())</f>
        <v>63.23865</v>
      </c>
      <c r="FK6">
        <f>IF($B$71=1,$B$145+$B$144*($B$76),NA())</f>
        <v>90.3722375</v>
      </c>
      <c r="FL6">
        <f>IF($B$71=1,$B$146+$B$144*($B$9),NA())</f>
        <v>63.23865</v>
      </c>
      <c r="FM6">
        <f>IF($B$71=1,$B$145+$B$144*($B$77),NA())</f>
        <v>112.8097625</v>
      </c>
      <c r="FN6">
        <f>IF($B$71=1,$B$146+$B$144*($B$73),NA())</f>
        <v>55.07955</v>
      </c>
      <c r="FW6">
        <f>$B$145+$B$144*(0)</f>
        <v>20</v>
      </c>
      <c r="FX6">
        <f>$B$146+$B$144*(-6*$B$147-1.2*$B$147)</f>
        <v>31.56135</v>
      </c>
      <c r="FY6">
        <f>$B$145+$B$144*(-9*$B$147-1.2*$B$147)</f>
        <v>9.8</v>
      </c>
      <c r="FZ6">
        <f>$B$146+$B$144*(0)</f>
        <v>38.76135</v>
      </c>
      <c r="GA6">
        <f>$B$145+$B$144*(0)</f>
        <v>20</v>
      </c>
      <c r="GB6">
        <f>$B$146+$B$144*($B$9+$B$53+4*$B$147-1.2*$B$147)</f>
        <v>66.03865</v>
      </c>
      <c r="GC6">
        <f>$B$151+$B$150*($B$5+5*$B$153)</f>
        <v>178.182</v>
      </c>
      <c r="GD6">
        <f>$B$152+$B$150*(0)</f>
        <v>23.89542</v>
      </c>
      <c r="GE6">
        <f>$B$151+$B$150*(0)</f>
        <v>20</v>
      </c>
      <c r="GF6">
        <f>$B$152+$B$150*($B$9)</f>
        <v>69.85002</v>
      </c>
      <c r="GG6">
        <f>IF(AND($B$20=1,($B$19+0*$B$64)&lt;$B$10-0.3),$B$151+$B$150*(MAX(IF(($B$19+0*$B$64)&lt;=$B$9,0,(($B$19+0*$B$64)-$B$9)/$B$8),MIN(($B$5-IF(($B$19+0*$B$64)&lt;=$B$9,0,(($B$19+0*$B$64)-$B$9)/$B$8)),IF(($B$19+0*$B$64)&lt;$B$104,$B$107,$B$106)))),NA())</f>
        <v>62.12505</v>
      </c>
      <c r="GH6">
        <f>IF(AND($B$20=1,($B$19+0*$B$64)&lt;$B$10-0.3),$B$152+$B$150*(($B$19+0*$B$64)),NA())</f>
        <v>23.89542</v>
      </c>
      <c r="GI6" t="e">
        <f>IF(AND($B$21=1,(1*$B$66)&lt;IF($B$63=1,$B$10-0.2,$B$62)),$B$151+$B$150*(MAX(IF((1*$B$66)&lt;=$B$9,0,((1*$B$66)-$B$9)/$B$8),MIN(($B$5-IF((1*$B$66)&lt;=$B$9,0,((1*$B$66)-$B$9)/$B$8)),IF((1*$B$66)&lt;$B$104,$B$107,$B$106)))),NA())</f>
        <v>#N/A</v>
      </c>
      <c r="GJ6" t="e">
        <f>IF(AND($B$21=1,(1*$B$66)&lt;IF($B$63=1,$B$10-0.2,$B$62)),$B$152+$B$150*((1*$B$66)),NA())</f>
        <v>#N/A</v>
      </c>
      <c r="GK6" t="e">
        <f>IF($B$21=1,$B$151+$B$150*($B$5),NA())</f>
        <v>#N/A</v>
      </c>
      <c r="GL6" t="e">
        <f>IF($B$21=1,$B$152+$B$150*($B$59/2),NA())</f>
        <v>#N/A</v>
      </c>
      <c r="GM6">
        <f>IF($B$102=1,$B$151+$B$150*($B$107),NA())</f>
        <v>62.12505</v>
      </c>
      <c r="GN6">
        <f>IF($B$102=1,$B$152+$B$150*(MIN($B$9,$B$104+$B$64)),NA())</f>
        <v>69.85002</v>
      </c>
      <c r="GO6">
        <f>IF($B$102=1,$B$151+$B$150*($B$108),NA())</f>
        <v>92.76145</v>
      </c>
      <c r="GP6">
        <f>IF($B$102=1,$B$152+$B$150*($B$104),NA())</f>
        <v>58.36137</v>
      </c>
      <c r="GY6">
        <f>$B$151+$B$150*(0)</f>
        <v>20</v>
      </c>
      <c r="GZ6">
        <f>$B$152+$B$150*(-6*$B$153-1.2*$B$153)</f>
        <v>16.69542</v>
      </c>
      <c r="HA6">
        <f>$B$151+$B$150*(-9*$B$153-1.2*$B$153)</f>
        <v>9.8</v>
      </c>
      <c r="HB6">
        <f>$B$152+$B$150*(0)</f>
        <v>23.89542</v>
      </c>
      <c r="HC6">
        <f>$B$151+$B$150*($B$5+9*$B$153-1.2*$B$153)</f>
        <v>180.982</v>
      </c>
      <c r="HD6">
        <f>$B$152+$B$150*(0)</f>
        <v>23.89542</v>
      </c>
      <c r="HG6">
        <f>$B$157+$B$156*($B$6+$B$46)</f>
        <v>175.731</v>
      </c>
      <c r="HH6">
        <f>$B$158+$B$156*(0)</f>
        <v>14</v>
      </c>
      <c r="HI6">
        <f>IF(0&lt;=$B$16-1,$B$157+$B$156*($B$6+$B$46),NA())</f>
        <v>175.731</v>
      </c>
      <c r="HJ6">
        <f>IF(0&lt;=$B$16-1,$B$158+$B$156*(0*($B$5/2)/MAX(1,$B$16-1)),NA())</f>
        <v>14</v>
      </c>
      <c r="HK6">
        <f>IF(0&lt;=$B$12,$B$157+$B$156*($B$13*0),NA())</f>
        <v>22.591</v>
      </c>
      <c r="HL6">
        <f>IF(0&lt;=$B$12,$B$158+$B$156*($B$5),NA())</f>
        <v>90</v>
      </c>
      <c r="HM6">
        <f>IF(AND(1&lt;=$B$12,1&lt;=$B$25),$B$157+$B$156*((1-1)*$B$13+1*$B$13/($B$25+1)),NA())</f>
        <v>33.4481428571429</v>
      </c>
      <c r="HN6">
        <f>IF(AND(1&lt;=$B$12,1&lt;=$B$25),$B$158+$B$156*($B$5),NA())</f>
        <v>90</v>
      </c>
      <c r="HO6">
        <f>$B$157+$B$156*($B$6+$B$46)</f>
        <v>175.731</v>
      </c>
      <c r="HP6">
        <f>$B$158+$B$156*($B$5/2)</f>
        <v>52</v>
      </c>
      <c r="HQ6">
        <f>IF(AND(1&lt;=$B$23,1&lt;=$B$24),$B$157+$B$156*(IF(1=1,1,IF(1=$B$23,$B$12,5*(1-1)))*$B$13),NA())</f>
        <v>44.3052857142857</v>
      </c>
      <c r="HR6">
        <f>IF(AND(1&lt;=$B$23,1&lt;=$B$24),$B$158+$B$156*((0*$B$5/2+1*($B$5/2)/$B$24)),NA())</f>
        <v>33</v>
      </c>
      <c r="HS6">
        <f>IF(AND(1&lt;=$B$12,$B$51&gt;0),$B$157+$B$156*(((1-0.5)*$B$13)+($B$51*$B$13)/2),NA())</f>
        <v>34.5338571428572</v>
      </c>
      <c r="HT6">
        <f>IF(AND(1&lt;=$B$12,$B$51&gt;0),$B$158+$B$156*((0*$B$5/2+0.6*$B$159)),NA())</f>
        <v>14.6</v>
      </c>
      <c r="HU6">
        <f>IF(1&lt;=$B$47,$B$157+$B$156*(((MAX(1,MIN($B$12,ROUND(1*$B$12/($B$47+1),0)))-1)*$B$13+0.25*$B$13)+$B$48/2),NA())</f>
        <v>30.2995714285714</v>
      </c>
      <c r="HV6">
        <f>IF(1&lt;=$B$47,$B$158+$B$156*(IF(MOD(1,2)=1,$B$5/4,3*$B$5/4)-$B$49/2),NA())</f>
        <v>30.72</v>
      </c>
      <c r="HW6">
        <f>IF(1&lt;=$B$50/2,$B$157+$B$156*((1-0.5)*$B$6/MAX(1,$B$50/2)),NA())</f>
        <v>47.9243333333333</v>
      </c>
      <c r="HX6">
        <f>IF(1&lt;=$B$50/2,$B$158+$B$156*($B$5),NA())</f>
        <v>90</v>
      </c>
      <c r="HY6">
        <f>$B$157+$B$156*(0)</f>
        <v>22.591</v>
      </c>
      <c r="HZ6">
        <f>$B$158+$B$156*(-7*$B$159-1.2*$B$159)</f>
        <v>5.8</v>
      </c>
      <c r="IA6">
        <f>$B$157+$B$156*(-$B$46-9*$B$159-1.2*$B$159)</f>
        <v>11.251</v>
      </c>
      <c r="IB6">
        <f>$B$158+$B$156*(0)</f>
        <v>14</v>
      </c>
      <c r="II6">
        <f>$B$174+$B$173*(-0.075)</f>
        <v>29.4379</v>
      </c>
      <c r="IJ6">
        <f>$B$175+$B$173*(0)</f>
        <v>51.3601</v>
      </c>
      <c r="IK6">
        <f>$B$174+$B$173*($B$31/2+0.05)</f>
        <v>40.3162</v>
      </c>
      <c r="IL6">
        <f>$B$175+$B$173*($B$160)</f>
        <v>20.6449</v>
      </c>
      <c r="IM6">
        <f>$B$174+$B$173*(0.075)</f>
        <v>33.2773</v>
      </c>
      <c r="IN6">
        <f>$B$175+$B$173*($B$162)</f>
        <v>27.0439</v>
      </c>
      <c r="IO6">
        <f>$B$174+$B$173*($B$169-$B$29/2)</f>
        <v>90.2284</v>
      </c>
      <c r="IP6">
        <f>$B$175+$B$173*($B$164)</f>
        <v>56.4793</v>
      </c>
      <c r="IQ6">
        <f>$B$174+$B$173*($B$170)</f>
        <v>131.182</v>
      </c>
      <c r="IR6">
        <f>$B$175+$B$173*($B$165+0.005)</f>
        <v>57.88708</v>
      </c>
      <c r="IS6">
        <f>$B$174+$B$173*($B$170)</f>
        <v>131.182</v>
      </c>
      <c r="IT6">
        <f>$B$175+$B$173*($B$164+$B$39/2)</f>
        <v>57.1192</v>
      </c>
      <c r="IU6">
        <f>$B$174+$B$173*($B$31/2-$B$41)</f>
        <v>37.7566</v>
      </c>
      <c r="IV6">
        <f>$B$175+$B$173*($B$161+$B$41)</f>
        <v>23.2045</v>
      </c>
      <c r="IW6">
        <f>$B$174+$B$173*(-$B$31/2+$B$41+1*($B$31-2*$B$41)/3)</f>
        <v>29.2246</v>
      </c>
      <c r="IX6">
        <f>$B$175+$B$173*($B$161+$B$41+0.02)</f>
        <v>23.71642</v>
      </c>
      <c r="IY6">
        <f>$B$174+$B$173*($B$169+'PARAMÈTRES'!$H$18/2)</f>
        <v>101.1067</v>
      </c>
      <c r="IZ6">
        <f>$B$175+$B$173*($B$168+0.025)</f>
        <v>63.5182</v>
      </c>
      <c r="JA6">
        <f>$B$174+$B$173*(-$B$31/2-0.18-1.2*$B$176)</f>
        <v>17.87152</v>
      </c>
      <c r="JB6">
        <f>$B$175+$B$173*($B$160)</f>
        <v>20.6449</v>
      </c>
      <c r="JC6">
        <f>$B$174+$B$173*(-$B$31/2)</f>
        <v>23.6788</v>
      </c>
      <c r="JD6">
        <f>$B$175+$B$173*($B$160-0.06-1.2*$B$176)</f>
        <v>17.90914</v>
      </c>
      <c r="JE6">
        <f>$B$174+$B$173*($B$169-$B$27/2)</f>
        <v>79.99</v>
      </c>
      <c r="JF6">
        <f>$B$175+$B$173*($B$160-0.06-1.2*$B$176)</f>
        <v>17.90914</v>
      </c>
      <c r="JW6">
        <f>$B$174+$B$173*($B$170+1*$B$176)</f>
        <v>132.182</v>
      </c>
      <c r="JX6">
        <f>$B$175+$B$173*($B$168+0.06)</f>
        <v>64.41406</v>
      </c>
      <c r="KC6" t="e">
        <f>IF($B$21=1,$B$182+$B$181*($B$177+3*$B$184),NA())</f>
        <v>#N/A</v>
      </c>
      <c r="KD6" t="e">
        <f>IF($B$21=1,$B$183+$B$181*(0),NA())</f>
        <v>#N/A</v>
      </c>
      <c r="KE6" t="e">
        <f>IF($B$21=1,$B$182+$B$181*(0),NA())</f>
        <v>#N/A</v>
      </c>
      <c r="KF6" t="e">
        <f>IF($B$21=1,$B$183+$B$181*($B$178+0.4),NA())</f>
        <v>#N/A</v>
      </c>
      <c r="KG6" t="e">
        <f>IF($B$21=1,$B$182+$B$181*($B$177),NA())</f>
        <v>#N/A</v>
      </c>
      <c r="KH6" t="e">
        <f>IF($B$21=1,$B$183+$B$181*(0),NA())</f>
        <v>#N/A</v>
      </c>
      <c r="KI6" t="e">
        <f>IF(AND($B$21=1,1*$B$67&gt;$B$59,1*$B$67&lt;$B$178-$B$59,OR($B$63=0,ABS(1*$B$67-$B$178/2)&gt;$B$59/2)),$B$182+$B$181*($B$177*1/4-$B$60/2),NA())</f>
        <v>#N/A</v>
      </c>
      <c r="KJ6" t="e">
        <f>IF(AND($B$21=1,1*$B$67&gt;$B$59,1*$B$67&lt;$B$178-$B$59,OR($B$63=0,ABS(1*$B$67-$B$178/2)&gt;$B$59/2)),$B$183+$B$181*(1*$B$67),NA())</f>
        <v>#N/A</v>
      </c>
      <c r="KK6" t="e">
        <f>IF($B$21=1,$B$182+$B$181*($B$177),NA())</f>
        <v>#N/A</v>
      </c>
      <c r="KL6" t="e">
        <f>IF($B$21=1,$B$183+$B$181*($B$59/2-($B$59/2-$B$41*0.6)),NA())</f>
        <v>#N/A</v>
      </c>
      <c r="KM6" t="e">
        <f>IF($B$21=1,$B$182+$B$181*(0),NA())</f>
        <v>#N/A</v>
      </c>
      <c r="KN6" t="e">
        <f>IF($B$21=1,$B$183+$B$181*(-6*$B$184-1.2*$B$184),NA())</f>
        <v>#N/A</v>
      </c>
      <c r="KO6" t="e">
        <f>IF($B$21=1,$B$182+$B$181*(-6*$B$184-1.2*$B$184),NA())</f>
        <v>#N/A</v>
      </c>
      <c r="KP6" t="e">
        <f>IF($B$21=1,$B$183+$B$181*(0),NA())</f>
        <v>#N/A</v>
      </c>
    </row>
    <row r="7">
      <c r="A7" t="inlineStr">
        <is>
          <t>H</t>
        </is>
      </c>
      <c r="B7">
        <f>'PARAMÈTRES'!$C$11</f>
        <v>6</v>
      </c>
      <c r="D7" t="inlineStr">
        <is>
          <t>LP_txt3</t>
        </is>
      </c>
      <c r="E7" t="str">
        <f>IF(3&lt;=$B$68,"Porte coul. ","Portillon ")&amp;FIXED($B$86,2,TRUE)&amp;" × "&amp;FIXED($B$87,2,TRUE)</f>
        <v>Portillon 5.50 × 0.00</v>
      </c>
      <c r="G7" t="e">
        <f>NA()</f>
        <v>#N/A</v>
      </c>
      <c r="H7" t="e">
        <f>NA()</f>
        <v>#N/A</v>
      </c>
      <c r="I7">
        <f>$B$133+$B$132*($B$6+$B$31/2)</f>
        <v>168.611</v>
      </c>
      <c r="J7">
        <f>$B$134+$B$132*($B$5+$B$31/2)</f>
        <v>85.02</v>
      </c>
      <c r="K7">
        <f>IF(0&lt;=$B$12,$B$133+$B$132*($B$13*0+$B$27/2),NA())</f>
        <v>33.631</v>
      </c>
      <c r="L7">
        <f>IF(0&lt;=$B$12,$B$134+$B$132*(0+$B$27/2),NA())</f>
        <v>18.04</v>
      </c>
      <c r="M7" t="e">
        <f>IF(AND(0&lt;=$B$12,$B$45=1),$B$133+$B$132*($B$13*0),NA())</f>
        <v>#N/A</v>
      </c>
      <c r="N7" t="e">
        <f>IF(AND(0&lt;=$B$12,$B$45=1),$B$134+$B$132*($B$5/2),NA())</f>
        <v>#N/A</v>
      </c>
      <c r="O7">
        <f>IF(2&lt;=$B$14-1,$B$133+$B$132*(0),NA())</f>
        <v>31.591</v>
      </c>
      <c r="P7">
        <f>IF(2&lt;=$B$14-1,$B$134+$B$132*(2*$B$15),NA())</f>
        <v>50</v>
      </c>
      <c r="Q7" t="e">
        <f>NA()</f>
        <v>#N/A</v>
      </c>
      <c r="R7" t="e">
        <f>NA()</f>
        <v>#N/A</v>
      </c>
      <c r="AI7">
        <f>$B$133+$B$132*(0)</f>
        <v>31.591</v>
      </c>
      <c r="AJ7">
        <f>$B$134+$B$132*(-11*$B$135)</f>
        <v>5</v>
      </c>
      <c r="AK7">
        <f>$B$133+$B$132*(-12*$B$135)</f>
        <v>19.591</v>
      </c>
      <c r="AL7">
        <f>$B$134+$B$132*(0)</f>
        <v>16</v>
      </c>
      <c r="AM7">
        <f>$B$133+$B$132*(0)</f>
        <v>31.591</v>
      </c>
      <c r="AN7">
        <f>$B$134+$B$132*($B$5+6*$B$135)</f>
        <v>90</v>
      </c>
      <c r="DW7" t="e">
        <f>NA()</f>
        <v>#N/A</v>
      </c>
      <c r="DX7" t="e">
        <f>NA()</f>
        <v>#N/A</v>
      </c>
      <c r="DY7" t="e">
        <f>NA()</f>
        <v>#N/A</v>
      </c>
      <c r="DZ7" t="e">
        <f>NA()</f>
        <v>#N/A</v>
      </c>
      <c r="EA7" t="e">
        <f>NA()</f>
        <v>#N/A</v>
      </c>
      <c r="EB7" t="e">
        <f>NA()</f>
        <v>#N/A</v>
      </c>
      <c r="EC7" t="e">
        <f>NA()</f>
        <v>#N/A</v>
      </c>
      <c r="ED7" t="e">
        <f>NA()</f>
        <v>#N/A</v>
      </c>
      <c r="EE7">
        <f>IF(1&lt;=$B$16-1,$B$139+$B$138*(1*($B$5/2)/MAX(1,$B$16-1)),NA())</f>
        <v>29.573875</v>
      </c>
      <c r="EF7">
        <f>IF(1&lt;=$B$16-1,$B$140+$B$138*($B$9+$B$8*1*($B$5/2)/MAX(1,$B$16-1)+1.2*$B$141),NA())</f>
        <v>76.560255</v>
      </c>
      <c r="EI7">
        <f>$B$139+$B$138*(-0.3*$B$141)</f>
        <v>19.7</v>
      </c>
      <c r="EJ7">
        <f>$B$140+$B$138*($B$9-0.8*$B$141)</f>
        <v>73.028435</v>
      </c>
      <c r="EK7">
        <f>$B$139+$B$138*(0+$B$27/2)</f>
        <v>24.59546</v>
      </c>
      <c r="EL7">
        <f>$B$140+$B$138*((-$B$33+$B$34)+$B$35)</f>
        <v>22.12951</v>
      </c>
      <c r="EM7">
        <f>$B$139+$B$138*(-9*$B$141)</f>
        <v>11</v>
      </c>
      <c r="EN7">
        <f>$B$140+$B$138*(0)</f>
        <v>27.873835</v>
      </c>
      <c r="EO7">
        <f>$B$139+$B$138*($B$5+9*$B$141)</f>
        <v>182.182</v>
      </c>
      <c r="EP7">
        <f>$B$140+$B$138*(0)</f>
        <v>27.873835</v>
      </c>
      <c r="EQ7">
        <f>$B$139+$B$138*(0)</f>
        <v>20</v>
      </c>
      <c r="ER7">
        <f>$B$140+$B$138*(-$B$33-4*$B$141)</f>
        <v>14.682915</v>
      </c>
      <c r="EY7" t="e">
        <f>NA()</f>
        <v>#N/A</v>
      </c>
      <c r="EZ7" t="e">
        <f>NA()</f>
        <v>#N/A</v>
      </c>
      <c r="FA7" t="e">
        <f>NA()</f>
        <v>#N/A</v>
      </c>
      <c r="FB7" t="e">
        <f>NA()</f>
        <v>#N/A</v>
      </c>
      <c r="FC7" t="e">
        <f>IF(AND(0&lt;$B$22,($B$19+0*$B$64)&gt;=$B$73),$B$145+$B$144*($B$75),NA())</f>
        <v>#N/A</v>
      </c>
      <c r="FD7" t="e">
        <f>IF(AND(0&lt;$B$22,($B$19+0*$B$64)&gt;=$B$73),$B$146+$B$144*(($B$19+0*$B$64)),NA())</f>
        <v>#N/A</v>
      </c>
      <c r="FE7" t="e">
        <f>IF(AND(AND($B$21=1,(1*$B$66)&lt;$B$62),(1*$B$66)&gt;=$B$73),$B$145+$B$144*($B$75),NA())</f>
        <v>#N/A</v>
      </c>
      <c r="FF7" t="e">
        <f>IF(AND(AND($B$21=1,(1*$B$66)&lt;$B$62),(1*$B$66)&gt;=$B$73),$B$146+$B$144*((1*$B$66)),NA())</f>
        <v>#N/A</v>
      </c>
      <c r="FG7" t="e">
        <f>NA()</f>
        <v>#N/A</v>
      </c>
      <c r="FH7" t="e">
        <f>NA()</f>
        <v>#N/A</v>
      </c>
      <c r="FI7" t="e">
        <f>NA()</f>
        <v>#N/A</v>
      </c>
      <c r="FJ7" t="e">
        <f>NA()</f>
        <v>#N/A</v>
      </c>
      <c r="FK7" t="e">
        <f>NA()</f>
        <v>#N/A</v>
      </c>
      <c r="FL7" t="e">
        <f>NA()</f>
        <v>#N/A</v>
      </c>
      <c r="FM7" t="e">
        <f>NA()</f>
        <v>#N/A</v>
      </c>
      <c r="FN7" t="e">
        <f>NA()</f>
        <v>#N/A</v>
      </c>
      <c r="FW7">
        <f>$B$145+$B$144*(0)</f>
        <v>20</v>
      </c>
      <c r="FX7">
        <f>$B$146+$B$144*(-6*$B$147)</f>
        <v>32.76135</v>
      </c>
      <c r="FY7">
        <f>$B$145+$B$144*(-9*$B$147)</f>
        <v>11</v>
      </c>
      <c r="FZ7">
        <f>$B$146+$B$144*(0)</f>
        <v>38.76135</v>
      </c>
      <c r="GA7">
        <f>$B$145+$B$144*(0)</f>
        <v>20</v>
      </c>
      <c r="GB7">
        <f>$B$146+$B$144*($B$9+$B$53+4*$B$147)</f>
        <v>67.23865</v>
      </c>
      <c r="GC7" t="e">
        <f>NA()</f>
        <v>#N/A</v>
      </c>
      <c r="GD7" t="e">
        <f>NA()</f>
        <v>#N/A</v>
      </c>
      <c r="GE7">
        <f>$B$151+$B$150*($B$5/2)</f>
        <v>96.591</v>
      </c>
      <c r="GF7">
        <f>$B$152+$B$150*($B$10)</f>
        <v>82.10458</v>
      </c>
      <c r="GG7" t="e">
        <f>IF(AND(AND($B$20=1,($B$19+0*$B$64)&lt;$B$10-0.3),($B$19+0*$B$64)&gt;=$B$104),$B$151+$B$150*(MAX(IF(($B$19+0*$B$64)&lt;=$B$9,0,(($B$19+0*$B$64)-$B$9)/$B$8),MIN(($B$5-IF(($B$19+0*$B$64)&lt;=$B$9,0,(($B$19+0*$B$64)-$B$9)/$B$8)),$B$106))),NA())</f>
        <v>#N/A</v>
      </c>
      <c r="GH7" t="e">
        <f>IF(AND(AND($B$20=1,($B$19+0*$B$64)&lt;$B$10-0.3),($B$19+0*$B$64)&gt;=$B$104),$B$152+$B$150*(($B$19+0*$B$64)),NA())</f>
        <v>#N/A</v>
      </c>
      <c r="GI7" t="e">
        <f>IF(AND(AND($B$21=1,(1*$B$66)&lt;IF($B$63=1,$B$10-0.2,$B$62)),(1*$B$66)&gt;=$B$104),$B$151+$B$150*(MAX(IF((1*$B$66)&lt;=$B$9,0,((1*$B$66)-$B$9)/$B$8),MIN(($B$5-IF((1*$B$66)&lt;=$B$9,0,((1*$B$66)-$B$9)/$B$8)),$B$106))),NA())</f>
        <v>#N/A</v>
      </c>
      <c r="GJ7" t="e">
        <f>IF(AND(AND($B$21=1,(1*$B$66)&lt;IF($B$63=1,$B$10-0.2,$B$62)),(1*$B$66)&gt;=$B$104),$B$152+$B$150*((1*$B$66)),NA())</f>
        <v>#N/A</v>
      </c>
      <c r="GK7" t="e">
        <f>NA()</f>
        <v>#N/A</v>
      </c>
      <c r="GL7" t="e">
        <f>NA()</f>
        <v>#N/A</v>
      </c>
      <c r="GM7" t="e">
        <f>NA()</f>
        <v>#N/A</v>
      </c>
      <c r="GN7" t="e">
        <f>NA()</f>
        <v>#N/A</v>
      </c>
      <c r="GO7" t="e">
        <f>NA()</f>
        <v>#N/A</v>
      </c>
      <c r="GP7" t="e">
        <f>NA()</f>
        <v>#N/A</v>
      </c>
      <c r="GY7">
        <f>$B$151+$B$150*(0)</f>
        <v>20</v>
      </c>
      <c r="GZ7">
        <f>$B$152+$B$150*(-6*$B$153)</f>
        <v>17.89542</v>
      </c>
      <c r="HA7">
        <f>$B$151+$B$150*(-9*$B$153)</f>
        <v>11</v>
      </c>
      <c r="HB7">
        <f>$B$152+$B$150*(0)</f>
        <v>23.89542</v>
      </c>
      <c r="HC7">
        <f>$B$151+$B$150*($B$5+9*$B$153)</f>
        <v>182.182</v>
      </c>
      <c r="HD7">
        <f>$B$152+$B$150*(0)</f>
        <v>23.89542</v>
      </c>
      <c r="HG7">
        <f>$B$157+$B$156*($B$6+$B$46)</f>
        <v>175.731</v>
      </c>
      <c r="HH7">
        <f>$B$158+$B$156*($B$5)</f>
        <v>90</v>
      </c>
      <c r="HI7" t="e">
        <f>NA()</f>
        <v>#N/A</v>
      </c>
      <c r="HJ7" t="e">
        <f>NA()</f>
        <v>#N/A</v>
      </c>
      <c r="HK7" t="e">
        <f>NA()</f>
        <v>#N/A</v>
      </c>
      <c r="HL7" t="e">
        <f>NA()</f>
        <v>#N/A</v>
      </c>
      <c r="HM7" t="e">
        <f>NA()</f>
        <v>#N/A</v>
      </c>
      <c r="HN7" t="e">
        <f>NA()</f>
        <v>#N/A</v>
      </c>
      <c r="HO7" t="e">
        <f>NA()</f>
        <v>#N/A</v>
      </c>
      <c r="HP7" t="e">
        <f>NA()</f>
        <v>#N/A</v>
      </c>
      <c r="HQ7" t="e">
        <f>NA()</f>
        <v>#N/A</v>
      </c>
      <c r="HR7" t="e">
        <f>NA()</f>
        <v>#N/A</v>
      </c>
      <c r="HS7">
        <f>IF(AND(1&lt;=$B$12,$B$51&gt;0),$B$157+$B$156*(((1-0.5)*$B$13)+($B$51*$B$13)/2),NA())</f>
        <v>34.5338571428572</v>
      </c>
      <c r="HT7">
        <f>IF(AND(1&lt;=$B$12,$B$51&gt;0),$B$158+$B$156*((0*$B$5/2+$B$5/2-0.6*$B$159)),NA())</f>
        <v>51.4</v>
      </c>
      <c r="HU7">
        <f>IF(1&lt;=$B$47,$B$157+$B$156*(((MAX(1,MIN($B$12,ROUND(1*$B$12/($B$47+1),0)))-1)*$B$13+0.25*$B$13)+$B$48/2),NA())</f>
        <v>30.2995714285714</v>
      </c>
      <c r="HV7">
        <f>IF(1&lt;=$B$47,$B$158+$B$156*(IF(MOD(1,2)=1,$B$5/4,3*$B$5/4)+$B$49/2),NA())</f>
        <v>35.28</v>
      </c>
      <c r="HW7">
        <f>IF(2&lt;=$B$50/2,$B$157+$B$156*((2-0.5)*$B$6/MAX(1,$B$50/2)),NA())</f>
        <v>98.591</v>
      </c>
      <c r="HX7">
        <f>IF(2&lt;=$B$50/2,$B$158+$B$156*(0),NA())</f>
        <v>14</v>
      </c>
      <c r="HY7">
        <f>$B$157+$B$156*(0)</f>
        <v>22.591</v>
      </c>
      <c r="HZ7">
        <f>$B$158+$B$156*(-7*$B$159)</f>
        <v>7</v>
      </c>
      <c r="IA7">
        <f>$B$157+$B$156*(-$B$46-9*$B$159)</f>
        <v>12.451</v>
      </c>
      <c r="IB7">
        <f>$B$158+$B$156*(0)</f>
        <v>14</v>
      </c>
      <c r="II7" t="e">
        <f>NA()</f>
        <v>#N/A</v>
      </c>
      <c r="IJ7" t="e">
        <f>NA()</f>
        <v>#N/A</v>
      </c>
      <c r="IK7">
        <f>$B$174+$B$173*($B$31/2+0.05)</f>
        <v>40.3162</v>
      </c>
      <c r="IL7">
        <f>$B$175+$B$173*($B$161)</f>
        <v>21.9247</v>
      </c>
      <c r="IM7">
        <f>$B$174+$B$173*(0.075)</f>
        <v>33.2773</v>
      </c>
      <c r="IN7">
        <f>$B$175+$B$173*($B$163)</f>
        <v>52.6399</v>
      </c>
      <c r="IO7" t="e">
        <f>NA()</f>
        <v>#N/A</v>
      </c>
      <c r="IP7" t="e">
        <f>NA()</f>
        <v>#N/A</v>
      </c>
      <c r="IQ7" t="e">
        <f>NA()</f>
        <v>#N/A</v>
      </c>
      <c r="IR7" t="e">
        <f>NA()</f>
        <v>#N/A</v>
      </c>
      <c r="IS7" t="e">
        <f>NA()</f>
        <v>#N/A</v>
      </c>
      <c r="IT7" t="e">
        <f>NA()</f>
        <v>#N/A</v>
      </c>
      <c r="IU7" t="e">
        <f>NA()</f>
        <v>#N/A</v>
      </c>
      <c r="IV7" t="e">
        <f>NA()</f>
        <v>#N/A</v>
      </c>
      <c r="IW7">
        <f>$B$174+$B$173*(-$B$31/2+$B$41+2*($B$31-2*$B$41)/3)</f>
        <v>33.4906</v>
      </c>
      <c r="IX7">
        <f>$B$175+$B$173*($B$161+$B$41+0.02)</f>
        <v>23.71642</v>
      </c>
      <c r="IY7" t="e">
        <f>NA()</f>
        <v>#N/A</v>
      </c>
      <c r="IZ7" t="e">
        <f>NA()</f>
        <v>#N/A</v>
      </c>
      <c r="JA7">
        <f>$B$174+$B$173*(-$B$31/2-0.18)</f>
        <v>19.07152</v>
      </c>
      <c r="JB7">
        <f>$B$175+$B$173*($B$160)</f>
        <v>20.6449</v>
      </c>
      <c r="JC7">
        <f>$B$174+$B$173*(-$B$31/2)</f>
        <v>23.6788</v>
      </c>
      <c r="JD7">
        <f>$B$175+$B$173*($B$160-0.06)</f>
        <v>19.10914</v>
      </c>
      <c r="JE7">
        <f>$B$174+$B$173*($B$169-$B$27/2)</f>
        <v>79.99</v>
      </c>
      <c r="JF7">
        <f>$B$175+$B$173*($B$160-0.06)</f>
        <v>19.10914</v>
      </c>
      <c r="JW7">
        <f>$B$174+$B$173*($B$170+4*$B$176)</f>
        <v>135.182</v>
      </c>
      <c r="JX7">
        <f>$B$175+$B$173*((MAX($B$166,$B$168)+0.75)-0*6.5*$B$176)</f>
        <v>82.0753</v>
      </c>
      <c r="KC7" t="e">
        <f>NA()</f>
        <v>#N/A</v>
      </c>
      <c r="KD7" t="e">
        <f>NA()</f>
        <v>#N/A</v>
      </c>
      <c r="KE7" t="e">
        <f>NA()</f>
        <v>#N/A</v>
      </c>
      <c r="KF7" t="e">
        <f>NA()</f>
        <v>#N/A</v>
      </c>
      <c r="KG7" t="e">
        <f>IF($B$21=1,$B$182+$B$181*($B$177),NA())</f>
        <v>#N/A</v>
      </c>
      <c r="KH7" t="e">
        <f>IF($B$21=1,$B$183+$B$181*($B$59),NA())</f>
        <v>#N/A</v>
      </c>
      <c r="KI7" t="e">
        <f>NA()</f>
        <v>#N/A</v>
      </c>
      <c r="KJ7" t="e">
        <f>NA()</f>
        <v>#N/A</v>
      </c>
      <c r="KK7" t="e">
        <f>NA()</f>
        <v>#N/A</v>
      </c>
      <c r="KL7" t="e">
        <f>NA()</f>
        <v>#N/A</v>
      </c>
      <c r="KM7" t="e">
        <f>IF($B$21=1,$B$182+$B$181*(0),NA())</f>
        <v>#N/A</v>
      </c>
      <c r="KN7" t="e">
        <f>IF($B$21=1,$B$183+$B$181*(-6*$B$184),NA())</f>
        <v>#N/A</v>
      </c>
      <c r="KO7" t="e">
        <f>IF($B$21=1,$B$182+$B$181*(-6*$B$184),NA())</f>
        <v>#N/A</v>
      </c>
      <c r="KP7" t="e">
        <f>IF($B$21=1,$B$183+$B$181*(0),NA())</f>
        <v>#N/A</v>
      </c>
    </row>
    <row r="8">
      <c r="A8" t="inlineStr">
        <is>
          <t>p</t>
        </is>
      </c>
      <c r="B8">
        <f>MAX(0.001,'PARAMÈTRES'!$C$12)</f>
        <v>0.16</v>
      </c>
      <c r="D8" t="inlineStr">
        <is>
          <t>LP_txt4</t>
        </is>
      </c>
      <c r="E8" t="str">
        <f>IF(4&lt;=$B$68,"Porte coul. ","Portillon ")&amp;FIXED($B$93,2,TRUE)&amp;" × "&amp;FIXED($B$94,2,TRUE)</f>
        <v>Portillon 5.50 × 0.00</v>
      </c>
      <c r="G8">
        <f>IF(1&lt;=$B$12,$B$133+$B$132*($B$13*1),NA())</f>
        <v>51.0195714285714</v>
      </c>
      <c r="H8">
        <f>IF(1&lt;=$B$12,$B$134+$B$132*(-4*$B$135),NA())</f>
        <v>12</v>
      </c>
      <c r="I8">
        <f>$B$133+$B$132*(-$B$31/2)</f>
        <v>30.571</v>
      </c>
      <c r="J8">
        <f>$B$134+$B$132*($B$5+$B$31/2)</f>
        <v>85.02</v>
      </c>
      <c r="K8">
        <f>IF(0&lt;=$B$12,$B$133+$B$132*($B$13*0-$B$27/2),NA())</f>
        <v>29.551</v>
      </c>
      <c r="L8">
        <f>IF(0&lt;=$B$12,$B$134+$B$132*(0+$B$27/2),NA())</f>
        <v>18.04</v>
      </c>
      <c r="M8">
        <f>IF(1&lt;=$B$12,$B$133+$B$132*($B$13*1),NA())</f>
        <v>51.0195714285714</v>
      </c>
      <c r="N8">
        <f>IF(1&lt;=$B$12,$B$134+$B$132*(0),NA())</f>
        <v>16</v>
      </c>
      <c r="O8">
        <f>IF(2&lt;=$B$14-1,$B$133+$B$132*($B$6),NA())</f>
        <v>167.591</v>
      </c>
      <c r="P8">
        <f>IF(2&lt;=$B$14-1,$B$134+$B$132*(2*$B$15),NA())</f>
        <v>50</v>
      </c>
      <c r="Q8" t="e">
        <f>IF($B$78=1,$B$133+$B$132*($B$83),NA())</f>
        <v>#N/A</v>
      </c>
      <c r="R8" t="e">
        <f>IF($B$78=1,$B$134+$B$132*(-2.5*$B$135),NA())</f>
        <v>#N/A</v>
      </c>
      <c r="AI8">
        <f>$B$133+$B$132*(((0)+($B$6))/2)</f>
        <v>99.591</v>
      </c>
      <c r="AJ8">
        <f>$B$134+$B$132*(-11*$B$135)</f>
        <v>5</v>
      </c>
      <c r="AK8">
        <f>$B$133+$B$132*(-12*$B$135)</f>
        <v>19.591</v>
      </c>
      <c r="AL8">
        <f>$B$134+$B$132*(((0)+($B$5))/2)</f>
        <v>50</v>
      </c>
      <c r="AM8">
        <f>$B$133+$B$132*(((0)+($B$13))/2)</f>
        <v>41.3052857142857</v>
      </c>
      <c r="AN8">
        <f>$B$134+$B$132*($B$5+6*$B$135)</f>
        <v>90</v>
      </c>
      <c r="DY8">
        <f>$B$139+$B$138*($B$5)</f>
        <v>173.182</v>
      </c>
      <c r="DZ8">
        <f>$B$140+$B$138*(0)</f>
        <v>27.873835</v>
      </c>
      <c r="EA8" t="e">
        <f>IF(AND($B$18=1,2&lt;=$B$26-1),$B$139+$B$138*(2*($B$5/MAX(1,$B$26))),NA())</f>
        <v>#N/A</v>
      </c>
      <c r="EB8" t="e">
        <f>IF(AND($B$18=1,2&lt;=$B$26-1),$B$140+$B$138*($B$7),NA())</f>
        <v>#N/A</v>
      </c>
      <c r="EC8">
        <f>IF($B$18=0,$B$139+$B$138*($B$5),NA())</f>
        <v>173.182</v>
      </c>
      <c r="ED8">
        <f>IF($B$18=0,$B$140+$B$138*($B$7-$B$54),NA())</f>
        <v>71.530705</v>
      </c>
      <c r="EE8">
        <f>IF(1&lt;=$B$16-1,$B$139+$B$138*($B$5-1*($B$5/2)/MAX(1,$B$16-1)),NA())</f>
        <v>163.608125</v>
      </c>
      <c r="EF8">
        <f>IF(1&lt;=$B$16-1,$B$140+$B$138*($B$9+$B$8*1*($B$5/2)/MAX(1,$B$16-1)+1.2*$B$141),NA())</f>
        <v>76.560255</v>
      </c>
      <c r="EI8">
        <f>$B$139+$B$138*(-0.3*$B$141)</f>
        <v>19.7</v>
      </c>
      <c r="EJ8">
        <f>$B$140+$B$138*($B$9+1.5*$B$141)</f>
        <v>75.328435</v>
      </c>
      <c r="EK8">
        <f>$B$139+$B$138*(0-$B$27/2)</f>
        <v>15.40454</v>
      </c>
      <c r="EL8">
        <f>$B$140+$B$138*((-$B$33+$B$34)+$B$35)</f>
        <v>22.12951</v>
      </c>
      <c r="EM8">
        <f>$B$139+$B$138*(-9*$B$141)</f>
        <v>11</v>
      </c>
      <c r="EN8">
        <f>$B$140+$B$138*(((0)+($B$7))/2)</f>
        <v>50.851135</v>
      </c>
      <c r="EO8">
        <f>$B$139+$B$138*($B$5+9*$B$141)</f>
        <v>182.182</v>
      </c>
      <c r="EP8">
        <f>$B$140+$B$138*(((0)+($B$10))/2)</f>
        <v>56.978415</v>
      </c>
      <c r="EQ8">
        <f>$B$139+$B$138*(((0)+($B$5))/2)</f>
        <v>96.591</v>
      </c>
      <c r="ER8">
        <f>$B$140+$B$138*(-$B$33-4*$B$141)</f>
        <v>14.682915</v>
      </c>
      <c r="FA8">
        <f>IF(1&lt;=$B$12,$B$145+$B$144*($B$13*1),NA())</f>
        <v>43.3117142857143</v>
      </c>
      <c r="FB8">
        <f>IF(1&lt;=$B$12,$B$146+$B$144*(0),NA())</f>
        <v>38.76135</v>
      </c>
      <c r="FC8">
        <f>IF(0&lt;$B$22,$B$145+$B$144*(IF(($B$19+0*$B$64)&lt;$B$73,$B$77,$B$75)),NA())</f>
        <v>112.8097625</v>
      </c>
      <c r="FD8">
        <f>IF(0&lt;$B$22,$B$146+$B$144*(($B$19+0*$B$64)),NA())</f>
        <v>38.76135</v>
      </c>
      <c r="FE8" t="e">
        <f>IF(AND($B$21=1,(1*$B$66)&lt;$B$62),$B$145+$B$144*(IF((1*$B$66)&lt;$B$73,$B$77,$B$75)),NA())</f>
        <v>#N/A</v>
      </c>
      <c r="FF8" t="e">
        <f>IF(AND($B$21=1,(1*$B$66)&lt;$B$62),$B$146+$B$144*((1*$B$66)),NA())</f>
        <v>#N/A</v>
      </c>
      <c r="FG8" t="e">
        <f>IF($B$63=1,$B$145+$B$144*(0),NA())</f>
        <v>#N/A</v>
      </c>
      <c r="FH8" t="e">
        <f>IF($B$63=1,$B$146+$B$144*($B$62/2),NA())</f>
        <v>#N/A</v>
      </c>
      <c r="FI8">
        <f>IF(1&lt;=$B$23,$B$145+$B$144*(IF(1=1,1,IF(1=$B$23,$B$12,5*(1-1)))*$B$13),NA())</f>
        <v>43.3117142857143</v>
      </c>
      <c r="FJ8">
        <f>IF(1&lt;=$B$23,$B$146+$B$144*(0),NA())</f>
        <v>38.76135</v>
      </c>
      <c r="FK8">
        <f>IF($B$71=1,$B$145+$B$144*($B$77),NA())</f>
        <v>112.8097625</v>
      </c>
      <c r="FL8">
        <f>IF($B$71=1,$B$146+$B$144*(0),NA())</f>
        <v>38.76135</v>
      </c>
      <c r="FM8">
        <f>IF($B$71=1,$B$145+$B$144*($B$77),NA())</f>
        <v>112.8097625</v>
      </c>
      <c r="FN8">
        <f>IF($B$71=1,$B$146+$B$144*(0),NA())</f>
        <v>38.76135</v>
      </c>
      <c r="FW8">
        <f>$B$145+$B$144*(((0)+($B$6))/2)</f>
        <v>101.591</v>
      </c>
      <c r="FX8">
        <f>$B$146+$B$144*(-6*$B$147)</f>
        <v>32.76135</v>
      </c>
      <c r="FY8">
        <f>$B$145+$B$144*(-9*$B$147)</f>
        <v>11</v>
      </c>
      <c r="FZ8">
        <f>$B$146+$B$144*(((0)+($B$9))/2)</f>
        <v>51</v>
      </c>
      <c r="GA8">
        <f>$B$145+$B$144*(((0)+($B$13))/2)</f>
        <v>31.6558571428571</v>
      </c>
      <c r="GB8">
        <f>$B$146+$B$144*($B$9+$B$53+4*$B$147)</f>
        <v>67.23865</v>
      </c>
      <c r="GE8">
        <f>$B$151+$B$150*($B$5)</f>
        <v>173.182</v>
      </c>
      <c r="GF8">
        <f>$B$152+$B$150*($B$9)</f>
        <v>69.85002</v>
      </c>
      <c r="GG8">
        <f>IF(AND($B$20=1,($B$19+0*$B$64)&lt;$B$10-0.3),$B$151+$B$150*(MAX(IF(($B$19+0*$B$64)&lt;=$B$9,0,(($B$19+0*$B$64)-$B$9)/$B$8),MIN(($B$5-IF(($B$19+0*$B$64)&lt;=$B$9,0,(($B$19+0*$B$64)-$B$9)/$B$8)),IF(($B$19+0*$B$64)&lt;$B$104,$B$108,$B$106)))),NA())</f>
        <v>92.76145</v>
      </c>
      <c r="GH8">
        <f>IF(AND($B$20=1,($B$19+0*$B$64)&lt;$B$10-0.3),$B$152+$B$150*(($B$19+0*$B$64)),NA())</f>
        <v>23.89542</v>
      </c>
      <c r="GI8" t="e">
        <f>IF(AND($B$21=1,(1*$B$66)&lt;IF($B$63=1,$B$10-0.2,$B$62)),$B$151+$B$150*(MAX(IF((1*$B$66)&lt;=$B$9,0,((1*$B$66)-$B$9)/$B$8),MIN(($B$5-IF((1*$B$66)&lt;=$B$9,0,((1*$B$66)-$B$9)/$B$8)),IF((1*$B$66)&lt;$B$104,$B$108,$B$106)))),NA())</f>
        <v>#N/A</v>
      </c>
      <c r="GJ8" t="e">
        <f>IF(AND($B$21=1,(1*$B$66)&lt;IF($B$63=1,$B$10-0.2,$B$62)),$B$152+$B$150*((1*$B$66)),NA())</f>
        <v>#N/A</v>
      </c>
      <c r="GK8" t="e">
        <f>IF($B$63=1,$B$151+$B$150*(0),NA())</f>
        <v>#N/A</v>
      </c>
      <c r="GL8" t="e">
        <f>IF($B$63=1,$B$152+$B$150*($B$62/2),NA())</f>
        <v>#N/A</v>
      </c>
      <c r="GM8">
        <f>IF($B$102=1,$B$151+$B$150*($B$108),NA())</f>
        <v>92.76145</v>
      </c>
      <c r="GN8">
        <f>IF($B$102=1,$B$152+$B$150*(0),NA())</f>
        <v>23.89542</v>
      </c>
      <c r="GO8">
        <f>IF($B$102=1,$B$151+$B$150*($B$108),NA())</f>
        <v>92.76145</v>
      </c>
      <c r="GP8">
        <f>IF($B$102=1,$B$152+$B$150*(0),NA())</f>
        <v>23.89542</v>
      </c>
      <c r="GY8">
        <f>$B$151+$B$150*(((0)+($B$5))/2)</f>
        <v>96.591</v>
      </c>
      <c r="GZ8">
        <f>$B$152+$B$150*(-6*$B$153)</f>
        <v>17.89542</v>
      </c>
      <c r="HA8">
        <f>$B$151+$B$150*(-9*$B$153)</f>
        <v>11</v>
      </c>
      <c r="HB8">
        <f>$B$152+$B$150*(((0)+($B$9))/2)</f>
        <v>46.87272</v>
      </c>
      <c r="HC8">
        <f>$B$151+$B$150*($B$5+9*$B$153)</f>
        <v>182.182</v>
      </c>
      <c r="HD8">
        <f>$B$152+$B$150*(((0)+($B$10))/2)</f>
        <v>53</v>
      </c>
      <c r="HG8">
        <f>$B$157+$B$156*(-$B$46)</f>
        <v>21.451</v>
      </c>
      <c r="HH8">
        <f>$B$158+$B$156*($B$5)</f>
        <v>90</v>
      </c>
      <c r="HI8">
        <f>IF(0&lt;=$B$16-1,$B$157+$B$156*(-$B$46),NA())</f>
        <v>21.451</v>
      </c>
      <c r="HJ8">
        <f>IF(0&lt;=$B$16-1,$B$158+$B$156*($B$5-0*($B$5/2)/MAX(1,$B$16-1)),NA())</f>
        <v>90</v>
      </c>
      <c r="HK8">
        <f>IF(1&lt;=$B$12,$B$157+$B$156*($B$13*1),NA())</f>
        <v>44.3052857142857</v>
      </c>
      <c r="HL8">
        <f>IF(1&lt;=$B$12,$B$158+$B$156*(0),NA())</f>
        <v>14</v>
      </c>
      <c r="HM8" t="e">
        <f>IF(AND(1&lt;=$B$12,2&lt;=$B$25),$B$157+$B$156*((1-1)*$B$13+2*$B$13/($B$25+1)),NA())</f>
        <v>#N/A</v>
      </c>
      <c r="HN8" t="e">
        <f>IF(AND(1&lt;=$B$12,2&lt;=$B$25),$B$158+$B$156*(0),NA())</f>
        <v>#N/A</v>
      </c>
      <c r="HQ8">
        <f>IF(AND(1&lt;=$B$23,1&lt;=$B$24),$B$157+$B$156*((IF(1=1,1,IF(1=$B$23,$B$12,5*(1-1)))-1)*$B$13),NA())</f>
        <v>22.591</v>
      </c>
      <c r="HR8">
        <f>IF(AND(1&lt;=$B$23,1&lt;=$B$24),$B$158+$B$156*((0*$B$5/2+1*($B$5/2)/$B$24)),NA())</f>
        <v>33</v>
      </c>
      <c r="HS8">
        <f>IF(AND(1&lt;=$B$12,$B$51&gt;0),$B$157+$B$156*(((1-0.5)*$B$13)-($B$51*$B$13)/2),NA())</f>
        <v>32.3624285714286</v>
      </c>
      <c r="HT8">
        <f>IF(AND(1&lt;=$B$12,$B$51&gt;0),$B$158+$B$156*((0*$B$5/2+$B$5/2-0.6*$B$159)),NA())</f>
        <v>51.4</v>
      </c>
      <c r="HU8">
        <f>IF(1&lt;=$B$47,$B$157+$B$156*(((MAX(1,MIN($B$12,ROUND(1*$B$12/($B$47+1),0)))-1)*$B$13+0.25*$B$13)-$B$48/2),NA())</f>
        <v>25.7395714285714</v>
      </c>
      <c r="HV8">
        <f>IF(1&lt;=$B$47,$B$158+$B$156*(IF(MOD(1,2)=1,$B$5/4,3*$B$5/4)+$B$49/2),NA())</f>
        <v>35.28</v>
      </c>
      <c r="HW8">
        <f>IF(2&lt;=$B$50/2,$B$157+$B$156*((2-0.5)*$B$6/MAX(1,$B$50/2)),NA())</f>
        <v>98.591</v>
      </c>
      <c r="HX8">
        <f>IF(2&lt;=$B$50/2,$B$158+$B$156*($B$5),NA())</f>
        <v>90</v>
      </c>
      <c r="HY8">
        <f>$B$157+$B$156*(((0)+($B$6))/2)</f>
        <v>98.591</v>
      </c>
      <c r="HZ8">
        <f>$B$158+$B$156*(-7*$B$159)</f>
        <v>7</v>
      </c>
      <c r="IA8">
        <f>$B$157+$B$156*(-$B$46-9*$B$159)</f>
        <v>12.451</v>
      </c>
      <c r="IB8">
        <f>$B$158+$B$156*(((0)+($B$5))/2)</f>
        <v>52</v>
      </c>
      <c r="IK8">
        <f>$B$174+$B$173*(-$B$31/2-0.05)</f>
        <v>22.399</v>
      </c>
      <c r="IL8">
        <f>$B$175+$B$173*($B$161)</f>
        <v>21.9247</v>
      </c>
      <c r="IM8">
        <f>$B$174+$B$173*(-0.075)</f>
        <v>29.4379</v>
      </c>
      <c r="IN8">
        <f>$B$175+$B$173*($B$163)</f>
        <v>52.6399</v>
      </c>
      <c r="IO8">
        <f>$B$174+$B$173*($B$169+$B$29/2)</f>
        <v>100.4668</v>
      </c>
      <c r="IP8">
        <f>$B$175+$B$173*($B$164)</f>
        <v>56.4793</v>
      </c>
      <c r="IU8">
        <f>$B$174+$B$173*($B$169-$B$27/2+$B$41)</f>
        <v>81.2698</v>
      </c>
      <c r="IV8">
        <f>$B$175+$B$173*($B$161+$B$41+0.15)</f>
        <v>27.0439</v>
      </c>
      <c r="IW8">
        <f>$B$174+$B$173*(-$B$31/2+$B$41+3*($B$31-2*$B$41)/3)</f>
        <v>37.7566</v>
      </c>
      <c r="IX8">
        <f>$B$175+$B$173*($B$161+$B$41+0.02)</f>
        <v>23.71642</v>
      </c>
      <c r="IY8">
        <f>$B$174+$B$173*($B$169-$B$56/2)</f>
        <v>91.12426</v>
      </c>
      <c r="IZ8">
        <f>$B$175+$B$173*($B$168+0.05)</f>
        <v>64.1581</v>
      </c>
      <c r="JA8">
        <f>$B$174+$B$173*(-$B$31/2-0.18)</f>
        <v>19.07152</v>
      </c>
      <c r="JB8">
        <f>$B$175+$B$173*((($B$160)+(0))/2)</f>
        <v>36.0025</v>
      </c>
      <c r="JC8">
        <f>$B$174+$B$173*(((-$B$31/2)+($B$31/2))/2)</f>
        <v>31.3576</v>
      </c>
      <c r="JD8">
        <f>$B$175+$B$173*($B$160-0.06)</f>
        <v>19.10914</v>
      </c>
      <c r="JE8">
        <f>$B$174+$B$173*((($B$169-$B$27/2)+($B$169+$B$27/2))/2)</f>
        <v>95.3476</v>
      </c>
      <c r="JF8">
        <f>$B$175+$B$173*($B$160-0.06)</f>
        <v>19.10914</v>
      </c>
      <c r="JW8" t="e">
        <f>NA()</f>
        <v>#N/A</v>
      </c>
      <c r="JX8" t="e">
        <f>NA()</f>
        <v>#N/A</v>
      </c>
      <c r="KE8" t="e">
        <f>IF($B$21=1,$B$182+$B$181*($B$177),NA())</f>
        <v>#N/A</v>
      </c>
      <c r="KF8" t="e">
        <f>IF($B$21=1,$B$183+$B$181*(0),NA())</f>
        <v>#N/A</v>
      </c>
      <c r="KG8" t="e">
        <f>IF($B$21=1,$B$182+$B$181*(0),NA())</f>
        <v>#N/A</v>
      </c>
      <c r="KH8" t="e">
        <f>IF($B$21=1,$B$183+$B$181*($B$59),NA())</f>
        <v>#N/A</v>
      </c>
      <c r="KI8" t="e">
        <f>IF(AND($B$21=1,1*$B$67&gt;$B$59,1*$B$67&lt;$B$178-$B$59,OR($B$63=0,ABS(1*$B$67-$B$178/2)&gt;$B$59/2)),$B$182+$B$181*($B$177*1/4+$B$60/2),NA())</f>
        <v>#N/A</v>
      </c>
      <c r="KJ8" t="e">
        <f>IF(AND($B$21=1,1*$B$67&gt;$B$59,1*$B$67&lt;$B$178-$B$59,OR($B$63=0,ABS(1*$B$67-$B$178/2)&gt;$B$59/2)),$B$183+$B$181*(1*$B$67),NA())</f>
        <v>#N/A</v>
      </c>
      <c r="KK8" t="e">
        <f>IF($B$21=1,$B$182+$B$181*(0),NA())</f>
        <v>#N/A</v>
      </c>
      <c r="KL8" t="e">
        <f>IF($B$21=1,$B$183+$B$181*($B$59/2+($B$59/2-$B$41*0.6)),NA())</f>
        <v>#N/A</v>
      </c>
      <c r="KM8" t="e">
        <f>IF($B$21=1,$B$182+$B$181*(((0)+($B$177))/2),NA())</f>
        <v>#N/A</v>
      </c>
      <c r="KN8" t="e">
        <f>IF($B$21=1,$B$183+$B$181*(-6*$B$184),NA())</f>
        <v>#N/A</v>
      </c>
      <c r="KO8" t="e">
        <f>IF($B$21=1,$B$182+$B$181*(-6*$B$184),NA())</f>
        <v>#N/A</v>
      </c>
      <c r="KP8" t="e">
        <f>IF($B$21=1,$B$183+$B$181*(((0)+($B$178))/2),NA())</f>
        <v>#N/A</v>
      </c>
    </row>
    <row r="9">
      <c r="A9" t="inlineStr">
        <is>
          <t>Hm</t>
        </is>
      </c>
      <c r="B9">
        <f>'PRÉDIMENSIONNEMENT'!$C$33</f>
        <v>6</v>
      </c>
      <c r="D9" t="inlineStr">
        <is>
          <t>PG_txt1</t>
        </is>
      </c>
      <c r="E9" t="str">
        <f>IF(1&lt;=$B$99,"Porte coul. ","Portillon ")&amp;FIXED($B$103,2,TRUE)&amp;" × "&amp;FIXED($B$104,2,TRUE)</f>
        <v>Porte coul. 4.00 × 4.50</v>
      </c>
      <c r="G9">
        <f>IF(1&lt;=$B$12,$B$133+$B$132*($B$13*1),NA())</f>
        <v>51.0195714285714</v>
      </c>
      <c r="H9">
        <f>IF(1&lt;=$B$12,$B$134+$B$132*($B$5+4*$B$135),NA())</f>
        <v>88</v>
      </c>
      <c r="I9">
        <f>$B$133+$B$132*(-$B$31/2)</f>
        <v>30.571</v>
      </c>
      <c r="J9">
        <f>$B$134+$B$132*(-$B$31/2)</f>
        <v>14.98</v>
      </c>
      <c r="K9">
        <f>IF(0&lt;=$B$12,$B$133+$B$132*($B$13*0-$B$27/2),NA())</f>
        <v>29.551</v>
      </c>
      <c r="L9">
        <f>IF(0&lt;=$B$12,$B$134+$B$132*(0-$B$27/2),NA())</f>
        <v>13.96</v>
      </c>
      <c r="M9">
        <f>IF(1&lt;=$B$12,$B$133+$B$132*($B$13*1),NA())</f>
        <v>51.0195714285714</v>
      </c>
      <c r="N9">
        <f>IF(1&lt;=$B$12,$B$134+$B$132*($B$5),NA())</f>
        <v>84</v>
      </c>
      <c r="O9">
        <f>IF(3&lt;=$B$14-1,$B$133+$B$132*(0),NA())</f>
        <v>31.591</v>
      </c>
      <c r="P9">
        <f>IF(3&lt;=$B$14-1,$B$134+$B$132*(3*$B$15),NA())</f>
        <v>67</v>
      </c>
      <c r="Q9" t="e">
        <f>IF($B$78=1,$B$133+$B$132*($B$84),NA())</f>
        <v>#N/A</v>
      </c>
      <c r="R9" t="e">
        <f>IF($B$78=1,$B$134+$B$132*(-2.5*$B$135),NA())</f>
        <v>#N/A</v>
      </c>
      <c r="AI9">
        <f>$B$133+$B$132*($B$6)</f>
        <v>167.591</v>
      </c>
      <c r="AJ9">
        <f>$B$134+$B$132*(-11*$B$135)</f>
        <v>5</v>
      </c>
      <c r="AK9">
        <f>$B$133+$B$132*(-12*$B$135)</f>
        <v>19.591</v>
      </c>
      <c r="AL9">
        <f>$B$134+$B$132*($B$5)</f>
        <v>84</v>
      </c>
      <c r="AM9">
        <f>$B$133+$B$132*($B$13)</f>
        <v>51.0195714285714</v>
      </c>
      <c r="AN9">
        <f>$B$134+$B$132*($B$5+6*$B$135)</f>
        <v>90</v>
      </c>
      <c r="DY9">
        <f>$B$139+$B$138*($B$5)</f>
        <v>173.182</v>
      </c>
      <c r="DZ9">
        <f>$B$140+$B$138*($B$9)</f>
        <v>73.828435</v>
      </c>
      <c r="EA9" t="e">
        <f>IF(AND($B$18=1,2&lt;=$B$26-1),$B$139+$B$138*(2*($B$5/MAX(1,$B$26))),NA())</f>
        <v>#N/A</v>
      </c>
      <c r="EB9" t="e">
        <f>IF(AND($B$18=1,2&lt;=$B$26-1),$B$140+$B$138*(($B$9+$B$8*MIN(2*($B$5/MAX(1,$B$26)),$B$5-(2*($B$5/MAX(1,$B$26)))))),NA())</f>
        <v>#N/A</v>
      </c>
      <c r="EC9">
        <f>IF($B$18=0,$B$139+$B$138*($B$5-$B$55),NA())</f>
        <v>157.8638</v>
      </c>
      <c r="ED9">
        <f>IF($B$18=0,$B$140+$B$138*($B$7+$B$8*$B$55),NA())</f>
        <v>76.279347</v>
      </c>
      <c r="EE9">
        <f>IF(2&lt;=$B$16-1,$B$139+$B$138*(2*($B$5/2)/MAX(1,$B$16-1)),NA())</f>
        <v>39.14775</v>
      </c>
      <c r="EF9">
        <f>IF(2&lt;=$B$16-1,$B$140+$B$138*($B$9+$B$8*2*($B$5/2)/MAX(1,$B$16-1)+1.2*$B$141),NA())</f>
        <v>78.092075</v>
      </c>
      <c r="EI9" t="e">
        <f>NA()</f>
        <v>#N/A</v>
      </c>
      <c r="EJ9" t="e">
        <f>NA()</f>
        <v>#N/A</v>
      </c>
      <c r="EK9">
        <f>$B$139+$B$138*(0-$B$27/2)</f>
        <v>15.40454</v>
      </c>
      <c r="EL9">
        <f>$B$140+$B$138*((-$B$33+$B$34))</f>
        <v>19.06587</v>
      </c>
      <c r="EM9">
        <f>$B$139+$B$138*(-9*$B$141)</f>
        <v>11</v>
      </c>
      <c r="EN9">
        <f>$B$140+$B$138*($B$7)</f>
        <v>73.828435</v>
      </c>
      <c r="EO9">
        <f>$B$139+$B$138*($B$5+9*$B$141)</f>
        <v>182.182</v>
      </c>
      <c r="EP9">
        <f>$B$140+$B$138*($B$10)</f>
        <v>86.082995</v>
      </c>
      <c r="EQ9">
        <f>$B$139+$B$138*($B$5)</f>
        <v>173.182</v>
      </c>
      <c r="ER9">
        <f>$B$140+$B$138*(-$B$33-4*$B$141)</f>
        <v>14.682915</v>
      </c>
      <c r="FA9">
        <f>IF(1&lt;=$B$12,$B$145+$B$144*($B$13*1),NA())</f>
        <v>43.3117142857143</v>
      </c>
      <c r="FB9">
        <f>IF(1&lt;=$B$12,$B$146+$B$144*($B$9),NA())</f>
        <v>63.23865</v>
      </c>
      <c r="FC9">
        <f>IF(0&lt;$B$22,$B$145+$B$144*(IF(($B$19+0*$B$64)&lt;$B$80,$B$83,$B$82)),NA())</f>
        <v>183.182</v>
      </c>
      <c r="FD9">
        <f>IF(0&lt;$B$22,$B$146+$B$144*(($B$19+0*$B$64)),NA())</f>
        <v>38.76135</v>
      </c>
      <c r="FE9" t="e">
        <f>IF(AND($B$21=1,(1*$B$66)&lt;$B$62),$B$145+$B$144*(IF((1*$B$66)&lt;$B$80,$B$83,$B$82)),NA())</f>
        <v>#N/A</v>
      </c>
      <c r="FF9" t="e">
        <f>IF(AND($B$21=1,(1*$B$66)&lt;$B$62),$B$146+$B$144*((1*$B$66)),NA())</f>
        <v>#N/A</v>
      </c>
      <c r="FG9" t="e">
        <f>IF($B$63=1,$B$145+$B$144*($B$6),NA())</f>
        <v>#N/A</v>
      </c>
      <c r="FH9" t="e">
        <f>IF($B$63=1,$B$146+$B$144*($B$62/2),NA())</f>
        <v>#N/A</v>
      </c>
      <c r="FI9">
        <f>IF(1&lt;=$B$23,$B$145+$B$144*((IF(1=1,1,IF(1=$B$23,$B$12,5*(1-1)))-1)*$B$13),NA())</f>
        <v>20</v>
      </c>
      <c r="FJ9">
        <f>IF(1&lt;=$B$23,$B$146+$B$144*($B$9),NA())</f>
        <v>63.23865</v>
      </c>
      <c r="FK9">
        <f>IF($B$71=1,$B$145+$B$144*($B$77),NA())</f>
        <v>112.8097625</v>
      </c>
      <c r="FL9">
        <f>IF($B$71=1,$B$146+$B$144*($B$9),NA())</f>
        <v>63.23865</v>
      </c>
      <c r="FM9">
        <f>IF($B$71=1,$B$145+$B$144*($B$76),NA())</f>
        <v>90.3722375</v>
      </c>
      <c r="FN9">
        <f>IF($B$71=1,$B$146+$B$144*($B$73),NA())</f>
        <v>55.07955</v>
      </c>
      <c r="FW9">
        <f>$B$145+$B$144*($B$6)</f>
        <v>183.182</v>
      </c>
      <c r="FX9">
        <f>$B$146+$B$144*(-6*$B$147)</f>
        <v>32.76135</v>
      </c>
      <c r="FY9">
        <f>$B$145+$B$144*(-9*$B$147)</f>
        <v>11</v>
      </c>
      <c r="FZ9">
        <f>$B$146+$B$144*($B$9)</f>
        <v>63.23865</v>
      </c>
      <c r="GA9">
        <f>$B$145+$B$144*($B$13)</f>
        <v>43.3117142857143</v>
      </c>
      <c r="GB9">
        <f>$B$146+$B$144*($B$9+$B$53+4*$B$147)</f>
        <v>67.23865</v>
      </c>
      <c r="GE9">
        <f>$B$151+$B$150*($B$5)</f>
        <v>173.182</v>
      </c>
      <c r="GF9">
        <f>$B$152+$B$150*(0)</f>
        <v>23.89542</v>
      </c>
      <c r="GG9">
        <f>IF(AND($B$20=1,($B$19+0*$B$64)&lt;$B$10-0.3),$B$151+$B$150*(MAX(IF(($B$19+0*$B$64)&lt;=$B$9,0,(($B$19+0*$B$64)-$B$9)/$B$8),MIN(($B$5-IF(($B$19+0*$B$64)&lt;=$B$9,0,(($B$19+0*$B$64)-$B$9)/$B$8)),IF(($B$19+0*$B$64)&lt;$B$111,$B$114,$B$113)))),NA())</f>
        <v>173.182</v>
      </c>
      <c r="GH9">
        <f>IF(AND($B$20=1,($B$19+0*$B$64)&lt;$B$10-0.3),$B$152+$B$150*(($B$19+0*$B$64)),NA())</f>
        <v>23.89542</v>
      </c>
      <c r="GI9" t="e">
        <f>IF(AND($B$21=1,(1*$B$66)&lt;IF($B$63=1,$B$10-0.2,$B$62)),$B$151+$B$150*(MAX(IF((1*$B$66)&lt;=$B$9,0,((1*$B$66)-$B$9)/$B$8),MIN(($B$5-IF((1*$B$66)&lt;=$B$9,0,((1*$B$66)-$B$9)/$B$8)),IF((1*$B$66)&lt;$B$111,$B$114,$B$113)))),NA())</f>
        <v>#N/A</v>
      </c>
      <c r="GJ9" t="e">
        <f>IF(AND($B$21=1,(1*$B$66)&lt;IF($B$63=1,$B$10-0.2,$B$62)),$B$152+$B$150*((1*$B$66)),NA())</f>
        <v>#N/A</v>
      </c>
      <c r="GK9" t="e">
        <f>IF($B$63=1,$B$151+$B$150*($B$5),NA())</f>
        <v>#N/A</v>
      </c>
      <c r="GL9" t="e">
        <f>IF($B$63=1,$B$152+$B$150*($B$62/2),NA())</f>
        <v>#N/A</v>
      </c>
      <c r="GM9">
        <f>IF($B$102=1,$B$151+$B$150*($B$108),NA())</f>
        <v>92.76145</v>
      </c>
      <c r="GN9">
        <f>IF($B$102=1,$B$152+$B$150*(MIN($B$9,$B$104+$B$64)),NA())</f>
        <v>69.85002</v>
      </c>
      <c r="GO9">
        <f>IF($B$102=1,$B$151+$B$150*($B$107),NA())</f>
        <v>62.12505</v>
      </c>
      <c r="GP9">
        <f>IF($B$102=1,$B$152+$B$150*($B$104),NA())</f>
        <v>58.36137</v>
      </c>
      <c r="GY9">
        <f>$B$151+$B$150*($B$5)</f>
        <v>173.182</v>
      </c>
      <c r="GZ9">
        <f>$B$152+$B$150*(-6*$B$153)</f>
        <v>17.89542</v>
      </c>
      <c r="HA9">
        <f>$B$151+$B$150*(-9*$B$153)</f>
        <v>11</v>
      </c>
      <c r="HB9">
        <f>$B$152+$B$150*($B$9)</f>
        <v>69.85002</v>
      </c>
      <c r="HC9">
        <f>$B$151+$B$150*($B$5+9*$B$153)</f>
        <v>182.182</v>
      </c>
      <c r="HD9">
        <f>$B$152+$B$150*($B$10)</f>
        <v>82.10458</v>
      </c>
      <c r="HG9">
        <f>$B$157+$B$156*(-$B$46)</f>
        <v>21.451</v>
      </c>
      <c r="HH9">
        <f>$B$158+$B$156*(0)</f>
        <v>14</v>
      </c>
      <c r="HI9">
        <f>IF(0&lt;=$B$16-1,$B$157+$B$156*($B$6+$B$46),NA())</f>
        <v>175.731</v>
      </c>
      <c r="HJ9">
        <f>IF(0&lt;=$B$16-1,$B$158+$B$156*($B$5-0*($B$5/2)/MAX(1,$B$16-1)),NA())</f>
        <v>90</v>
      </c>
      <c r="HK9">
        <f>IF(1&lt;=$B$12,$B$157+$B$156*($B$13*1),NA())</f>
        <v>44.3052857142857</v>
      </c>
      <c r="HL9">
        <f>IF(1&lt;=$B$12,$B$158+$B$156*($B$5),NA())</f>
        <v>90</v>
      </c>
      <c r="HM9" t="e">
        <f>IF(AND(1&lt;=$B$12,2&lt;=$B$25),$B$157+$B$156*((1-1)*$B$13+2*$B$13/($B$25+1)),NA())</f>
        <v>#N/A</v>
      </c>
      <c r="HN9" t="e">
        <f>IF(AND(1&lt;=$B$12,2&lt;=$B$25),$B$158+$B$156*($B$5),NA())</f>
        <v>#N/A</v>
      </c>
      <c r="HQ9">
        <f>IF(AND(1&lt;=$B$23,1&lt;=$B$24),$B$157+$B$156*(IF(1=1,1,IF(1=$B$23,$B$12,5*(1-1)))*$B$13),NA())</f>
        <v>44.3052857142857</v>
      </c>
      <c r="HR9">
        <f>IF(AND(1&lt;=$B$23,1&lt;=$B$24),$B$158+$B$156*((0*$B$5/2+(1-1)*($B$5/2)/$B$24)),NA())</f>
        <v>14</v>
      </c>
      <c r="HS9">
        <f>IF(AND(1&lt;=$B$12,$B$51&gt;0),$B$157+$B$156*(((1-0.5)*$B$13)-($B$51*$B$13)/2),NA())</f>
        <v>32.3624285714286</v>
      </c>
      <c r="HT9">
        <f>IF(AND(1&lt;=$B$12,$B$51&gt;0),$B$158+$B$156*((0*$B$5/2+0.6*$B$159)),NA())</f>
        <v>14.6</v>
      </c>
      <c r="HU9">
        <f>IF(1&lt;=$B$47,$B$157+$B$156*(((MAX(1,MIN($B$12,ROUND(1*$B$12/($B$47+1),0)))-1)*$B$13+0.25*$B$13)-$B$48/2),NA())</f>
        <v>25.7395714285714</v>
      </c>
      <c r="HV9">
        <f>IF(1&lt;=$B$47,$B$158+$B$156*(IF(MOD(1,2)=1,$B$5/4,3*$B$5/4)-$B$49/2),NA())</f>
        <v>30.72</v>
      </c>
      <c r="HW9">
        <f>IF(3&lt;=$B$50/2,$B$157+$B$156*((3-0.5)*$B$6/MAX(1,$B$50/2)),NA())</f>
        <v>149.257666666667</v>
      </c>
      <c r="HX9">
        <f>IF(3&lt;=$B$50/2,$B$158+$B$156*(0),NA())</f>
        <v>14</v>
      </c>
      <c r="HY9">
        <f>$B$157+$B$156*($B$6)</f>
        <v>174.591</v>
      </c>
      <c r="HZ9">
        <f>$B$158+$B$156*(-7*$B$159)</f>
        <v>7</v>
      </c>
      <c r="IA9">
        <f>$B$157+$B$156*(-$B$46-9*$B$159)</f>
        <v>12.451</v>
      </c>
      <c r="IB9">
        <f>$B$158+$B$156*($B$5)</f>
        <v>90</v>
      </c>
      <c r="IK9">
        <f>$B$174+$B$173*(-$B$31/2-0.05)</f>
        <v>22.399</v>
      </c>
      <c r="IL9">
        <f>$B$175+$B$173*($B$160)</f>
        <v>20.6449</v>
      </c>
      <c r="IM9">
        <f>$B$174+$B$173*(-0.075)</f>
        <v>29.4379</v>
      </c>
      <c r="IN9">
        <f>$B$175+$B$173*($B$162)</f>
        <v>27.0439</v>
      </c>
      <c r="IO9">
        <f>$B$174+$B$173*($B$170)</f>
        <v>131.182</v>
      </c>
      <c r="IP9">
        <f>$B$175+$B$173*($B$164)</f>
        <v>56.4793</v>
      </c>
      <c r="IU9">
        <f>$B$174+$B$173*($B$169-$B$27/2+$B$41)</f>
        <v>81.2698</v>
      </c>
      <c r="IV9">
        <f>$B$175+$B$173*($B$161+$B$41)</f>
        <v>23.2045</v>
      </c>
      <c r="IW9">
        <f>IF(0&lt;=ROUNDDOWN(($B$27-2*$B$41)/'PARAMÈTRES'!$C$96,0),$B$174+$B$173*($B$169-$B$27/2+$B$41+0*'PARAMÈTRES'!$C$96),NA())</f>
        <v>81.2698</v>
      </c>
      <c r="IX9">
        <f>IF(0&lt;=ROUNDDOWN(($B$27-2*$B$41)/'PARAMÈTRES'!$C$96,0),$B$175+$B$173*($B$161+$B$41+0.02),NA())</f>
        <v>23.71642</v>
      </c>
      <c r="IY9">
        <f>$B$174+$B$173*($B$169-$B$56/2)</f>
        <v>91.12426</v>
      </c>
      <c r="IZ9">
        <f>$B$175+$B$173*($B$168+0.85)</f>
        <v>84.6349</v>
      </c>
      <c r="JA9">
        <f>$B$174+$B$173*(-$B$31/2-0.18)</f>
        <v>19.07152</v>
      </c>
      <c r="JB9">
        <f>$B$175+$B$173*(0)</f>
        <v>51.3601</v>
      </c>
      <c r="JC9">
        <f>$B$174+$B$173*($B$31/2)</f>
        <v>39.0364</v>
      </c>
      <c r="JD9">
        <f>$B$175+$B$173*($B$160-0.06)</f>
        <v>19.10914</v>
      </c>
      <c r="JE9">
        <f>$B$174+$B$173*($B$169+$B$27/2)</f>
        <v>110.7052</v>
      </c>
      <c r="JF9">
        <f>$B$175+$B$173*($B$160-0.06)</f>
        <v>19.10914</v>
      </c>
      <c r="JW9">
        <f>$B$174+$B$173*($B$170)</f>
        <v>131.182</v>
      </c>
      <c r="JX9">
        <f>$B$175+$B$173*(($B$165+$B$166)/2)</f>
        <v>60.3187</v>
      </c>
      <c r="KE9" t="e">
        <f>IF($B$21=1,$B$182+$B$181*($B$177),NA())</f>
        <v>#N/A</v>
      </c>
      <c r="KF9" t="e">
        <f>IF($B$21=1,$B$183+$B$181*($B$178+0.4),NA())</f>
        <v>#N/A</v>
      </c>
      <c r="KG9" t="e">
        <f>IF($B$21=1,$B$182+$B$181*(0),NA())</f>
        <v>#N/A</v>
      </c>
      <c r="KH9" t="e">
        <f>IF($B$21=1,$B$183+$B$181*(0),NA())</f>
        <v>#N/A</v>
      </c>
      <c r="KI9" t="e">
        <f>IF(AND($B$21=1,1*$B$67&gt;$B$59,1*$B$67&lt;$B$178-$B$59,OR($B$63=0,ABS(1*$B$67-$B$178/2)&gt;$B$59/2)),$B$182+$B$181*($B$177*2/4-$B$60/2),NA())</f>
        <v>#N/A</v>
      </c>
      <c r="KJ9" t="e">
        <f>IF(AND($B$21=1,1*$B$67&gt;$B$59,1*$B$67&lt;$B$178-$B$59,OR($B$63=0,ABS(1*$B$67-$B$178/2)&gt;$B$59/2)),$B$183+$B$181*(1*$B$67),NA())</f>
        <v>#N/A</v>
      </c>
      <c r="KK9" t="e">
        <f>IF($B$21=1,$B$182+$B$181*($B$177),NA())</f>
        <v>#N/A</v>
      </c>
      <c r="KL9" t="e">
        <f>IF($B$21=1,$B$183+$B$181*($B$59/2+($B$59/2-$B$41*0.6)),NA())</f>
        <v>#N/A</v>
      </c>
      <c r="KM9" t="e">
        <f>IF($B$21=1,$B$182+$B$181*($B$177),NA())</f>
        <v>#N/A</v>
      </c>
      <c r="KN9" t="e">
        <f>IF($B$21=1,$B$183+$B$181*(-6*$B$184),NA())</f>
        <v>#N/A</v>
      </c>
      <c r="KO9" t="e">
        <f>IF($B$21=1,$B$182+$B$181*(-6*$B$184),NA())</f>
        <v>#N/A</v>
      </c>
      <c r="KP9" t="e">
        <f>IF($B$21=1,$B$183+$B$181*($B$178),NA())</f>
        <v>#N/A</v>
      </c>
    </row>
    <row r="10">
      <c r="A10" t="inlineStr">
        <is>
          <t>Hf</t>
        </is>
      </c>
      <c r="B10">
        <f>'PRÉDIMENSIONNEMENT'!$C$34</f>
        <v>7.6</v>
      </c>
      <c r="D10" t="inlineStr">
        <is>
          <t>PG_txt2</t>
        </is>
      </c>
      <c r="E10" t="str">
        <f>IF(2&lt;=$B$99,"Porte coul. ","Portillon ")&amp;FIXED($B$110,2,TRUE)&amp;" × "&amp;FIXED($B$111,2,TRUE)</f>
        <v>Portillon 5.50 × 0.00</v>
      </c>
      <c r="G10" t="e">
        <f>NA()</f>
        <v>#N/A</v>
      </c>
      <c r="H10" t="e">
        <f>NA()</f>
        <v>#N/A</v>
      </c>
      <c r="I10" t="e">
        <f>NA()</f>
        <v>#N/A</v>
      </c>
      <c r="J10" t="e">
        <f>NA()</f>
        <v>#N/A</v>
      </c>
      <c r="K10" t="e">
        <f>NA()</f>
        <v>#N/A</v>
      </c>
      <c r="L10" t="e">
        <f>NA()</f>
        <v>#N/A</v>
      </c>
      <c r="M10" t="e">
        <f>IF(AND(1&lt;=$B$12,$B$45=1),$B$133+$B$132*($B$13*1),NA())</f>
        <v>#N/A</v>
      </c>
      <c r="N10" t="e">
        <f>IF(AND(1&lt;=$B$12,$B$45=1),$B$134+$B$132*($B$5/2),NA())</f>
        <v>#N/A</v>
      </c>
      <c r="O10">
        <f>IF(3&lt;=$B$14-1,$B$133+$B$132*($B$6),NA())</f>
        <v>167.591</v>
      </c>
      <c r="P10">
        <f>IF(3&lt;=$B$14-1,$B$134+$B$132*(3*$B$15),NA())</f>
        <v>67</v>
      </c>
      <c r="Q10" t="e">
        <f>NA()</f>
        <v>#N/A</v>
      </c>
      <c r="R10" t="e">
        <f>NA()</f>
        <v>#N/A</v>
      </c>
      <c r="AI10">
        <f>$B$133+$B$132*($B$6)</f>
        <v>167.591</v>
      </c>
      <c r="AJ10">
        <f>$B$134+$B$132*(-11*$B$135+1.2*$B$135)</f>
        <v>6.2</v>
      </c>
      <c r="AK10">
        <f>$B$133+$B$132*(-12*$B$135+1.2*$B$135)</f>
        <v>20.791</v>
      </c>
      <c r="AL10">
        <f>$B$134+$B$132*($B$5)</f>
        <v>84</v>
      </c>
      <c r="AM10">
        <f>$B$133+$B$132*($B$13)</f>
        <v>51.0195714285714</v>
      </c>
      <c r="AN10">
        <f>$B$134+$B$132*($B$5+6*$B$135+1.2*$B$135)</f>
        <v>91.2</v>
      </c>
      <c r="DY10" t="e">
        <f>NA()</f>
        <v>#N/A</v>
      </c>
      <c r="DZ10" t="e">
        <f>NA()</f>
        <v>#N/A</v>
      </c>
      <c r="EA10" t="e">
        <f>NA()</f>
        <v>#N/A</v>
      </c>
      <c r="EB10" t="e">
        <f>NA()</f>
        <v>#N/A</v>
      </c>
      <c r="EC10" t="e">
        <f>NA()</f>
        <v>#N/A</v>
      </c>
      <c r="ED10" t="e">
        <f>NA()</f>
        <v>#N/A</v>
      </c>
      <c r="EE10">
        <f>IF(2&lt;=$B$16-1,$B$139+$B$138*($B$5-2*($B$5/2)/MAX(1,$B$16-1)),NA())</f>
        <v>154.03425</v>
      </c>
      <c r="EF10">
        <f>IF(2&lt;=$B$16-1,$B$140+$B$138*($B$9+$B$8*2*($B$5/2)/MAX(1,$B$16-1)+1.2*$B$141),NA())</f>
        <v>78.092075</v>
      </c>
      <c r="EI10">
        <f>$B$139+$B$138*($B$5+3.5*$B$141)</f>
        <v>176.682</v>
      </c>
      <c r="EJ10">
        <f>$B$140+$B$138*($B$9+1.5*$B$141)</f>
        <v>75.328435</v>
      </c>
      <c r="EK10" t="e">
        <f>NA()</f>
        <v>#N/A</v>
      </c>
      <c r="EL10" t="e">
        <f>NA()</f>
        <v>#N/A</v>
      </c>
      <c r="EM10">
        <f>$B$139+$B$138*(-9*$B$141+1.2*$B$141)</f>
        <v>12.2</v>
      </c>
      <c r="EN10">
        <f>$B$140+$B$138*($B$7)</f>
        <v>73.828435</v>
      </c>
      <c r="EO10">
        <f>$B$139+$B$138*($B$5+9*$B$141+1.2*$B$141)</f>
        <v>183.382</v>
      </c>
      <c r="EP10">
        <f>$B$140+$B$138*($B$10)</f>
        <v>86.082995</v>
      </c>
      <c r="EQ10">
        <f>$B$139+$B$138*($B$5)</f>
        <v>173.182</v>
      </c>
      <c r="ER10">
        <f>$B$140+$B$138*(-$B$33-4*$B$141+1.2*$B$141)</f>
        <v>15.882915</v>
      </c>
      <c r="FA10" t="e">
        <f>NA()</f>
        <v>#N/A</v>
      </c>
      <c r="FB10" t="e">
        <f>NA()</f>
        <v>#N/A</v>
      </c>
      <c r="FC10">
        <f>IF(AND(0&lt;$B$22,($B$19+0*$B$64)&gt;=$B$80),$B$145+$B$144*($B$82),NA())</f>
        <v>183.182</v>
      </c>
      <c r="FD10">
        <f>IF(AND(0&lt;$B$22,($B$19+0*$B$64)&gt;=$B$80),$B$146+$B$144*(($B$19+0*$B$64)),NA())</f>
        <v>38.76135</v>
      </c>
      <c r="FE10" t="e">
        <f>IF(AND(AND($B$21=1,(1*$B$66)&lt;$B$62),(1*$B$66)&gt;=$B$80),$B$145+$B$144*($B$82),NA())</f>
        <v>#N/A</v>
      </c>
      <c r="FF10" t="e">
        <f>IF(AND(AND($B$21=1,(1*$B$66)&lt;$B$62),(1*$B$66)&gt;=$B$80),$B$146+$B$144*((1*$B$66)),NA())</f>
        <v>#N/A</v>
      </c>
      <c r="FG10" t="e">
        <f>NA()</f>
        <v>#N/A</v>
      </c>
      <c r="FH10" t="e">
        <f>NA()</f>
        <v>#N/A</v>
      </c>
      <c r="FI10" t="e">
        <f>NA()</f>
        <v>#N/A</v>
      </c>
      <c r="FJ10" t="e">
        <f>NA()</f>
        <v>#N/A</v>
      </c>
      <c r="FK10" t="e">
        <f>NA()</f>
        <v>#N/A</v>
      </c>
      <c r="FL10" t="e">
        <f>NA()</f>
        <v>#N/A</v>
      </c>
      <c r="FM10" t="e">
        <f>NA()</f>
        <v>#N/A</v>
      </c>
      <c r="FN10" t="e">
        <f>NA()</f>
        <v>#N/A</v>
      </c>
      <c r="FW10">
        <f>$B$145+$B$144*($B$6)</f>
        <v>183.182</v>
      </c>
      <c r="FX10">
        <f>$B$146+$B$144*(-6*$B$147+1.2*$B$147)</f>
        <v>33.96135</v>
      </c>
      <c r="FY10">
        <f>$B$145+$B$144*(-9*$B$147+1.2*$B$147)</f>
        <v>12.2</v>
      </c>
      <c r="FZ10">
        <f>$B$146+$B$144*($B$9)</f>
        <v>63.23865</v>
      </c>
      <c r="GA10">
        <f>$B$145+$B$144*($B$13)</f>
        <v>43.3117142857143</v>
      </c>
      <c r="GB10">
        <f>$B$146+$B$144*($B$9+$B$53+4*$B$147+1.2*$B$147)</f>
        <v>68.43865</v>
      </c>
      <c r="GE10" t="e">
        <f>NA()</f>
        <v>#N/A</v>
      </c>
      <c r="GF10" t="e">
        <f>NA()</f>
        <v>#N/A</v>
      </c>
      <c r="GG10">
        <f>IF(AND(AND($B$20=1,($B$19+0*$B$64)&lt;$B$10-0.3),($B$19+0*$B$64)&gt;=$B$111),$B$151+$B$150*(MAX(IF(($B$19+0*$B$64)&lt;=$B$9,0,(($B$19+0*$B$64)-$B$9)/$B$8),MIN(($B$5-IF(($B$19+0*$B$64)&lt;=$B$9,0,(($B$19+0*$B$64)-$B$9)/$B$8)),$B$113))),NA())</f>
        <v>173.182</v>
      </c>
      <c r="GH10">
        <f>IF(AND(AND($B$20=1,($B$19+0*$B$64)&lt;$B$10-0.3),($B$19+0*$B$64)&gt;=$B$111),$B$152+$B$150*(($B$19+0*$B$64)),NA())</f>
        <v>23.89542</v>
      </c>
      <c r="GI10" t="e">
        <f>IF(AND(AND($B$21=1,(1*$B$66)&lt;IF($B$63=1,$B$10-0.2,$B$62)),(1*$B$66)&gt;=$B$111),$B$151+$B$150*(MAX(IF((1*$B$66)&lt;=$B$9,0,((1*$B$66)-$B$9)/$B$8),MIN(($B$5-IF((1*$B$66)&lt;=$B$9,0,((1*$B$66)-$B$9)/$B$8)),$B$113))),NA())</f>
        <v>#N/A</v>
      </c>
      <c r="GJ10" t="e">
        <f>IF(AND(AND($B$21=1,(1*$B$66)&lt;IF($B$63=1,$B$10-0.2,$B$62)),(1*$B$66)&gt;=$B$111),$B$152+$B$150*((1*$B$66)),NA())</f>
        <v>#N/A</v>
      </c>
      <c r="GK10" t="e">
        <f>NA()</f>
        <v>#N/A</v>
      </c>
      <c r="GL10" t="e">
        <f>NA()</f>
        <v>#N/A</v>
      </c>
      <c r="GM10" t="e">
        <f>NA()</f>
        <v>#N/A</v>
      </c>
      <c r="GN10" t="e">
        <f>NA()</f>
        <v>#N/A</v>
      </c>
      <c r="GO10" t="e">
        <f>NA()</f>
        <v>#N/A</v>
      </c>
      <c r="GP10" t="e">
        <f>NA()</f>
        <v>#N/A</v>
      </c>
      <c r="GY10">
        <f>$B$151+$B$150*($B$5)</f>
        <v>173.182</v>
      </c>
      <c r="GZ10">
        <f>$B$152+$B$150*(-6*$B$153+1.2*$B$153)</f>
        <v>19.09542</v>
      </c>
      <c r="HA10">
        <f>$B$151+$B$150*(-9*$B$153+1.2*$B$153)</f>
        <v>12.2</v>
      </c>
      <c r="HB10">
        <f>$B$152+$B$150*($B$9)</f>
        <v>69.85002</v>
      </c>
      <c r="HC10">
        <f>$B$151+$B$150*($B$5+9*$B$153+1.2*$B$153)</f>
        <v>183.382</v>
      </c>
      <c r="HD10">
        <f>$B$152+$B$150*($B$10)</f>
        <v>82.10458</v>
      </c>
      <c r="HG10" t="e">
        <f>NA()</f>
        <v>#N/A</v>
      </c>
      <c r="HH10" t="e">
        <f>NA()</f>
        <v>#N/A</v>
      </c>
      <c r="HI10" t="e">
        <f>NA()</f>
        <v>#N/A</v>
      </c>
      <c r="HJ10" t="e">
        <f>NA()</f>
        <v>#N/A</v>
      </c>
      <c r="HK10" t="e">
        <f>NA()</f>
        <v>#N/A</v>
      </c>
      <c r="HL10" t="e">
        <f>NA()</f>
        <v>#N/A</v>
      </c>
      <c r="HM10" t="e">
        <f>NA()</f>
        <v>#N/A</v>
      </c>
      <c r="HN10" t="e">
        <f>NA()</f>
        <v>#N/A</v>
      </c>
      <c r="HQ10" t="e">
        <f>NA()</f>
        <v>#N/A</v>
      </c>
      <c r="HR10" t="e">
        <f>NA()</f>
        <v>#N/A</v>
      </c>
      <c r="HS10" t="e">
        <f>NA()</f>
        <v>#N/A</v>
      </c>
      <c r="HT10" t="e">
        <f>NA()</f>
        <v>#N/A</v>
      </c>
      <c r="HU10" t="e">
        <f>NA()</f>
        <v>#N/A</v>
      </c>
      <c r="HV10" t="e">
        <f>NA()</f>
        <v>#N/A</v>
      </c>
      <c r="HW10">
        <f>IF(3&lt;=$B$50/2,$B$157+$B$156*((3-0.5)*$B$6/MAX(1,$B$50/2)),NA())</f>
        <v>149.257666666667</v>
      </c>
      <c r="HX10">
        <f>IF(3&lt;=$B$50/2,$B$158+$B$156*($B$5),NA())</f>
        <v>90</v>
      </c>
      <c r="HY10">
        <f>$B$157+$B$156*($B$6)</f>
        <v>174.591</v>
      </c>
      <c r="HZ10">
        <f>$B$158+$B$156*(-7*$B$159+1.2*$B$159)</f>
        <v>8.2</v>
      </c>
      <c r="IA10">
        <f>$B$157+$B$156*(-$B$46-9*$B$159+1.2*$B$159)</f>
        <v>13.651</v>
      </c>
      <c r="IB10">
        <f>$B$158+$B$156*($B$5)</f>
        <v>90</v>
      </c>
      <c r="IK10" t="e">
        <f>NA()</f>
        <v>#N/A</v>
      </c>
      <c r="IL10" t="e">
        <f>NA()</f>
        <v>#N/A</v>
      </c>
      <c r="IM10" t="e">
        <f>NA()</f>
        <v>#N/A</v>
      </c>
      <c r="IN10" t="e">
        <f>NA()</f>
        <v>#N/A</v>
      </c>
      <c r="IO10" t="e">
        <f>NA()</f>
        <v>#N/A</v>
      </c>
      <c r="IP10" t="e">
        <f>NA()</f>
        <v>#N/A</v>
      </c>
      <c r="IU10">
        <f>$B$174+$B$173*($B$169+$B$27/2-$B$41)</f>
        <v>109.4254</v>
      </c>
      <c r="IV10">
        <f>$B$175+$B$173*($B$161+$B$41)</f>
        <v>23.2045</v>
      </c>
      <c r="IW10">
        <f>IF(1&lt;=ROUNDDOWN(($B$27-2*$B$41)/'PARAMÈTRES'!$C$96,0),$B$174+$B$173*($B$169-$B$27/2+$B$41+1*'PARAMÈTRES'!$C$96),NA())</f>
        <v>85.1092</v>
      </c>
      <c r="IX10">
        <f>IF(1&lt;=ROUNDDOWN(($B$27-2*$B$41)/'PARAMÈTRES'!$C$96,0),$B$175+$B$173*($B$161+$B$41+0.02),NA())</f>
        <v>23.71642</v>
      </c>
      <c r="IY10" t="e">
        <f>NA()</f>
        <v>#N/A</v>
      </c>
      <c r="IZ10" t="e">
        <f>NA()</f>
        <v>#N/A</v>
      </c>
      <c r="JA10">
        <f>$B$174+$B$173*(-$B$31/2-0.18+1.2*$B$176)</f>
        <v>20.27152</v>
      </c>
      <c r="JB10">
        <f>$B$175+$B$173*(0)</f>
        <v>51.3601</v>
      </c>
      <c r="JC10">
        <f>$B$174+$B$173*($B$31/2)</f>
        <v>39.0364</v>
      </c>
      <c r="JD10">
        <f>$B$175+$B$173*($B$160-0.06+1.2*$B$176)</f>
        <v>20.30914</v>
      </c>
      <c r="JE10">
        <f>$B$174+$B$173*($B$169+$B$27/2)</f>
        <v>110.7052</v>
      </c>
      <c r="JF10">
        <f>$B$175+$B$173*($B$160-0.06+1.2*$B$176)</f>
        <v>20.30914</v>
      </c>
      <c r="JW10">
        <f>$B$174+$B$173*($B$170+1*$B$176)</f>
        <v>132.182</v>
      </c>
      <c r="JX10">
        <f>$B$175+$B$173*(($B$165+$B$166)/2)</f>
        <v>60.3187</v>
      </c>
      <c r="KE10" t="e">
        <f>NA()</f>
        <v>#N/A</v>
      </c>
      <c r="KF10" t="e">
        <f>NA()</f>
        <v>#N/A</v>
      </c>
      <c r="KG10" t="e">
        <f>NA()</f>
        <v>#N/A</v>
      </c>
      <c r="KH10" t="e">
        <f>NA()</f>
        <v>#N/A</v>
      </c>
      <c r="KI10" t="e">
        <f>NA()</f>
        <v>#N/A</v>
      </c>
      <c r="KJ10" t="e">
        <f>NA()</f>
        <v>#N/A</v>
      </c>
      <c r="KK10" t="e">
        <f>NA()</f>
        <v>#N/A</v>
      </c>
      <c r="KL10" t="e">
        <f>NA()</f>
        <v>#N/A</v>
      </c>
      <c r="KM10" t="e">
        <f>IF($B$21=1,$B$182+$B$181*($B$177),NA())</f>
        <v>#N/A</v>
      </c>
      <c r="KN10" t="e">
        <f>IF($B$21=1,$B$183+$B$181*(-6*$B$184+1.2*$B$184),NA())</f>
        <v>#N/A</v>
      </c>
      <c r="KO10" t="e">
        <f>IF($B$21=1,$B$182+$B$181*(-6*$B$184+1.2*$B$184),NA())</f>
        <v>#N/A</v>
      </c>
      <c r="KP10" t="e">
        <f>IF($B$21=1,$B$183+$B$181*($B$178),NA())</f>
        <v>#N/A</v>
      </c>
    </row>
    <row r="11">
      <c r="A11" t="inlineStr">
        <is>
          <t>h0</t>
        </is>
      </c>
      <c r="B11">
        <f>'PRÉDIMENSIONNEMENT'!$C$32</f>
        <v>0</v>
      </c>
      <c r="D11" t="inlineStr">
        <is>
          <t>PG_txt3</t>
        </is>
      </c>
      <c r="E11" t="str">
        <f>IF(3&lt;=$B$99,"Porte coul. ","Portillon ")&amp;FIXED($B$117,2,TRUE)&amp;" × "&amp;FIXED($B$118,2,TRUE)</f>
        <v>Portillon 5.50 × 0.00</v>
      </c>
      <c r="G11">
        <f>IF(2&lt;=$B$12,$B$133+$B$132*($B$13*2),NA())</f>
        <v>70.4481428571428</v>
      </c>
      <c r="H11">
        <f>IF(2&lt;=$B$12,$B$134+$B$132*(-4*$B$135),NA())</f>
        <v>12</v>
      </c>
      <c r="I11">
        <f>$B$133+$B$132*($B$31/2)</f>
        <v>32.611</v>
      </c>
      <c r="J11">
        <f>$B$134+$B$132*($B$31/2)</f>
        <v>17.02</v>
      </c>
      <c r="K11">
        <f>IF(0&lt;=$B$12,$B$133+$B$132*($B$13*0-$B$27/2),NA())</f>
        <v>29.551</v>
      </c>
      <c r="L11">
        <f>IF(0&lt;=$B$12,$B$134+$B$132*($B$5-$B$27/2),NA())</f>
        <v>81.96</v>
      </c>
      <c r="M11">
        <f>IF(2&lt;=$B$12,$B$133+$B$132*($B$13*2),NA())</f>
        <v>70.4481428571428</v>
      </c>
      <c r="N11">
        <f>IF(2&lt;=$B$12,$B$134+$B$132*(0),NA())</f>
        <v>16</v>
      </c>
      <c r="O11" t="e">
        <f>IF(4&lt;=$B$14-1,$B$133+$B$132*(0),NA())</f>
        <v>#N/A</v>
      </c>
      <c r="P11" t="e">
        <f>IF(4&lt;=$B$14-1,$B$134+$B$132*(4*$B$15),NA())</f>
        <v>#N/A</v>
      </c>
      <c r="Q11" t="e">
        <f>IF($B$85=1,$B$133+$B$132*($B$90),NA())</f>
        <v>#N/A</v>
      </c>
      <c r="R11" t="e">
        <f>IF($B$85=1,$B$134+$B$132*(-2.5*$B$135),NA())</f>
        <v>#N/A</v>
      </c>
      <c r="AI11">
        <f>$B$133+$B$132*($B$6)</f>
        <v>167.591</v>
      </c>
      <c r="AJ11">
        <f>$B$134+$B$132*(-11*$B$135-1.2*$B$135)</f>
        <v>3.8</v>
      </c>
      <c r="AK11">
        <f>$B$133+$B$132*(-12*$B$135-1.2*$B$135)</f>
        <v>18.391</v>
      </c>
      <c r="AL11">
        <f>$B$134+$B$132*($B$5)</f>
        <v>84</v>
      </c>
      <c r="AM11">
        <f>$B$133+$B$132*($B$13)</f>
        <v>51.0195714285714</v>
      </c>
      <c r="AN11">
        <f>$B$134+$B$132*($B$5+6*$B$135-1.2*$B$135)</f>
        <v>88.8</v>
      </c>
      <c r="DY11">
        <f>$B$139+$B$138*(0)</f>
        <v>20</v>
      </c>
      <c r="DZ11">
        <f>$B$140+$B$138*($B$9)</f>
        <v>73.828435</v>
      </c>
      <c r="EA11" t="e">
        <f>IF(AND($B$18=1,3&lt;=$B$26-1),$B$139+$B$138*(3*($B$5/MAX(1,$B$26))),NA())</f>
        <v>#N/A</v>
      </c>
      <c r="EB11" t="e">
        <f>IF(AND($B$18=1,3&lt;=$B$26-1),$B$140+$B$138*($B$7),NA())</f>
        <v>#N/A</v>
      </c>
      <c r="EC11">
        <f>IF($B$18=0,$B$139+$B$138*($B$5/2-$B$55/2),NA())</f>
        <v>88.9319</v>
      </c>
      <c r="ED11">
        <f>IF($B$18=0,$B$140+$B$138*($B$10-$B$8*$B$55/2),NA())</f>
        <v>84.857539</v>
      </c>
      <c r="EE11">
        <f>IF(3&lt;=$B$16-1,$B$139+$B$138*(3*($B$5/2)/MAX(1,$B$16-1)),NA())</f>
        <v>48.721625</v>
      </c>
      <c r="EF11">
        <f>IF(3&lt;=$B$16-1,$B$140+$B$138*($B$9+$B$8*3*($B$5/2)/MAX(1,$B$16-1)+1.2*$B$141),NA())</f>
        <v>79.623895</v>
      </c>
      <c r="EI11">
        <f>$B$139+$B$138*($B$5+3.5*$B$141)</f>
        <v>176.682</v>
      </c>
      <c r="EJ11">
        <f>$B$140+$B$138*($B$9-0.8*$B$141)</f>
        <v>73.028435</v>
      </c>
      <c r="EK11">
        <f>$B$139+$B$138*(0-$B$29/2)</f>
        <v>18.46818</v>
      </c>
      <c r="EL11">
        <f>$B$140+$B$138*((-$B$33+$B$34)+$B$35)</f>
        <v>22.12951</v>
      </c>
      <c r="EM11">
        <f>$B$139+$B$138*(-9*$B$141-1.2*$B$141)</f>
        <v>9.8</v>
      </c>
      <c r="EN11">
        <f>$B$140+$B$138*($B$7)</f>
        <v>73.828435</v>
      </c>
      <c r="EO11">
        <f>$B$139+$B$138*($B$5+9*$B$141-1.2*$B$141)</f>
        <v>180.982</v>
      </c>
      <c r="EP11">
        <f>$B$140+$B$138*($B$10)</f>
        <v>86.082995</v>
      </c>
      <c r="EQ11">
        <f>$B$139+$B$138*($B$5)</f>
        <v>173.182</v>
      </c>
      <c r="ER11">
        <f>$B$140+$B$138*(-$B$33-4*$B$141-1.2*$B$141)</f>
        <v>13.482915</v>
      </c>
      <c r="FA11">
        <f>IF(2&lt;=$B$12,$B$145+$B$144*($B$13*2),NA())</f>
        <v>66.6234285714286</v>
      </c>
      <c r="FB11">
        <f>IF(2&lt;=$B$12,$B$146+$B$144*(0),NA())</f>
        <v>38.76135</v>
      </c>
      <c r="FC11">
        <f>IF(0&lt;$B$22,$B$145+$B$144*(IF(($B$19+0*$B$64)&lt;$B$80,$B$84,$B$82)),NA())</f>
        <v>183.182</v>
      </c>
      <c r="FD11">
        <f>IF(0&lt;$B$22,$B$146+$B$144*(($B$19+0*$B$64)),NA())</f>
        <v>38.76135</v>
      </c>
      <c r="FE11" t="e">
        <f>IF(AND($B$21=1,(1*$B$66)&lt;$B$62),$B$145+$B$144*(IF((1*$B$66)&lt;$B$80,$B$84,$B$82)),NA())</f>
        <v>#N/A</v>
      </c>
      <c r="FF11" t="e">
        <f>IF(AND($B$21=1,(1*$B$66)&lt;$B$62),$B$146+$B$144*((1*$B$66)),NA())</f>
        <v>#N/A</v>
      </c>
      <c r="FG11" t="e">
        <f>IF($B$21=1,$B$145+$B$144*(0),NA())</f>
        <v>#N/A</v>
      </c>
      <c r="FH11" t="e">
        <f>IF($B$21=1,$B$146+$B$144*($B$62-$B$59/2),NA())</f>
        <v>#N/A</v>
      </c>
      <c r="FI11">
        <f>IF(2&lt;=$B$23,$B$145+$B$144*((IF(2=1,1,IF(2=$B$23,$B$12,5*(2-1)))-1)*$B$13),NA())</f>
        <v>113.246857142857</v>
      </c>
      <c r="FJ11">
        <f>IF(2&lt;=$B$23,$B$146+$B$144*(0),NA())</f>
        <v>38.76135</v>
      </c>
      <c r="FK11">
        <f>IF($B$71=1,$B$145+$B$144*($B$76),NA())</f>
        <v>90.3722375</v>
      </c>
      <c r="FL11">
        <f>IF($B$71=1,$B$146+$B$144*($B$73),NA())</f>
        <v>55.07955</v>
      </c>
      <c r="FM11" t="e">
        <f>IF(AND($B$71=1,1&lt;=$B$68),$B$145+$B$144*($B$76-0.1),NA())</f>
        <v>#N/A</v>
      </c>
      <c r="FN11" t="e">
        <f>IF(AND($B$71=1,1&lt;=$B$68),$B$146+$B$144*($B$73+0.15),NA())</f>
        <v>#N/A</v>
      </c>
      <c r="FW11">
        <f>$B$145+$B$144*($B$6)</f>
        <v>183.182</v>
      </c>
      <c r="FX11">
        <f>$B$146+$B$144*(-6*$B$147-1.2*$B$147)</f>
        <v>31.56135</v>
      </c>
      <c r="FY11">
        <f>$B$145+$B$144*(-9*$B$147-1.2*$B$147)</f>
        <v>9.8</v>
      </c>
      <c r="FZ11">
        <f>$B$146+$B$144*($B$9)</f>
        <v>63.23865</v>
      </c>
      <c r="GA11">
        <f>$B$145+$B$144*($B$13)</f>
        <v>43.3117142857143</v>
      </c>
      <c r="GB11">
        <f>$B$146+$B$144*($B$9+$B$53+4*$B$147-1.2*$B$147)</f>
        <v>66.03865</v>
      </c>
      <c r="GE11">
        <f>IF(1&lt;=$B$14-1,$B$151+$B$150*(1*$B$15),NA())</f>
        <v>58.2955</v>
      </c>
      <c r="GF11">
        <f>IF(1&lt;=$B$14-1,$B$152+$B$150*(0),NA())</f>
        <v>23.89542</v>
      </c>
      <c r="GG11">
        <f>IF(AND($B$20=1,($B$19+0*$B$64)&lt;$B$10-0.3),$B$151+$B$150*(MAX(IF(($B$19+0*$B$64)&lt;=$B$9,0,(($B$19+0*$B$64)-$B$9)/$B$8),MIN(($B$5-IF(($B$19+0*$B$64)&lt;=$B$9,0,(($B$19+0*$B$64)-$B$9)/$B$8)),IF(($B$19+0*$B$64)&lt;$B$111,$B$115,$B$113)))),NA())</f>
        <v>173.182</v>
      </c>
      <c r="GH11">
        <f>IF(AND($B$20=1,($B$19+0*$B$64)&lt;$B$10-0.3),$B$152+$B$150*(($B$19+0*$B$64)),NA())</f>
        <v>23.89542</v>
      </c>
      <c r="GI11" t="e">
        <f>IF(AND($B$21=1,(1*$B$66)&lt;IF($B$63=1,$B$10-0.2,$B$62)),$B$151+$B$150*(MAX(IF((1*$B$66)&lt;=$B$9,0,((1*$B$66)-$B$9)/$B$8),MIN(($B$5-IF((1*$B$66)&lt;=$B$9,0,((1*$B$66)-$B$9)/$B$8)),IF((1*$B$66)&lt;$B$111,$B$115,$B$113)))),NA())</f>
        <v>#N/A</v>
      </c>
      <c r="GJ11" t="e">
        <f>IF(AND($B$21=1,(1*$B$66)&lt;IF($B$63=1,$B$10-0.2,$B$62)),$B$152+$B$150*((1*$B$66)),NA())</f>
        <v>#N/A</v>
      </c>
      <c r="GK11" t="e">
        <f>IF($B$21=1,$B$151+$B$150*(0),NA())</f>
        <v>#N/A</v>
      </c>
      <c r="GL11" t="e">
        <f>IF($B$21=1,$B$152+$B$150*($B$62-$B$59/2),NA())</f>
        <v>#N/A</v>
      </c>
      <c r="GM11">
        <f>IF($B$102=1,$B$151+$B$150*($B$107),NA())</f>
        <v>62.12505</v>
      </c>
      <c r="GN11">
        <f>IF($B$102=1,$B$152+$B$150*($B$104),NA())</f>
        <v>58.36137</v>
      </c>
      <c r="GO11">
        <f>IF(AND($B$102=1,1&lt;=$B$99),$B$151+$B$150*($B$107-0.1),NA())</f>
        <v>61.35914</v>
      </c>
      <c r="GP11">
        <f>IF(AND($B$102=1,1&lt;=$B$99),$B$152+$B$150*($B$104+0.15),NA())</f>
        <v>59.510235</v>
      </c>
      <c r="GY11">
        <f>$B$151+$B$150*($B$5)</f>
        <v>173.182</v>
      </c>
      <c r="GZ11">
        <f>$B$152+$B$150*(-6*$B$153-1.2*$B$153)</f>
        <v>16.69542</v>
      </c>
      <c r="HA11">
        <f>$B$151+$B$150*(-9*$B$153-1.2*$B$153)</f>
        <v>9.8</v>
      </c>
      <c r="HB11">
        <f>$B$152+$B$150*($B$9)</f>
        <v>69.85002</v>
      </c>
      <c r="HC11">
        <f>$B$151+$B$150*($B$5+9*$B$153-1.2*$B$153)</f>
        <v>180.982</v>
      </c>
      <c r="HD11">
        <f>$B$152+$B$150*($B$10)</f>
        <v>82.10458</v>
      </c>
      <c r="HI11">
        <f>IF(1&lt;=$B$16-1,$B$157+$B$156*(-$B$46),NA())</f>
        <v>21.451</v>
      </c>
      <c r="HJ11">
        <f>IF(1&lt;=$B$16-1,$B$158+$B$156*(1*($B$5/2)/MAX(1,$B$16-1)),NA())</f>
        <v>18.75</v>
      </c>
      <c r="HK11">
        <f>IF(2&lt;=$B$12,$B$157+$B$156*($B$13*2),NA())</f>
        <v>66.0195714285714</v>
      </c>
      <c r="HL11">
        <f>IF(2&lt;=$B$12,$B$158+$B$156*(0),NA())</f>
        <v>14</v>
      </c>
      <c r="HM11">
        <f>IF(AND(2&lt;=$B$12,1&lt;=$B$25),$B$157+$B$156*((2-1)*$B$13+1*$B$13/($B$25+1)),NA())</f>
        <v>55.1624285714286</v>
      </c>
      <c r="HN11">
        <f>IF(AND(2&lt;=$B$12,1&lt;=$B$25),$B$158+$B$156*(0),NA())</f>
        <v>14</v>
      </c>
      <c r="HQ11">
        <f>IF(AND(1&lt;=$B$23,2&lt;=$B$24),$B$157+$B$156*((IF(1=1,1,IF(1=$B$23,$B$12,5*(1-1)))-1)*$B$13),NA())</f>
        <v>22.591</v>
      </c>
      <c r="HR11">
        <f>IF(AND(1&lt;=$B$23,2&lt;=$B$24),$B$158+$B$156*((0*$B$5/2+(2-1)*($B$5/2)/$B$24)),NA())</f>
        <v>33</v>
      </c>
      <c r="HS11">
        <f>IF(AND(1&lt;=$B$12,$B$51&gt;0),$B$157+$B$156*(((1-0.5)*$B$13)-($B$51*$B$13)/2),NA())</f>
        <v>32.3624285714286</v>
      </c>
      <c r="HT11">
        <f>IF(AND(1&lt;=$B$12,$B$51&gt;0),$B$158+$B$156*((0*$B$5/2+0.6*$B$159)),NA())</f>
        <v>14.6</v>
      </c>
      <c r="HU11">
        <f>IF(1&lt;=$B$47,$B$157+$B$156*(((MAX(1,MIN($B$12,ROUND(1*$B$12/($B$47+1),0)))-1)*$B$13+0.25*$B$13)-$B$48/2-0.2),NA())</f>
        <v>24.9795714285714</v>
      </c>
      <c r="HV11">
        <f>IF(1&lt;=$B$47,$B$158+$B$156*(IF(MOD(1,2)=1,$B$5/4,3*$B$5/4)-$B$49/2-0.2),NA())</f>
        <v>29.96</v>
      </c>
      <c r="HW11" t="e">
        <f>IF(4&lt;=$B$50/2,$B$157+$B$156*((4-0.5)*$B$6/MAX(1,$B$50/2)),NA())</f>
        <v>#N/A</v>
      </c>
      <c r="HX11" t="e">
        <f>IF(4&lt;=$B$50/2,$B$158+$B$156*(0),NA())</f>
        <v>#N/A</v>
      </c>
      <c r="HY11">
        <f>$B$157+$B$156*($B$6)</f>
        <v>174.591</v>
      </c>
      <c r="HZ11">
        <f>$B$158+$B$156*(-7*$B$159-1.2*$B$159)</f>
        <v>5.8</v>
      </c>
      <c r="IA11">
        <f>$B$157+$B$156*(-$B$46-9*$B$159-1.2*$B$159)</f>
        <v>11.251</v>
      </c>
      <c r="IB11">
        <f>$B$158+$B$156*($B$5)</f>
        <v>90</v>
      </c>
      <c r="IK11">
        <f>$B$174+$B$173*(-$B$31/2)</f>
        <v>23.6788</v>
      </c>
      <c r="IL11">
        <f>$B$175+$B$173*($B$161)</f>
        <v>21.9247</v>
      </c>
      <c r="IM11">
        <f>IF($B$162+1*$B$67&lt;$B$163,$B$174+$B$173*(-0.075),NA())</f>
        <v>29.4379</v>
      </c>
      <c r="IN11">
        <f>IF($B$162+1*$B$67&lt;$B$163,$B$175+$B$173*($B$162+1*$B$67),NA())</f>
        <v>32.1631</v>
      </c>
      <c r="IO11">
        <f>$B$174+$B$173*(0.075+0*($B$170-0.075)/12)</f>
        <v>33.2773</v>
      </c>
      <c r="IP11">
        <f>$B$175+$B$173*(0)</f>
        <v>51.3601</v>
      </c>
      <c r="IU11">
        <f>$B$174+$B$173*($B$169+$B$27/2-$B$41)</f>
        <v>109.4254</v>
      </c>
      <c r="IV11">
        <f>$B$175+$B$173*($B$161+$B$41+0.15)</f>
        <v>27.0439</v>
      </c>
      <c r="IW11">
        <f>IF(2&lt;=ROUNDDOWN(($B$27-2*$B$41)/'PARAMÈTRES'!$C$96,0),$B$174+$B$173*($B$169-$B$27/2+$B$41+2*'PARAMÈTRES'!$C$96),NA())</f>
        <v>88.9486</v>
      </c>
      <c r="IX11">
        <f>IF(2&lt;=ROUNDDOWN(($B$27-2*$B$41)/'PARAMÈTRES'!$C$96,0),$B$175+$B$173*($B$161+$B$41+0.02),NA())</f>
        <v>23.71642</v>
      </c>
      <c r="IY11">
        <f>$B$174+$B$173*($B$169+$B$56/2)</f>
        <v>99.57094</v>
      </c>
      <c r="IZ11">
        <f>$B$175+$B$173*($B$168+0.05)</f>
        <v>64.1581</v>
      </c>
      <c r="JA11">
        <f>$B$174+$B$173*(-$B$31/2-0.18-1.2*$B$176)</f>
        <v>17.87152</v>
      </c>
      <c r="JB11">
        <f>$B$175+$B$173*(0)</f>
        <v>51.3601</v>
      </c>
      <c r="JC11">
        <f>$B$174+$B$173*($B$31/2)</f>
        <v>39.0364</v>
      </c>
      <c r="JD11">
        <f>$B$175+$B$173*($B$160-0.06-1.2*$B$176)</f>
        <v>17.90914</v>
      </c>
      <c r="JE11">
        <f>$B$174+$B$173*($B$169+$B$27/2)</f>
        <v>110.7052</v>
      </c>
      <c r="JF11">
        <f>$B$175+$B$173*($B$160-0.06-1.2*$B$176)</f>
        <v>17.90914</v>
      </c>
      <c r="JW11">
        <f>$B$174+$B$173*($B$170+4*$B$176)</f>
        <v>135.182</v>
      </c>
      <c r="JX11">
        <f>$B$175+$B$173*((MAX($B$166,$B$168)+0.75)-1*6.5*$B$176)</f>
        <v>75.5753</v>
      </c>
      <c r="KG11" t="e">
        <f>IF($B$21=1,$B$182+$B$181*(0),NA())</f>
        <v>#N/A</v>
      </c>
      <c r="KH11" t="e">
        <f>IF($B$21=1,$B$183+$B$181*($B$178-$B$59),NA())</f>
        <v>#N/A</v>
      </c>
      <c r="KI11" t="e">
        <f>IF(AND($B$21=1,1*$B$67&gt;$B$59,1*$B$67&lt;$B$178-$B$59,OR($B$63=0,ABS(1*$B$67-$B$178/2)&gt;$B$59/2)),$B$182+$B$181*($B$177*2/4+$B$60/2),NA())</f>
        <v>#N/A</v>
      </c>
      <c r="KJ11" t="e">
        <f>IF(AND($B$21=1,1*$B$67&gt;$B$59,1*$B$67&lt;$B$178-$B$59,OR($B$63=0,ABS(1*$B$67-$B$178/2)&gt;$B$59/2)),$B$183+$B$181*(1*$B$67),NA())</f>
        <v>#N/A</v>
      </c>
      <c r="KK11" t="e">
        <f>IF($B$21=1,$B$182+$B$181*(0),NA())</f>
        <v>#N/A</v>
      </c>
      <c r="KL11" t="e">
        <f>IF($B$21=1,$B$183+$B$181*($B$178-$B$59/2-($B$59/2-$B$41*0.6)),NA())</f>
        <v>#N/A</v>
      </c>
      <c r="KM11" t="e">
        <f>IF($B$21=1,$B$182+$B$181*($B$177),NA())</f>
        <v>#N/A</v>
      </c>
      <c r="KN11" t="e">
        <f>IF($B$21=1,$B$183+$B$181*(-6*$B$184-1.2*$B$184),NA())</f>
        <v>#N/A</v>
      </c>
      <c r="KO11" t="e">
        <f>IF($B$21=1,$B$182+$B$181*(-6*$B$184-1.2*$B$184),NA())</f>
        <v>#N/A</v>
      </c>
      <c r="KP11" t="e">
        <f>IF($B$21=1,$B$183+$B$181*($B$178),NA())</f>
        <v>#N/A</v>
      </c>
    </row>
    <row r="12">
      <c r="A12" t="inlineStr">
        <is>
          <t>nt</t>
        </is>
      </c>
      <c r="B12">
        <f>'PRÉDIMENSIONNEMENT'!$C$28</f>
        <v>7</v>
      </c>
      <c r="D12" t="inlineStr">
        <is>
          <t>PG_txt4</t>
        </is>
      </c>
      <c r="E12" t="str">
        <f>IF(4&lt;=$B$99,"Porte coul. ","Portillon ")&amp;FIXED($B$124,2,TRUE)&amp;" × "&amp;FIXED($B$125,2,TRUE)</f>
        <v>Portillon 5.50 × 0.00</v>
      </c>
      <c r="G12">
        <f>IF(2&lt;=$B$12,$B$133+$B$132*($B$13*2),NA())</f>
        <v>70.4481428571428</v>
      </c>
      <c r="H12">
        <f>IF(2&lt;=$B$12,$B$134+$B$132*($B$5+4*$B$135),NA())</f>
        <v>88</v>
      </c>
      <c r="I12">
        <f>$B$133+$B$132*($B$6-$B$31/2)</f>
        <v>166.571</v>
      </c>
      <c r="J12">
        <f>$B$134+$B$132*($B$31/2)</f>
        <v>17.02</v>
      </c>
      <c r="K12">
        <f>IF(0&lt;=$B$12,$B$133+$B$132*($B$13*0+$B$27/2),NA())</f>
        <v>33.631</v>
      </c>
      <c r="L12">
        <f>IF(0&lt;=$B$12,$B$134+$B$132*($B$5-$B$27/2),NA())</f>
        <v>81.96</v>
      </c>
      <c r="M12">
        <f>IF(2&lt;=$B$12,$B$133+$B$132*($B$13*2),NA())</f>
        <v>70.4481428571428</v>
      </c>
      <c r="N12">
        <f>IF(2&lt;=$B$12,$B$134+$B$132*($B$5),NA())</f>
        <v>84</v>
      </c>
      <c r="O12" t="e">
        <f>IF(4&lt;=$B$14-1,$B$133+$B$132*($B$6),NA())</f>
        <v>#N/A</v>
      </c>
      <c r="P12" t="e">
        <f>IF(4&lt;=$B$14-1,$B$134+$B$132*(4*$B$15),NA())</f>
        <v>#N/A</v>
      </c>
      <c r="Q12" t="e">
        <f>IF($B$85=1,$B$133+$B$132*($B$91),NA())</f>
        <v>#N/A</v>
      </c>
      <c r="R12" t="e">
        <f>IF($B$85=1,$B$134+$B$132*(-2.5*$B$135),NA())</f>
        <v>#N/A</v>
      </c>
      <c r="DY12">
        <f>$B$139+$B$138*($B$5/2)</f>
        <v>96.591</v>
      </c>
      <c r="DZ12">
        <f>$B$140+$B$138*($B$10)</f>
        <v>86.082995</v>
      </c>
      <c r="EA12" t="e">
        <f>IF(AND($B$18=1,3&lt;=$B$26-1),$B$139+$B$138*(3*($B$5/MAX(1,$B$26))),NA())</f>
        <v>#N/A</v>
      </c>
      <c r="EB12" t="e">
        <f>IF(AND($B$18=1,3&lt;=$B$26-1),$B$140+$B$138*(($B$9+$B$8*MIN(3*($B$5/MAX(1,$B$26)),$B$5-(3*($B$5/MAX(1,$B$26)))))),NA())</f>
        <v>#N/A</v>
      </c>
      <c r="EC12">
        <f>IF($B$18=0,$B$139+$B$138*($B$5/2),NA())</f>
        <v>96.591</v>
      </c>
      <c r="ED12">
        <f>IF($B$18=0,$B$140+$B$138*($B$10-$B$54),NA())</f>
        <v>83.785265</v>
      </c>
      <c r="EE12">
        <f>IF(3&lt;=$B$16-1,$B$139+$B$138*($B$5-3*($B$5/2)/MAX(1,$B$16-1)),NA())</f>
        <v>144.460375</v>
      </c>
      <c r="EF12">
        <f>IF(3&lt;=$B$16-1,$B$140+$B$138*($B$9+$B$8*3*($B$5/2)/MAX(1,$B$16-1)+1.2*$B$141),NA())</f>
        <v>79.623895</v>
      </c>
      <c r="EI12">
        <f>$B$139+$B$138*($B$5+0.3*$B$141)</f>
        <v>173.482</v>
      </c>
      <c r="EJ12">
        <f>$B$140+$B$138*($B$9-0.8*$B$141)</f>
        <v>73.028435</v>
      </c>
      <c r="EK12">
        <f>$B$139+$B$138*(0-$B$29/2)</f>
        <v>18.46818</v>
      </c>
      <c r="EL12">
        <f>$B$140+$B$138*(0)</f>
        <v>27.873835</v>
      </c>
      <c r="FA12">
        <f>IF(2&lt;=$B$12,$B$145+$B$144*($B$13*2),NA())</f>
        <v>66.6234285714286</v>
      </c>
      <c r="FB12">
        <f>IF(2&lt;=$B$12,$B$146+$B$144*($B$9),NA())</f>
        <v>63.23865</v>
      </c>
      <c r="FC12">
        <f>IF(0&lt;$B$22,$B$145+$B$144*(IF(($B$19+0*$B$64)&lt;$B$87,$B$90,$B$89)),NA())</f>
        <v>183.182</v>
      </c>
      <c r="FD12">
        <f>IF(0&lt;$B$22,$B$146+$B$144*(($B$19+0*$B$64)),NA())</f>
        <v>38.76135</v>
      </c>
      <c r="FE12" t="e">
        <f>IF(AND($B$21=1,(1*$B$66)&lt;$B$62),$B$145+$B$144*(IF((1*$B$66)&lt;$B$87,$B$90,$B$89)),NA())</f>
        <v>#N/A</v>
      </c>
      <c r="FF12" t="e">
        <f>IF(AND($B$21=1,(1*$B$66)&lt;$B$62),$B$146+$B$144*((1*$B$66)),NA())</f>
        <v>#N/A</v>
      </c>
      <c r="FG12" t="e">
        <f>IF($B$21=1,$B$145+$B$144*($B$6),NA())</f>
        <v>#N/A</v>
      </c>
      <c r="FH12" t="e">
        <f>IF($B$21=1,$B$146+$B$144*($B$62-$B$59/2),NA())</f>
        <v>#N/A</v>
      </c>
      <c r="FI12">
        <f>IF(2&lt;=$B$23,$B$145+$B$144*(IF(2=1,1,IF(2=$B$23,$B$12,5*(2-1)))*$B$13),NA())</f>
        <v>136.558571428571</v>
      </c>
      <c r="FJ12">
        <f>IF(2&lt;=$B$23,$B$146+$B$144*($B$9),NA())</f>
        <v>63.23865</v>
      </c>
      <c r="FK12">
        <f>IF($B$71=1,$B$145+$B$144*($B$77),NA())</f>
        <v>112.8097625</v>
      </c>
      <c r="FL12">
        <f>IF($B$71=1,$B$146+$B$144*($B$73),NA())</f>
        <v>55.07955</v>
      </c>
      <c r="FM12" t="e">
        <f>IF(AND($B$71=1,1&lt;=$B$68),$B$145+$B$144*($B$77+0.1),NA())</f>
        <v>#N/A</v>
      </c>
      <c r="FN12" t="e">
        <f>IF(AND($B$71=1,1&lt;=$B$68),$B$146+$B$144*($B$73+0.15),NA())</f>
        <v>#N/A</v>
      </c>
      <c r="GE12">
        <f>IF(1&lt;=$B$14-1,$B$151+$B$150*(1*$B$15),NA())</f>
        <v>58.2955</v>
      </c>
      <c r="GF12">
        <f>IF(1&lt;=$B$14-1,$B$152+$B$150*($B$9+$B$8*MIN(1*$B$15,$B$5-1*$B$15)),NA())</f>
        <v>75.9773</v>
      </c>
      <c r="GG12">
        <f>IF(AND($B$20=1,($B$19+0*$B$64)&lt;$B$10-0.3),$B$151+$B$150*(MAX(IF(($B$19+0*$B$64)&lt;=$B$9,0,(($B$19+0*$B$64)-$B$9)/$B$8),MIN(($B$5-IF(($B$19+0*$B$64)&lt;=$B$9,0,(($B$19+0*$B$64)-$B$9)/$B$8)),IF(($B$19+0*$B$64)&lt;$B$118,$B$121,$B$120)))),NA())</f>
        <v>173.182</v>
      </c>
      <c r="GH12">
        <f>IF(AND($B$20=1,($B$19+0*$B$64)&lt;$B$10-0.3),$B$152+$B$150*(($B$19+0*$B$64)),NA())</f>
        <v>23.89542</v>
      </c>
      <c r="GI12" t="e">
        <f>IF(AND($B$21=1,(1*$B$66)&lt;IF($B$63=1,$B$10-0.2,$B$62)),$B$151+$B$150*(MAX(IF((1*$B$66)&lt;=$B$9,0,((1*$B$66)-$B$9)/$B$8),MIN(($B$5-IF((1*$B$66)&lt;=$B$9,0,((1*$B$66)-$B$9)/$B$8)),IF((1*$B$66)&lt;$B$118,$B$121,$B$120)))),NA())</f>
        <v>#N/A</v>
      </c>
      <c r="GJ12" t="e">
        <f>IF(AND($B$21=1,(1*$B$66)&lt;IF($B$63=1,$B$10-0.2,$B$62)),$B$152+$B$150*((1*$B$66)),NA())</f>
        <v>#N/A</v>
      </c>
      <c r="GK12" t="e">
        <f>IF($B$21=1,$B$151+$B$150*($B$5),NA())</f>
        <v>#N/A</v>
      </c>
      <c r="GL12" t="e">
        <f>IF($B$21=1,$B$152+$B$150*($B$62-$B$59/2),NA())</f>
        <v>#N/A</v>
      </c>
      <c r="GM12">
        <f>IF($B$102=1,$B$151+$B$150*($B$108),NA())</f>
        <v>92.76145</v>
      </c>
      <c r="GN12">
        <f>IF($B$102=1,$B$152+$B$150*($B$104),NA())</f>
        <v>58.36137</v>
      </c>
      <c r="GO12">
        <f>IF(AND($B$102=1,1&lt;=$B$99),$B$151+$B$150*($B$108+0.1),NA())</f>
        <v>93.52736</v>
      </c>
      <c r="GP12">
        <f>IF(AND($B$102=1,1&lt;=$B$99),$B$152+$B$150*($B$104+0.15),NA())</f>
        <v>59.510235</v>
      </c>
      <c r="HI12">
        <f>IF(1&lt;=$B$16-1,$B$157+$B$156*($B$6+$B$46),NA())</f>
        <v>175.731</v>
      </c>
      <c r="HJ12">
        <f>IF(1&lt;=$B$16-1,$B$158+$B$156*(1*($B$5/2)/MAX(1,$B$16-1)),NA())</f>
        <v>18.75</v>
      </c>
      <c r="HK12">
        <f>IF(2&lt;=$B$12,$B$157+$B$156*($B$13*2),NA())</f>
        <v>66.0195714285714</v>
      </c>
      <c r="HL12">
        <f>IF(2&lt;=$B$12,$B$158+$B$156*($B$5),NA())</f>
        <v>90</v>
      </c>
      <c r="HM12">
        <f>IF(AND(2&lt;=$B$12,1&lt;=$B$25),$B$157+$B$156*((2-1)*$B$13+1*$B$13/($B$25+1)),NA())</f>
        <v>55.1624285714286</v>
      </c>
      <c r="HN12">
        <f>IF(AND(2&lt;=$B$12,1&lt;=$B$25),$B$158+$B$156*($B$5),NA())</f>
        <v>90</v>
      </c>
      <c r="HQ12">
        <f>IF(AND(1&lt;=$B$23,2&lt;=$B$24),$B$157+$B$156*(IF(1=1,1,IF(1=$B$23,$B$12,5*(1-1)))*$B$13),NA())</f>
        <v>44.3052857142857</v>
      </c>
      <c r="HR12">
        <f>IF(AND(1&lt;=$B$23,2&lt;=$B$24),$B$158+$B$156*((0*$B$5/2+2*($B$5/2)/$B$24)),NA())</f>
        <v>52</v>
      </c>
      <c r="HS12">
        <f>IF(AND(1&lt;=$B$12,$B$51&gt;0),$B$157+$B$156*(((1-0.5)*$B$13)+($B$51*$B$13)/2),NA())</f>
        <v>34.5338571428572</v>
      </c>
      <c r="HT12">
        <f>IF(AND(1&lt;=$B$12,$B$51&gt;0),$B$158+$B$156*((0*$B$5/2+0.6*$B$159)+(((0*$B$5/2+$B$5/2-0.6*$B$159))-((0*$B$5/2+0.6*$B$159)))/4),NA())</f>
        <v>23.8</v>
      </c>
      <c r="HU12">
        <f>IF(1&lt;=$B$47,$B$157+$B$156*(((MAX(1,MIN($B$12,ROUND(1*$B$12/($B$47+1),0)))-1)*$B$13+0.25*$B$13)+$B$48/2+0.2),NA())</f>
        <v>31.0595714285714</v>
      </c>
      <c r="HV12">
        <f>IF(1&lt;=$B$47,$B$158+$B$156*(IF(MOD(1,2)=1,$B$5/4,3*$B$5/4)-$B$49/2-0.2),NA())</f>
        <v>29.96</v>
      </c>
      <c r="HW12" t="e">
        <f>IF(4&lt;=$B$50/2,$B$157+$B$156*((4-0.5)*$B$6/MAX(1,$B$50/2)),NA())</f>
        <v>#N/A</v>
      </c>
      <c r="HX12" t="e">
        <f>IF(4&lt;=$B$50/2,$B$158+$B$156*($B$5),NA())</f>
        <v>#N/A</v>
      </c>
      <c r="IK12">
        <f>$B$174+$B$173*($B$31/2)</f>
        <v>39.0364</v>
      </c>
      <c r="IL12">
        <f>$B$175+$B$173*($B$161)</f>
        <v>21.9247</v>
      </c>
      <c r="IM12">
        <f>IF($B$162+1*$B$67&lt;$B$163,$B$174+$B$173*(0.075),NA())</f>
        <v>33.2773</v>
      </c>
      <c r="IN12">
        <f>IF($B$162+1*$B$67&lt;$B$163,$B$175+$B$173*($B$162+1*$B$67),NA())</f>
        <v>32.1631</v>
      </c>
      <c r="IO12">
        <f>$B$174+$B$173*(0.075+(0+0.5)*($B$170-0.075)/12)</f>
        <v>37.3566625</v>
      </c>
      <c r="IP12">
        <f>$B$175+$B$173*($B$164)</f>
        <v>56.4793</v>
      </c>
      <c r="IU12" t="e">
        <f>NA()</f>
        <v>#N/A</v>
      </c>
      <c r="IV12" t="e">
        <f>NA()</f>
        <v>#N/A</v>
      </c>
      <c r="IW12">
        <f>IF(3&lt;=ROUNDDOWN(($B$27-2*$B$41)/'PARAMÈTRES'!$C$96,0),$B$174+$B$173*($B$169-$B$27/2+$B$41+3*'PARAMÈTRES'!$C$96),NA())</f>
        <v>92.788</v>
      </c>
      <c r="IX12">
        <f>IF(3&lt;=ROUNDDOWN(($B$27-2*$B$41)/'PARAMÈTRES'!$C$96,0),$B$175+$B$173*($B$161+$B$41+0.02),NA())</f>
        <v>23.71642</v>
      </c>
      <c r="IY12">
        <f>$B$174+$B$173*($B$169+$B$56/2)</f>
        <v>99.57094</v>
      </c>
      <c r="IZ12">
        <f>$B$175+$B$173*($B$168+0.85)</f>
        <v>84.6349</v>
      </c>
      <c r="JW12" t="e">
        <f>NA()</f>
        <v>#N/A</v>
      </c>
      <c r="JX12" t="e">
        <f>NA()</f>
        <v>#N/A</v>
      </c>
      <c r="KG12" t="e">
        <f>IF($B$21=1,$B$182+$B$181*($B$177),NA())</f>
        <v>#N/A</v>
      </c>
      <c r="KH12" t="e">
        <f>IF($B$21=1,$B$183+$B$181*($B$178-$B$59),NA())</f>
        <v>#N/A</v>
      </c>
      <c r="KI12" t="e">
        <f>IF(AND($B$21=1,1*$B$67&gt;$B$59,1*$B$67&lt;$B$178-$B$59,OR($B$63=0,ABS(1*$B$67-$B$178/2)&gt;$B$59/2)),$B$182+$B$181*($B$177*3/4-$B$60/2),NA())</f>
        <v>#N/A</v>
      </c>
      <c r="KJ12" t="e">
        <f>IF(AND($B$21=1,1*$B$67&gt;$B$59,1*$B$67&lt;$B$178-$B$59,OR($B$63=0,ABS(1*$B$67-$B$178/2)&gt;$B$59/2)),$B$183+$B$181*(1*$B$67),NA())</f>
        <v>#N/A</v>
      </c>
      <c r="KK12" t="e">
        <f>IF($B$21=1,$B$182+$B$181*($B$177),NA())</f>
        <v>#N/A</v>
      </c>
      <c r="KL12" t="e">
        <f>IF($B$21=1,$B$183+$B$181*($B$178-$B$59/2-($B$59/2-$B$41*0.6)),NA())</f>
        <v>#N/A</v>
      </c>
    </row>
    <row r="13">
      <c r="A13" t="inlineStr">
        <is>
          <t>er</t>
        </is>
      </c>
      <c r="B13">
        <f>'PRÉDIMENSIONNEMENT'!$C$30</f>
        <v>5.71428571428571</v>
      </c>
      <c r="D13" t="inlineStr">
        <is>
          <t>txt_L</t>
        </is>
      </c>
      <c r="E13" t="str">
        <f>"Longueur "&amp;FIXED('PARAMÈTRES'!$C$10,2,TRUE)&amp;" m"</f>
        <v>Longueur 40.00 m</v>
      </c>
      <c r="G13" t="e">
        <f>NA()</f>
        <v>#N/A</v>
      </c>
      <c r="H13" t="e">
        <f>NA()</f>
        <v>#N/A</v>
      </c>
      <c r="I13">
        <f>$B$133+$B$132*($B$6-$B$31/2)</f>
        <v>166.571</v>
      </c>
      <c r="J13">
        <f>$B$134+$B$132*($B$5-$B$31/2)</f>
        <v>82.98</v>
      </c>
      <c r="K13">
        <f>IF(0&lt;=$B$12,$B$133+$B$132*($B$13*0+$B$27/2),NA())</f>
        <v>33.631</v>
      </c>
      <c r="L13">
        <f>IF(0&lt;=$B$12,$B$134+$B$132*($B$5+$B$27/2),NA())</f>
        <v>86.04</v>
      </c>
      <c r="M13" t="e">
        <f>IF(AND(2&lt;=$B$12,$B$45=1),$B$133+$B$132*($B$13*2),NA())</f>
        <v>#N/A</v>
      </c>
      <c r="N13" t="e">
        <f>IF(AND(2&lt;=$B$12,$B$45=1),$B$134+$B$132*($B$5/2),NA())</f>
        <v>#N/A</v>
      </c>
      <c r="O13" t="e">
        <f>IF(5&lt;=$B$14-1,$B$133+$B$132*(0),NA())</f>
        <v>#N/A</v>
      </c>
      <c r="P13" t="e">
        <f>IF(5&lt;=$B$14-1,$B$134+$B$132*(5*$B$15),NA())</f>
        <v>#N/A</v>
      </c>
      <c r="Q13" t="e">
        <f>NA()</f>
        <v>#N/A</v>
      </c>
      <c r="R13" t="e">
        <f>NA()</f>
        <v>#N/A</v>
      </c>
      <c r="DY13">
        <f>$B$139+$B$138*($B$5)</f>
        <v>173.182</v>
      </c>
      <c r="DZ13">
        <f>$B$140+$B$138*($B$9)</f>
        <v>73.828435</v>
      </c>
      <c r="EA13" t="e">
        <f>NA()</f>
        <v>#N/A</v>
      </c>
      <c r="EB13" t="e">
        <f>NA()</f>
        <v>#N/A</v>
      </c>
      <c r="EC13">
        <f>IF($B$18=0,$B$139+$B$138*($B$5/2+$B$55/2),NA())</f>
        <v>104.2501</v>
      </c>
      <c r="ED13">
        <f>IF($B$18=0,$B$140+$B$138*($B$10-$B$8*$B$55/2),NA())</f>
        <v>84.857539</v>
      </c>
      <c r="EE13">
        <f>IF(4&lt;=$B$16-1,$B$139+$B$138*(4*($B$5/2)/MAX(1,$B$16-1)),NA())</f>
        <v>58.2955</v>
      </c>
      <c r="EF13">
        <f>IF(4&lt;=$B$16-1,$B$140+$B$138*($B$9+$B$8*4*($B$5/2)/MAX(1,$B$16-1)+1.2*$B$141),NA())</f>
        <v>81.155715</v>
      </c>
      <c r="EI13">
        <f>$B$139+$B$138*($B$5+0.3*$B$141)</f>
        <v>173.482</v>
      </c>
      <c r="EJ13">
        <f>$B$140+$B$138*($B$9+1.5*$B$141)</f>
        <v>75.328435</v>
      </c>
      <c r="EK13" t="e">
        <f>NA()</f>
        <v>#N/A</v>
      </c>
      <c r="EL13" t="e">
        <f>NA()</f>
        <v>#N/A</v>
      </c>
      <c r="FA13" t="e">
        <f>NA()</f>
        <v>#N/A</v>
      </c>
      <c r="FB13" t="e">
        <f>NA()</f>
        <v>#N/A</v>
      </c>
      <c r="FC13">
        <f>IF(AND(0&lt;$B$22,($B$19+0*$B$64)&gt;=$B$87),$B$145+$B$144*($B$89),NA())</f>
        <v>183.182</v>
      </c>
      <c r="FD13">
        <f>IF(AND(0&lt;$B$22,($B$19+0*$B$64)&gt;=$B$87),$B$146+$B$144*(($B$19+0*$B$64)),NA())</f>
        <v>38.76135</v>
      </c>
      <c r="FE13" t="e">
        <f>IF(AND(AND($B$21=1,(1*$B$66)&lt;$B$62),(1*$B$66)&gt;=$B$87),$B$145+$B$144*($B$89),NA())</f>
        <v>#N/A</v>
      </c>
      <c r="FF13" t="e">
        <f>IF(AND(AND($B$21=1,(1*$B$66)&lt;$B$62),(1*$B$66)&gt;=$B$87),$B$146+$B$144*((1*$B$66)),NA())</f>
        <v>#N/A</v>
      </c>
      <c r="FG13" t="e">
        <f>NA()</f>
        <v>#N/A</v>
      </c>
      <c r="FH13" t="e">
        <f>NA()</f>
        <v>#N/A</v>
      </c>
      <c r="FI13" t="e">
        <f>NA()</f>
        <v>#N/A</v>
      </c>
      <c r="FJ13" t="e">
        <f>NA()</f>
        <v>#N/A</v>
      </c>
      <c r="FK13" t="e">
        <f>NA()</f>
        <v>#N/A</v>
      </c>
      <c r="FL13" t="e">
        <f>NA()</f>
        <v>#N/A</v>
      </c>
      <c r="FM13" t="e">
        <f>NA()</f>
        <v>#N/A</v>
      </c>
      <c r="FN13" t="e">
        <f>NA()</f>
        <v>#N/A</v>
      </c>
      <c r="GE13" t="e">
        <f>NA()</f>
        <v>#N/A</v>
      </c>
      <c r="GF13" t="e">
        <f>NA()</f>
        <v>#N/A</v>
      </c>
      <c r="GG13">
        <f>IF(AND(AND($B$20=1,($B$19+0*$B$64)&lt;$B$10-0.3),($B$19+0*$B$64)&gt;=$B$118),$B$151+$B$150*(MAX(IF(($B$19+0*$B$64)&lt;=$B$9,0,(($B$19+0*$B$64)-$B$9)/$B$8),MIN(($B$5-IF(($B$19+0*$B$64)&lt;=$B$9,0,(($B$19+0*$B$64)-$B$9)/$B$8)),$B$120))),NA())</f>
        <v>173.182</v>
      </c>
      <c r="GH13">
        <f>IF(AND(AND($B$20=1,($B$19+0*$B$64)&lt;$B$10-0.3),($B$19+0*$B$64)&gt;=$B$118),$B$152+$B$150*(($B$19+0*$B$64)),NA())</f>
        <v>23.89542</v>
      </c>
      <c r="GI13" t="e">
        <f>IF(AND(AND($B$21=1,(1*$B$66)&lt;IF($B$63=1,$B$10-0.2,$B$62)),(1*$B$66)&gt;=$B$118),$B$151+$B$150*(MAX(IF((1*$B$66)&lt;=$B$9,0,((1*$B$66)-$B$9)/$B$8),MIN(($B$5-IF((1*$B$66)&lt;=$B$9,0,((1*$B$66)-$B$9)/$B$8)),$B$120))),NA())</f>
        <v>#N/A</v>
      </c>
      <c r="GJ13" t="e">
        <f>IF(AND(AND($B$21=1,(1*$B$66)&lt;IF($B$63=1,$B$10-0.2,$B$62)),(1*$B$66)&gt;=$B$118),$B$152+$B$150*((1*$B$66)),NA())</f>
        <v>#N/A</v>
      </c>
      <c r="GK13" t="e">
        <f>NA()</f>
        <v>#N/A</v>
      </c>
      <c r="GL13" t="e">
        <f>NA()</f>
        <v>#N/A</v>
      </c>
      <c r="GM13" t="e">
        <f>NA()</f>
        <v>#N/A</v>
      </c>
      <c r="GN13" t="e">
        <f>NA()</f>
        <v>#N/A</v>
      </c>
      <c r="GO13" t="e">
        <f>NA()</f>
        <v>#N/A</v>
      </c>
      <c r="GP13" t="e">
        <f>NA()</f>
        <v>#N/A</v>
      </c>
      <c r="HI13" t="e">
        <f>NA()</f>
        <v>#N/A</v>
      </c>
      <c r="HJ13" t="e">
        <f>NA()</f>
        <v>#N/A</v>
      </c>
      <c r="HK13" t="e">
        <f>NA()</f>
        <v>#N/A</v>
      </c>
      <c r="HL13" t="e">
        <f>NA()</f>
        <v>#N/A</v>
      </c>
      <c r="HM13" t="e">
        <f>NA()</f>
        <v>#N/A</v>
      </c>
      <c r="HN13" t="e">
        <f>NA()</f>
        <v>#N/A</v>
      </c>
      <c r="HQ13" t="e">
        <f>NA()</f>
        <v>#N/A</v>
      </c>
      <c r="HR13" t="e">
        <f>NA()</f>
        <v>#N/A</v>
      </c>
      <c r="HS13">
        <f>IF(AND(1&lt;=$B$12,$B$51&gt;0),$B$157+$B$156*(((1-0.5)*$B$13)-($B$51*$B$13)/2),NA())</f>
        <v>32.3624285714286</v>
      </c>
      <c r="HT13">
        <f>IF(AND(1&lt;=$B$12,$B$51&gt;0),$B$158+$B$156*((0*$B$5/2+0.6*$B$159)+(((0*$B$5/2+$B$5/2-0.6*$B$159))-((0*$B$5/2+0.6*$B$159)))/2),NA())</f>
        <v>33</v>
      </c>
      <c r="HU13">
        <f>IF(1&lt;=$B$47,$B$157+$B$156*(((MAX(1,MIN($B$12,ROUND(1*$B$12/($B$47+1),0)))-1)*$B$13+0.25*$B$13)+$B$48/2+0.2),NA())</f>
        <v>31.0595714285714</v>
      </c>
      <c r="HV13">
        <f>IF(1&lt;=$B$47,$B$158+$B$156*(IF(MOD(1,2)=1,$B$5/4,3*$B$5/4)+$B$49/2+0.2),NA())</f>
        <v>36.04</v>
      </c>
      <c r="HW13" t="e">
        <f>IF(5&lt;=$B$50/2,$B$157+$B$156*((5-0.5)*$B$6/MAX(1,$B$50/2)),NA())</f>
        <v>#N/A</v>
      </c>
      <c r="HX13" t="e">
        <f>IF(5&lt;=$B$50/2,$B$158+$B$156*(0),NA())</f>
        <v>#N/A</v>
      </c>
      <c r="IK13">
        <f>$B$174+$B$173*($B$31/2)</f>
        <v>39.0364</v>
      </c>
      <c r="IL13">
        <f>$B$175+$B$173*($B$162)</f>
        <v>27.0439</v>
      </c>
      <c r="IM13" t="e">
        <f>NA()</f>
        <v>#N/A</v>
      </c>
      <c r="IN13" t="e">
        <f>NA()</f>
        <v>#N/A</v>
      </c>
      <c r="IO13" t="e">
        <f>NA()</f>
        <v>#N/A</v>
      </c>
      <c r="IP13" t="e">
        <f>NA()</f>
        <v>#N/A</v>
      </c>
      <c r="IU13">
        <f>$B$174+$B$173*($B$169-($B$29/2-$B$41)-0.15)</f>
        <v>87.6688</v>
      </c>
      <c r="IV13">
        <f>$B$175+$B$173*($B$161+$B$41+0.02)</f>
        <v>23.71642</v>
      </c>
      <c r="IW13">
        <f>IF(4&lt;=ROUNDDOWN(($B$27-2*$B$41)/'PARAMÈTRES'!$C$96,0),$B$174+$B$173*($B$169-$B$27/2+$B$41+4*'PARAMÈTRES'!$C$96),NA())</f>
        <v>96.6274</v>
      </c>
      <c r="IX13">
        <f>IF(4&lt;=ROUNDDOWN(($B$27-2*$B$41)/'PARAMÈTRES'!$C$96,0),$B$175+$B$173*($B$161+$B$41+0.02),NA())</f>
        <v>23.71642</v>
      </c>
      <c r="IY13" t="e">
        <f>NA()</f>
        <v>#N/A</v>
      </c>
      <c r="IZ13" t="e">
        <f>NA()</f>
        <v>#N/A</v>
      </c>
      <c r="JW13">
        <f>$B$174+$B$173*($B$170)</f>
        <v>131.182</v>
      </c>
      <c r="JX13">
        <f>$B$175+$B$173*($B$165+0.005)</f>
        <v>57.88708</v>
      </c>
      <c r="KG13" t="e">
        <f>IF($B$21=1,$B$182+$B$181*($B$177),NA())</f>
        <v>#N/A</v>
      </c>
      <c r="KH13" t="e">
        <f>IF($B$21=1,$B$183+$B$181*($B$178),NA())</f>
        <v>#N/A</v>
      </c>
      <c r="KI13" t="e">
        <f>NA()</f>
        <v>#N/A</v>
      </c>
      <c r="KJ13" t="e">
        <f>NA()</f>
        <v>#N/A</v>
      </c>
      <c r="KK13" t="e">
        <f>NA()</f>
        <v>#N/A</v>
      </c>
      <c r="KL13" t="e">
        <f>NA()</f>
        <v>#N/A</v>
      </c>
    </row>
    <row r="14">
      <c r="A14" t="inlineStr">
        <is>
          <t>n_ip</t>
        </is>
      </c>
      <c r="B14">
        <f>'PRÉDIMENSIONNEMENT'!$C$35</f>
        <v>4</v>
      </c>
      <c r="D14" t="inlineStr">
        <is>
          <t>txt_B</t>
        </is>
      </c>
      <c r="E14" t="str">
        <f>"Portée "&amp;FIXED('PARAMÈTRES'!$C$9,2,TRUE)&amp;" m"</f>
        <v>Portée 20.00 m</v>
      </c>
      <c r="G14">
        <f>IF(3&lt;=$B$12,$B$133+$B$132*($B$13*3),NA())</f>
        <v>89.8767142857143</v>
      </c>
      <c r="H14">
        <f>IF(3&lt;=$B$12,$B$134+$B$132*(-4*$B$135),NA())</f>
        <v>12</v>
      </c>
      <c r="I14">
        <f>$B$133+$B$132*($B$31/2)</f>
        <v>32.611</v>
      </c>
      <c r="J14">
        <f>$B$134+$B$132*($B$5-$B$31/2)</f>
        <v>82.98</v>
      </c>
      <c r="K14">
        <f>IF(0&lt;=$B$12,$B$133+$B$132*($B$13*0-$B$27/2),NA())</f>
        <v>29.551</v>
      </c>
      <c r="L14">
        <f>IF(0&lt;=$B$12,$B$134+$B$132*($B$5+$B$27/2),NA())</f>
        <v>86.04</v>
      </c>
      <c r="M14">
        <f>IF(3&lt;=$B$12,$B$133+$B$132*($B$13*3),NA())</f>
        <v>89.8767142857143</v>
      </c>
      <c r="N14">
        <f>IF(3&lt;=$B$12,$B$134+$B$132*(0),NA())</f>
        <v>16</v>
      </c>
      <c r="O14" t="e">
        <f>IF(5&lt;=$B$14-1,$B$133+$B$132*($B$6),NA())</f>
        <v>#N/A</v>
      </c>
      <c r="P14" t="e">
        <f>IF(5&lt;=$B$14-1,$B$134+$B$132*(5*$B$15),NA())</f>
        <v>#N/A</v>
      </c>
      <c r="Q14" t="e">
        <f>IF($B$92=1,$B$133+$B$132*($B$97),NA())</f>
        <v>#N/A</v>
      </c>
      <c r="R14" t="e">
        <f>IF($B$92=1,$B$134+$B$132*(-2.5*$B$135),NA())</f>
        <v>#N/A</v>
      </c>
      <c r="DY14" t="e">
        <f>NA()</f>
        <v>#N/A</v>
      </c>
      <c r="DZ14" t="e">
        <f>NA()</f>
        <v>#N/A</v>
      </c>
      <c r="EA14" t="e">
        <f>IF(AND($B$18=1,4&lt;=$B$26-1),$B$139+$B$138*(4*($B$5/MAX(1,$B$26))),NA())</f>
        <v>#N/A</v>
      </c>
      <c r="EB14" t="e">
        <f>IF(AND($B$18=1,4&lt;=$B$26-1),$B$140+$B$138*($B$7),NA())</f>
        <v>#N/A</v>
      </c>
      <c r="EC14" t="e">
        <f>NA()</f>
        <v>#N/A</v>
      </c>
      <c r="ED14" t="e">
        <f>NA()</f>
        <v>#N/A</v>
      </c>
      <c r="EE14">
        <f>IF(4&lt;=$B$16-1,$B$139+$B$138*($B$5-4*($B$5/2)/MAX(1,$B$16-1)),NA())</f>
        <v>134.8865</v>
      </c>
      <c r="EF14">
        <f>IF(4&lt;=$B$16-1,$B$140+$B$138*($B$9+$B$8*4*($B$5/2)/MAX(1,$B$16-1)+1.2*$B$141),NA())</f>
        <v>81.155715</v>
      </c>
      <c r="EI14" t="e">
        <f>NA()</f>
        <v>#N/A</v>
      </c>
      <c r="EJ14" t="e">
        <f>NA()</f>
        <v>#N/A</v>
      </c>
      <c r="EK14">
        <f>$B$139+$B$138*(0+$B$29/2)</f>
        <v>21.53182</v>
      </c>
      <c r="EL14">
        <f>$B$140+$B$138*((-$B$33+$B$34)+$B$35)</f>
        <v>22.12951</v>
      </c>
      <c r="FA14">
        <f>IF(3&lt;=$B$12,$B$145+$B$144*($B$13*3),NA())</f>
        <v>89.9351428571429</v>
      </c>
      <c r="FB14">
        <f>IF(3&lt;=$B$12,$B$146+$B$144*(0),NA())</f>
        <v>38.76135</v>
      </c>
      <c r="FC14">
        <f>IF(0&lt;$B$22,$B$145+$B$144*(IF(($B$19+0*$B$64)&lt;$B$87,$B$91,$B$89)),NA())</f>
        <v>183.182</v>
      </c>
      <c r="FD14">
        <f>IF(0&lt;$B$22,$B$146+$B$144*(($B$19+0*$B$64)),NA())</f>
        <v>38.76135</v>
      </c>
      <c r="FE14" t="e">
        <f>IF(AND($B$21=1,(1*$B$66)&lt;$B$62),$B$145+$B$144*(IF((1*$B$66)&lt;$B$87,$B$91,$B$89)),NA())</f>
        <v>#N/A</v>
      </c>
      <c r="FF14" t="e">
        <f>IF(AND($B$21=1,(1*$B$66)&lt;$B$62),$B$146+$B$144*((1*$B$66)),NA())</f>
        <v>#N/A</v>
      </c>
      <c r="FI14">
        <f>IF(2&lt;=$B$23,$B$145+$B$144*(IF(2=1,1,IF(2=$B$23,$B$12,5*(2-1)))*$B$13),NA())</f>
        <v>136.558571428571</v>
      </c>
      <c r="FJ14">
        <f>IF(2&lt;=$B$23,$B$146+$B$144*(0),NA())</f>
        <v>38.76135</v>
      </c>
      <c r="FK14" t="e">
        <f>IF($B$78=1,$B$145+$B$144*($B$83),NA())</f>
        <v>#N/A</v>
      </c>
      <c r="FL14" t="e">
        <f>IF($B$78=1,$B$146+$B$144*(0),NA())</f>
        <v>#N/A</v>
      </c>
      <c r="FM14" t="e">
        <f>IF($B$78=1,$B$145+$B$144*($B$83),NA())</f>
        <v>#N/A</v>
      </c>
      <c r="FN14" t="e">
        <f>IF($B$78=1,$B$146+$B$144*(0),NA())</f>
        <v>#N/A</v>
      </c>
      <c r="GE14">
        <f>IF(2&lt;=$B$14-1,$B$151+$B$150*(2*$B$15),NA())</f>
        <v>96.591</v>
      </c>
      <c r="GF14">
        <f>IF(2&lt;=$B$14-1,$B$152+$B$150*(0),NA())</f>
        <v>23.89542</v>
      </c>
      <c r="GG14">
        <f>IF(AND($B$20=1,($B$19+0*$B$64)&lt;$B$10-0.3),$B$151+$B$150*(MAX(IF(($B$19+0*$B$64)&lt;=$B$9,0,(($B$19+0*$B$64)-$B$9)/$B$8),MIN(($B$5-IF(($B$19+0*$B$64)&lt;=$B$9,0,(($B$19+0*$B$64)-$B$9)/$B$8)),IF(($B$19+0*$B$64)&lt;$B$118,$B$122,$B$120)))),NA())</f>
        <v>173.182</v>
      </c>
      <c r="GH14">
        <f>IF(AND($B$20=1,($B$19+0*$B$64)&lt;$B$10-0.3),$B$152+$B$150*(($B$19+0*$B$64)),NA())</f>
        <v>23.89542</v>
      </c>
      <c r="GI14" t="e">
        <f>IF(AND($B$21=1,(1*$B$66)&lt;IF($B$63=1,$B$10-0.2,$B$62)),$B$151+$B$150*(MAX(IF((1*$B$66)&lt;=$B$9,0,((1*$B$66)-$B$9)/$B$8),MIN(($B$5-IF((1*$B$66)&lt;=$B$9,0,((1*$B$66)-$B$9)/$B$8)),IF((1*$B$66)&lt;$B$118,$B$122,$B$120)))),NA())</f>
        <v>#N/A</v>
      </c>
      <c r="GJ14" t="e">
        <f>IF(AND($B$21=1,(1*$B$66)&lt;IF($B$63=1,$B$10-0.2,$B$62)),$B$152+$B$150*((1*$B$66)),NA())</f>
        <v>#N/A</v>
      </c>
      <c r="GK14" t="e">
        <f>IF($B$63=1,$B$151+$B$150*(0),NA())</f>
        <v>#N/A</v>
      </c>
      <c r="GL14" t="e">
        <f>IF($B$63=1,$B$152+$B$150*($B$9-$B$59/2),NA())</f>
        <v>#N/A</v>
      </c>
      <c r="GM14" t="e">
        <f>IF($B$109=1,$B$151+$B$150*($B$114),NA())</f>
        <v>#N/A</v>
      </c>
      <c r="GN14" t="e">
        <f>IF($B$109=1,$B$152+$B$150*(0),NA())</f>
        <v>#N/A</v>
      </c>
      <c r="GO14" t="e">
        <f>IF($B$109=1,$B$151+$B$150*($B$114),NA())</f>
        <v>#N/A</v>
      </c>
      <c r="GP14" t="e">
        <f>IF($B$109=1,$B$152+$B$150*(0),NA())</f>
        <v>#N/A</v>
      </c>
      <c r="HI14">
        <f>IF(1&lt;=$B$16-1,$B$157+$B$156*(-$B$46),NA())</f>
        <v>21.451</v>
      </c>
      <c r="HJ14">
        <f>IF(1&lt;=$B$16-1,$B$158+$B$156*($B$5-1*($B$5/2)/MAX(1,$B$16-1)),NA())</f>
        <v>85.25</v>
      </c>
      <c r="HK14">
        <f>IF(3&lt;=$B$12,$B$157+$B$156*($B$13*3),NA())</f>
        <v>87.7338571428572</v>
      </c>
      <c r="HL14">
        <f>IF(3&lt;=$B$12,$B$158+$B$156*(0),NA())</f>
        <v>14</v>
      </c>
      <c r="HM14" t="e">
        <f>IF(AND(2&lt;=$B$12,2&lt;=$B$25),$B$157+$B$156*((2-1)*$B$13+2*$B$13/($B$25+1)),NA())</f>
        <v>#N/A</v>
      </c>
      <c r="HN14" t="e">
        <f>IF(AND(2&lt;=$B$12,2&lt;=$B$25),$B$158+$B$156*(0),NA())</f>
        <v>#N/A</v>
      </c>
      <c r="HQ14">
        <f>IF(AND(1&lt;=$B$23,2&lt;=$B$24),$B$157+$B$156*((IF(1=1,1,IF(1=$B$23,$B$12,5*(1-1)))-1)*$B$13),NA())</f>
        <v>22.591</v>
      </c>
      <c r="HR14">
        <f>IF(AND(1&lt;=$B$23,2&lt;=$B$24),$B$158+$B$156*((0*$B$5/2+2*($B$5/2)/$B$24)),NA())</f>
        <v>52</v>
      </c>
      <c r="HS14">
        <f>IF(AND(1&lt;=$B$12,$B$51&gt;0),$B$157+$B$156*(((1-0.5)*$B$13)+($B$51*$B$13)/2),NA())</f>
        <v>34.5338571428572</v>
      </c>
      <c r="HT14">
        <f>IF(AND(1&lt;=$B$12,$B$51&gt;0),$B$158+$B$156*((0*$B$5/2+0.6*$B$159)+3*(((0*$B$5/2+$B$5/2-0.6*$B$159))-((0*$B$5/2+0.6*$B$159)))/4),NA())</f>
        <v>42.2</v>
      </c>
      <c r="HU14">
        <f>IF(1&lt;=$B$47,$B$157+$B$156*(((MAX(1,MIN($B$12,ROUND(1*$B$12/($B$47+1),0)))-1)*$B$13+0.25*$B$13)-$B$48/2-0.2),NA())</f>
        <v>24.9795714285714</v>
      </c>
      <c r="HV14">
        <f>IF(1&lt;=$B$47,$B$158+$B$156*(IF(MOD(1,2)=1,$B$5/4,3*$B$5/4)+$B$49/2+0.2),NA())</f>
        <v>36.04</v>
      </c>
      <c r="HW14" t="e">
        <f>IF(5&lt;=$B$50/2,$B$157+$B$156*((5-0.5)*$B$6/MAX(1,$B$50/2)),NA())</f>
        <v>#N/A</v>
      </c>
      <c r="HX14" t="e">
        <f>IF(5&lt;=$B$50/2,$B$158+$B$156*($B$5),NA())</f>
        <v>#N/A</v>
      </c>
      <c r="IK14">
        <f>$B$174+$B$173*(-$B$31/2)</f>
        <v>23.6788</v>
      </c>
      <c r="IL14">
        <f>$B$175+$B$173*($B$162)</f>
        <v>27.0439</v>
      </c>
      <c r="IM14">
        <f>IF($B$162+2*$B$67&lt;$B$163,$B$174+$B$173*(-0.075),NA())</f>
        <v>29.4379</v>
      </c>
      <c r="IN14">
        <f>IF($B$162+2*$B$67&lt;$B$163,$B$175+$B$173*($B$162+2*$B$67),NA())</f>
        <v>37.2823</v>
      </c>
      <c r="IO14">
        <f>$B$174+$B$173*(0.075+1*($B$170-0.075)/12)</f>
        <v>41.436025</v>
      </c>
      <c r="IP14">
        <f>$B$175+$B$173*(0)</f>
        <v>51.3601</v>
      </c>
      <c r="IU14">
        <f>$B$174+$B$173*($B$169-($B$29/2-$B$41))</f>
        <v>91.5082</v>
      </c>
      <c r="IV14">
        <f>$B$175+$B$173*($B$161+$B$41+0.02)</f>
        <v>23.71642</v>
      </c>
      <c r="IW14">
        <f>IF(5&lt;=ROUNDDOWN(($B$27-2*$B$41)/'PARAMÈTRES'!$C$96,0),$B$174+$B$173*($B$169-$B$27/2+$B$41+5*'PARAMÈTRES'!$C$96),NA())</f>
        <v>100.4668</v>
      </c>
      <c r="IX14">
        <f>IF(5&lt;=ROUNDDOWN(($B$27-2*$B$41)/'PARAMÈTRES'!$C$96,0),$B$175+$B$173*($B$161+$B$41+0.02),NA())</f>
        <v>23.71642</v>
      </c>
      <c r="JW14">
        <f>$B$174+$B$173*($B$170+1*$B$176)</f>
        <v>132.182</v>
      </c>
      <c r="JX14">
        <f>$B$175+$B$173*($B$165+0.005)</f>
        <v>57.88708</v>
      </c>
      <c r="KG14" t="e">
        <f>IF($B$21=1,$B$182+$B$181*(0),NA())</f>
        <v>#N/A</v>
      </c>
      <c r="KH14" t="e">
        <f>IF($B$21=1,$B$183+$B$181*($B$178),NA())</f>
        <v>#N/A</v>
      </c>
      <c r="KI14" t="e">
        <f>IF(AND($B$21=1,1*$B$67&gt;$B$59,1*$B$67&lt;$B$178-$B$59,OR($B$63=0,ABS(1*$B$67-$B$178/2)&gt;$B$59/2)),$B$182+$B$181*($B$177*3/4+$B$60/2),NA())</f>
        <v>#N/A</v>
      </c>
      <c r="KJ14" t="e">
        <f>IF(AND($B$21=1,1*$B$67&gt;$B$59,1*$B$67&lt;$B$178-$B$59,OR($B$63=0,ABS(1*$B$67-$B$178/2)&gt;$B$59/2)),$B$183+$B$181*(1*$B$67),NA())</f>
        <v>#N/A</v>
      </c>
      <c r="KK14" t="e">
        <f>IF($B$21=1,$B$182+$B$181*(0),NA())</f>
        <v>#N/A</v>
      </c>
      <c r="KL14" t="e">
        <f>IF($B$21=1,$B$183+$B$181*($B$178-$B$59/2+($B$59/2-$B$41*0.6)),NA())</f>
        <v>#N/A</v>
      </c>
    </row>
    <row r="15">
      <c r="A15" t="inlineStr">
        <is>
          <t>e_ppr</t>
        </is>
      </c>
      <c r="B15">
        <f>'PRÉDIMENSIONNEMENT'!$C$36</f>
        <v>5</v>
      </c>
      <c r="D15" t="inlineStr">
        <is>
          <t>txt_e</t>
        </is>
      </c>
      <c r="E15" t="str">
        <f>"Entraxe "&amp;FIXED('PRÉDIMENSIONNEMENT'!$C$30,2,TRUE)&amp;" m ("&amp;'PRÉDIMENSIONNEMENT'!$C$28&amp;" travées)"</f>
        <v>Entraxe 5.71 m (7 travées)</v>
      </c>
      <c r="G15">
        <f>IF(3&lt;=$B$12,$B$133+$B$132*($B$13*3),NA())</f>
        <v>89.8767142857143</v>
      </c>
      <c r="H15">
        <f>IF(3&lt;=$B$12,$B$134+$B$132*($B$5+4*$B$135),NA())</f>
        <v>88</v>
      </c>
      <c r="I15">
        <f>$B$133+$B$132*($B$31/2)</f>
        <v>32.611</v>
      </c>
      <c r="J15">
        <f>$B$134+$B$132*($B$31/2)</f>
        <v>17.02</v>
      </c>
      <c r="K15">
        <f>IF(0&lt;=$B$12,$B$133+$B$132*($B$13*0-$B$27/2),NA())</f>
        <v>29.551</v>
      </c>
      <c r="L15">
        <f>IF(0&lt;=$B$12,$B$134+$B$132*($B$5-$B$27/2),NA())</f>
        <v>81.96</v>
      </c>
      <c r="M15">
        <f>IF(3&lt;=$B$12,$B$133+$B$132*($B$13*3),NA())</f>
        <v>89.8767142857143</v>
      </c>
      <c r="N15">
        <f>IF(3&lt;=$B$12,$B$134+$B$132*($B$5),NA())</f>
        <v>84</v>
      </c>
      <c r="O15" t="e">
        <f>IF(6&lt;=$B$14-1,$B$133+$B$132*(0),NA())</f>
        <v>#N/A</v>
      </c>
      <c r="P15" t="e">
        <f>IF(6&lt;=$B$14-1,$B$134+$B$132*(6*$B$15),NA())</f>
        <v>#N/A</v>
      </c>
      <c r="Q15" t="e">
        <f>IF($B$92=1,$B$133+$B$132*($B$98),NA())</f>
        <v>#N/A</v>
      </c>
      <c r="R15" t="e">
        <f>IF($B$92=1,$B$134+$B$132*(-2.5*$B$135),NA())</f>
        <v>#N/A</v>
      </c>
      <c r="DY15" t="e">
        <f>IF($B$45=1,$B$139+$B$138*($B$5/2),NA())</f>
        <v>#N/A</v>
      </c>
      <c r="DZ15" t="e">
        <f>IF($B$45=1,$B$140+$B$138*(0),NA())</f>
        <v>#N/A</v>
      </c>
      <c r="EA15" t="e">
        <f>IF(AND($B$18=1,4&lt;=$B$26-1),$B$139+$B$138*(4*($B$5/MAX(1,$B$26))),NA())</f>
        <v>#N/A</v>
      </c>
      <c r="EB15" t="e">
        <f>IF(AND($B$18=1,4&lt;=$B$26-1),$B$140+$B$138*(($B$9+$B$8*MIN(4*($B$5/MAX(1,$B$26)),$B$5-(4*($B$5/MAX(1,$B$26)))))),NA())</f>
        <v>#N/A</v>
      </c>
      <c r="EE15">
        <f>IF(5&lt;=$B$16-1,$B$139+$B$138*(5*($B$5/2)/MAX(1,$B$16-1)),NA())</f>
        <v>67.869375</v>
      </c>
      <c r="EF15">
        <f>IF(5&lt;=$B$16-1,$B$140+$B$138*($B$9+$B$8*5*($B$5/2)/MAX(1,$B$16-1)+1.2*$B$141),NA())</f>
        <v>82.687535</v>
      </c>
      <c r="EK15">
        <f>$B$139+$B$138*(0+$B$29/2)</f>
        <v>21.53182</v>
      </c>
      <c r="EL15">
        <f>$B$140+$B$138*(0)</f>
        <v>27.873835</v>
      </c>
      <c r="FA15">
        <f>IF(3&lt;=$B$12,$B$145+$B$144*($B$13*3),NA())</f>
        <v>89.9351428571429</v>
      </c>
      <c r="FB15">
        <f>IF(3&lt;=$B$12,$B$146+$B$144*($B$9),NA())</f>
        <v>63.23865</v>
      </c>
      <c r="FC15">
        <f>IF(0&lt;$B$22,$B$145+$B$144*(IF(($B$19+0*$B$64)&lt;$B$94,$B$97,$B$96)),NA())</f>
        <v>183.182</v>
      </c>
      <c r="FD15">
        <f>IF(0&lt;$B$22,$B$146+$B$144*(($B$19+0*$B$64)),NA())</f>
        <v>38.76135</v>
      </c>
      <c r="FE15" t="e">
        <f>IF(AND($B$21=1,(1*$B$66)&lt;$B$62),$B$145+$B$144*(IF((1*$B$66)&lt;$B$94,$B$97,$B$96)),NA())</f>
        <v>#N/A</v>
      </c>
      <c r="FF15" t="e">
        <f>IF(AND($B$21=1,(1*$B$66)&lt;$B$62),$B$146+$B$144*((1*$B$66)),NA())</f>
        <v>#N/A</v>
      </c>
      <c r="FI15">
        <f>IF(2&lt;=$B$23,$B$145+$B$144*((IF(2=1,1,IF(2=$B$23,$B$12,5*(2-1)))-1)*$B$13),NA())</f>
        <v>113.246857142857</v>
      </c>
      <c r="FJ15">
        <f>IF(2&lt;=$B$23,$B$146+$B$144*($B$9),NA())</f>
        <v>63.23865</v>
      </c>
      <c r="FK15" t="e">
        <f>IF($B$78=1,$B$145+$B$144*($B$83),NA())</f>
        <v>#N/A</v>
      </c>
      <c r="FL15" t="e">
        <f>IF($B$78=1,$B$146+$B$144*($B$9),NA())</f>
        <v>#N/A</v>
      </c>
      <c r="FM15" t="e">
        <f>IF($B$78=1,$B$145+$B$144*($B$84),NA())</f>
        <v>#N/A</v>
      </c>
      <c r="FN15" t="e">
        <f>IF($B$78=1,$B$146+$B$144*($B$80),NA())</f>
        <v>#N/A</v>
      </c>
      <c r="GE15">
        <f>IF(2&lt;=$B$14-1,$B$151+$B$150*(2*$B$15),NA())</f>
        <v>96.591</v>
      </c>
      <c r="GF15">
        <f>IF(2&lt;=$B$14-1,$B$152+$B$150*($B$9+$B$8*MIN(2*$B$15,$B$5-2*$B$15)),NA())</f>
        <v>82.10458</v>
      </c>
      <c r="GG15">
        <f>IF(AND($B$20=1,($B$19+0*$B$64)&lt;$B$10-0.3),$B$151+$B$150*(MAX(IF(($B$19+0*$B$64)&lt;=$B$9,0,(($B$19+0*$B$64)-$B$9)/$B$8),MIN(($B$5-IF(($B$19+0*$B$64)&lt;=$B$9,0,(($B$19+0*$B$64)-$B$9)/$B$8)),IF(($B$19+0*$B$64)&lt;$B$125,$B$128,$B$127)))),NA())</f>
        <v>173.182</v>
      </c>
      <c r="GH15">
        <f>IF(AND($B$20=1,($B$19+0*$B$64)&lt;$B$10-0.3),$B$152+$B$150*(($B$19+0*$B$64)),NA())</f>
        <v>23.89542</v>
      </c>
      <c r="GI15" t="e">
        <f>IF(AND($B$21=1,(1*$B$66)&lt;IF($B$63=1,$B$10-0.2,$B$62)),$B$151+$B$150*(MAX(IF((1*$B$66)&lt;=$B$9,0,((1*$B$66)-$B$9)/$B$8),MIN(($B$5-IF((1*$B$66)&lt;=$B$9,0,((1*$B$66)-$B$9)/$B$8)),IF((1*$B$66)&lt;$B$125,$B$128,$B$127)))),NA())</f>
        <v>#N/A</v>
      </c>
      <c r="GJ15" t="e">
        <f>IF(AND($B$21=1,(1*$B$66)&lt;IF($B$63=1,$B$10-0.2,$B$62)),$B$152+$B$150*((1*$B$66)),NA())</f>
        <v>#N/A</v>
      </c>
      <c r="GK15" t="e">
        <f>IF($B$63=1,$B$151+$B$150*($B$5/2),NA())</f>
        <v>#N/A</v>
      </c>
      <c r="GL15" t="e">
        <f>IF($B$63=1,$B$152+$B$150*($B$10-$B$59/2),NA())</f>
        <v>#N/A</v>
      </c>
      <c r="GM15" t="e">
        <f>IF($B$109=1,$B$151+$B$150*($B$114),NA())</f>
        <v>#N/A</v>
      </c>
      <c r="GN15" t="e">
        <f>IF($B$109=1,$B$152+$B$150*(MIN($B$9,$B$111+$B$64)),NA())</f>
        <v>#N/A</v>
      </c>
      <c r="GO15" t="e">
        <f>IF($B$109=1,$B$151+$B$150*($B$115),NA())</f>
        <v>#N/A</v>
      </c>
      <c r="GP15" t="e">
        <f>IF($B$109=1,$B$152+$B$150*($B$111),NA())</f>
        <v>#N/A</v>
      </c>
      <c r="HI15">
        <f>IF(1&lt;=$B$16-1,$B$157+$B$156*($B$6+$B$46),NA())</f>
        <v>175.731</v>
      </c>
      <c r="HJ15">
        <f>IF(1&lt;=$B$16-1,$B$158+$B$156*($B$5-1*($B$5/2)/MAX(1,$B$16-1)),NA())</f>
        <v>85.25</v>
      </c>
      <c r="HK15">
        <f>IF(3&lt;=$B$12,$B$157+$B$156*($B$13*3),NA())</f>
        <v>87.7338571428572</v>
      </c>
      <c r="HL15">
        <f>IF(3&lt;=$B$12,$B$158+$B$156*($B$5),NA())</f>
        <v>90</v>
      </c>
      <c r="HM15" t="e">
        <f>IF(AND(2&lt;=$B$12,2&lt;=$B$25),$B$157+$B$156*((2-1)*$B$13+2*$B$13/($B$25+1)),NA())</f>
        <v>#N/A</v>
      </c>
      <c r="HN15" t="e">
        <f>IF(AND(2&lt;=$B$12,2&lt;=$B$25),$B$158+$B$156*($B$5),NA())</f>
        <v>#N/A</v>
      </c>
      <c r="HQ15">
        <f>IF(AND(1&lt;=$B$23,2&lt;=$B$24),$B$157+$B$156*(IF(1=1,1,IF(1=$B$23,$B$12,5*(1-1)))*$B$13),NA())</f>
        <v>44.3052857142857</v>
      </c>
      <c r="HR15">
        <f>IF(AND(1&lt;=$B$23,2&lt;=$B$24),$B$158+$B$156*((0*$B$5/2+(2-1)*($B$5/2)/$B$24)),NA())</f>
        <v>33</v>
      </c>
      <c r="HS15">
        <f>IF(AND(1&lt;=$B$12,$B$51&gt;0),$B$157+$B$156*(((1-0.5)*$B$13)-($B$51*$B$13)/2),NA())</f>
        <v>32.3624285714286</v>
      </c>
      <c r="HT15">
        <f>IF(AND(1&lt;=$B$12,$B$51&gt;0),$B$158+$B$156*((0*$B$5/2+$B$5/2-0.6*$B$159)),NA())</f>
        <v>51.4</v>
      </c>
      <c r="HU15">
        <f>IF(1&lt;=$B$47,$B$157+$B$156*(((MAX(1,MIN($B$12,ROUND(1*$B$12/($B$47+1),0)))-1)*$B$13+0.25*$B$13)-$B$48/2-0.2),NA())</f>
        <v>24.9795714285714</v>
      </c>
      <c r="HV15">
        <f>IF(1&lt;=$B$47,$B$158+$B$156*(IF(MOD(1,2)=1,$B$5/4,3*$B$5/4)-$B$49/2-0.2),NA())</f>
        <v>29.96</v>
      </c>
      <c r="HW15" t="e">
        <f>IF(6&lt;=$B$50/2,$B$157+$B$156*((6-0.5)*$B$6/MAX(1,$B$50/2)),NA())</f>
        <v>#N/A</v>
      </c>
      <c r="HX15" t="e">
        <f>IF(6&lt;=$B$50/2,$B$158+$B$156*(0),NA())</f>
        <v>#N/A</v>
      </c>
      <c r="IK15">
        <f>$B$174+$B$173*(-$B$31/2)</f>
        <v>23.6788</v>
      </c>
      <c r="IL15">
        <f>$B$175+$B$173*($B$161)</f>
        <v>21.9247</v>
      </c>
      <c r="IM15">
        <f>IF($B$162+2*$B$67&lt;$B$163,$B$174+$B$173*(0.075),NA())</f>
        <v>33.2773</v>
      </c>
      <c r="IN15">
        <f>IF($B$162+2*$B$67&lt;$B$163,$B$175+$B$173*($B$162+2*$B$67),NA())</f>
        <v>37.2823</v>
      </c>
      <c r="IO15">
        <f>$B$174+$B$173*(0.075+(1+0.5)*($B$170-0.075)/12)</f>
        <v>45.5153875</v>
      </c>
      <c r="IP15">
        <f>$B$175+$B$173*($B$164)</f>
        <v>56.4793</v>
      </c>
      <c r="IU15">
        <f>$B$174+$B$173*($B$169-($B$29/2-$B$41))</f>
        <v>91.5082</v>
      </c>
      <c r="IV15">
        <f>$B$175+$B$173*($B$168-$B$41)</f>
        <v>61.5985</v>
      </c>
      <c r="IW15">
        <f>IF(6&lt;=ROUNDDOWN(($B$27-2*$B$41)/'PARAMÈTRES'!$C$96,0),$B$174+$B$173*($B$169-$B$27/2+$B$41+6*'PARAMÈTRES'!$C$96),NA())</f>
        <v>104.3062</v>
      </c>
      <c r="IX15">
        <f>IF(6&lt;=ROUNDDOWN(($B$27-2*$B$41)/'PARAMÈTRES'!$C$96,0),$B$175+$B$173*($B$161+$B$41+0.02),NA())</f>
        <v>23.71642</v>
      </c>
      <c r="JW15">
        <f>$B$174+$B$173*($B$170+4*$B$176)</f>
        <v>135.182</v>
      </c>
      <c r="JX15">
        <f>$B$175+$B$173*((MAX($B$166,$B$168)+0.75)-2*6.5*$B$176)</f>
        <v>69.0753</v>
      </c>
      <c r="KG15" t="e">
        <f>IF($B$21=1,$B$182+$B$181*(0),NA())</f>
        <v>#N/A</v>
      </c>
      <c r="KH15" t="e">
        <f>IF($B$21=1,$B$183+$B$181*($B$178-$B$59),NA())</f>
        <v>#N/A</v>
      </c>
      <c r="KI15" t="e">
        <f>IF(AND($B$21=1,1*$B$67&gt;$B$59,1*$B$67&lt;$B$178-$B$59,OR($B$63=0,ABS(1*$B$67-$B$178/2)&gt;$B$59/2)),$B$182+$B$181*($B$177),NA())</f>
        <v>#N/A</v>
      </c>
      <c r="KJ15" t="e">
        <f>IF(AND($B$21=1,1*$B$67&gt;$B$59,1*$B$67&lt;$B$178-$B$59,OR($B$63=0,ABS(1*$B$67-$B$178/2)&gt;$B$59/2)),$B$183+$B$181*(1*$B$67),NA())</f>
        <v>#N/A</v>
      </c>
      <c r="KK15" t="e">
        <f>IF($B$21=1,$B$182+$B$181*($B$177),NA())</f>
        <v>#N/A</v>
      </c>
      <c r="KL15" t="e">
        <f>IF($B$21=1,$B$183+$B$181*($B$178-$B$59/2+($B$59/2-$B$41*0.6)),NA())</f>
        <v>#N/A</v>
      </c>
    </row>
    <row r="16">
      <c r="A16" t="inlineStr">
        <is>
          <t>np</t>
        </is>
      </c>
      <c r="B16">
        <f>'PRÉDIMENSIONNEMENT'!$C$40</f>
        <v>9</v>
      </c>
      <c r="D16" t="inlineStr">
        <is>
          <t>txt_H</t>
        </is>
      </c>
      <c r="E16" t="str">
        <f>"H sablière "&amp;FIXED('PARAMÈTRES'!$C$11,2,TRUE)&amp;" m"</f>
        <v>H sablière 6.00 m</v>
      </c>
      <c r="G16" t="e">
        <f>NA()</f>
        <v>#N/A</v>
      </c>
      <c r="H16" t="e">
        <f>NA()</f>
        <v>#N/A</v>
      </c>
      <c r="I16" t="e">
        <f>NA()</f>
        <v>#N/A</v>
      </c>
      <c r="J16" t="e">
        <f>NA()</f>
        <v>#N/A</v>
      </c>
      <c r="K16" t="e">
        <f>NA()</f>
        <v>#N/A</v>
      </c>
      <c r="L16" t="e">
        <f>NA()</f>
        <v>#N/A</v>
      </c>
      <c r="M16" t="e">
        <f>IF(AND(3&lt;=$B$12,$B$45=1),$B$133+$B$132*($B$13*3),NA())</f>
        <v>#N/A</v>
      </c>
      <c r="N16" t="e">
        <f>IF(AND(3&lt;=$B$12,$B$45=1),$B$134+$B$132*($B$5/2),NA())</f>
        <v>#N/A</v>
      </c>
      <c r="O16" t="e">
        <f>IF(6&lt;=$B$14-1,$B$133+$B$132*($B$6),NA())</f>
        <v>#N/A</v>
      </c>
      <c r="P16" t="e">
        <f>IF(6&lt;=$B$14-1,$B$134+$B$132*(6*$B$15),NA())</f>
        <v>#N/A</v>
      </c>
      <c r="Q16" t="e">
        <f>NA()</f>
        <v>#N/A</v>
      </c>
      <c r="R16" t="e">
        <f>NA()</f>
        <v>#N/A</v>
      </c>
      <c r="DY16" t="e">
        <f>IF($B$45=1,$B$139+$B$138*($B$5/2),NA())</f>
        <v>#N/A</v>
      </c>
      <c r="DZ16" t="e">
        <f>IF($B$45=1,$B$140+$B$138*(IF($B$18=1,$B$7,$B$10)),NA())</f>
        <v>#N/A</v>
      </c>
      <c r="EA16" t="e">
        <f>NA()</f>
        <v>#N/A</v>
      </c>
      <c r="EB16" t="e">
        <f>NA()</f>
        <v>#N/A</v>
      </c>
      <c r="EE16">
        <f>IF(5&lt;=$B$16-1,$B$139+$B$138*($B$5-5*($B$5/2)/MAX(1,$B$16-1)),NA())</f>
        <v>125.312625</v>
      </c>
      <c r="EF16">
        <f>IF(5&lt;=$B$16-1,$B$140+$B$138*($B$9+$B$8*5*($B$5/2)/MAX(1,$B$16-1)+1.2*$B$141),NA())</f>
        <v>82.687535</v>
      </c>
      <c r="EK16" t="e">
        <f>NA()</f>
        <v>#N/A</v>
      </c>
      <c r="EL16" t="e">
        <f>NA()</f>
        <v>#N/A</v>
      </c>
      <c r="FA16" t="e">
        <f>NA()</f>
        <v>#N/A</v>
      </c>
      <c r="FB16" t="e">
        <f>NA()</f>
        <v>#N/A</v>
      </c>
      <c r="FC16">
        <f>IF(AND(0&lt;$B$22,($B$19+0*$B$64)&gt;=$B$94),$B$145+$B$144*($B$96),NA())</f>
        <v>183.182</v>
      </c>
      <c r="FD16">
        <f>IF(AND(0&lt;$B$22,($B$19+0*$B$64)&gt;=$B$94),$B$146+$B$144*(($B$19+0*$B$64)),NA())</f>
        <v>38.76135</v>
      </c>
      <c r="FE16" t="e">
        <f>IF(AND(AND($B$21=1,(1*$B$66)&lt;$B$62),(1*$B$66)&gt;=$B$94),$B$145+$B$144*($B$96),NA())</f>
        <v>#N/A</v>
      </c>
      <c r="FF16" t="e">
        <f>IF(AND(AND($B$21=1,(1*$B$66)&lt;$B$62),(1*$B$66)&gt;=$B$94),$B$146+$B$144*((1*$B$66)),NA())</f>
        <v>#N/A</v>
      </c>
      <c r="FI16" t="e">
        <f>NA()</f>
        <v>#N/A</v>
      </c>
      <c r="FJ16" t="e">
        <f>NA()</f>
        <v>#N/A</v>
      </c>
      <c r="FK16" t="e">
        <f>NA()</f>
        <v>#N/A</v>
      </c>
      <c r="FL16" t="e">
        <f>NA()</f>
        <v>#N/A</v>
      </c>
      <c r="FM16" t="e">
        <f>NA()</f>
        <v>#N/A</v>
      </c>
      <c r="FN16" t="e">
        <f>NA()</f>
        <v>#N/A</v>
      </c>
      <c r="GE16" t="e">
        <f>NA()</f>
        <v>#N/A</v>
      </c>
      <c r="GF16" t="e">
        <f>NA()</f>
        <v>#N/A</v>
      </c>
      <c r="GG16">
        <f>IF(AND(AND($B$20=1,($B$19+0*$B$64)&lt;$B$10-0.3),($B$19+0*$B$64)&gt;=$B$125),$B$151+$B$150*(MAX(IF(($B$19+0*$B$64)&lt;=$B$9,0,(($B$19+0*$B$64)-$B$9)/$B$8),MIN(($B$5-IF(($B$19+0*$B$64)&lt;=$B$9,0,(($B$19+0*$B$64)-$B$9)/$B$8)),$B$127))),NA())</f>
        <v>173.182</v>
      </c>
      <c r="GH16">
        <f>IF(AND(AND($B$20=1,($B$19+0*$B$64)&lt;$B$10-0.3),($B$19+0*$B$64)&gt;=$B$125),$B$152+$B$150*(($B$19+0*$B$64)),NA())</f>
        <v>23.89542</v>
      </c>
      <c r="GI16" t="e">
        <f>IF(AND(AND($B$21=1,(1*$B$66)&lt;IF($B$63=1,$B$10-0.2,$B$62)),(1*$B$66)&gt;=$B$125),$B$151+$B$150*(MAX(IF((1*$B$66)&lt;=$B$9,0,((1*$B$66)-$B$9)/$B$8),MIN(($B$5-IF((1*$B$66)&lt;=$B$9,0,((1*$B$66)-$B$9)/$B$8)),$B$127))),NA())</f>
        <v>#N/A</v>
      </c>
      <c r="GJ16" t="e">
        <f>IF(AND(AND($B$21=1,(1*$B$66)&lt;IF($B$63=1,$B$10-0.2,$B$62)),(1*$B$66)&gt;=$B$125),$B$152+$B$150*((1*$B$66)),NA())</f>
        <v>#N/A</v>
      </c>
      <c r="GK16" t="e">
        <f>IF($B$63=1,$B$151+$B$150*($B$5),NA())</f>
        <v>#N/A</v>
      </c>
      <c r="GL16" t="e">
        <f>IF($B$63=1,$B$152+$B$150*($B$9-$B$59/2),NA())</f>
        <v>#N/A</v>
      </c>
      <c r="GM16" t="e">
        <f>NA()</f>
        <v>#N/A</v>
      </c>
      <c r="GN16" t="e">
        <f>NA()</f>
        <v>#N/A</v>
      </c>
      <c r="GO16" t="e">
        <f>NA()</f>
        <v>#N/A</v>
      </c>
      <c r="GP16" t="e">
        <f>NA()</f>
        <v>#N/A</v>
      </c>
      <c r="HI16" t="e">
        <f>NA()</f>
        <v>#N/A</v>
      </c>
      <c r="HJ16" t="e">
        <f>NA()</f>
        <v>#N/A</v>
      </c>
      <c r="HK16" t="e">
        <f>NA()</f>
        <v>#N/A</v>
      </c>
      <c r="HL16" t="e">
        <f>NA()</f>
        <v>#N/A</v>
      </c>
      <c r="HM16" t="e">
        <f>NA()</f>
        <v>#N/A</v>
      </c>
      <c r="HN16" t="e">
        <f>NA()</f>
        <v>#N/A</v>
      </c>
      <c r="HQ16" t="e">
        <f>NA()</f>
        <v>#N/A</v>
      </c>
      <c r="HR16" t="e">
        <f>NA()</f>
        <v>#N/A</v>
      </c>
      <c r="HS16" t="e">
        <f>NA()</f>
        <v>#N/A</v>
      </c>
      <c r="HT16" t="e">
        <f>NA()</f>
        <v>#N/A</v>
      </c>
      <c r="HU16" t="e">
        <f>NA()</f>
        <v>#N/A</v>
      </c>
      <c r="HV16" t="e">
        <f>NA()</f>
        <v>#N/A</v>
      </c>
      <c r="HW16" t="e">
        <f>IF(6&lt;=$B$50/2,$B$157+$B$156*((6-0.5)*$B$6/MAX(1,$B$50/2)),NA())</f>
        <v>#N/A</v>
      </c>
      <c r="HX16" t="e">
        <f>IF(6&lt;=$B$50/2,$B$158+$B$156*($B$5),NA())</f>
        <v>#N/A</v>
      </c>
      <c r="IK16" t="e">
        <f>NA()</f>
        <v>#N/A</v>
      </c>
      <c r="IL16" t="e">
        <f>NA()</f>
        <v>#N/A</v>
      </c>
      <c r="IM16" t="e">
        <f>NA()</f>
        <v>#N/A</v>
      </c>
      <c r="IN16" t="e">
        <f>NA()</f>
        <v>#N/A</v>
      </c>
      <c r="IO16" t="e">
        <f>NA()</f>
        <v>#N/A</v>
      </c>
      <c r="IP16" t="e">
        <f>NA()</f>
        <v>#N/A</v>
      </c>
      <c r="IU16" t="e">
        <f>NA()</f>
        <v>#N/A</v>
      </c>
      <c r="IV16" t="e">
        <f>NA()</f>
        <v>#N/A</v>
      </c>
      <c r="IW16">
        <f>IF(7&lt;=ROUNDDOWN(($B$27-2*$B$41)/'PARAMÈTRES'!$C$96,0),$B$174+$B$173*($B$169-$B$27/2+$B$41+7*'PARAMÈTRES'!$C$96),NA())</f>
        <v>108.1456</v>
      </c>
      <c r="IX16">
        <f>IF(7&lt;=ROUNDDOWN(($B$27-2*$B$41)/'PARAMÈTRES'!$C$96,0),$B$175+$B$173*($B$161+$B$41+0.02),NA())</f>
        <v>23.71642</v>
      </c>
      <c r="JW16" t="e">
        <f>NA()</f>
        <v>#N/A</v>
      </c>
      <c r="JX16" t="e">
        <f>NA()</f>
        <v>#N/A</v>
      </c>
      <c r="KG16" t="e">
        <f>NA()</f>
        <v>#N/A</v>
      </c>
      <c r="KH16" t="e">
        <f>NA()</f>
        <v>#N/A</v>
      </c>
      <c r="KI16" t="e">
        <f>NA()</f>
        <v>#N/A</v>
      </c>
      <c r="KJ16" t="e">
        <f>NA()</f>
        <v>#N/A</v>
      </c>
      <c r="KK16" t="e">
        <f>NA()</f>
        <v>#N/A</v>
      </c>
      <c r="KL16" t="e">
        <f>NA()</f>
        <v>#N/A</v>
      </c>
    </row>
    <row r="17">
      <c r="A17" t="inlineStr">
        <is>
          <t>R1</t>
        </is>
      </c>
      <c r="B17">
        <f>'PRÉDIMENSIONNEMENT'!$C$31</f>
        <v>10.1271911209377</v>
      </c>
      <c r="D17" t="inlineStr">
        <is>
          <t>txt_Hm</t>
        </is>
      </c>
      <c r="E17" t="str">
        <f>"H égout "&amp;FIXED('PRÉDIMENSIONNEMENT'!$C$33,2,TRUE)&amp;" m"</f>
        <v>H égout 6.00 m</v>
      </c>
      <c r="G17">
        <f>IF(4&lt;=$B$12,$B$133+$B$132*($B$13*4),NA())</f>
        <v>109.305285714286</v>
      </c>
      <c r="H17">
        <f>IF(4&lt;=$B$12,$B$134+$B$132*(-4*$B$135),NA())</f>
        <v>12</v>
      </c>
      <c r="K17" t="e">
        <f>IF(AND(0&lt;=$B$12,$B$45=1),$B$133+$B$132*($B$13*0-$B$27/2),NA())</f>
        <v>#N/A</v>
      </c>
      <c r="L17" t="e">
        <f>IF(AND(0&lt;=$B$12,$B$45=1),$B$134+$B$132*($B$5/2-$B$27/2),NA())</f>
        <v>#N/A</v>
      </c>
      <c r="M17">
        <f>IF(4&lt;=$B$12,$B$133+$B$132*($B$13*4),NA())</f>
        <v>109.305285714286</v>
      </c>
      <c r="N17">
        <f>IF(4&lt;=$B$12,$B$134+$B$132*(0),NA())</f>
        <v>16</v>
      </c>
      <c r="O17" t="e">
        <f>IF(7&lt;=$B$14-1,$B$133+$B$132*(0),NA())</f>
        <v>#N/A</v>
      </c>
      <c r="P17" t="e">
        <f>IF(7&lt;=$B$14-1,$B$134+$B$132*(7*$B$15),NA())</f>
        <v>#N/A</v>
      </c>
      <c r="Q17">
        <f>IF($B$102=1,$B$133+$B$132*(-2.5*$B$135),NA())</f>
        <v>29.091</v>
      </c>
      <c r="R17">
        <f>IF($B$102=1,$B$134+$B$132*($B$107),NA())</f>
        <v>34.7</v>
      </c>
      <c r="DY17" t="e">
        <f>NA()</f>
        <v>#N/A</v>
      </c>
      <c r="DZ17" t="e">
        <f>NA()</f>
        <v>#N/A</v>
      </c>
      <c r="EA17" t="e">
        <f>IF(AND($B$18=1,5&lt;=$B$26-1),$B$139+$B$138*(5*($B$5/MAX(1,$B$26))),NA())</f>
        <v>#N/A</v>
      </c>
      <c r="EB17" t="e">
        <f>IF(AND($B$18=1,5&lt;=$B$26-1),$B$140+$B$138*($B$7),NA())</f>
        <v>#N/A</v>
      </c>
      <c r="EE17">
        <f>IF(6&lt;=$B$16-1,$B$139+$B$138*(6*($B$5/2)/MAX(1,$B$16-1)),NA())</f>
        <v>77.44325</v>
      </c>
      <c r="EF17">
        <f>IF(6&lt;=$B$16-1,$B$140+$B$138*($B$9+$B$8*6*($B$5/2)/MAX(1,$B$16-1)+1.2*$B$141),NA())</f>
        <v>84.219355</v>
      </c>
      <c r="EK17">
        <f>$B$139+$B$138*($B$5-$B$27/2)</f>
        <v>168.58654</v>
      </c>
      <c r="EL17">
        <f>$B$140+$B$138*((-$B$33+$B$34))</f>
        <v>19.06587</v>
      </c>
      <c r="FA17">
        <f>IF(4&lt;=$B$12,$B$145+$B$144*($B$13*4),NA())</f>
        <v>113.246857142857</v>
      </c>
      <c r="FB17">
        <f>IF(4&lt;=$B$12,$B$146+$B$144*(0),NA())</f>
        <v>38.76135</v>
      </c>
      <c r="FC17">
        <f>IF(0&lt;$B$22,$B$145+$B$144*(IF(($B$19+0*$B$64)&lt;$B$94,$B$98,$B$96)),NA())</f>
        <v>183.182</v>
      </c>
      <c r="FD17">
        <f>IF(0&lt;$B$22,$B$146+$B$144*(($B$19+0*$B$64)),NA())</f>
        <v>38.76135</v>
      </c>
      <c r="FE17" t="e">
        <f>IF(AND($B$21=1,(1*$B$66)&lt;$B$62),$B$145+$B$144*(IF((1*$B$66)&lt;$B$94,$B$98,$B$96)),NA())</f>
        <v>#N/A</v>
      </c>
      <c r="FF17" t="e">
        <f>IF(AND($B$21=1,(1*$B$66)&lt;$B$62),$B$146+$B$144*((1*$B$66)),NA())</f>
        <v>#N/A</v>
      </c>
      <c r="FI17">
        <f>IF(3&lt;=$B$23,$B$145+$B$144*((IF(3=1,1,IF(3=$B$23,$B$12,5*(3-1)))-1)*$B$13),NA())</f>
        <v>159.870285714286</v>
      </c>
      <c r="FJ17">
        <f>IF(3&lt;=$B$23,$B$146+$B$144*(0),NA())</f>
        <v>38.76135</v>
      </c>
      <c r="FK17" t="e">
        <f>IF($B$78=1,$B$145+$B$144*($B$84),NA())</f>
        <v>#N/A</v>
      </c>
      <c r="FL17" t="e">
        <f>IF($B$78=1,$B$146+$B$144*(0),NA())</f>
        <v>#N/A</v>
      </c>
      <c r="FM17" t="e">
        <f>IF($B$78=1,$B$145+$B$144*($B$84),NA())</f>
        <v>#N/A</v>
      </c>
      <c r="FN17" t="e">
        <f>IF($B$78=1,$B$146+$B$144*(0),NA())</f>
        <v>#N/A</v>
      </c>
      <c r="GE17">
        <f>IF(3&lt;=$B$14-1,$B$151+$B$150*(3*$B$15),NA())</f>
        <v>134.8865</v>
      </c>
      <c r="GF17">
        <f>IF(3&lt;=$B$14-1,$B$152+$B$150*(0),NA())</f>
        <v>23.89542</v>
      </c>
      <c r="GG17">
        <f>IF(AND($B$20=1,($B$19+0*$B$64)&lt;$B$10-0.3),$B$151+$B$150*(MAX(IF(($B$19+0*$B$64)&lt;=$B$9,0,(($B$19+0*$B$64)-$B$9)/$B$8),MIN(($B$5-IF(($B$19+0*$B$64)&lt;=$B$9,0,(($B$19+0*$B$64)-$B$9)/$B$8)),IF(($B$19+0*$B$64)&lt;$B$125,$B$129,$B$127)))),NA())</f>
        <v>173.182</v>
      </c>
      <c r="GH17">
        <f>IF(AND($B$20=1,($B$19+0*$B$64)&lt;$B$10-0.3),$B$152+$B$150*(($B$19+0*$B$64)),NA())</f>
        <v>23.89542</v>
      </c>
      <c r="GI17" t="e">
        <f>IF(AND($B$21=1,(1*$B$66)&lt;IF($B$63=1,$B$10-0.2,$B$62)),$B$151+$B$150*(MAX(IF((1*$B$66)&lt;=$B$9,0,((1*$B$66)-$B$9)/$B$8),MIN(($B$5-IF((1*$B$66)&lt;=$B$9,0,((1*$B$66)-$B$9)/$B$8)),IF((1*$B$66)&lt;$B$125,$B$129,$B$127)))),NA())</f>
        <v>#N/A</v>
      </c>
      <c r="GJ17" t="e">
        <f>IF(AND($B$21=1,(1*$B$66)&lt;IF($B$63=1,$B$10-0.2,$B$62)),$B$152+$B$150*((1*$B$66)),NA())</f>
        <v>#N/A</v>
      </c>
      <c r="GK17" t="e">
        <f>NA()</f>
        <v>#N/A</v>
      </c>
      <c r="GL17" t="e">
        <f>NA()</f>
        <v>#N/A</v>
      </c>
      <c r="GM17" t="e">
        <f>IF($B$109=1,$B$151+$B$150*($B$115),NA())</f>
        <v>#N/A</v>
      </c>
      <c r="GN17" t="e">
        <f>IF($B$109=1,$B$152+$B$150*(0),NA())</f>
        <v>#N/A</v>
      </c>
      <c r="GO17" t="e">
        <f>IF($B$109=1,$B$151+$B$150*($B$115),NA())</f>
        <v>#N/A</v>
      </c>
      <c r="GP17" t="e">
        <f>IF($B$109=1,$B$152+$B$150*(0),NA())</f>
        <v>#N/A</v>
      </c>
      <c r="HI17">
        <f>IF(2&lt;=$B$16-1,$B$157+$B$156*(-$B$46),NA())</f>
        <v>21.451</v>
      </c>
      <c r="HJ17">
        <f>IF(2&lt;=$B$16-1,$B$158+$B$156*(2*($B$5/2)/MAX(1,$B$16-1)),NA())</f>
        <v>23.5</v>
      </c>
      <c r="HK17">
        <f>IF(4&lt;=$B$12,$B$157+$B$156*($B$13*4),NA())</f>
        <v>109.448142857143</v>
      </c>
      <c r="HL17">
        <f>IF(4&lt;=$B$12,$B$158+$B$156*(0),NA())</f>
        <v>14</v>
      </c>
      <c r="HM17">
        <f>IF(AND(3&lt;=$B$12,1&lt;=$B$25),$B$157+$B$156*((3-1)*$B$13+1*$B$13/($B$25+1)),NA())</f>
        <v>76.8767142857143</v>
      </c>
      <c r="HN17">
        <f>IF(AND(3&lt;=$B$12,1&lt;=$B$25),$B$158+$B$156*(0),NA())</f>
        <v>14</v>
      </c>
      <c r="HQ17" t="e">
        <f>IF(AND(1&lt;=$B$23,3&lt;=$B$24),$B$157+$B$156*((IF(1=1,1,IF(1=$B$23,$B$12,5*(1-1)))-1)*$B$13),NA())</f>
        <v>#N/A</v>
      </c>
      <c r="HR17" t="e">
        <f>IF(AND(1&lt;=$B$23,3&lt;=$B$24),$B$158+$B$156*((0*$B$5/2+(3-1)*($B$5/2)/$B$24)),NA())</f>
        <v>#N/A</v>
      </c>
      <c r="HS17">
        <f>IF(AND(1&lt;=$B$12,$B$51&gt;0),$B$157+$B$156*(((1-0.5)*$B$13)-($B$51*$B$13)/2),NA())</f>
        <v>32.3624285714286</v>
      </c>
      <c r="HT17">
        <f>IF(AND(1&lt;=$B$12,$B$51&gt;0),$B$158+$B$156*((1*$B$5/2+0.6*$B$159)),NA())</f>
        <v>52.6</v>
      </c>
      <c r="HU17">
        <f>IF(2&lt;=$B$47,$B$157+$B$156*(((MAX(1,MIN($B$12,ROUND(2*$B$12/($B$47+1),0)))-1)*$B$13+0.25*$B$13)-$B$48/2),NA())</f>
        <v>69.1681428571429</v>
      </c>
      <c r="HV17">
        <f>IF(2&lt;=$B$47,$B$158+$B$156*(IF(MOD(2,2)=1,$B$5/4,3*$B$5/4)-$B$49/2),NA())</f>
        <v>68.72</v>
      </c>
      <c r="HW17" t="e">
        <f>IF(7&lt;=$B$50/2,$B$157+$B$156*((7-0.5)*$B$6/MAX(1,$B$50/2)),NA())</f>
        <v>#N/A</v>
      </c>
      <c r="HX17" t="e">
        <f>IF(7&lt;=$B$50/2,$B$158+$B$156*(0),NA())</f>
        <v>#N/A</v>
      </c>
      <c r="IK17">
        <f>$B$174+$B$173*($B$169-$B$27/2-0.05)</f>
        <v>78.7102</v>
      </c>
      <c r="IL17">
        <f>$B$175+$B$173*($B$160)</f>
        <v>20.6449</v>
      </c>
      <c r="IM17">
        <f>IF($B$162+3*$B$67&lt;$B$163,$B$174+$B$173*(-0.075),NA())</f>
        <v>29.4379</v>
      </c>
      <c r="IN17">
        <f>IF($B$162+3*$B$67&lt;$B$163,$B$175+$B$173*($B$162+3*$B$67),NA())</f>
        <v>42.4015</v>
      </c>
      <c r="IO17">
        <f>$B$174+$B$173*(0.075+2*($B$170-0.075)/12)</f>
        <v>49.59475</v>
      </c>
      <c r="IP17">
        <f>$B$175+$B$173*(0)</f>
        <v>51.3601</v>
      </c>
      <c r="IU17">
        <f>$B$174+$B$173*($B$169+($B$29/2-$B$41)+0.15)</f>
        <v>103.0264</v>
      </c>
      <c r="IV17">
        <f>$B$175+$B$173*($B$161+$B$41+0.02)</f>
        <v>23.71642</v>
      </c>
      <c r="IW17" t="e">
        <f>IF(8&lt;=ROUNDDOWN(($B$27-2*$B$41)/'PARAMÈTRES'!$C$96,0),$B$174+$B$173*($B$169-$B$27/2+$B$41+8*'PARAMÈTRES'!$C$96),NA())</f>
        <v>#N/A</v>
      </c>
      <c r="IX17" t="e">
        <f>IF(8&lt;=ROUNDDOWN(($B$27-2*$B$41)/'PARAMÈTRES'!$C$96,0),$B$175+$B$173*($B$161+$B$41+0.02),NA())</f>
        <v>#N/A</v>
      </c>
      <c r="JW17">
        <f>$B$174+$B$173*($B$170)</f>
        <v>131.182</v>
      </c>
      <c r="JX17">
        <f>$B$175+$B$173*($B$164/2)</f>
        <v>53.9197</v>
      </c>
      <c r="KG17" t="e">
        <f>IF(AND($B$21=1,$B$63=1),$B$182+$B$181*(0),NA())</f>
        <v>#N/A</v>
      </c>
      <c r="KH17" t="e">
        <f>IF(AND($B$21=1,$B$63=1),$B$183+$B$181*($B$178/2-$B$59/2),NA())</f>
        <v>#N/A</v>
      </c>
      <c r="KI17" t="e">
        <f>IF(AND($B$21=1,2*$B$67&gt;$B$59,2*$B$67&lt;$B$178-$B$59,OR($B$63=0,ABS(2*$B$67-$B$178/2)&gt;$B$59/2)),$B$182+$B$181*(0),NA())</f>
        <v>#N/A</v>
      </c>
      <c r="KJ17" t="e">
        <f>IF(AND($B$21=1,2*$B$67&gt;$B$59,2*$B$67&lt;$B$178-$B$59,OR($B$63=0,ABS(2*$B$67-$B$178/2)&gt;$B$59/2)),$B$183+$B$181*(2*$B$67),NA())</f>
        <v>#N/A</v>
      </c>
      <c r="KK17" t="e">
        <f>IF(AND($B$21=1,$B$63=1),$B$182+$B$181*(0),NA())</f>
        <v>#N/A</v>
      </c>
      <c r="KL17" t="e">
        <f>IF(AND($B$21=1,$B$63=1),$B$183+$B$181*($B$178/2-($B$59/2-$B$41*0.6)),NA())</f>
        <v>#N/A</v>
      </c>
    </row>
    <row r="18">
      <c r="A18" t="inlineStr">
        <is>
          <t>treil</t>
        </is>
      </c>
      <c r="B18">
        <f>'PRÉDIMENSIONNEMENT'!$C$27</f>
        <v>0</v>
      </c>
      <c r="D18" t="inlineStr">
        <is>
          <t>txt_Hf</t>
        </is>
      </c>
      <c r="E18" t="str">
        <f>"H faîtage "&amp;FIXED('PRÉDIMENSIONNEMENT'!$C$34,2,TRUE)&amp;" m"</f>
        <v>H faîtage 7.60 m</v>
      </c>
      <c r="G18">
        <f>IF(4&lt;=$B$12,$B$133+$B$132*($B$13*4),NA())</f>
        <v>109.305285714286</v>
      </c>
      <c r="H18">
        <f>IF(4&lt;=$B$12,$B$134+$B$132*($B$5+4*$B$135),NA())</f>
        <v>88</v>
      </c>
      <c r="K18" t="e">
        <f>IF(AND(0&lt;=$B$12,$B$45=1),$B$133+$B$132*($B$13*0+$B$27/2),NA())</f>
        <v>#N/A</v>
      </c>
      <c r="L18" t="e">
        <f>IF(AND(0&lt;=$B$12,$B$45=1),$B$134+$B$132*($B$5/2-$B$27/2),NA())</f>
        <v>#N/A</v>
      </c>
      <c r="M18">
        <f>IF(4&lt;=$B$12,$B$133+$B$132*($B$13*4),NA())</f>
        <v>109.305285714286</v>
      </c>
      <c r="N18">
        <f>IF(4&lt;=$B$12,$B$134+$B$132*($B$5),NA())</f>
        <v>84</v>
      </c>
      <c r="O18" t="e">
        <f>IF(7&lt;=$B$14-1,$B$133+$B$132*($B$6),NA())</f>
        <v>#N/A</v>
      </c>
      <c r="P18" t="e">
        <f>IF(7&lt;=$B$14-1,$B$134+$B$132*(7*$B$15),NA())</f>
        <v>#N/A</v>
      </c>
      <c r="Q18">
        <f>IF($B$102=1,$B$133+$B$132*(-2.5*$B$135),NA())</f>
        <v>29.091</v>
      </c>
      <c r="R18">
        <f>IF($B$102=1,$B$134+$B$132*($B$108),NA())</f>
        <v>48.3</v>
      </c>
      <c r="DY18" t="e">
        <f>IF($B$18=1,$B$139+$B$138*(0),NA())</f>
        <v>#N/A</v>
      </c>
      <c r="DZ18" t="e">
        <f>IF($B$18=1,$B$140+$B$138*($B$7),NA())</f>
        <v>#N/A</v>
      </c>
      <c r="EA18" t="e">
        <f>IF(AND($B$18=1,5&lt;=$B$26-1),$B$139+$B$138*(5*($B$5/MAX(1,$B$26))),NA())</f>
        <v>#N/A</v>
      </c>
      <c r="EB18" t="e">
        <f>IF(AND($B$18=1,5&lt;=$B$26-1),$B$140+$B$138*(($B$9+$B$8*MIN(5*($B$5/MAX(1,$B$26)),$B$5-(5*($B$5/MAX(1,$B$26)))))),NA())</f>
        <v>#N/A</v>
      </c>
      <c r="EE18">
        <f>IF(6&lt;=$B$16-1,$B$139+$B$138*($B$5-6*($B$5/2)/MAX(1,$B$16-1)),NA())</f>
        <v>115.73875</v>
      </c>
      <c r="EF18">
        <f>IF(6&lt;=$B$16-1,$B$140+$B$138*($B$9+$B$8*6*($B$5/2)/MAX(1,$B$16-1)+1.2*$B$141),NA())</f>
        <v>84.219355</v>
      </c>
      <c r="EK18">
        <f>$B$139+$B$138*($B$5+$B$27/2)</f>
        <v>177.77746</v>
      </c>
      <c r="EL18">
        <f>$B$140+$B$138*((-$B$33+$B$34))</f>
        <v>19.06587</v>
      </c>
      <c r="FA18">
        <f>IF(4&lt;=$B$12,$B$145+$B$144*($B$13*4),NA())</f>
        <v>113.246857142857</v>
      </c>
      <c r="FB18">
        <f>IF(4&lt;=$B$12,$B$146+$B$144*($B$9),NA())</f>
        <v>63.23865</v>
      </c>
      <c r="FC18">
        <f>IF(0&lt;$B$22,$B$145+$B$144*($B$6),NA())</f>
        <v>183.182</v>
      </c>
      <c r="FD18">
        <f>IF(0&lt;$B$22,$B$146+$B$144*(($B$19+0*$B$64)),NA())</f>
        <v>38.76135</v>
      </c>
      <c r="FE18" t="e">
        <f>IF(AND($B$21=1,(1*$B$66)&lt;$B$62),$B$145+$B$144*($B$6),NA())</f>
        <v>#N/A</v>
      </c>
      <c r="FF18" t="e">
        <f>IF(AND($B$21=1,(1*$B$66)&lt;$B$62),$B$146+$B$144*((1*$B$66)),NA())</f>
        <v>#N/A</v>
      </c>
      <c r="FI18">
        <f>IF(3&lt;=$B$23,$B$145+$B$144*(IF(3=1,1,IF(3=$B$23,$B$12,5*(3-1)))*$B$13),NA())</f>
        <v>183.182</v>
      </c>
      <c r="FJ18">
        <f>IF(3&lt;=$B$23,$B$146+$B$144*($B$9),NA())</f>
        <v>63.23865</v>
      </c>
      <c r="FK18" t="e">
        <f>IF($B$78=1,$B$145+$B$144*($B$84),NA())</f>
        <v>#N/A</v>
      </c>
      <c r="FL18" t="e">
        <f>IF($B$78=1,$B$146+$B$144*($B$9),NA())</f>
        <v>#N/A</v>
      </c>
      <c r="FM18" t="e">
        <f>IF($B$78=1,$B$145+$B$144*($B$83),NA())</f>
        <v>#N/A</v>
      </c>
      <c r="FN18" t="e">
        <f>IF($B$78=1,$B$146+$B$144*($B$80),NA())</f>
        <v>#N/A</v>
      </c>
      <c r="GE18">
        <f>IF(3&lt;=$B$14-1,$B$151+$B$150*(3*$B$15),NA())</f>
        <v>134.8865</v>
      </c>
      <c r="GF18">
        <f>IF(3&lt;=$B$14-1,$B$152+$B$150*($B$9+$B$8*MIN(3*$B$15,$B$5-3*$B$15)),NA())</f>
        <v>75.9773</v>
      </c>
      <c r="GG18">
        <f>IF(AND($B$20=1,($B$19+0*$B$64)&lt;$B$10-0.3),$B$151+$B$150*(($B$5-IF(($B$19+0*$B$64)&lt;=$B$9,0,(($B$19+0*$B$64)-$B$9)/$B$8))),NA())</f>
        <v>173.182</v>
      </c>
      <c r="GH18">
        <f>IF(AND($B$20=1,($B$19+0*$B$64)&lt;$B$10-0.3),$B$152+$B$150*(($B$19+0*$B$64)),NA())</f>
        <v>23.89542</v>
      </c>
      <c r="GI18" t="e">
        <f>IF(AND($B$21=1,(1*$B$66)&lt;IF($B$63=1,$B$10-0.2,$B$62)),$B$151+$B$150*(($B$5-IF((1*$B$66)&lt;=$B$9,0,((1*$B$66)-$B$9)/$B$8))),NA())</f>
        <v>#N/A</v>
      </c>
      <c r="GJ18" t="e">
        <f>IF(AND($B$21=1,(1*$B$66)&lt;IF($B$63=1,$B$10-0.2,$B$62)),$B$152+$B$150*((1*$B$66)),NA())</f>
        <v>#N/A</v>
      </c>
      <c r="GM18" t="e">
        <f>IF($B$109=1,$B$151+$B$150*($B$115),NA())</f>
        <v>#N/A</v>
      </c>
      <c r="GN18" t="e">
        <f>IF($B$109=1,$B$152+$B$150*(MIN($B$9,$B$111+$B$64)),NA())</f>
        <v>#N/A</v>
      </c>
      <c r="GO18" t="e">
        <f>IF($B$109=1,$B$151+$B$150*($B$114),NA())</f>
        <v>#N/A</v>
      </c>
      <c r="GP18" t="e">
        <f>IF($B$109=1,$B$152+$B$150*($B$111),NA())</f>
        <v>#N/A</v>
      </c>
      <c r="HI18">
        <f>IF(2&lt;=$B$16-1,$B$157+$B$156*($B$6+$B$46),NA())</f>
        <v>175.731</v>
      </c>
      <c r="HJ18">
        <f>IF(2&lt;=$B$16-1,$B$158+$B$156*(2*($B$5/2)/MAX(1,$B$16-1)),NA())</f>
        <v>23.5</v>
      </c>
      <c r="HK18">
        <f>IF(4&lt;=$B$12,$B$157+$B$156*($B$13*4),NA())</f>
        <v>109.448142857143</v>
      </c>
      <c r="HL18">
        <f>IF(4&lt;=$B$12,$B$158+$B$156*($B$5),NA())</f>
        <v>90</v>
      </c>
      <c r="HM18">
        <f>IF(AND(3&lt;=$B$12,1&lt;=$B$25),$B$157+$B$156*((3-1)*$B$13+1*$B$13/($B$25+1)),NA())</f>
        <v>76.8767142857143</v>
      </c>
      <c r="HN18">
        <f>IF(AND(3&lt;=$B$12,1&lt;=$B$25),$B$158+$B$156*($B$5),NA())</f>
        <v>90</v>
      </c>
      <c r="HQ18" t="e">
        <f>IF(AND(1&lt;=$B$23,3&lt;=$B$24),$B$157+$B$156*(IF(1=1,1,IF(1=$B$23,$B$12,5*(1-1)))*$B$13),NA())</f>
        <v>#N/A</v>
      </c>
      <c r="HR18" t="e">
        <f>IF(AND(1&lt;=$B$23,3&lt;=$B$24),$B$158+$B$156*((0*$B$5/2+3*($B$5/2)/$B$24)),NA())</f>
        <v>#N/A</v>
      </c>
      <c r="HS18">
        <f>IF(AND(1&lt;=$B$12,$B$51&gt;0),$B$157+$B$156*(((1-0.5)*$B$13)+($B$51*$B$13)/2),NA())</f>
        <v>34.5338571428572</v>
      </c>
      <c r="HT18">
        <f>IF(AND(1&lt;=$B$12,$B$51&gt;0),$B$158+$B$156*((1*$B$5/2+0.6*$B$159)),NA())</f>
        <v>52.6</v>
      </c>
      <c r="HU18">
        <f>IF(2&lt;=$B$47,$B$157+$B$156*(((MAX(1,MIN($B$12,ROUND(2*$B$12/($B$47+1),0)))-1)*$B$13+0.25*$B$13)+$B$48/2),NA())</f>
        <v>73.7281428571429</v>
      </c>
      <c r="HV18">
        <f>IF(2&lt;=$B$47,$B$158+$B$156*(IF(MOD(2,2)=1,$B$5/4,3*$B$5/4)-$B$49/2),NA())</f>
        <v>68.72</v>
      </c>
      <c r="HW18" t="e">
        <f>IF(7&lt;=$B$50/2,$B$157+$B$156*((7-0.5)*$B$6/MAX(1,$B$50/2)),NA())</f>
        <v>#N/A</v>
      </c>
      <c r="HX18" t="e">
        <f>IF(7&lt;=$B$50/2,$B$158+$B$156*($B$5),NA())</f>
        <v>#N/A</v>
      </c>
      <c r="IK18">
        <f>$B$174+$B$173*($B$169+$B$27/2+0.05)</f>
        <v>111.985</v>
      </c>
      <c r="IL18">
        <f>$B$175+$B$173*($B$160)</f>
        <v>20.6449</v>
      </c>
      <c r="IM18">
        <f>IF($B$162+3*$B$67&lt;$B$163,$B$174+$B$173*(0.075),NA())</f>
        <v>33.2773</v>
      </c>
      <c r="IN18">
        <f>IF($B$162+3*$B$67&lt;$B$163,$B$175+$B$173*($B$162+3*$B$67),NA())</f>
        <v>42.4015</v>
      </c>
      <c r="IO18">
        <f>$B$174+$B$173*(0.075+(2+0.5)*($B$170-0.075)/12)</f>
        <v>53.6741125</v>
      </c>
      <c r="IP18">
        <f>$B$175+$B$173*($B$164)</f>
        <v>56.4793</v>
      </c>
      <c r="IU18">
        <f>$B$174+$B$173*($B$169+($B$29/2-$B$41))</f>
        <v>99.187</v>
      </c>
      <c r="IV18">
        <f>$B$175+$B$173*($B$161+$B$41+0.02)</f>
        <v>23.71642</v>
      </c>
      <c r="IW18" t="e">
        <f>IF(9&lt;=ROUNDDOWN(($B$27-2*$B$41)/'PARAMÈTRES'!$C$96,0),$B$174+$B$173*($B$169-$B$27/2+$B$41+9*'PARAMÈTRES'!$C$96),NA())</f>
        <v>#N/A</v>
      </c>
      <c r="IX18" t="e">
        <f>IF(9&lt;=ROUNDDOWN(($B$27-2*$B$41)/'PARAMÈTRES'!$C$96,0),$B$175+$B$173*($B$161+$B$41+0.02),NA())</f>
        <v>#N/A</v>
      </c>
      <c r="JW18">
        <f>$B$174+$B$173*($B$170+1*$B$176)</f>
        <v>132.182</v>
      </c>
      <c r="JX18">
        <f>$B$175+$B$173*($B$164/2)</f>
        <v>53.9197</v>
      </c>
      <c r="KG18" t="e">
        <f>IF(AND($B$21=1,$B$63=1),$B$182+$B$181*($B$177),NA())</f>
        <v>#N/A</v>
      </c>
      <c r="KH18" t="e">
        <f>IF(AND($B$21=1,$B$63=1),$B$183+$B$181*($B$178/2-$B$59/2),NA())</f>
        <v>#N/A</v>
      </c>
      <c r="KI18" t="e">
        <f>IF(AND($B$21=1,2*$B$67&gt;$B$59,2*$B$67&lt;$B$178-$B$59,OR($B$63=0,ABS(2*$B$67-$B$178/2)&gt;$B$59/2)),$B$182+$B$181*($B$177*1/4-$B$60/2),NA())</f>
        <v>#N/A</v>
      </c>
      <c r="KJ18" t="e">
        <f>IF(AND($B$21=1,2*$B$67&gt;$B$59,2*$B$67&lt;$B$178-$B$59,OR($B$63=0,ABS(2*$B$67-$B$178/2)&gt;$B$59/2)),$B$183+$B$181*(2*$B$67),NA())</f>
        <v>#N/A</v>
      </c>
      <c r="KK18" t="e">
        <f>IF(AND($B$21=1,$B$63=1),$B$182+$B$181*($B$177),NA())</f>
        <v>#N/A</v>
      </c>
      <c r="KL18" t="e">
        <f>IF(AND($B$21=1,$B$63=1),$B$183+$B$181*($B$178/2-($B$59/2-$B$41*0.6)),NA())</f>
        <v>#N/A</v>
      </c>
    </row>
    <row r="19">
      <c r="A19" t="inlineStr">
        <is>
          <t>z0</t>
        </is>
      </c>
      <c r="B19">
        <f>'PRÉDIMENSIONNEMENT'!$C$49</f>
        <v>0</v>
      </c>
      <c r="D19" t="inlineStr">
        <is>
          <t>txt_p</t>
        </is>
      </c>
      <c r="E19" t="str">
        <f>"Pente "&amp;FIXED('PARAMÈTRES'!$C$12*100,1,TRUE)&amp;" %"</f>
        <v>Pente 16.0 %</v>
      </c>
      <c r="G19" t="e">
        <f>NA()</f>
        <v>#N/A</v>
      </c>
      <c r="H19" t="e">
        <f>NA()</f>
        <v>#N/A</v>
      </c>
      <c r="K19" t="e">
        <f>IF(AND(0&lt;=$B$12,$B$45=1),$B$133+$B$132*($B$13*0+$B$27/2),NA())</f>
        <v>#N/A</v>
      </c>
      <c r="L19" t="e">
        <f>IF(AND(0&lt;=$B$12,$B$45=1),$B$134+$B$132*($B$5/2+$B$27/2),NA())</f>
        <v>#N/A</v>
      </c>
      <c r="M19" t="e">
        <f>IF(AND(4&lt;=$B$12,$B$45=1),$B$133+$B$132*($B$13*4),NA())</f>
        <v>#N/A</v>
      </c>
      <c r="N19" t="e">
        <f>IF(AND(4&lt;=$B$12,$B$45=1),$B$134+$B$132*($B$5/2),NA())</f>
        <v>#N/A</v>
      </c>
      <c r="O19" t="e">
        <f>IF(8&lt;=$B$14-1,$B$133+$B$132*(0),NA())</f>
        <v>#N/A</v>
      </c>
      <c r="P19" t="e">
        <f>IF(8&lt;=$B$14-1,$B$134+$B$132*(8*$B$15),NA())</f>
        <v>#N/A</v>
      </c>
      <c r="Q19" t="e">
        <f>NA()</f>
        <v>#N/A</v>
      </c>
      <c r="R19" t="e">
        <f>NA()</f>
        <v>#N/A</v>
      </c>
      <c r="DY19" t="e">
        <f>IF($B$18=1,$B$139+$B$138*($B$5),NA())</f>
        <v>#N/A</v>
      </c>
      <c r="DZ19" t="e">
        <f>IF($B$18=1,$B$140+$B$138*($B$7),NA())</f>
        <v>#N/A</v>
      </c>
      <c r="EA19" t="e">
        <f>NA()</f>
        <v>#N/A</v>
      </c>
      <c r="EB19" t="e">
        <f>NA()</f>
        <v>#N/A</v>
      </c>
      <c r="EE19">
        <f>IF(7&lt;=$B$16-1,$B$139+$B$138*(7*($B$5/2)/MAX(1,$B$16-1)),NA())</f>
        <v>87.017125</v>
      </c>
      <c r="EF19">
        <f>IF(7&lt;=$B$16-1,$B$140+$B$138*($B$9+$B$8*7*($B$5/2)/MAX(1,$B$16-1)+1.2*$B$141),NA())</f>
        <v>85.751175</v>
      </c>
      <c r="EK19">
        <f>$B$139+$B$138*($B$5+$B$27/2)</f>
        <v>177.77746</v>
      </c>
      <c r="EL19">
        <f>$B$140+$B$138*((-$B$33+$B$34)+$B$35)</f>
        <v>22.12951</v>
      </c>
      <c r="FA19" t="e">
        <f>NA()</f>
        <v>#N/A</v>
      </c>
      <c r="FB19" t="e">
        <f>NA()</f>
        <v>#N/A</v>
      </c>
      <c r="FC19" t="e">
        <f>NA()</f>
        <v>#N/A</v>
      </c>
      <c r="FD19" t="e">
        <f>NA()</f>
        <v>#N/A</v>
      </c>
      <c r="FE19" t="e">
        <f>NA()</f>
        <v>#N/A</v>
      </c>
      <c r="FF19" t="e">
        <f>NA()</f>
        <v>#N/A</v>
      </c>
      <c r="FI19" t="e">
        <f>NA()</f>
        <v>#N/A</v>
      </c>
      <c r="FJ19" t="e">
        <f>NA()</f>
        <v>#N/A</v>
      </c>
      <c r="FK19" t="e">
        <f>NA()</f>
        <v>#N/A</v>
      </c>
      <c r="FL19" t="e">
        <f>NA()</f>
        <v>#N/A</v>
      </c>
      <c r="FM19" t="e">
        <f>NA()</f>
        <v>#N/A</v>
      </c>
      <c r="FN19" t="e">
        <f>NA()</f>
        <v>#N/A</v>
      </c>
      <c r="GE19" t="e">
        <f>NA()</f>
        <v>#N/A</v>
      </c>
      <c r="GF19" t="e">
        <f>NA()</f>
        <v>#N/A</v>
      </c>
      <c r="GG19" t="e">
        <f>NA()</f>
        <v>#N/A</v>
      </c>
      <c r="GH19" t="e">
        <f>NA()</f>
        <v>#N/A</v>
      </c>
      <c r="GI19" t="e">
        <f>NA()</f>
        <v>#N/A</v>
      </c>
      <c r="GJ19" t="e">
        <f>NA()</f>
        <v>#N/A</v>
      </c>
      <c r="GM19" t="e">
        <f>NA()</f>
        <v>#N/A</v>
      </c>
      <c r="GN19" t="e">
        <f>NA()</f>
        <v>#N/A</v>
      </c>
      <c r="GO19" t="e">
        <f>NA()</f>
        <v>#N/A</v>
      </c>
      <c r="GP19" t="e">
        <f>NA()</f>
        <v>#N/A</v>
      </c>
      <c r="HI19" t="e">
        <f>NA()</f>
        <v>#N/A</v>
      </c>
      <c r="HJ19" t="e">
        <f>NA()</f>
        <v>#N/A</v>
      </c>
      <c r="HK19" t="e">
        <f>NA()</f>
        <v>#N/A</v>
      </c>
      <c r="HL19" t="e">
        <f>NA()</f>
        <v>#N/A</v>
      </c>
      <c r="HM19" t="e">
        <f>NA()</f>
        <v>#N/A</v>
      </c>
      <c r="HN19" t="e">
        <f>NA()</f>
        <v>#N/A</v>
      </c>
      <c r="HQ19" t="e">
        <f>NA()</f>
        <v>#N/A</v>
      </c>
      <c r="HR19" t="e">
        <f>NA()</f>
        <v>#N/A</v>
      </c>
      <c r="HS19">
        <f>IF(AND(1&lt;=$B$12,$B$51&gt;0),$B$157+$B$156*(((1-0.5)*$B$13)+($B$51*$B$13)/2),NA())</f>
        <v>34.5338571428572</v>
      </c>
      <c r="HT19">
        <f>IF(AND(1&lt;=$B$12,$B$51&gt;0),$B$158+$B$156*((1*$B$5/2+$B$5/2-0.6*$B$159)),NA())</f>
        <v>89.4</v>
      </c>
      <c r="HU19">
        <f>IF(2&lt;=$B$47,$B$157+$B$156*(((MAX(1,MIN($B$12,ROUND(2*$B$12/($B$47+1),0)))-1)*$B$13+0.25*$B$13)+$B$48/2),NA())</f>
        <v>73.7281428571429</v>
      </c>
      <c r="HV19">
        <f>IF(2&lt;=$B$47,$B$158+$B$156*(IF(MOD(2,2)=1,$B$5/4,3*$B$5/4)+$B$49/2),NA())</f>
        <v>73.28</v>
      </c>
      <c r="HW19" t="e">
        <f>IF(8&lt;=$B$50/2,$B$157+$B$156*((8-0.5)*$B$6/MAX(1,$B$50/2)),NA())</f>
        <v>#N/A</v>
      </c>
      <c r="HX19" t="e">
        <f>IF(8&lt;=$B$50/2,$B$158+$B$156*(0),NA())</f>
        <v>#N/A</v>
      </c>
      <c r="IK19">
        <f>$B$174+$B$173*($B$169+$B$27/2+0.05)</f>
        <v>111.985</v>
      </c>
      <c r="IL19">
        <f>$B$175+$B$173*($B$161)</f>
        <v>21.9247</v>
      </c>
      <c r="IM19" t="e">
        <f>NA()</f>
        <v>#N/A</v>
      </c>
      <c r="IN19" t="e">
        <f>NA()</f>
        <v>#N/A</v>
      </c>
      <c r="IO19" t="e">
        <f>NA()</f>
        <v>#N/A</v>
      </c>
      <c r="IP19" t="e">
        <f>NA()</f>
        <v>#N/A</v>
      </c>
      <c r="IU19">
        <f>$B$174+$B$173*($B$169+($B$29/2-$B$41))</f>
        <v>99.187</v>
      </c>
      <c r="IV19">
        <f>$B$175+$B$173*($B$168-$B$41)</f>
        <v>61.5985</v>
      </c>
      <c r="IW19" t="e">
        <f>IF(10&lt;=ROUNDDOWN(($B$27-2*$B$41)/'PARAMÈTRES'!$C$96,0),$B$174+$B$173*($B$169-$B$27/2+$B$41+10*'PARAMÈTRES'!$C$96),NA())</f>
        <v>#N/A</v>
      </c>
      <c r="IX19" t="e">
        <f>IF(10&lt;=ROUNDDOWN(($B$27-2*$B$41)/'PARAMÈTRES'!$C$96,0),$B$175+$B$173*($B$161+$B$41+0.02),NA())</f>
        <v>#N/A</v>
      </c>
      <c r="JW19">
        <f>$B$174+$B$173*($B$170+4*$B$176)</f>
        <v>135.182</v>
      </c>
      <c r="JX19">
        <f>$B$175+$B$173*((MAX($B$166,$B$168)+0.75)-3*6.5*$B$176)</f>
        <v>62.5753</v>
      </c>
      <c r="KG19" t="e">
        <f>IF(AND($B$21=1,$B$63=1),$B$182+$B$181*($B$177),NA())</f>
        <v>#N/A</v>
      </c>
      <c r="KH19" t="e">
        <f>IF(AND($B$21=1,$B$63=1),$B$183+$B$181*($B$178/2+$B$59/2),NA())</f>
        <v>#N/A</v>
      </c>
      <c r="KI19" t="e">
        <f>NA()</f>
        <v>#N/A</v>
      </c>
      <c r="KJ19" t="e">
        <f>NA()</f>
        <v>#N/A</v>
      </c>
      <c r="KK19" t="e">
        <f>NA()</f>
        <v>#N/A</v>
      </c>
      <c r="KL19" t="e">
        <f>NA()</f>
        <v>#N/A</v>
      </c>
    </row>
    <row r="20">
      <c r="A20" t="inlineStr">
        <is>
          <t>kbard</t>
        </is>
      </c>
      <c r="B20">
        <f>'PRÉDIMENSIONNEMENT'!$C$50</f>
        <v>1</v>
      </c>
      <c r="D20" t="inlineStr">
        <is>
          <t>txt_sys</t>
        </is>
      </c>
      <c r="E20" t="str">
        <f>'PRÉDIMENSIONNEMENT'!$C$26&amp;" – poteaux "&amp;'PRÉDIMENSIONNEMENT'!$E$69&amp;IF('PRÉDIMENSIONNEMENT'!$C$27=1," – membrures "&amp;'PARAMÈTRES'!$C$25&amp;" "&amp;'PRÉDIMENSIONNEMENT'!$E$71&amp;" / "&amp;'PARAMÈTRES'!$C$25&amp;" "&amp;'PRÉDIMENSIONNEMENT'!$E$72," – traverses "&amp;'PRÉDIMENSIONNEMENT'!$E$70)</f>
        <v>Portique IPE avec jarrets – poteaux IPE 330 – traverses IPE 300</v>
      </c>
      <c r="G20">
        <f>IF(5&lt;=$B$12,$B$133+$B$132*($B$13*5),NA())</f>
        <v>128.733857142857</v>
      </c>
      <c r="H20">
        <f>IF(5&lt;=$B$12,$B$134+$B$132*(-4*$B$135),NA())</f>
        <v>12</v>
      </c>
      <c r="K20" t="e">
        <f>IF(AND(0&lt;=$B$12,$B$45=1),$B$133+$B$132*($B$13*0-$B$27/2),NA())</f>
        <v>#N/A</v>
      </c>
      <c r="L20" t="e">
        <f>IF(AND(0&lt;=$B$12,$B$45=1),$B$134+$B$132*($B$5/2+$B$27/2),NA())</f>
        <v>#N/A</v>
      </c>
      <c r="M20">
        <f>IF(5&lt;=$B$12,$B$133+$B$132*($B$13*5),NA())</f>
        <v>128.733857142857</v>
      </c>
      <c r="N20">
        <f>IF(5&lt;=$B$12,$B$134+$B$132*(0),NA())</f>
        <v>16</v>
      </c>
      <c r="O20" t="e">
        <f>IF(8&lt;=$B$14-1,$B$133+$B$132*($B$6),NA())</f>
        <v>#N/A</v>
      </c>
      <c r="P20" t="e">
        <f>IF(8&lt;=$B$14-1,$B$134+$B$132*(8*$B$15),NA())</f>
        <v>#N/A</v>
      </c>
      <c r="Q20" t="e">
        <f>IF($B$109=1,$B$133+$B$132*(-2.5*$B$135),NA())</f>
        <v>#N/A</v>
      </c>
      <c r="R20" t="e">
        <f>IF($B$109=1,$B$134+$B$132*($B$114),NA())</f>
        <v>#N/A</v>
      </c>
      <c r="DY20" t="e">
        <f>NA()</f>
        <v>#N/A</v>
      </c>
      <c r="DZ20" t="e">
        <f>NA()</f>
        <v>#N/A</v>
      </c>
      <c r="EA20" t="e">
        <f>IF(AND($B$18=1,6&lt;=$B$26-1),$B$139+$B$138*(6*($B$5/MAX(1,$B$26))),NA())</f>
        <v>#N/A</v>
      </c>
      <c r="EB20" t="e">
        <f>IF(AND($B$18=1,6&lt;=$B$26-1),$B$140+$B$138*($B$7),NA())</f>
        <v>#N/A</v>
      </c>
      <c r="EE20">
        <f>IF(7&lt;=$B$16-1,$B$139+$B$138*($B$5-7*($B$5/2)/MAX(1,$B$16-1)),NA())</f>
        <v>106.164875</v>
      </c>
      <c r="EF20">
        <f>IF(7&lt;=$B$16-1,$B$140+$B$138*($B$9+$B$8*7*($B$5/2)/MAX(1,$B$16-1)+1.2*$B$141),NA())</f>
        <v>85.751175</v>
      </c>
      <c r="EK20">
        <f>$B$139+$B$138*($B$5-$B$27/2)</f>
        <v>168.58654</v>
      </c>
      <c r="EL20">
        <f>$B$140+$B$138*((-$B$33+$B$34)+$B$35)</f>
        <v>22.12951</v>
      </c>
      <c r="FA20">
        <f>IF(5&lt;=$B$12,$B$145+$B$144*($B$13*5),NA())</f>
        <v>136.558571428571</v>
      </c>
      <c r="FB20">
        <f>IF(5&lt;=$B$12,$B$146+$B$144*(0),NA())</f>
        <v>38.76135</v>
      </c>
      <c r="FC20">
        <f>IF(1&lt;$B$22,$B$145+$B$144*(0),NA())</f>
        <v>20</v>
      </c>
      <c r="FD20">
        <f>IF(1&lt;$B$22,$B$146+$B$144*(($B$19+1*$B$64)),NA())</f>
        <v>46.10454</v>
      </c>
      <c r="FE20" t="e">
        <f>IF(AND($B$21=1,(2*$B$66)&lt;$B$62),$B$145+$B$144*(0),NA())</f>
        <v>#N/A</v>
      </c>
      <c r="FF20" t="e">
        <f>IF(AND($B$21=1,(2*$B$66)&lt;$B$62),$B$146+$B$144*((2*$B$66)),NA())</f>
        <v>#N/A</v>
      </c>
      <c r="FI20">
        <f>IF(3&lt;=$B$23,$B$145+$B$144*(IF(3=1,1,IF(3=$B$23,$B$12,5*(3-1)))*$B$13),NA())</f>
        <v>183.182</v>
      </c>
      <c r="FJ20">
        <f>IF(3&lt;=$B$23,$B$146+$B$144*(0),NA())</f>
        <v>38.76135</v>
      </c>
      <c r="FK20" t="e">
        <f>IF($B$78=1,$B$145+$B$144*($B$83),NA())</f>
        <v>#N/A</v>
      </c>
      <c r="FL20" t="e">
        <f>IF($B$78=1,$B$146+$B$144*($B$80),NA())</f>
        <v>#N/A</v>
      </c>
      <c r="FM20" t="e">
        <f>IF(AND($B$78=1,2&lt;=$B$68),$B$145+$B$144*($B$83-0.1),NA())</f>
        <v>#N/A</v>
      </c>
      <c r="FN20" t="e">
        <f>IF(AND($B$78=1,2&lt;=$B$68),$B$146+$B$144*($B$80+0.15),NA())</f>
        <v>#N/A</v>
      </c>
      <c r="GE20" t="e">
        <f>IF(4&lt;=$B$14-1,$B$151+$B$150*(4*$B$15),NA())</f>
        <v>#N/A</v>
      </c>
      <c r="GF20" t="e">
        <f>IF(4&lt;=$B$14-1,$B$152+$B$150*(0),NA())</f>
        <v>#N/A</v>
      </c>
      <c r="GG20">
        <f>IF(AND($B$20=1,($B$19+1*$B$64)&lt;$B$10-0.3),$B$151+$B$150*(IF(($B$19+1*$B$64)&lt;=$B$9,0,(($B$19+1*$B$64)-$B$9)/$B$8)),NA())</f>
        <v>20</v>
      </c>
      <c r="GH20">
        <f>IF(AND($B$20=1,($B$19+1*$B$64)&lt;$B$10-0.3),$B$152+$B$150*(($B$19+1*$B$64)),NA())</f>
        <v>37.6818</v>
      </c>
      <c r="GI20" t="e">
        <f>IF(AND($B$21=1,(2*$B$66)&lt;IF($B$63=1,$B$10-0.2,$B$62)),$B$151+$B$150*(IF((2*$B$66)&lt;=$B$9,0,((2*$B$66)-$B$9)/$B$8)),NA())</f>
        <v>#N/A</v>
      </c>
      <c r="GJ20" t="e">
        <f>IF(AND($B$21=1,(2*$B$66)&lt;IF($B$63=1,$B$10-0.2,$B$62)),$B$152+$B$150*((2*$B$66)),NA())</f>
        <v>#N/A</v>
      </c>
      <c r="GM20" t="e">
        <f>IF($B$109=1,$B$151+$B$150*($B$114),NA())</f>
        <v>#N/A</v>
      </c>
      <c r="GN20" t="e">
        <f>IF($B$109=1,$B$152+$B$150*($B$111),NA())</f>
        <v>#N/A</v>
      </c>
      <c r="GO20" t="e">
        <f>IF(AND($B$109=1,2&lt;=$B$99),$B$151+$B$150*($B$114-0.1),NA())</f>
        <v>#N/A</v>
      </c>
      <c r="GP20" t="e">
        <f>IF(AND($B$109=1,2&lt;=$B$99),$B$152+$B$150*($B$111+0.15),NA())</f>
        <v>#N/A</v>
      </c>
      <c r="HI20">
        <f>IF(2&lt;=$B$16-1,$B$157+$B$156*(-$B$46),NA())</f>
        <v>21.451</v>
      </c>
      <c r="HJ20">
        <f>IF(2&lt;=$B$16-1,$B$158+$B$156*($B$5-2*($B$5/2)/MAX(1,$B$16-1)),NA())</f>
        <v>80.5</v>
      </c>
      <c r="HK20">
        <f>IF(5&lt;=$B$12,$B$157+$B$156*($B$13*5),NA())</f>
        <v>131.162428571429</v>
      </c>
      <c r="HL20">
        <f>IF(5&lt;=$B$12,$B$158+$B$156*(0),NA())</f>
        <v>14</v>
      </c>
      <c r="HM20" t="e">
        <f>IF(AND(3&lt;=$B$12,2&lt;=$B$25),$B$157+$B$156*((3-1)*$B$13+2*$B$13/($B$25+1)),NA())</f>
        <v>#N/A</v>
      </c>
      <c r="HN20" t="e">
        <f>IF(AND(3&lt;=$B$12,2&lt;=$B$25),$B$158+$B$156*(0),NA())</f>
        <v>#N/A</v>
      </c>
      <c r="HQ20" t="e">
        <f>IF(AND(1&lt;=$B$23,3&lt;=$B$24),$B$157+$B$156*((IF(1=1,1,IF(1=$B$23,$B$12,5*(1-1)))-1)*$B$13),NA())</f>
        <v>#N/A</v>
      </c>
      <c r="HR20" t="e">
        <f>IF(AND(1&lt;=$B$23,3&lt;=$B$24),$B$158+$B$156*((0*$B$5/2+3*($B$5/2)/$B$24)),NA())</f>
        <v>#N/A</v>
      </c>
      <c r="HS20">
        <f>IF(AND(1&lt;=$B$12,$B$51&gt;0),$B$157+$B$156*(((1-0.5)*$B$13)-($B$51*$B$13)/2),NA())</f>
        <v>32.3624285714286</v>
      </c>
      <c r="HT20">
        <f>IF(AND(1&lt;=$B$12,$B$51&gt;0),$B$158+$B$156*((1*$B$5/2+$B$5/2-0.6*$B$159)),NA())</f>
        <v>89.4</v>
      </c>
      <c r="HU20">
        <f>IF(2&lt;=$B$47,$B$157+$B$156*(((MAX(1,MIN($B$12,ROUND(2*$B$12/($B$47+1),0)))-1)*$B$13+0.25*$B$13)-$B$48/2),NA())</f>
        <v>69.1681428571429</v>
      </c>
      <c r="HV20">
        <f>IF(2&lt;=$B$47,$B$158+$B$156*(IF(MOD(2,2)=1,$B$5/4,3*$B$5/4)+$B$49/2),NA())</f>
        <v>73.28</v>
      </c>
      <c r="HW20" t="e">
        <f>IF(8&lt;=$B$50/2,$B$157+$B$156*((8-0.5)*$B$6/MAX(1,$B$50/2)),NA())</f>
        <v>#N/A</v>
      </c>
      <c r="HX20" t="e">
        <f>IF(8&lt;=$B$50/2,$B$158+$B$156*($B$5),NA())</f>
        <v>#N/A</v>
      </c>
      <c r="IK20">
        <f>$B$174+$B$173*($B$169-$B$27/2-0.05)</f>
        <v>78.7102</v>
      </c>
      <c r="IL20">
        <f>$B$175+$B$173*($B$161)</f>
        <v>21.9247</v>
      </c>
      <c r="IM20">
        <f>IF($B$162+4*$B$67&lt;$B$163,$B$174+$B$173*(-0.075),NA())</f>
        <v>29.4379</v>
      </c>
      <c r="IN20">
        <f>IF($B$162+4*$B$67&lt;$B$163,$B$175+$B$173*($B$162+4*$B$67),NA())</f>
        <v>47.5207</v>
      </c>
      <c r="IO20">
        <f>$B$174+$B$173*(0.075+3*($B$170-0.075)/12)</f>
        <v>57.753475</v>
      </c>
      <c r="IP20">
        <f>$B$175+$B$173*(0)</f>
        <v>51.3601</v>
      </c>
      <c r="IU20" t="e">
        <f>NA()</f>
        <v>#N/A</v>
      </c>
      <c r="IV20" t="e">
        <f>NA()</f>
        <v>#N/A</v>
      </c>
      <c r="IW20" t="e">
        <f>IF(11&lt;=ROUNDDOWN(($B$27-2*$B$41)/'PARAMÈTRES'!$C$96,0),$B$174+$B$173*($B$169-$B$27/2+$B$41+11*'PARAMÈTRES'!$C$96),NA())</f>
        <v>#N/A</v>
      </c>
      <c r="IX20" t="e">
        <f>IF(11&lt;=ROUNDDOWN(($B$27-2*$B$41)/'PARAMÈTRES'!$C$96,0),$B$175+$B$173*($B$161+$B$41+0.02),NA())</f>
        <v>#N/A</v>
      </c>
      <c r="JW20" t="e">
        <f>NA()</f>
        <v>#N/A</v>
      </c>
      <c r="JX20" t="e">
        <f>NA()</f>
        <v>#N/A</v>
      </c>
      <c r="KG20" t="e">
        <f>IF(AND($B$21=1,$B$63=1),$B$182+$B$181*(0),NA())</f>
        <v>#N/A</v>
      </c>
      <c r="KH20" t="e">
        <f>IF(AND($B$21=1,$B$63=1),$B$183+$B$181*($B$178/2+$B$59/2),NA())</f>
        <v>#N/A</v>
      </c>
      <c r="KI20" t="e">
        <f>IF(AND($B$21=1,2*$B$67&gt;$B$59,2*$B$67&lt;$B$178-$B$59,OR($B$63=0,ABS(2*$B$67-$B$178/2)&gt;$B$59/2)),$B$182+$B$181*($B$177*1/4+$B$60/2),NA())</f>
        <v>#N/A</v>
      </c>
      <c r="KJ20" t="e">
        <f>IF(AND($B$21=1,2*$B$67&gt;$B$59,2*$B$67&lt;$B$178-$B$59,OR($B$63=0,ABS(2*$B$67-$B$178/2)&gt;$B$59/2)),$B$183+$B$181*(2*$B$67),NA())</f>
        <v>#N/A</v>
      </c>
      <c r="KK20" t="e">
        <f>IF(AND($B$21=1,$B$63=1),$B$182+$B$181*(0),NA())</f>
        <v>#N/A</v>
      </c>
      <c r="KL20" t="e">
        <f>IF(AND($B$21=1,$B$63=1),$B$183+$B$181*($B$178/2+($B$59/2-$B$41*0.6)),NA())</f>
        <v>#N/A</v>
      </c>
    </row>
    <row r="21">
      <c r="A21" t="inlineStr">
        <is>
          <t>kag</t>
        </is>
      </c>
      <c r="B21">
        <f>'PRÉDIMENSIONNEMENT'!$C$51</f>
        <v>0</v>
      </c>
      <c r="D21" t="inlineStr">
        <is>
          <t>txt_pan</t>
        </is>
      </c>
      <c r="E21" t="str">
        <f>"Pannes "&amp;'PRÉDIMENSIONNEMENT'!$E$77&amp;" : "&amp;'PRÉDIMENSIONNEMENT'!$C$40&amp;" par versant, e = "&amp;FIXED('PRÉDIMENSIONNEMENT'!$C$41,2,TRUE)&amp;" m"</f>
        <v>Pannes Z 200 : 9 par versant, e = 1.27 m</v>
      </c>
      <c r="G21">
        <f>IF(5&lt;=$B$12,$B$133+$B$132*($B$13*5),NA())</f>
        <v>128.733857142857</v>
      </c>
      <c r="H21">
        <f>IF(5&lt;=$B$12,$B$134+$B$132*($B$5+4*$B$135),NA())</f>
        <v>88</v>
      </c>
      <c r="K21" t="e">
        <f>IF(AND(0&lt;=$B$12,$B$45=1),$B$133+$B$132*($B$13*0-$B$27/2),NA())</f>
        <v>#N/A</v>
      </c>
      <c r="L21" t="e">
        <f>IF(AND(0&lt;=$B$12,$B$45=1),$B$134+$B$132*($B$5/2-$B$27/2),NA())</f>
        <v>#N/A</v>
      </c>
      <c r="M21">
        <f>IF(5&lt;=$B$12,$B$133+$B$132*($B$13*5),NA())</f>
        <v>128.733857142857</v>
      </c>
      <c r="N21">
        <f>IF(5&lt;=$B$12,$B$134+$B$132*($B$5),NA())</f>
        <v>84</v>
      </c>
      <c r="O21" t="e">
        <f>IF(9&lt;=$B$14-1,$B$133+$B$132*(0),NA())</f>
        <v>#N/A</v>
      </c>
      <c r="P21" t="e">
        <f>IF(9&lt;=$B$14-1,$B$134+$B$132*(9*$B$15),NA())</f>
        <v>#N/A</v>
      </c>
      <c r="Q21" t="e">
        <f>IF($B$109=1,$B$133+$B$132*(-2.5*$B$135),NA())</f>
        <v>#N/A</v>
      </c>
      <c r="R21" t="e">
        <f>IF($B$109=1,$B$134+$B$132*($B$115),NA())</f>
        <v>#N/A</v>
      </c>
      <c r="EA21" t="e">
        <f>IF(AND($B$18=1,6&lt;=$B$26-1),$B$139+$B$138*(6*($B$5/MAX(1,$B$26))),NA())</f>
        <v>#N/A</v>
      </c>
      <c r="EB21" t="e">
        <f>IF(AND($B$18=1,6&lt;=$B$26-1),$B$140+$B$138*(($B$9+$B$8*MIN(6*($B$5/MAX(1,$B$26)),$B$5-(6*($B$5/MAX(1,$B$26)))))),NA())</f>
        <v>#N/A</v>
      </c>
      <c r="EE21">
        <f>IF(8&lt;=$B$16-1,$B$139+$B$138*(8*($B$5/2)/MAX(1,$B$16-1)),NA())</f>
        <v>96.591</v>
      </c>
      <c r="EF21">
        <f>IF(8&lt;=$B$16-1,$B$140+$B$138*($B$9+$B$8*8*($B$5/2)/MAX(1,$B$16-1)+1.2*$B$141),NA())</f>
        <v>87.282995</v>
      </c>
      <c r="EK21">
        <f>$B$139+$B$138*($B$5-$B$27/2)</f>
        <v>168.58654</v>
      </c>
      <c r="EL21">
        <f>$B$140+$B$138*((-$B$33+$B$34))</f>
        <v>19.06587</v>
      </c>
      <c r="FA21">
        <f>IF(5&lt;=$B$12,$B$145+$B$144*($B$13*5),NA())</f>
        <v>136.558571428571</v>
      </c>
      <c r="FB21">
        <f>IF(5&lt;=$B$12,$B$146+$B$144*($B$9),NA())</f>
        <v>63.23865</v>
      </c>
      <c r="FC21">
        <f>IF(1&lt;$B$22,$B$145+$B$144*(IF(($B$19+1*$B$64)&lt;$B$73,$B$76,$B$75)),NA())</f>
        <v>90.3722375</v>
      </c>
      <c r="FD21">
        <f>IF(1&lt;$B$22,$B$146+$B$144*(($B$19+1*$B$64)),NA())</f>
        <v>46.10454</v>
      </c>
      <c r="FE21" t="e">
        <f>IF(AND($B$21=1,(2*$B$66)&lt;$B$62),$B$145+$B$144*(IF((2*$B$66)&lt;$B$73,$B$76,$B$75)),NA())</f>
        <v>#N/A</v>
      </c>
      <c r="FF21" t="e">
        <f>IF(AND($B$21=1,(2*$B$66)&lt;$B$62),$B$146+$B$144*((2*$B$66)),NA())</f>
        <v>#N/A</v>
      </c>
      <c r="FI21">
        <f>IF(3&lt;=$B$23,$B$145+$B$144*((IF(3=1,1,IF(3=$B$23,$B$12,5*(3-1)))-1)*$B$13),NA())</f>
        <v>159.870285714286</v>
      </c>
      <c r="FJ21">
        <f>IF(3&lt;=$B$23,$B$146+$B$144*($B$9),NA())</f>
        <v>63.23865</v>
      </c>
      <c r="FK21" t="e">
        <f>IF($B$78=1,$B$145+$B$144*($B$84),NA())</f>
        <v>#N/A</v>
      </c>
      <c r="FL21" t="e">
        <f>IF($B$78=1,$B$146+$B$144*($B$80),NA())</f>
        <v>#N/A</v>
      </c>
      <c r="FM21" t="e">
        <f>IF(AND($B$78=1,2&lt;=$B$68),$B$145+$B$144*($B$84+0.1),NA())</f>
        <v>#N/A</v>
      </c>
      <c r="FN21" t="e">
        <f>IF(AND($B$78=1,2&lt;=$B$68),$B$146+$B$144*($B$80+0.15),NA())</f>
        <v>#N/A</v>
      </c>
      <c r="GE21" t="e">
        <f>IF(4&lt;=$B$14-1,$B$151+$B$150*(4*$B$15),NA())</f>
        <v>#N/A</v>
      </c>
      <c r="GF21" t="e">
        <f>IF(4&lt;=$B$14-1,$B$152+$B$150*($B$9+$B$8*MIN(4*$B$15,$B$5-4*$B$15)),NA())</f>
        <v>#N/A</v>
      </c>
      <c r="GG21">
        <f>IF(AND($B$20=1,($B$19+1*$B$64)&lt;$B$10-0.3),$B$151+$B$150*(MAX(IF(($B$19+1*$B$64)&lt;=$B$9,0,(($B$19+1*$B$64)-$B$9)/$B$8),MIN(($B$5-IF(($B$19+1*$B$64)&lt;=$B$9,0,(($B$19+1*$B$64)-$B$9)/$B$8)),IF(($B$19+1*$B$64)&lt;$B$104,$B$107,$B$106)))),NA())</f>
        <v>62.12505</v>
      </c>
      <c r="GH21">
        <f>IF(AND($B$20=1,($B$19+1*$B$64)&lt;$B$10-0.3),$B$152+$B$150*(($B$19+1*$B$64)),NA())</f>
        <v>37.6818</v>
      </c>
      <c r="GI21" t="e">
        <f>IF(AND($B$21=1,(2*$B$66)&lt;IF($B$63=1,$B$10-0.2,$B$62)),$B$151+$B$150*(MAX(IF((2*$B$66)&lt;=$B$9,0,((2*$B$66)-$B$9)/$B$8),MIN(($B$5-IF((2*$B$66)&lt;=$B$9,0,((2*$B$66)-$B$9)/$B$8)),IF((2*$B$66)&lt;$B$104,$B$107,$B$106)))),NA())</f>
        <v>#N/A</v>
      </c>
      <c r="GJ21" t="e">
        <f>IF(AND($B$21=1,(2*$B$66)&lt;IF($B$63=1,$B$10-0.2,$B$62)),$B$152+$B$150*((2*$B$66)),NA())</f>
        <v>#N/A</v>
      </c>
      <c r="GM21" t="e">
        <f>IF($B$109=1,$B$151+$B$150*($B$115),NA())</f>
        <v>#N/A</v>
      </c>
      <c r="GN21" t="e">
        <f>IF($B$109=1,$B$152+$B$150*($B$111),NA())</f>
        <v>#N/A</v>
      </c>
      <c r="GO21" t="e">
        <f>IF(AND($B$109=1,2&lt;=$B$99),$B$151+$B$150*($B$115+0.1),NA())</f>
        <v>#N/A</v>
      </c>
      <c r="GP21" t="e">
        <f>IF(AND($B$109=1,2&lt;=$B$99),$B$152+$B$150*($B$111+0.15),NA())</f>
        <v>#N/A</v>
      </c>
      <c r="HI21">
        <f>IF(2&lt;=$B$16-1,$B$157+$B$156*($B$6+$B$46),NA())</f>
        <v>175.731</v>
      </c>
      <c r="HJ21">
        <f>IF(2&lt;=$B$16-1,$B$158+$B$156*($B$5-2*($B$5/2)/MAX(1,$B$16-1)),NA())</f>
        <v>80.5</v>
      </c>
      <c r="HK21">
        <f>IF(5&lt;=$B$12,$B$157+$B$156*($B$13*5),NA())</f>
        <v>131.162428571429</v>
      </c>
      <c r="HL21">
        <f>IF(5&lt;=$B$12,$B$158+$B$156*($B$5),NA())</f>
        <v>90</v>
      </c>
      <c r="HM21" t="e">
        <f>IF(AND(3&lt;=$B$12,2&lt;=$B$25),$B$157+$B$156*((3-1)*$B$13+2*$B$13/($B$25+1)),NA())</f>
        <v>#N/A</v>
      </c>
      <c r="HN21" t="e">
        <f>IF(AND(3&lt;=$B$12,2&lt;=$B$25),$B$158+$B$156*($B$5),NA())</f>
        <v>#N/A</v>
      </c>
      <c r="HQ21" t="e">
        <f>IF(AND(1&lt;=$B$23,3&lt;=$B$24),$B$157+$B$156*(IF(1=1,1,IF(1=$B$23,$B$12,5*(1-1)))*$B$13),NA())</f>
        <v>#N/A</v>
      </c>
      <c r="HR21" t="e">
        <f>IF(AND(1&lt;=$B$23,3&lt;=$B$24),$B$158+$B$156*((0*$B$5/2+(3-1)*($B$5/2)/$B$24)),NA())</f>
        <v>#N/A</v>
      </c>
      <c r="HS21">
        <f>IF(AND(1&lt;=$B$12,$B$51&gt;0),$B$157+$B$156*(((1-0.5)*$B$13)-($B$51*$B$13)/2),NA())</f>
        <v>32.3624285714286</v>
      </c>
      <c r="HT21">
        <f>IF(AND(1&lt;=$B$12,$B$51&gt;0),$B$158+$B$156*((1*$B$5/2+0.6*$B$159)),NA())</f>
        <v>52.6</v>
      </c>
      <c r="HU21">
        <f>IF(2&lt;=$B$47,$B$157+$B$156*(((MAX(1,MIN($B$12,ROUND(2*$B$12/($B$47+1),0)))-1)*$B$13+0.25*$B$13)-$B$48/2),NA())</f>
        <v>69.1681428571429</v>
      </c>
      <c r="HV21">
        <f>IF(2&lt;=$B$47,$B$158+$B$156*(IF(MOD(2,2)=1,$B$5/4,3*$B$5/4)-$B$49/2),NA())</f>
        <v>68.72</v>
      </c>
      <c r="HW21" t="e">
        <f>IF(9&lt;=$B$50/2,$B$157+$B$156*((9-0.5)*$B$6/MAX(1,$B$50/2)),NA())</f>
        <v>#N/A</v>
      </c>
      <c r="HX21" t="e">
        <f>IF(9&lt;=$B$50/2,$B$158+$B$156*(0),NA())</f>
        <v>#N/A</v>
      </c>
      <c r="IK21">
        <f>$B$174+$B$173*($B$169-$B$27/2-0.05)</f>
        <v>78.7102</v>
      </c>
      <c r="IL21">
        <f>$B$175+$B$173*($B$160)</f>
        <v>20.6449</v>
      </c>
      <c r="IM21">
        <f>IF($B$162+4*$B$67&lt;$B$163,$B$174+$B$173*(0.075),NA())</f>
        <v>33.2773</v>
      </c>
      <c r="IN21">
        <f>IF($B$162+4*$B$67&lt;$B$163,$B$175+$B$173*($B$162+4*$B$67),NA())</f>
        <v>47.5207</v>
      </c>
      <c r="IO21">
        <f>$B$174+$B$173*(0.075+(3+0.5)*($B$170-0.075)/12)</f>
        <v>61.8328375</v>
      </c>
      <c r="IP21">
        <f>$B$175+$B$173*($B$164)</f>
        <v>56.4793</v>
      </c>
      <c r="IU21">
        <f>IF($B$167+0.05+0*'PARAMÈTRES'!$C$101&lt;$B$168-$B$41,$B$174+$B$173*($B$169-$B$29/2+$B$41),NA())</f>
        <v>91.5082</v>
      </c>
      <c r="IV21">
        <f>IF($B$167+0.05+0*'PARAMÈTRES'!$C$101&lt;$B$168-$B$41,$B$175+$B$173*($B$167+0.05+0*'PARAMÈTRES'!$C$101),NA())</f>
        <v>33.4429</v>
      </c>
      <c r="IW21" t="e">
        <f>IF(12&lt;=ROUNDDOWN(($B$27-2*$B$41)/'PARAMÈTRES'!$C$96,0),$B$174+$B$173*($B$169-$B$27/2+$B$41+12*'PARAMÈTRES'!$C$96),NA())</f>
        <v>#N/A</v>
      </c>
      <c r="IX21" t="e">
        <f>IF(12&lt;=ROUNDDOWN(($B$27-2*$B$41)/'PARAMÈTRES'!$C$96,0),$B$175+$B$173*($B$161+$B$41+0.02),NA())</f>
        <v>#N/A</v>
      </c>
      <c r="JW21">
        <f>$B$174+$B$173*(-0.075)</f>
        <v>29.4379</v>
      </c>
      <c r="JX21">
        <f>$B$175+$B$173*(0)</f>
        <v>51.3601</v>
      </c>
      <c r="KG21" t="e">
        <f>IF(AND($B$21=1,$B$63=1),$B$182+$B$181*(0),NA())</f>
        <v>#N/A</v>
      </c>
      <c r="KH21" t="e">
        <f>IF(AND($B$21=1,$B$63=1),$B$183+$B$181*($B$178/2-$B$59/2),NA())</f>
        <v>#N/A</v>
      </c>
      <c r="KI21" t="e">
        <f>IF(AND($B$21=1,2*$B$67&gt;$B$59,2*$B$67&lt;$B$178-$B$59,OR($B$63=0,ABS(2*$B$67-$B$178/2)&gt;$B$59/2)),$B$182+$B$181*($B$177*2/4-$B$60/2),NA())</f>
        <v>#N/A</v>
      </c>
      <c r="KJ21" t="e">
        <f>IF(AND($B$21=1,2*$B$67&gt;$B$59,2*$B$67&lt;$B$178-$B$59,OR($B$63=0,ABS(2*$B$67-$B$178/2)&gt;$B$59/2)),$B$183+$B$181*(2*$B$67),NA())</f>
        <v>#N/A</v>
      </c>
      <c r="KK21" t="e">
        <f>IF(AND($B$21=1,$B$63=1),$B$182+$B$181*($B$177),NA())</f>
        <v>#N/A</v>
      </c>
      <c r="KL21" t="e">
        <f>IF(AND($B$21=1,$B$63=1),$B$183+$B$181*($B$178/2+($B$59/2-$B$41*0.6)),NA())</f>
        <v>#N/A</v>
      </c>
    </row>
    <row r="22">
      <c r="A22" t="inlineStr">
        <is>
          <t>n_rows</t>
        </is>
      </c>
      <c r="B22">
        <f>'PRÉDIMENSIONNEMENT'!$C$59</f>
        <v>4</v>
      </c>
      <c r="D22" t="inlineStr">
        <is>
          <t>txt_pig</t>
        </is>
      </c>
      <c r="E22" t="str">
        <f>"Poteaux de pignon "&amp;'PRÉDIMENSIONNEMENT'!$E$75&amp;" e = "&amp;FIXED('PRÉDIMENSIONNEMENT'!$C$36,2,TRUE)&amp;" m"</f>
        <v>Poteaux de pignon IPE 220 e = 5.00 m</v>
      </c>
      <c r="G22" t="e">
        <f>NA()</f>
        <v>#N/A</v>
      </c>
      <c r="H22" t="e">
        <f>NA()</f>
        <v>#N/A</v>
      </c>
      <c r="K22" t="e">
        <f>NA()</f>
        <v>#N/A</v>
      </c>
      <c r="L22" t="e">
        <f>NA()</f>
        <v>#N/A</v>
      </c>
      <c r="M22" t="e">
        <f>IF(AND(5&lt;=$B$12,$B$45=1),$B$133+$B$132*($B$13*5),NA())</f>
        <v>#N/A</v>
      </c>
      <c r="N22" t="e">
        <f>IF(AND(5&lt;=$B$12,$B$45=1),$B$134+$B$132*($B$5/2),NA())</f>
        <v>#N/A</v>
      </c>
      <c r="O22" t="e">
        <f>IF(9&lt;=$B$14-1,$B$133+$B$132*($B$6),NA())</f>
        <v>#N/A</v>
      </c>
      <c r="P22" t="e">
        <f>IF(9&lt;=$B$14-1,$B$134+$B$132*(9*$B$15),NA())</f>
        <v>#N/A</v>
      </c>
      <c r="Q22" t="e">
        <f>NA()</f>
        <v>#N/A</v>
      </c>
      <c r="R22" t="e">
        <f>NA()</f>
        <v>#N/A</v>
      </c>
      <c r="EA22" t="e">
        <f>NA()</f>
        <v>#N/A</v>
      </c>
      <c r="EB22" t="e">
        <f>NA()</f>
        <v>#N/A</v>
      </c>
      <c r="EE22">
        <f>IF(8&lt;=$B$16-1,$B$139+$B$138*($B$5-8*($B$5/2)/MAX(1,$B$16-1)),NA())</f>
        <v>96.591</v>
      </c>
      <c r="EF22">
        <f>IF(8&lt;=$B$16-1,$B$140+$B$138*($B$9+$B$8*8*($B$5/2)/MAX(1,$B$16-1)+1.2*$B$141),NA())</f>
        <v>87.282995</v>
      </c>
      <c r="EK22" t="e">
        <f>NA()</f>
        <v>#N/A</v>
      </c>
      <c r="EL22" t="e">
        <f>NA()</f>
        <v>#N/A</v>
      </c>
      <c r="FA22" t="e">
        <f>NA()</f>
        <v>#N/A</v>
      </c>
      <c r="FB22" t="e">
        <f>NA()</f>
        <v>#N/A</v>
      </c>
      <c r="FC22" t="e">
        <f>IF(AND(1&lt;$B$22,($B$19+1*$B$64)&gt;=$B$73),$B$145+$B$144*($B$75),NA())</f>
        <v>#N/A</v>
      </c>
      <c r="FD22" t="e">
        <f>IF(AND(1&lt;$B$22,($B$19+1*$B$64)&gt;=$B$73),$B$146+$B$144*(($B$19+1*$B$64)),NA())</f>
        <v>#N/A</v>
      </c>
      <c r="FE22" t="e">
        <f>IF(AND(AND($B$21=1,(2*$B$66)&lt;$B$62),(2*$B$66)&gt;=$B$73),$B$145+$B$144*($B$75),NA())</f>
        <v>#N/A</v>
      </c>
      <c r="FF22" t="e">
        <f>IF(AND(AND($B$21=1,(2*$B$66)&lt;$B$62),(2*$B$66)&gt;=$B$73),$B$146+$B$144*((2*$B$66)),NA())</f>
        <v>#N/A</v>
      </c>
      <c r="FI22" t="e">
        <f>NA()</f>
        <v>#N/A</v>
      </c>
      <c r="FJ22" t="e">
        <f>NA()</f>
        <v>#N/A</v>
      </c>
      <c r="FK22" t="e">
        <f>NA()</f>
        <v>#N/A</v>
      </c>
      <c r="FL22" t="e">
        <f>NA()</f>
        <v>#N/A</v>
      </c>
      <c r="FM22" t="e">
        <f>NA()</f>
        <v>#N/A</v>
      </c>
      <c r="FN22" t="e">
        <f>NA()</f>
        <v>#N/A</v>
      </c>
      <c r="GE22" t="e">
        <f>NA()</f>
        <v>#N/A</v>
      </c>
      <c r="GF22" t="e">
        <f>NA()</f>
        <v>#N/A</v>
      </c>
      <c r="GG22" t="e">
        <f>IF(AND(AND($B$20=1,($B$19+1*$B$64)&lt;$B$10-0.3),($B$19+1*$B$64)&gt;=$B$104),$B$151+$B$150*(MAX(IF(($B$19+1*$B$64)&lt;=$B$9,0,(($B$19+1*$B$64)-$B$9)/$B$8),MIN(($B$5-IF(($B$19+1*$B$64)&lt;=$B$9,0,(($B$19+1*$B$64)-$B$9)/$B$8)),$B$106))),NA())</f>
        <v>#N/A</v>
      </c>
      <c r="GH22" t="e">
        <f>IF(AND(AND($B$20=1,($B$19+1*$B$64)&lt;$B$10-0.3),($B$19+1*$B$64)&gt;=$B$104),$B$152+$B$150*(($B$19+1*$B$64)),NA())</f>
        <v>#N/A</v>
      </c>
      <c r="GI22" t="e">
        <f>IF(AND(AND($B$21=1,(2*$B$66)&lt;IF($B$63=1,$B$10-0.2,$B$62)),(2*$B$66)&gt;=$B$104),$B$151+$B$150*(MAX(IF((2*$B$66)&lt;=$B$9,0,((2*$B$66)-$B$9)/$B$8),MIN(($B$5-IF((2*$B$66)&lt;=$B$9,0,((2*$B$66)-$B$9)/$B$8)),$B$106))),NA())</f>
        <v>#N/A</v>
      </c>
      <c r="GJ22" t="e">
        <f>IF(AND(AND($B$21=1,(2*$B$66)&lt;IF($B$63=1,$B$10-0.2,$B$62)),(2*$B$66)&gt;=$B$104),$B$152+$B$150*((2*$B$66)),NA())</f>
        <v>#N/A</v>
      </c>
      <c r="GM22" t="e">
        <f>NA()</f>
        <v>#N/A</v>
      </c>
      <c r="GN22" t="e">
        <f>NA()</f>
        <v>#N/A</v>
      </c>
      <c r="GO22" t="e">
        <f>NA()</f>
        <v>#N/A</v>
      </c>
      <c r="GP22" t="e">
        <f>NA()</f>
        <v>#N/A</v>
      </c>
      <c r="HI22" t="e">
        <f>NA()</f>
        <v>#N/A</v>
      </c>
      <c r="HJ22" t="e">
        <f>NA()</f>
        <v>#N/A</v>
      </c>
      <c r="HK22" t="e">
        <f>NA()</f>
        <v>#N/A</v>
      </c>
      <c r="HL22" t="e">
        <f>NA()</f>
        <v>#N/A</v>
      </c>
      <c r="HM22" t="e">
        <f>NA()</f>
        <v>#N/A</v>
      </c>
      <c r="HN22" t="e">
        <f>NA()</f>
        <v>#N/A</v>
      </c>
      <c r="HQ22" t="e">
        <f>NA()</f>
        <v>#N/A</v>
      </c>
      <c r="HR22" t="e">
        <f>NA()</f>
        <v>#N/A</v>
      </c>
      <c r="HS22" t="e">
        <f>NA()</f>
        <v>#N/A</v>
      </c>
      <c r="HT22" t="e">
        <f>NA()</f>
        <v>#N/A</v>
      </c>
      <c r="HU22" t="e">
        <f>NA()</f>
        <v>#N/A</v>
      </c>
      <c r="HV22" t="e">
        <f>NA()</f>
        <v>#N/A</v>
      </c>
      <c r="HW22" t="e">
        <f>IF(9&lt;=$B$50/2,$B$157+$B$156*((9-0.5)*$B$6/MAX(1,$B$50/2)),NA())</f>
        <v>#N/A</v>
      </c>
      <c r="HX22" t="e">
        <f>IF(9&lt;=$B$50/2,$B$158+$B$156*($B$5),NA())</f>
        <v>#N/A</v>
      </c>
      <c r="IK22" t="e">
        <f>NA()</f>
        <v>#N/A</v>
      </c>
      <c r="IL22" t="e">
        <f>NA()</f>
        <v>#N/A</v>
      </c>
      <c r="IM22" t="e">
        <f>NA()</f>
        <v>#N/A</v>
      </c>
      <c r="IN22" t="e">
        <f>NA()</f>
        <v>#N/A</v>
      </c>
      <c r="IO22" t="e">
        <f>NA()</f>
        <v>#N/A</v>
      </c>
      <c r="IP22" t="e">
        <f>NA()</f>
        <v>#N/A</v>
      </c>
      <c r="IU22">
        <f>IF($B$167+0.05+0*'PARAMÈTRES'!$C$101&lt;$B$168-$B$41,$B$174+$B$173*($B$169+$B$29/2-$B$41),NA())</f>
        <v>99.187</v>
      </c>
      <c r="IV22">
        <f>IF($B$167+0.05+0*'PARAMÈTRES'!$C$101&lt;$B$168-$B$41,$B$175+$B$173*($B$167+0.05+0*'PARAMÈTRES'!$C$101),NA())</f>
        <v>33.4429</v>
      </c>
      <c r="IW22" t="e">
        <f>IF(13&lt;=ROUNDDOWN(($B$27-2*$B$41)/'PARAMÈTRES'!$C$96,0),$B$174+$B$173*($B$169-$B$27/2+$B$41+13*'PARAMÈTRES'!$C$96),NA())</f>
        <v>#N/A</v>
      </c>
      <c r="IX22" t="e">
        <f>IF(13&lt;=ROUNDDOWN(($B$27-2*$B$41)/'PARAMÈTRES'!$C$96,0),$B$175+$B$173*($B$161+$B$41+0.02),NA())</f>
        <v>#N/A</v>
      </c>
      <c r="JW22">
        <f>$B$174+$B$173*($B$170+1*$B$176)</f>
        <v>132.182</v>
      </c>
      <c r="JX22">
        <f>$B$175+$B$173*(0)</f>
        <v>51.3601</v>
      </c>
      <c r="KG22" t="e">
        <f>NA()</f>
        <v>#N/A</v>
      </c>
      <c r="KH22" t="e">
        <f>NA()</f>
        <v>#N/A</v>
      </c>
      <c r="KI22" t="e">
        <f>NA()</f>
        <v>#N/A</v>
      </c>
      <c r="KJ22" t="e">
        <f>NA()</f>
        <v>#N/A</v>
      </c>
      <c r="KK22" t="e">
        <f>NA()</f>
        <v>#N/A</v>
      </c>
      <c r="KL22" t="e">
        <f>NA()</f>
        <v>#N/A</v>
      </c>
    </row>
    <row r="23">
      <c r="A23" t="inlineStr">
        <is>
          <t>nb_cv</t>
        </is>
      </c>
      <c r="B23">
        <f>'PRÉDIMENSIONNEMENT'!$C$44</f>
        <v>3</v>
      </c>
      <c r="D23" t="inlineStr">
        <is>
          <t>p6_tD</t>
        </is>
      </c>
      <c r="E23" t="str">
        <f>"Prof. "&amp;FIXED('PARAMÈTRES'!$C$83,2,TRUE)&amp;" m"</f>
        <v>Prof. 1.20 m</v>
      </c>
      <c r="G23">
        <f>IF(6&lt;=$B$12,$B$133+$B$132*($B$13*6),NA())</f>
        <v>148.162428571429</v>
      </c>
      <c r="H23">
        <f>IF(6&lt;=$B$12,$B$134+$B$132*(-4*$B$135),NA())</f>
        <v>12</v>
      </c>
      <c r="K23">
        <f>IF(1&lt;=$B$12,$B$133+$B$132*($B$13*1-$B$27/2),NA())</f>
        <v>48.9795714285714</v>
      </c>
      <c r="L23">
        <f>IF(1&lt;=$B$12,$B$134+$B$132*(0-$B$27/2),NA())</f>
        <v>13.96</v>
      </c>
      <c r="M23">
        <f>IF(6&lt;=$B$12,$B$133+$B$132*($B$13*6),NA())</f>
        <v>148.162428571429</v>
      </c>
      <c r="N23">
        <f>IF(6&lt;=$B$12,$B$134+$B$132*(0),NA())</f>
        <v>16</v>
      </c>
      <c r="O23" t="e">
        <f>IF(10&lt;=$B$14-1,$B$133+$B$132*(0),NA())</f>
        <v>#N/A</v>
      </c>
      <c r="P23" t="e">
        <f>IF(10&lt;=$B$14-1,$B$134+$B$132*(10*$B$15),NA())</f>
        <v>#N/A</v>
      </c>
      <c r="Q23" t="e">
        <f>IF($B$116=1,$B$133+$B$132*(-2.5*$B$135),NA())</f>
        <v>#N/A</v>
      </c>
      <c r="R23" t="e">
        <f>IF($B$116=1,$B$134+$B$132*($B$121),NA())</f>
        <v>#N/A</v>
      </c>
      <c r="EA23" t="e">
        <f>IF(AND($B$18=1,7&lt;=$B$26-1),$B$139+$B$138*(7*($B$5/MAX(1,$B$26))),NA())</f>
        <v>#N/A</v>
      </c>
      <c r="EB23" t="e">
        <f>IF(AND($B$18=1,7&lt;=$B$26-1),$B$140+$B$138*($B$7),NA())</f>
        <v>#N/A</v>
      </c>
      <c r="EE23" t="e">
        <f>IF(9&lt;=$B$16-1,$B$139+$B$138*(9*($B$5/2)/MAX(1,$B$16-1)),NA())</f>
        <v>#N/A</v>
      </c>
      <c r="EF23" t="e">
        <f>IF(9&lt;=$B$16-1,$B$140+$B$138*($B$9+$B$8*9*($B$5/2)/MAX(1,$B$16-1)+1.2*$B$141),NA())</f>
        <v>#N/A</v>
      </c>
      <c r="EK23">
        <f>$B$139+$B$138*($B$5-$B$29/2)</f>
        <v>171.65018</v>
      </c>
      <c r="EL23">
        <f>$B$140+$B$138*((-$B$33+$B$34)+$B$35)</f>
        <v>22.12951</v>
      </c>
      <c r="FA23">
        <f>IF(6&lt;=$B$12,$B$145+$B$144*($B$13*6),NA())</f>
        <v>159.870285714286</v>
      </c>
      <c r="FB23">
        <f>IF(6&lt;=$B$12,$B$146+$B$144*(0),NA())</f>
        <v>38.76135</v>
      </c>
      <c r="FC23">
        <f>IF(1&lt;$B$22,$B$145+$B$144*(IF(($B$19+1*$B$64)&lt;$B$73,$B$77,$B$75)),NA())</f>
        <v>112.8097625</v>
      </c>
      <c r="FD23">
        <f>IF(1&lt;$B$22,$B$146+$B$144*(($B$19+1*$B$64)),NA())</f>
        <v>46.10454</v>
      </c>
      <c r="FE23" t="e">
        <f>IF(AND($B$21=1,(2*$B$66)&lt;$B$62),$B$145+$B$144*(IF((2*$B$66)&lt;$B$73,$B$77,$B$75)),NA())</f>
        <v>#N/A</v>
      </c>
      <c r="FF23" t="e">
        <f>IF(AND($B$21=1,(2*$B$66)&lt;$B$62),$B$146+$B$144*((2*$B$66)),NA())</f>
        <v>#N/A</v>
      </c>
      <c r="FI23" t="e">
        <f>IF(4&lt;=$B$23,$B$145+$B$144*((IF(4=1,1,IF(4=$B$23,$B$12,5*(4-1)))-1)*$B$13),NA())</f>
        <v>#N/A</v>
      </c>
      <c r="FJ23" t="e">
        <f>IF(4&lt;=$B$23,$B$146+$B$144*(0),NA())</f>
        <v>#N/A</v>
      </c>
      <c r="FK23" t="e">
        <f>IF($B$85=1,$B$145+$B$144*($B$90),NA())</f>
        <v>#N/A</v>
      </c>
      <c r="FL23" t="e">
        <f>IF($B$85=1,$B$146+$B$144*(0),NA())</f>
        <v>#N/A</v>
      </c>
      <c r="FM23" t="e">
        <f>IF($B$85=1,$B$145+$B$144*($B$90),NA())</f>
        <v>#N/A</v>
      </c>
      <c r="FN23" t="e">
        <f>IF($B$85=1,$B$146+$B$144*(0),NA())</f>
        <v>#N/A</v>
      </c>
      <c r="GE23" t="e">
        <f>IF(5&lt;=$B$14-1,$B$151+$B$150*(5*$B$15),NA())</f>
        <v>#N/A</v>
      </c>
      <c r="GF23" t="e">
        <f>IF(5&lt;=$B$14-1,$B$152+$B$150*(0),NA())</f>
        <v>#N/A</v>
      </c>
      <c r="GG23">
        <f>IF(AND($B$20=1,($B$19+1*$B$64)&lt;$B$10-0.3),$B$151+$B$150*(MAX(IF(($B$19+1*$B$64)&lt;=$B$9,0,(($B$19+1*$B$64)-$B$9)/$B$8),MIN(($B$5-IF(($B$19+1*$B$64)&lt;=$B$9,0,(($B$19+1*$B$64)-$B$9)/$B$8)),IF(($B$19+1*$B$64)&lt;$B$104,$B$108,$B$106)))),NA())</f>
        <v>92.76145</v>
      </c>
      <c r="GH23">
        <f>IF(AND($B$20=1,($B$19+1*$B$64)&lt;$B$10-0.3),$B$152+$B$150*(($B$19+1*$B$64)),NA())</f>
        <v>37.6818</v>
      </c>
      <c r="GI23" t="e">
        <f>IF(AND($B$21=1,(2*$B$66)&lt;IF($B$63=1,$B$10-0.2,$B$62)),$B$151+$B$150*(MAX(IF((2*$B$66)&lt;=$B$9,0,((2*$B$66)-$B$9)/$B$8),MIN(($B$5-IF((2*$B$66)&lt;=$B$9,0,((2*$B$66)-$B$9)/$B$8)),IF((2*$B$66)&lt;$B$104,$B$108,$B$106)))),NA())</f>
        <v>#N/A</v>
      </c>
      <c r="GJ23" t="e">
        <f>IF(AND($B$21=1,(2*$B$66)&lt;IF($B$63=1,$B$10-0.2,$B$62)),$B$152+$B$150*((2*$B$66)),NA())</f>
        <v>#N/A</v>
      </c>
      <c r="GM23" t="e">
        <f>IF($B$116=1,$B$151+$B$150*($B$121),NA())</f>
        <v>#N/A</v>
      </c>
      <c r="GN23" t="e">
        <f>IF($B$116=1,$B$152+$B$150*(0),NA())</f>
        <v>#N/A</v>
      </c>
      <c r="GO23" t="e">
        <f>IF($B$116=1,$B$151+$B$150*($B$121),NA())</f>
        <v>#N/A</v>
      </c>
      <c r="GP23" t="e">
        <f>IF($B$116=1,$B$152+$B$150*(0),NA())</f>
        <v>#N/A</v>
      </c>
      <c r="HI23">
        <f>IF(3&lt;=$B$16-1,$B$157+$B$156*(-$B$46),NA())</f>
        <v>21.451</v>
      </c>
      <c r="HJ23">
        <f>IF(3&lt;=$B$16-1,$B$158+$B$156*(3*($B$5/2)/MAX(1,$B$16-1)),NA())</f>
        <v>28.25</v>
      </c>
      <c r="HK23">
        <f>IF(6&lt;=$B$12,$B$157+$B$156*($B$13*6),NA())</f>
        <v>152.876714285714</v>
      </c>
      <c r="HL23">
        <f>IF(6&lt;=$B$12,$B$158+$B$156*(0),NA())</f>
        <v>14</v>
      </c>
      <c r="HM23">
        <f>IF(AND(4&lt;=$B$12,1&lt;=$B$25),$B$157+$B$156*((4-1)*$B$13+1*$B$13/($B$25+1)),NA())</f>
        <v>98.591</v>
      </c>
      <c r="HN23">
        <f>IF(AND(4&lt;=$B$12,1&lt;=$B$25),$B$158+$B$156*(0),NA())</f>
        <v>14</v>
      </c>
      <c r="HQ23" t="e">
        <f>IF(AND(1&lt;=$B$23,4&lt;=$B$24),$B$157+$B$156*((IF(1=1,1,IF(1=$B$23,$B$12,5*(1-1)))-1)*$B$13),NA())</f>
        <v>#N/A</v>
      </c>
      <c r="HR23" t="e">
        <f>IF(AND(1&lt;=$B$23,4&lt;=$B$24),$B$158+$B$156*((0*$B$5/2+(4-1)*($B$5/2)/$B$24)),NA())</f>
        <v>#N/A</v>
      </c>
      <c r="HS23">
        <f>IF(AND(1&lt;=$B$12,$B$51&gt;0),$B$157+$B$156*(((1-0.5)*$B$13)-($B$51*$B$13)/2),NA())</f>
        <v>32.3624285714286</v>
      </c>
      <c r="HT23">
        <f>IF(AND(1&lt;=$B$12,$B$51&gt;0),$B$158+$B$156*((1*$B$5/2+0.6*$B$159)),NA())</f>
        <v>52.6</v>
      </c>
      <c r="HU23">
        <f>IF(2&lt;=$B$47,$B$157+$B$156*(((MAX(1,MIN($B$12,ROUND(2*$B$12/($B$47+1),0)))-1)*$B$13+0.25*$B$13)-$B$48/2-0.2),NA())</f>
        <v>68.4081428571429</v>
      </c>
      <c r="HV23">
        <f>IF(2&lt;=$B$47,$B$158+$B$156*(IF(MOD(2,2)=1,$B$5/4,3*$B$5/4)-$B$49/2-0.2),NA())</f>
        <v>67.96</v>
      </c>
      <c r="HW23" t="e">
        <f>IF(10&lt;=$B$50/2,$B$157+$B$156*((10-0.5)*$B$6/MAX(1,$B$50/2)),NA())</f>
        <v>#N/A</v>
      </c>
      <c r="HX23" t="e">
        <f>IF(10&lt;=$B$50/2,$B$158+$B$156*(0),NA())</f>
        <v>#N/A</v>
      </c>
      <c r="IK23">
        <f>$B$174+$B$173*($B$169-$B$27/2)</f>
        <v>79.99</v>
      </c>
      <c r="IL23">
        <f>$B$175+$B$173*($B$161)</f>
        <v>21.9247</v>
      </c>
      <c r="IM23" t="e">
        <f>IF($B$162+5*$B$67&lt;$B$163,$B$174+$B$173*(-0.075),NA())</f>
        <v>#N/A</v>
      </c>
      <c r="IN23" t="e">
        <f>IF($B$162+5*$B$67&lt;$B$163,$B$175+$B$173*($B$162+5*$B$67),NA())</f>
        <v>#N/A</v>
      </c>
      <c r="IO23">
        <f>$B$174+$B$173*(0.075+4*($B$170-0.075)/12)</f>
        <v>65.9122</v>
      </c>
      <c r="IP23">
        <f>$B$175+$B$173*(0)</f>
        <v>51.3601</v>
      </c>
      <c r="IU23" t="e">
        <f>NA()</f>
        <v>#N/A</v>
      </c>
      <c r="IV23" t="e">
        <f>NA()</f>
        <v>#N/A</v>
      </c>
      <c r="IW23" t="e">
        <f>IF(14&lt;=ROUNDDOWN(($B$27-2*$B$41)/'PARAMÈTRES'!$C$96,0),$B$174+$B$173*($B$169-$B$27/2+$B$41+14*'PARAMÈTRES'!$C$96),NA())</f>
        <v>#N/A</v>
      </c>
      <c r="IX23" t="e">
        <f>IF(14&lt;=ROUNDDOWN(($B$27-2*$B$41)/'PARAMÈTRES'!$C$96,0),$B$175+$B$173*($B$161+$B$41+0.02),NA())</f>
        <v>#N/A</v>
      </c>
      <c r="JW23">
        <f>$B$174+$B$173*($B$170+4*$B$176)</f>
        <v>135.182</v>
      </c>
      <c r="JX23">
        <f>$B$175+$B$173*((MAX($B$166,$B$168)+0.75)-4*6.5*$B$176)</f>
        <v>56.0753</v>
      </c>
      <c r="KG23" t="e">
        <f>IF($B$21=1,$B$182+$B$181*($B$177*1/4-$B$60/2),NA())</f>
        <v>#N/A</v>
      </c>
      <c r="KH23" t="e">
        <f>IF($B$21=1,$B$183+$B$181*($B$59),NA())</f>
        <v>#N/A</v>
      </c>
      <c r="KI23" t="e">
        <f>IF(AND($B$21=1,2*$B$67&gt;$B$59,2*$B$67&lt;$B$178-$B$59,OR($B$63=0,ABS(2*$B$67-$B$178/2)&gt;$B$59/2)),$B$182+$B$181*($B$177*2/4+$B$60/2),NA())</f>
        <v>#N/A</v>
      </c>
      <c r="KJ23" t="e">
        <f>IF(AND($B$21=1,2*$B$67&gt;$B$59,2*$B$67&lt;$B$178-$B$59,OR($B$63=0,ABS(2*$B$67-$B$178/2)&gt;$B$59/2)),$B$183+$B$181*(2*$B$67),NA())</f>
        <v>#N/A</v>
      </c>
      <c r="KK23" t="e">
        <f>IF($B$21=1,$B$182+$B$181*($B$177*1/4-($B$60/2-$B$41*0.5)),NA())</f>
        <v>#N/A</v>
      </c>
      <c r="KL23" t="e">
        <f>IF($B$21=1,$B$183+$B$181*($B$41),NA())</f>
        <v>#N/A</v>
      </c>
    </row>
    <row r="24">
      <c r="A24" t="inlineStr">
        <is>
          <t>n_pv</t>
        </is>
      </c>
      <c r="B24">
        <f>'PRÉDIMENSIONNEMENT'!$C$45</f>
        <v>2</v>
      </c>
      <c r="D24" t="inlineStr">
        <is>
          <t>p6_tf</t>
        </is>
      </c>
      <c r="E24" t="str">
        <f>"Semelle filante "&amp;'PARAMÈTRES'!$C$102*100&amp;" × "&amp;'PARAMÈTRES'!$C$103*100</f>
        <v>Semelle filante 60 × 20</v>
      </c>
      <c r="G24">
        <f>IF(6&lt;=$B$12,$B$133+$B$132*($B$13*6),NA())</f>
        <v>148.162428571429</v>
      </c>
      <c r="H24">
        <f>IF(6&lt;=$B$12,$B$134+$B$132*($B$5+4*$B$135),NA())</f>
        <v>88</v>
      </c>
      <c r="K24">
        <f>IF(1&lt;=$B$12,$B$133+$B$132*($B$13*1+$B$27/2),NA())</f>
        <v>53.0595714285714</v>
      </c>
      <c r="L24">
        <f>IF(1&lt;=$B$12,$B$134+$B$132*(0-$B$27/2),NA())</f>
        <v>13.96</v>
      </c>
      <c r="M24">
        <f>IF(6&lt;=$B$12,$B$133+$B$132*($B$13*6),NA())</f>
        <v>148.162428571429</v>
      </c>
      <c r="N24">
        <f>IF(6&lt;=$B$12,$B$134+$B$132*($B$5),NA())</f>
        <v>84</v>
      </c>
      <c r="O24" t="e">
        <f>IF(10&lt;=$B$14-1,$B$133+$B$132*($B$6),NA())</f>
        <v>#N/A</v>
      </c>
      <c r="P24" t="e">
        <f>IF(10&lt;=$B$14-1,$B$134+$B$132*(10*$B$15),NA())</f>
        <v>#N/A</v>
      </c>
      <c r="Q24" t="e">
        <f>IF($B$116=1,$B$133+$B$132*(-2.5*$B$135),NA())</f>
        <v>#N/A</v>
      </c>
      <c r="R24" t="e">
        <f>IF($B$116=1,$B$134+$B$132*($B$122),NA())</f>
        <v>#N/A</v>
      </c>
      <c r="EA24" t="e">
        <f>IF(AND($B$18=1,7&lt;=$B$26-1),$B$139+$B$138*(7*($B$5/MAX(1,$B$26))),NA())</f>
        <v>#N/A</v>
      </c>
      <c r="EB24" t="e">
        <f>IF(AND($B$18=1,7&lt;=$B$26-1),$B$140+$B$138*(($B$9+$B$8*MIN(7*($B$5/MAX(1,$B$26)),$B$5-(7*($B$5/MAX(1,$B$26)))))),NA())</f>
        <v>#N/A</v>
      </c>
      <c r="EE24" t="e">
        <f>IF(9&lt;=$B$16-1,$B$139+$B$138*($B$5-9*($B$5/2)/MAX(1,$B$16-1)),NA())</f>
        <v>#N/A</v>
      </c>
      <c r="EF24" t="e">
        <f>IF(9&lt;=$B$16-1,$B$140+$B$138*($B$9+$B$8*9*($B$5/2)/MAX(1,$B$16-1)+1.2*$B$141),NA())</f>
        <v>#N/A</v>
      </c>
      <c r="EK24">
        <f>$B$139+$B$138*($B$5-$B$29/2)</f>
        <v>171.65018</v>
      </c>
      <c r="EL24">
        <f>$B$140+$B$138*(0)</f>
        <v>27.873835</v>
      </c>
      <c r="FA24">
        <f>IF(6&lt;=$B$12,$B$145+$B$144*($B$13*6),NA())</f>
        <v>159.870285714286</v>
      </c>
      <c r="FB24">
        <f>IF(6&lt;=$B$12,$B$146+$B$144*($B$9),NA())</f>
        <v>63.23865</v>
      </c>
      <c r="FC24">
        <f>IF(1&lt;$B$22,$B$145+$B$144*(IF(($B$19+1*$B$64)&lt;$B$80,$B$83,$B$82)),NA())</f>
        <v>183.182</v>
      </c>
      <c r="FD24">
        <f>IF(1&lt;$B$22,$B$146+$B$144*(($B$19+1*$B$64)),NA())</f>
        <v>46.10454</v>
      </c>
      <c r="FE24" t="e">
        <f>IF(AND($B$21=1,(2*$B$66)&lt;$B$62),$B$145+$B$144*(IF((2*$B$66)&lt;$B$80,$B$83,$B$82)),NA())</f>
        <v>#N/A</v>
      </c>
      <c r="FF24" t="e">
        <f>IF(AND($B$21=1,(2*$B$66)&lt;$B$62),$B$146+$B$144*((2*$B$66)),NA())</f>
        <v>#N/A</v>
      </c>
      <c r="FI24" t="e">
        <f>IF(4&lt;=$B$23,$B$145+$B$144*(IF(4=1,1,IF(4=$B$23,$B$12,5*(4-1)))*$B$13),NA())</f>
        <v>#N/A</v>
      </c>
      <c r="FJ24" t="e">
        <f>IF(4&lt;=$B$23,$B$146+$B$144*($B$9),NA())</f>
        <v>#N/A</v>
      </c>
      <c r="FK24" t="e">
        <f>IF($B$85=1,$B$145+$B$144*($B$90),NA())</f>
        <v>#N/A</v>
      </c>
      <c r="FL24" t="e">
        <f>IF($B$85=1,$B$146+$B$144*($B$9),NA())</f>
        <v>#N/A</v>
      </c>
      <c r="FM24" t="e">
        <f>IF($B$85=1,$B$145+$B$144*($B$91),NA())</f>
        <v>#N/A</v>
      </c>
      <c r="FN24" t="e">
        <f>IF($B$85=1,$B$146+$B$144*($B$87),NA())</f>
        <v>#N/A</v>
      </c>
      <c r="GE24" t="e">
        <f>IF(5&lt;=$B$14-1,$B$151+$B$150*(5*$B$15),NA())</f>
        <v>#N/A</v>
      </c>
      <c r="GF24" t="e">
        <f>IF(5&lt;=$B$14-1,$B$152+$B$150*($B$9+$B$8*MIN(5*$B$15,$B$5-5*$B$15)),NA())</f>
        <v>#N/A</v>
      </c>
      <c r="GG24">
        <f>IF(AND($B$20=1,($B$19+1*$B$64)&lt;$B$10-0.3),$B$151+$B$150*(MAX(IF(($B$19+1*$B$64)&lt;=$B$9,0,(($B$19+1*$B$64)-$B$9)/$B$8),MIN(($B$5-IF(($B$19+1*$B$64)&lt;=$B$9,0,(($B$19+1*$B$64)-$B$9)/$B$8)),IF(($B$19+1*$B$64)&lt;$B$111,$B$114,$B$113)))),NA())</f>
        <v>173.182</v>
      </c>
      <c r="GH24">
        <f>IF(AND($B$20=1,($B$19+1*$B$64)&lt;$B$10-0.3),$B$152+$B$150*(($B$19+1*$B$64)),NA())</f>
        <v>37.6818</v>
      </c>
      <c r="GI24" t="e">
        <f>IF(AND($B$21=1,(2*$B$66)&lt;IF($B$63=1,$B$10-0.2,$B$62)),$B$151+$B$150*(MAX(IF((2*$B$66)&lt;=$B$9,0,((2*$B$66)-$B$9)/$B$8),MIN(($B$5-IF((2*$B$66)&lt;=$B$9,0,((2*$B$66)-$B$9)/$B$8)),IF((2*$B$66)&lt;$B$111,$B$114,$B$113)))),NA())</f>
        <v>#N/A</v>
      </c>
      <c r="GJ24" t="e">
        <f>IF(AND($B$21=1,(2*$B$66)&lt;IF($B$63=1,$B$10-0.2,$B$62)),$B$152+$B$150*((2*$B$66)),NA())</f>
        <v>#N/A</v>
      </c>
      <c r="GM24" t="e">
        <f>IF($B$116=1,$B$151+$B$150*($B$121),NA())</f>
        <v>#N/A</v>
      </c>
      <c r="GN24" t="e">
        <f>IF($B$116=1,$B$152+$B$150*(MIN($B$9,$B$118+$B$64)),NA())</f>
        <v>#N/A</v>
      </c>
      <c r="GO24" t="e">
        <f>IF($B$116=1,$B$151+$B$150*($B$122),NA())</f>
        <v>#N/A</v>
      </c>
      <c r="GP24" t="e">
        <f>IF($B$116=1,$B$152+$B$150*($B$118),NA())</f>
        <v>#N/A</v>
      </c>
      <c r="HI24">
        <f>IF(3&lt;=$B$16-1,$B$157+$B$156*($B$6+$B$46),NA())</f>
        <v>175.731</v>
      </c>
      <c r="HJ24">
        <f>IF(3&lt;=$B$16-1,$B$158+$B$156*(3*($B$5/2)/MAX(1,$B$16-1)),NA())</f>
        <v>28.25</v>
      </c>
      <c r="HK24">
        <f>IF(6&lt;=$B$12,$B$157+$B$156*($B$13*6),NA())</f>
        <v>152.876714285714</v>
      </c>
      <c r="HL24">
        <f>IF(6&lt;=$B$12,$B$158+$B$156*($B$5),NA())</f>
        <v>90</v>
      </c>
      <c r="HM24">
        <f>IF(AND(4&lt;=$B$12,1&lt;=$B$25),$B$157+$B$156*((4-1)*$B$13+1*$B$13/($B$25+1)),NA())</f>
        <v>98.591</v>
      </c>
      <c r="HN24">
        <f>IF(AND(4&lt;=$B$12,1&lt;=$B$25),$B$158+$B$156*($B$5),NA())</f>
        <v>90</v>
      </c>
      <c r="HQ24" t="e">
        <f>IF(AND(1&lt;=$B$23,4&lt;=$B$24),$B$157+$B$156*(IF(1=1,1,IF(1=$B$23,$B$12,5*(1-1)))*$B$13),NA())</f>
        <v>#N/A</v>
      </c>
      <c r="HR24" t="e">
        <f>IF(AND(1&lt;=$B$23,4&lt;=$B$24),$B$158+$B$156*((0*$B$5/2+4*($B$5/2)/$B$24)),NA())</f>
        <v>#N/A</v>
      </c>
      <c r="HS24">
        <f>IF(AND(1&lt;=$B$12,$B$51&gt;0),$B$157+$B$156*(((1-0.5)*$B$13)+($B$51*$B$13)/2),NA())</f>
        <v>34.5338571428572</v>
      </c>
      <c r="HT24">
        <f>IF(AND(1&lt;=$B$12,$B$51&gt;0),$B$158+$B$156*((1*$B$5/2+0.6*$B$159)+(((1*$B$5/2+$B$5/2-0.6*$B$159))-((1*$B$5/2+0.6*$B$159)))/4),NA())</f>
        <v>61.8</v>
      </c>
      <c r="HU24">
        <f>IF(2&lt;=$B$47,$B$157+$B$156*(((MAX(1,MIN($B$12,ROUND(2*$B$12/($B$47+1),0)))-1)*$B$13+0.25*$B$13)+$B$48/2+0.2),NA())</f>
        <v>74.4881428571429</v>
      </c>
      <c r="HV24">
        <f>IF(2&lt;=$B$47,$B$158+$B$156*(IF(MOD(2,2)=1,$B$5/4,3*$B$5/4)-$B$49/2-0.2),NA())</f>
        <v>67.96</v>
      </c>
      <c r="HW24" t="e">
        <f>IF(10&lt;=$B$50/2,$B$157+$B$156*((10-0.5)*$B$6/MAX(1,$B$50/2)),NA())</f>
        <v>#N/A</v>
      </c>
      <c r="HX24" t="e">
        <f>IF(10&lt;=$B$50/2,$B$158+$B$156*($B$5),NA())</f>
        <v>#N/A</v>
      </c>
      <c r="IK24">
        <f>$B$174+$B$173*($B$169+$B$27/2)</f>
        <v>110.7052</v>
      </c>
      <c r="IL24">
        <f>$B$175+$B$173*($B$161)</f>
        <v>21.9247</v>
      </c>
      <c r="IM24" t="e">
        <f>IF($B$162+5*$B$67&lt;$B$163,$B$174+$B$173*(0.075),NA())</f>
        <v>#N/A</v>
      </c>
      <c r="IN24" t="e">
        <f>IF($B$162+5*$B$67&lt;$B$163,$B$175+$B$173*($B$162+5*$B$67),NA())</f>
        <v>#N/A</v>
      </c>
      <c r="IO24">
        <f>$B$174+$B$173*(0.075+(4+0.5)*($B$170-0.075)/12)</f>
        <v>69.9915625</v>
      </c>
      <c r="IP24">
        <f>$B$175+$B$173*($B$164)</f>
        <v>56.4793</v>
      </c>
      <c r="IU24">
        <f>IF($B$167+0.05+1*'PARAMÈTRES'!$C$101&lt;$B$168-$B$41,$B$174+$B$173*($B$169-$B$29/2+$B$41),NA())</f>
        <v>91.5082</v>
      </c>
      <c r="IV24">
        <f>IF($B$167+0.05+1*'PARAMÈTRES'!$C$101&lt;$B$168-$B$41,$B$175+$B$173*($B$167+0.05+1*'PARAMÈTRES'!$C$101),NA())</f>
        <v>37.2823</v>
      </c>
      <c r="IW24" t="e">
        <f>IF(15&lt;=ROUNDDOWN(($B$27-2*$B$41)/'PARAMÈTRES'!$C$96,0),$B$174+$B$173*($B$169-$B$27/2+$B$41+15*'PARAMÈTRES'!$C$96),NA())</f>
        <v>#N/A</v>
      </c>
      <c r="IX24" t="e">
        <f>IF(15&lt;=ROUNDDOWN(($B$27-2*$B$41)/'PARAMÈTRES'!$C$96,0),$B$175+$B$173*($B$161+$B$41+0.02),NA())</f>
        <v>#N/A</v>
      </c>
      <c r="JW24" t="e">
        <f>NA()</f>
        <v>#N/A</v>
      </c>
      <c r="JX24" t="e">
        <f>NA()</f>
        <v>#N/A</v>
      </c>
      <c r="KG24" t="e">
        <f>IF($B$21=1,$B$182+$B$181*($B$177*1/4+$B$60/2),NA())</f>
        <v>#N/A</v>
      </c>
      <c r="KH24" t="e">
        <f>IF($B$21=1,$B$183+$B$181*($B$59),NA())</f>
        <v>#N/A</v>
      </c>
      <c r="KI24" t="e">
        <f>IF(AND($B$21=1,2*$B$67&gt;$B$59,2*$B$67&lt;$B$178-$B$59,OR($B$63=0,ABS(2*$B$67-$B$178/2)&gt;$B$59/2)),$B$182+$B$181*($B$177*3/4-$B$60/2),NA())</f>
        <v>#N/A</v>
      </c>
      <c r="KJ24" t="e">
        <f>IF(AND($B$21=1,2*$B$67&gt;$B$59,2*$B$67&lt;$B$178-$B$59,OR($B$63=0,ABS(2*$B$67-$B$178/2)&gt;$B$59/2)),$B$183+$B$181*(2*$B$67),NA())</f>
        <v>#N/A</v>
      </c>
      <c r="KK24" t="e">
        <f>IF($B$21=1,$B$182+$B$181*($B$177*1/4-($B$60/2-$B$41*0.5)),NA())</f>
        <v>#N/A</v>
      </c>
      <c r="KL24" t="e">
        <f>IF($B$21=1,$B$183+$B$181*($B$178-$B$41),NA())</f>
        <v>#N/A</v>
      </c>
    </row>
    <row r="25">
      <c r="A25" t="inlineStr">
        <is>
          <t>n_l</t>
        </is>
      </c>
      <c r="B25">
        <f>'PRÉDIMENSIONNEMENT'!$C$43</f>
        <v>1</v>
      </c>
      <c r="D25" t="inlineStr">
        <is>
          <t>p6_ts</t>
        </is>
      </c>
      <c r="E25" t="str">
        <f>"Semelle "&amp;'PARAMÈTRES'!$C$89*100&amp;" × "&amp;'PARAMÈTRES'!$C$89*100&amp;" × "&amp;'PARAMÈTRES'!$C$90*100</f>
        <v>Semelle 120 × 120 × 40</v>
      </c>
      <c r="G25" t="e">
        <f>NA()</f>
        <v>#N/A</v>
      </c>
      <c r="H25" t="e">
        <f>NA()</f>
        <v>#N/A</v>
      </c>
      <c r="K25">
        <f>IF(1&lt;=$B$12,$B$133+$B$132*($B$13*1+$B$27/2),NA())</f>
        <v>53.0595714285714</v>
      </c>
      <c r="L25">
        <f>IF(1&lt;=$B$12,$B$134+$B$132*(0+$B$27/2),NA())</f>
        <v>18.04</v>
      </c>
      <c r="M25" t="e">
        <f>IF(AND(6&lt;=$B$12,$B$45=1),$B$133+$B$132*($B$13*6),NA())</f>
        <v>#N/A</v>
      </c>
      <c r="N25" t="e">
        <f>IF(AND(6&lt;=$B$12,$B$45=1),$B$134+$B$132*($B$5/2),NA())</f>
        <v>#N/A</v>
      </c>
      <c r="O25" t="e">
        <f>IF(11&lt;=$B$14-1,$B$133+$B$132*(0),NA())</f>
        <v>#N/A</v>
      </c>
      <c r="P25" t="e">
        <f>IF(11&lt;=$B$14-1,$B$134+$B$132*(11*$B$15),NA())</f>
        <v>#N/A</v>
      </c>
      <c r="Q25" t="e">
        <f>NA()</f>
        <v>#N/A</v>
      </c>
      <c r="R25" t="e">
        <f>NA()</f>
        <v>#N/A</v>
      </c>
      <c r="EA25" t="e">
        <f>NA()</f>
        <v>#N/A</v>
      </c>
      <c r="EB25" t="e">
        <f>NA()</f>
        <v>#N/A</v>
      </c>
      <c r="EE25" t="e">
        <f>IF(10&lt;=$B$16-1,$B$139+$B$138*(10*($B$5/2)/MAX(1,$B$16-1)),NA())</f>
        <v>#N/A</v>
      </c>
      <c r="EF25" t="e">
        <f>IF(10&lt;=$B$16-1,$B$140+$B$138*($B$9+$B$8*10*($B$5/2)/MAX(1,$B$16-1)+1.2*$B$141),NA())</f>
        <v>#N/A</v>
      </c>
      <c r="EK25" t="e">
        <f>NA()</f>
        <v>#N/A</v>
      </c>
      <c r="EL25" t="e">
        <f>NA()</f>
        <v>#N/A</v>
      </c>
      <c r="FA25" t="e">
        <f>NA()</f>
        <v>#N/A</v>
      </c>
      <c r="FB25" t="e">
        <f>NA()</f>
        <v>#N/A</v>
      </c>
      <c r="FC25">
        <f>IF(AND(1&lt;$B$22,($B$19+1*$B$64)&gt;=$B$80),$B$145+$B$144*($B$82),NA())</f>
        <v>183.182</v>
      </c>
      <c r="FD25">
        <f>IF(AND(1&lt;$B$22,($B$19+1*$B$64)&gt;=$B$80),$B$146+$B$144*(($B$19+1*$B$64)),NA())</f>
        <v>46.10454</v>
      </c>
      <c r="FE25" t="e">
        <f>IF(AND(AND($B$21=1,(2*$B$66)&lt;$B$62),(2*$B$66)&gt;=$B$80),$B$145+$B$144*($B$82),NA())</f>
        <v>#N/A</v>
      </c>
      <c r="FF25" t="e">
        <f>IF(AND(AND($B$21=1,(2*$B$66)&lt;$B$62),(2*$B$66)&gt;=$B$80),$B$146+$B$144*((2*$B$66)),NA())</f>
        <v>#N/A</v>
      </c>
      <c r="FI25" t="e">
        <f>NA()</f>
        <v>#N/A</v>
      </c>
      <c r="FJ25" t="e">
        <f>NA()</f>
        <v>#N/A</v>
      </c>
      <c r="FK25" t="e">
        <f>NA()</f>
        <v>#N/A</v>
      </c>
      <c r="FL25" t="e">
        <f>NA()</f>
        <v>#N/A</v>
      </c>
      <c r="FM25" t="e">
        <f>NA()</f>
        <v>#N/A</v>
      </c>
      <c r="FN25" t="e">
        <f>NA()</f>
        <v>#N/A</v>
      </c>
      <c r="GE25" t="e">
        <f>NA()</f>
        <v>#N/A</v>
      </c>
      <c r="GF25" t="e">
        <f>NA()</f>
        <v>#N/A</v>
      </c>
      <c r="GG25">
        <f>IF(AND(AND($B$20=1,($B$19+1*$B$64)&lt;$B$10-0.3),($B$19+1*$B$64)&gt;=$B$111),$B$151+$B$150*(MAX(IF(($B$19+1*$B$64)&lt;=$B$9,0,(($B$19+1*$B$64)-$B$9)/$B$8),MIN(($B$5-IF(($B$19+1*$B$64)&lt;=$B$9,0,(($B$19+1*$B$64)-$B$9)/$B$8)),$B$113))),NA())</f>
        <v>173.182</v>
      </c>
      <c r="GH25">
        <f>IF(AND(AND($B$20=1,($B$19+1*$B$64)&lt;$B$10-0.3),($B$19+1*$B$64)&gt;=$B$111),$B$152+$B$150*(($B$19+1*$B$64)),NA())</f>
        <v>37.6818</v>
      </c>
      <c r="GI25" t="e">
        <f>IF(AND(AND($B$21=1,(2*$B$66)&lt;IF($B$63=1,$B$10-0.2,$B$62)),(2*$B$66)&gt;=$B$111),$B$151+$B$150*(MAX(IF((2*$B$66)&lt;=$B$9,0,((2*$B$66)-$B$9)/$B$8),MIN(($B$5-IF((2*$B$66)&lt;=$B$9,0,((2*$B$66)-$B$9)/$B$8)),$B$113))),NA())</f>
        <v>#N/A</v>
      </c>
      <c r="GJ25" t="e">
        <f>IF(AND(AND($B$21=1,(2*$B$66)&lt;IF($B$63=1,$B$10-0.2,$B$62)),(2*$B$66)&gt;=$B$111),$B$152+$B$150*((2*$B$66)),NA())</f>
        <v>#N/A</v>
      </c>
      <c r="GM25" t="e">
        <f>NA()</f>
        <v>#N/A</v>
      </c>
      <c r="GN25" t="e">
        <f>NA()</f>
        <v>#N/A</v>
      </c>
      <c r="GO25" t="e">
        <f>NA()</f>
        <v>#N/A</v>
      </c>
      <c r="GP25" t="e">
        <f>NA()</f>
        <v>#N/A</v>
      </c>
      <c r="HI25" t="e">
        <f>NA()</f>
        <v>#N/A</v>
      </c>
      <c r="HJ25" t="e">
        <f>NA()</f>
        <v>#N/A</v>
      </c>
      <c r="HK25" t="e">
        <f>NA()</f>
        <v>#N/A</v>
      </c>
      <c r="HL25" t="e">
        <f>NA()</f>
        <v>#N/A</v>
      </c>
      <c r="HM25" t="e">
        <f>NA()</f>
        <v>#N/A</v>
      </c>
      <c r="HN25" t="e">
        <f>NA()</f>
        <v>#N/A</v>
      </c>
      <c r="HQ25" t="e">
        <f>NA()</f>
        <v>#N/A</v>
      </c>
      <c r="HR25" t="e">
        <f>NA()</f>
        <v>#N/A</v>
      </c>
      <c r="HS25">
        <f>IF(AND(1&lt;=$B$12,$B$51&gt;0),$B$157+$B$156*(((1-0.5)*$B$13)-($B$51*$B$13)/2),NA())</f>
        <v>32.3624285714286</v>
      </c>
      <c r="HT25">
        <f>IF(AND(1&lt;=$B$12,$B$51&gt;0),$B$158+$B$156*((1*$B$5/2+0.6*$B$159)+(((1*$B$5/2+$B$5/2-0.6*$B$159))-((1*$B$5/2+0.6*$B$159)))/2),NA())</f>
        <v>71</v>
      </c>
      <c r="HU25">
        <f>IF(2&lt;=$B$47,$B$157+$B$156*(((MAX(1,MIN($B$12,ROUND(2*$B$12/($B$47+1),0)))-1)*$B$13+0.25*$B$13)+$B$48/2+0.2),NA())</f>
        <v>74.4881428571429</v>
      </c>
      <c r="HV25">
        <f>IF(2&lt;=$B$47,$B$158+$B$156*(IF(MOD(2,2)=1,$B$5/4,3*$B$5/4)+$B$49/2+0.2),NA())</f>
        <v>74.04</v>
      </c>
      <c r="HW25" t="e">
        <f>IF(11&lt;=$B$50/2,$B$157+$B$156*((11-0.5)*$B$6/MAX(1,$B$50/2)),NA())</f>
        <v>#N/A</v>
      </c>
      <c r="HX25" t="e">
        <f>IF(11&lt;=$B$50/2,$B$158+$B$156*(0),NA())</f>
        <v>#N/A</v>
      </c>
      <c r="IK25">
        <f>$B$174+$B$173*($B$169+$B$27/2)</f>
        <v>110.7052</v>
      </c>
      <c r="IL25">
        <f>$B$175+$B$173*($B$167)</f>
        <v>32.1631</v>
      </c>
      <c r="IM25" t="e">
        <f>NA()</f>
        <v>#N/A</v>
      </c>
      <c r="IN25" t="e">
        <f>NA()</f>
        <v>#N/A</v>
      </c>
      <c r="IO25" t="e">
        <f>NA()</f>
        <v>#N/A</v>
      </c>
      <c r="IP25" t="e">
        <f>NA()</f>
        <v>#N/A</v>
      </c>
      <c r="IU25">
        <f>IF($B$167+0.05+1*'PARAMÈTRES'!$C$101&lt;$B$168-$B$41,$B$174+$B$173*($B$169+$B$29/2-$B$41),NA())</f>
        <v>99.187</v>
      </c>
      <c r="IV25">
        <f>IF($B$167+0.05+1*'PARAMÈTRES'!$C$101&lt;$B$168-$B$41,$B$175+$B$173*($B$167+0.05+1*'PARAMÈTRES'!$C$101),NA())</f>
        <v>37.2823</v>
      </c>
      <c r="IW25">
        <f>IF(AND(0.2+0*$B$43&lt;$B$170,ABS(0.2+0*$B$43-$B$169)&gt;$B$29/2+0.03),$B$174+$B$173*(0.2+0*$B$43),NA())</f>
        <v>36.4768</v>
      </c>
      <c r="IX25">
        <f>IF(AND(0.2+0*$B$43&lt;$B$170,ABS(0.2+0*$B$43-$B$169)&gt;$B$29/2+0.03),$B$175+$B$173*($B$165+$B$42+0.015),NA())</f>
        <v>58.91092</v>
      </c>
      <c r="JW25">
        <f>$B$174+$B$173*($B$169+$B$29/2)</f>
        <v>100.4668</v>
      </c>
      <c r="JX25">
        <f>$B$175+$B$173*(($B$167+$B$168)/2)</f>
        <v>47.5207</v>
      </c>
      <c r="KG25" t="e">
        <f>IF($B$21=1,$B$182+$B$181*($B$177*1/4+$B$60/2),NA())</f>
        <v>#N/A</v>
      </c>
      <c r="KH25" t="e">
        <f>IF($B$21=1,$B$183+$B$181*($B$178-$B$59),NA())</f>
        <v>#N/A</v>
      </c>
      <c r="KI25" t="e">
        <f>NA()</f>
        <v>#N/A</v>
      </c>
      <c r="KJ25" t="e">
        <f>NA()</f>
        <v>#N/A</v>
      </c>
      <c r="KK25" t="e">
        <f>NA()</f>
        <v>#N/A</v>
      </c>
      <c r="KL25" t="e">
        <f>NA()</f>
        <v>#N/A</v>
      </c>
    </row>
    <row r="26">
      <c r="A26" t="inlineStr">
        <is>
          <t>n_pan</t>
        </is>
      </c>
      <c r="B26">
        <f>'PRÉDIMENSIONNEMENT'!$C$39</f>
        <v>0</v>
      </c>
      <c r="D26" t="inlineStr">
        <is>
          <t>p6_t6</t>
        </is>
      </c>
      <c r="E26" t="str">
        <f>"Tiges d'ancrage "&amp;'PARAMÈTRES'!$C$72&amp;" L = "&amp;FIXED('PARAMÈTRES'!$C$73,2,TRUE)&amp;" m + platine"</f>
        <v>Tiges d'ancrage Rond 24 L = 0.60 m + platine</v>
      </c>
      <c r="G26">
        <f>IF(7&lt;=$B$12,$B$133+$B$132*($B$13*7),NA())</f>
        <v>167.591</v>
      </c>
      <c r="H26">
        <f>IF(7&lt;=$B$12,$B$134+$B$132*(-4*$B$135),NA())</f>
        <v>12</v>
      </c>
      <c r="K26">
        <f>IF(1&lt;=$B$12,$B$133+$B$132*($B$13*1-$B$27/2),NA())</f>
        <v>48.9795714285714</v>
      </c>
      <c r="L26">
        <f>IF(1&lt;=$B$12,$B$134+$B$132*(0+$B$27/2),NA())</f>
        <v>18.04</v>
      </c>
      <c r="M26">
        <f>IF(7&lt;=$B$12,$B$133+$B$132*($B$13*7),NA())</f>
        <v>167.591</v>
      </c>
      <c r="N26">
        <f>IF(7&lt;=$B$12,$B$134+$B$132*(0),NA())</f>
        <v>16</v>
      </c>
      <c r="O26" t="e">
        <f>IF(11&lt;=$B$14-1,$B$133+$B$132*($B$6),NA())</f>
        <v>#N/A</v>
      </c>
      <c r="P26" t="e">
        <f>IF(11&lt;=$B$14-1,$B$134+$B$132*(11*$B$15),NA())</f>
        <v>#N/A</v>
      </c>
      <c r="Q26" t="e">
        <f>IF($B$123=1,$B$133+$B$132*(-2.5*$B$135),NA())</f>
        <v>#N/A</v>
      </c>
      <c r="R26" t="e">
        <f>IF($B$123=1,$B$134+$B$132*($B$128),NA())</f>
        <v>#N/A</v>
      </c>
      <c r="EA26" t="e">
        <f>IF(AND($B$18=1,8&lt;=$B$26-1),$B$139+$B$138*(8*($B$5/MAX(1,$B$26))),NA())</f>
        <v>#N/A</v>
      </c>
      <c r="EB26" t="e">
        <f>IF(AND($B$18=1,8&lt;=$B$26-1),$B$140+$B$138*($B$7),NA())</f>
        <v>#N/A</v>
      </c>
      <c r="EE26" t="e">
        <f>IF(10&lt;=$B$16-1,$B$139+$B$138*($B$5-10*($B$5/2)/MAX(1,$B$16-1)),NA())</f>
        <v>#N/A</v>
      </c>
      <c r="EF26" t="e">
        <f>IF(10&lt;=$B$16-1,$B$140+$B$138*($B$9+$B$8*10*($B$5/2)/MAX(1,$B$16-1)+1.2*$B$141),NA())</f>
        <v>#N/A</v>
      </c>
      <c r="EK26">
        <f>$B$139+$B$138*($B$5+$B$29/2)</f>
        <v>174.71382</v>
      </c>
      <c r="EL26">
        <f>$B$140+$B$138*((-$B$33+$B$34)+$B$35)</f>
        <v>22.12951</v>
      </c>
      <c r="FA26">
        <f>IF(7&lt;=$B$12,$B$145+$B$144*($B$13*7),NA())</f>
        <v>183.182</v>
      </c>
      <c r="FB26">
        <f>IF(7&lt;=$B$12,$B$146+$B$144*(0),NA())</f>
        <v>38.76135</v>
      </c>
      <c r="FC26">
        <f>IF(1&lt;$B$22,$B$145+$B$144*(IF(($B$19+1*$B$64)&lt;$B$80,$B$84,$B$82)),NA())</f>
        <v>183.182</v>
      </c>
      <c r="FD26">
        <f>IF(1&lt;$B$22,$B$146+$B$144*(($B$19+1*$B$64)),NA())</f>
        <v>46.10454</v>
      </c>
      <c r="FE26" t="e">
        <f>IF(AND($B$21=1,(2*$B$66)&lt;$B$62),$B$145+$B$144*(IF((2*$B$66)&lt;$B$80,$B$84,$B$82)),NA())</f>
        <v>#N/A</v>
      </c>
      <c r="FF26" t="e">
        <f>IF(AND($B$21=1,(2*$B$66)&lt;$B$62),$B$146+$B$144*((2*$B$66)),NA())</f>
        <v>#N/A</v>
      </c>
      <c r="FI26" t="e">
        <f>IF(4&lt;=$B$23,$B$145+$B$144*(IF(4=1,1,IF(4=$B$23,$B$12,5*(4-1)))*$B$13),NA())</f>
        <v>#N/A</v>
      </c>
      <c r="FJ26" t="e">
        <f>IF(4&lt;=$B$23,$B$146+$B$144*(0),NA())</f>
        <v>#N/A</v>
      </c>
      <c r="FK26" t="e">
        <f>IF($B$85=1,$B$145+$B$144*($B$91),NA())</f>
        <v>#N/A</v>
      </c>
      <c r="FL26" t="e">
        <f>IF($B$85=1,$B$146+$B$144*(0),NA())</f>
        <v>#N/A</v>
      </c>
      <c r="FM26" t="e">
        <f>IF($B$85=1,$B$145+$B$144*($B$91),NA())</f>
        <v>#N/A</v>
      </c>
      <c r="FN26" t="e">
        <f>IF($B$85=1,$B$146+$B$144*(0),NA())</f>
        <v>#N/A</v>
      </c>
      <c r="GE26" t="e">
        <f>IF(6&lt;=$B$14-1,$B$151+$B$150*(6*$B$15),NA())</f>
        <v>#N/A</v>
      </c>
      <c r="GF26" t="e">
        <f>IF(6&lt;=$B$14-1,$B$152+$B$150*(0),NA())</f>
        <v>#N/A</v>
      </c>
      <c r="GG26">
        <f>IF(AND($B$20=1,($B$19+1*$B$64)&lt;$B$10-0.3),$B$151+$B$150*(MAX(IF(($B$19+1*$B$64)&lt;=$B$9,0,(($B$19+1*$B$64)-$B$9)/$B$8),MIN(($B$5-IF(($B$19+1*$B$64)&lt;=$B$9,0,(($B$19+1*$B$64)-$B$9)/$B$8)),IF(($B$19+1*$B$64)&lt;$B$111,$B$115,$B$113)))),NA())</f>
        <v>173.182</v>
      </c>
      <c r="GH26">
        <f>IF(AND($B$20=1,($B$19+1*$B$64)&lt;$B$10-0.3),$B$152+$B$150*(($B$19+1*$B$64)),NA())</f>
        <v>37.6818</v>
      </c>
      <c r="GI26" t="e">
        <f>IF(AND($B$21=1,(2*$B$66)&lt;IF($B$63=1,$B$10-0.2,$B$62)),$B$151+$B$150*(MAX(IF((2*$B$66)&lt;=$B$9,0,((2*$B$66)-$B$9)/$B$8),MIN(($B$5-IF((2*$B$66)&lt;=$B$9,0,((2*$B$66)-$B$9)/$B$8)),IF((2*$B$66)&lt;$B$111,$B$115,$B$113)))),NA())</f>
        <v>#N/A</v>
      </c>
      <c r="GJ26" t="e">
        <f>IF(AND($B$21=1,(2*$B$66)&lt;IF($B$63=1,$B$10-0.2,$B$62)),$B$152+$B$150*((2*$B$66)),NA())</f>
        <v>#N/A</v>
      </c>
      <c r="GM26" t="e">
        <f>IF($B$116=1,$B$151+$B$150*($B$122),NA())</f>
        <v>#N/A</v>
      </c>
      <c r="GN26" t="e">
        <f>IF($B$116=1,$B$152+$B$150*(0),NA())</f>
        <v>#N/A</v>
      </c>
      <c r="GO26" t="e">
        <f>IF($B$116=1,$B$151+$B$150*($B$122),NA())</f>
        <v>#N/A</v>
      </c>
      <c r="GP26" t="e">
        <f>IF($B$116=1,$B$152+$B$150*(0),NA())</f>
        <v>#N/A</v>
      </c>
      <c r="HI26">
        <f>IF(3&lt;=$B$16-1,$B$157+$B$156*(-$B$46),NA())</f>
        <v>21.451</v>
      </c>
      <c r="HJ26">
        <f>IF(3&lt;=$B$16-1,$B$158+$B$156*($B$5-3*($B$5/2)/MAX(1,$B$16-1)),NA())</f>
        <v>75.75</v>
      </c>
      <c r="HK26">
        <f>IF(7&lt;=$B$12,$B$157+$B$156*($B$13*7),NA())</f>
        <v>174.591</v>
      </c>
      <c r="HL26">
        <f>IF(7&lt;=$B$12,$B$158+$B$156*(0),NA())</f>
        <v>14</v>
      </c>
      <c r="HM26" t="e">
        <f>IF(AND(4&lt;=$B$12,2&lt;=$B$25),$B$157+$B$156*((4-1)*$B$13+2*$B$13/($B$25+1)),NA())</f>
        <v>#N/A</v>
      </c>
      <c r="HN26" t="e">
        <f>IF(AND(4&lt;=$B$12,2&lt;=$B$25),$B$158+$B$156*(0),NA())</f>
        <v>#N/A</v>
      </c>
      <c r="HQ26" t="e">
        <f>IF(AND(1&lt;=$B$23,4&lt;=$B$24),$B$157+$B$156*((IF(1=1,1,IF(1=$B$23,$B$12,5*(1-1)))-1)*$B$13),NA())</f>
        <v>#N/A</v>
      </c>
      <c r="HR26" t="e">
        <f>IF(AND(1&lt;=$B$23,4&lt;=$B$24),$B$158+$B$156*((0*$B$5/2+4*($B$5/2)/$B$24)),NA())</f>
        <v>#N/A</v>
      </c>
      <c r="HS26">
        <f>IF(AND(1&lt;=$B$12,$B$51&gt;0),$B$157+$B$156*(((1-0.5)*$B$13)+($B$51*$B$13)/2),NA())</f>
        <v>34.5338571428572</v>
      </c>
      <c r="HT26">
        <f>IF(AND(1&lt;=$B$12,$B$51&gt;0),$B$158+$B$156*((1*$B$5/2+0.6*$B$159)+3*(((1*$B$5/2+$B$5/2-0.6*$B$159))-((1*$B$5/2+0.6*$B$159)))/4),NA())</f>
        <v>80.2</v>
      </c>
      <c r="HU26">
        <f>IF(2&lt;=$B$47,$B$157+$B$156*(((MAX(1,MIN($B$12,ROUND(2*$B$12/($B$47+1),0)))-1)*$B$13+0.25*$B$13)-$B$48/2-0.2),NA())</f>
        <v>68.4081428571429</v>
      </c>
      <c r="HV26">
        <f>IF(2&lt;=$B$47,$B$158+$B$156*(IF(MOD(2,2)=1,$B$5/4,3*$B$5/4)+$B$49/2+0.2),NA())</f>
        <v>74.04</v>
      </c>
      <c r="HW26" t="e">
        <f>IF(11&lt;=$B$50/2,$B$157+$B$156*((11-0.5)*$B$6/MAX(1,$B$50/2)),NA())</f>
        <v>#N/A</v>
      </c>
      <c r="HX26" t="e">
        <f>IF(11&lt;=$B$50/2,$B$158+$B$156*($B$5),NA())</f>
        <v>#N/A</v>
      </c>
      <c r="IK26">
        <f>$B$174+$B$173*($B$169-$B$27/2)</f>
        <v>79.99</v>
      </c>
      <c r="IL26">
        <f>$B$175+$B$173*($B$167)</f>
        <v>32.1631</v>
      </c>
      <c r="IM26" t="e">
        <f>IF($B$162+6*$B$67&lt;$B$163,$B$174+$B$173*(-0.075),NA())</f>
        <v>#N/A</v>
      </c>
      <c r="IN26" t="e">
        <f>IF($B$162+6*$B$67&lt;$B$163,$B$175+$B$173*($B$162+6*$B$67),NA())</f>
        <v>#N/A</v>
      </c>
      <c r="IO26">
        <f>$B$174+$B$173*(0.075+5*($B$170-0.075)/12)</f>
        <v>74.070925</v>
      </c>
      <c r="IP26">
        <f>$B$175+$B$173*(0)</f>
        <v>51.3601</v>
      </c>
      <c r="IU26" t="e">
        <f>NA()</f>
        <v>#N/A</v>
      </c>
      <c r="IV26" t="e">
        <f>NA()</f>
        <v>#N/A</v>
      </c>
      <c r="IW26" t="e">
        <f>IF(AND(0.2+0*$B$43&lt;$B$170,ABS(0.2+0*$B$43-$B$169)&gt;$B$29/2+0.03,$B$44=1),$B$174+$B$173*(0.2+0*$B$43),NA())</f>
        <v>#N/A</v>
      </c>
      <c r="IX26" t="e">
        <f>IF(AND(0.2+0*$B$43&lt;$B$170,ABS(0.2+0*$B$43-$B$169)&gt;$B$29/2+0.03,$B$44=1),$B$175+$B$173*($B$166-$B$42-0.015),NA())</f>
        <v>#N/A</v>
      </c>
      <c r="JW26">
        <f>$B$174+$B$173*($B$170+1*$B$176)</f>
        <v>132.182</v>
      </c>
      <c r="JX26">
        <f>$B$175+$B$173*(($B$167+$B$168)/2)</f>
        <v>47.5207</v>
      </c>
      <c r="KG26" t="e">
        <f>IF($B$21=1,$B$182+$B$181*($B$177*1/4-$B$60/2),NA())</f>
        <v>#N/A</v>
      </c>
      <c r="KH26" t="e">
        <f>IF($B$21=1,$B$183+$B$181*($B$178-$B$59),NA())</f>
        <v>#N/A</v>
      </c>
      <c r="KI26" t="e">
        <f>IF(AND($B$21=1,2*$B$67&gt;$B$59,2*$B$67&lt;$B$178-$B$59,OR($B$63=0,ABS(2*$B$67-$B$178/2)&gt;$B$59/2)),$B$182+$B$181*($B$177*3/4+$B$60/2),NA())</f>
        <v>#N/A</v>
      </c>
      <c r="KJ26" t="e">
        <f>IF(AND($B$21=1,2*$B$67&gt;$B$59,2*$B$67&lt;$B$178-$B$59,OR($B$63=0,ABS(2*$B$67-$B$178/2)&gt;$B$59/2)),$B$183+$B$181*(2*$B$67),NA())</f>
        <v>#N/A</v>
      </c>
      <c r="KK26" t="e">
        <f>IF($B$21=1,$B$182+$B$181*($B$177*1/4+($B$60/2-$B$41*0.5)),NA())</f>
        <v>#N/A</v>
      </c>
      <c r="KL26" t="e">
        <f>IF($B$21=1,$B$183+$B$181*($B$41),NA())</f>
        <v>#N/A</v>
      </c>
    </row>
    <row r="27">
      <c r="A27" t="inlineStr">
        <is>
          <t>a1</t>
        </is>
      </c>
      <c r="B27">
        <f>'PARAMÈTRES'!$C$89</f>
        <v>1.2</v>
      </c>
      <c r="D27" t="inlineStr">
        <is>
          <t>p6_t1</t>
        </is>
      </c>
      <c r="E27" t="str">
        <f>"Dallage "&amp;'GROS_ŒUVRE'!$E$6*100&amp;" cm – "&amp;'PARAMÈTRES'!$C$115&amp;" – "&amp;'PARAMÈTRES'!$C$116&amp;"/"&amp;'PARAMÈTRES'!$C$117&amp;IF('GROS_ŒUVRE'!$E$9=1," + "&amp;'PARAMÈTRES'!$C$118&amp;"/"&amp;'PARAMÈTRES'!$C$119,"")&amp;" maille "&amp;'GROS_ŒUVRE'!$E$8*100&amp;" cm"</f>
        <v>Dallage 20 cm – Nappe simple – HA10/HA10 maille 20 cm</v>
      </c>
      <c r="G27">
        <f>IF(7&lt;=$B$12,$B$133+$B$132*($B$13*7),NA())</f>
        <v>167.591</v>
      </c>
      <c r="H27">
        <f>IF(7&lt;=$B$12,$B$134+$B$132*($B$5+4*$B$135),NA())</f>
        <v>88</v>
      </c>
      <c r="K27">
        <f>IF(1&lt;=$B$12,$B$133+$B$132*($B$13*1-$B$27/2),NA())</f>
        <v>48.9795714285714</v>
      </c>
      <c r="L27">
        <f>IF(1&lt;=$B$12,$B$134+$B$132*(0-$B$27/2),NA())</f>
        <v>13.96</v>
      </c>
      <c r="M27">
        <f>IF(7&lt;=$B$12,$B$133+$B$132*($B$13*7),NA())</f>
        <v>167.591</v>
      </c>
      <c r="N27">
        <f>IF(7&lt;=$B$12,$B$134+$B$132*($B$5),NA())</f>
        <v>84</v>
      </c>
      <c r="O27" t="e">
        <f>IF(12&lt;=$B$14-1,$B$133+$B$132*(0),NA())</f>
        <v>#N/A</v>
      </c>
      <c r="P27" t="e">
        <f>IF(12&lt;=$B$14-1,$B$134+$B$132*(12*$B$15),NA())</f>
        <v>#N/A</v>
      </c>
      <c r="Q27" t="e">
        <f>IF($B$123=1,$B$133+$B$132*(-2.5*$B$135),NA())</f>
        <v>#N/A</v>
      </c>
      <c r="R27" t="e">
        <f>IF($B$123=1,$B$134+$B$132*($B$129),NA())</f>
        <v>#N/A</v>
      </c>
      <c r="EA27" t="e">
        <f>IF(AND($B$18=1,8&lt;=$B$26-1),$B$139+$B$138*(8*($B$5/MAX(1,$B$26))),NA())</f>
        <v>#N/A</v>
      </c>
      <c r="EB27" t="e">
        <f>IF(AND($B$18=1,8&lt;=$B$26-1),$B$140+$B$138*(($B$9+$B$8*MIN(8*($B$5/MAX(1,$B$26)),$B$5-(8*($B$5/MAX(1,$B$26)))))),NA())</f>
        <v>#N/A</v>
      </c>
      <c r="EE27" t="e">
        <f>IF(11&lt;=$B$16-1,$B$139+$B$138*(11*($B$5/2)/MAX(1,$B$16-1)),NA())</f>
        <v>#N/A</v>
      </c>
      <c r="EF27" t="e">
        <f>IF(11&lt;=$B$16-1,$B$140+$B$138*($B$9+$B$8*11*($B$5/2)/MAX(1,$B$16-1)+1.2*$B$141),NA())</f>
        <v>#N/A</v>
      </c>
      <c r="EK27">
        <f>$B$139+$B$138*($B$5+$B$29/2)</f>
        <v>174.71382</v>
      </c>
      <c r="EL27">
        <f>$B$140+$B$138*(0)</f>
        <v>27.873835</v>
      </c>
      <c r="FA27">
        <f>IF(7&lt;=$B$12,$B$145+$B$144*($B$13*7),NA())</f>
        <v>183.182</v>
      </c>
      <c r="FB27">
        <f>IF(7&lt;=$B$12,$B$146+$B$144*($B$9),NA())</f>
        <v>63.23865</v>
      </c>
      <c r="FC27">
        <f>IF(1&lt;$B$22,$B$145+$B$144*(IF(($B$19+1*$B$64)&lt;$B$87,$B$90,$B$89)),NA())</f>
        <v>183.182</v>
      </c>
      <c r="FD27">
        <f>IF(1&lt;$B$22,$B$146+$B$144*(($B$19+1*$B$64)),NA())</f>
        <v>46.10454</v>
      </c>
      <c r="FE27" t="e">
        <f>IF(AND($B$21=1,(2*$B$66)&lt;$B$62),$B$145+$B$144*(IF((2*$B$66)&lt;$B$87,$B$90,$B$89)),NA())</f>
        <v>#N/A</v>
      </c>
      <c r="FF27" t="e">
        <f>IF(AND($B$21=1,(2*$B$66)&lt;$B$62),$B$146+$B$144*((2*$B$66)),NA())</f>
        <v>#N/A</v>
      </c>
      <c r="FI27" t="e">
        <f>IF(4&lt;=$B$23,$B$145+$B$144*((IF(4=1,1,IF(4=$B$23,$B$12,5*(4-1)))-1)*$B$13),NA())</f>
        <v>#N/A</v>
      </c>
      <c r="FJ27" t="e">
        <f>IF(4&lt;=$B$23,$B$146+$B$144*($B$9),NA())</f>
        <v>#N/A</v>
      </c>
      <c r="FK27" t="e">
        <f>IF($B$85=1,$B$145+$B$144*($B$91),NA())</f>
        <v>#N/A</v>
      </c>
      <c r="FL27" t="e">
        <f>IF($B$85=1,$B$146+$B$144*($B$9),NA())</f>
        <v>#N/A</v>
      </c>
      <c r="FM27" t="e">
        <f>IF($B$85=1,$B$145+$B$144*($B$90),NA())</f>
        <v>#N/A</v>
      </c>
      <c r="FN27" t="e">
        <f>IF($B$85=1,$B$146+$B$144*($B$87),NA())</f>
        <v>#N/A</v>
      </c>
      <c r="GE27" t="e">
        <f>IF(6&lt;=$B$14-1,$B$151+$B$150*(6*$B$15),NA())</f>
        <v>#N/A</v>
      </c>
      <c r="GF27" t="e">
        <f>IF(6&lt;=$B$14-1,$B$152+$B$150*($B$9+$B$8*MIN(6*$B$15,$B$5-6*$B$15)),NA())</f>
        <v>#N/A</v>
      </c>
      <c r="GG27">
        <f>IF(AND($B$20=1,($B$19+1*$B$64)&lt;$B$10-0.3),$B$151+$B$150*(MAX(IF(($B$19+1*$B$64)&lt;=$B$9,0,(($B$19+1*$B$64)-$B$9)/$B$8),MIN(($B$5-IF(($B$19+1*$B$64)&lt;=$B$9,0,(($B$19+1*$B$64)-$B$9)/$B$8)),IF(($B$19+1*$B$64)&lt;$B$118,$B$121,$B$120)))),NA())</f>
        <v>173.182</v>
      </c>
      <c r="GH27">
        <f>IF(AND($B$20=1,($B$19+1*$B$64)&lt;$B$10-0.3),$B$152+$B$150*(($B$19+1*$B$64)),NA())</f>
        <v>37.6818</v>
      </c>
      <c r="GI27" t="e">
        <f>IF(AND($B$21=1,(2*$B$66)&lt;IF($B$63=1,$B$10-0.2,$B$62)),$B$151+$B$150*(MAX(IF((2*$B$66)&lt;=$B$9,0,((2*$B$66)-$B$9)/$B$8),MIN(($B$5-IF((2*$B$66)&lt;=$B$9,0,((2*$B$66)-$B$9)/$B$8)),IF((2*$B$66)&lt;$B$118,$B$121,$B$120)))),NA())</f>
        <v>#N/A</v>
      </c>
      <c r="GJ27" t="e">
        <f>IF(AND($B$21=1,(2*$B$66)&lt;IF($B$63=1,$B$10-0.2,$B$62)),$B$152+$B$150*((2*$B$66)),NA())</f>
        <v>#N/A</v>
      </c>
      <c r="GM27" t="e">
        <f>IF($B$116=1,$B$151+$B$150*($B$122),NA())</f>
        <v>#N/A</v>
      </c>
      <c r="GN27" t="e">
        <f>IF($B$116=1,$B$152+$B$150*(MIN($B$9,$B$118+$B$64)),NA())</f>
        <v>#N/A</v>
      </c>
      <c r="GO27" t="e">
        <f>IF($B$116=1,$B$151+$B$150*($B$121),NA())</f>
        <v>#N/A</v>
      </c>
      <c r="GP27" t="e">
        <f>IF($B$116=1,$B$152+$B$150*($B$118),NA())</f>
        <v>#N/A</v>
      </c>
      <c r="HI27">
        <f>IF(3&lt;=$B$16-1,$B$157+$B$156*($B$6+$B$46),NA())</f>
        <v>175.731</v>
      </c>
      <c r="HJ27">
        <f>IF(3&lt;=$B$16-1,$B$158+$B$156*($B$5-3*($B$5/2)/MAX(1,$B$16-1)),NA())</f>
        <v>75.75</v>
      </c>
      <c r="HK27">
        <f>IF(7&lt;=$B$12,$B$157+$B$156*($B$13*7),NA())</f>
        <v>174.591</v>
      </c>
      <c r="HL27">
        <f>IF(7&lt;=$B$12,$B$158+$B$156*($B$5),NA())</f>
        <v>90</v>
      </c>
      <c r="HM27" t="e">
        <f>IF(AND(4&lt;=$B$12,2&lt;=$B$25),$B$157+$B$156*((4-1)*$B$13+2*$B$13/($B$25+1)),NA())</f>
        <v>#N/A</v>
      </c>
      <c r="HN27" t="e">
        <f>IF(AND(4&lt;=$B$12,2&lt;=$B$25),$B$158+$B$156*($B$5),NA())</f>
        <v>#N/A</v>
      </c>
      <c r="HQ27" t="e">
        <f>IF(AND(1&lt;=$B$23,4&lt;=$B$24),$B$157+$B$156*(IF(1=1,1,IF(1=$B$23,$B$12,5*(1-1)))*$B$13),NA())</f>
        <v>#N/A</v>
      </c>
      <c r="HR27" t="e">
        <f>IF(AND(1&lt;=$B$23,4&lt;=$B$24),$B$158+$B$156*((0*$B$5/2+(4-1)*($B$5/2)/$B$24)),NA())</f>
        <v>#N/A</v>
      </c>
      <c r="HS27">
        <f>IF(AND(1&lt;=$B$12,$B$51&gt;0),$B$157+$B$156*(((1-0.5)*$B$13)-($B$51*$B$13)/2),NA())</f>
        <v>32.3624285714286</v>
      </c>
      <c r="HT27">
        <f>IF(AND(1&lt;=$B$12,$B$51&gt;0),$B$158+$B$156*((1*$B$5/2+$B$5/2-0.6*$B$159)),NA())</f>
        <v>89.4</v>
      </c>
      <c r="HU27">
        <f>IF(2&lt;=$B$47,$B$157+$B$156*(((MAX(1,MIN($B$12,ROUND(2*$B$12/($B$47+1),0)))-1)*$B$13+0.25*$B$13)-$B$48/2-0.2),NA())</f>
        <v>68.4081428571429</v>
      </c>
      <c r="HV27">
        <f>IF(2&lt;=$B$47,$B$158+$B$156*(IF(MOD(2,2)=1,$B$5/4,3*$B$5/4)-$B$49/2-0.2),NA())</f>
        <v>67.96</v>
      </c>
      <c r="HW27" t="e">
        <f>IF(12&lt;=$B$50/2,$B$157+$B$156*((12-0.5)*$B$6/MAX(1,$B$50/2)),NA())</f>
        <v>#N/A</v>
      </c>
      <c r="HX27" t="e">
        <f>IF(12&lt;=$B$50/2,$B$158+$B$156*(0),NA())</f>
        <v>#N/A</v>
      </c>
      <c r="IK27">
        <f>$B$174+$B$173*($B$169-$B$27/2)</f>
        <v>79.99</v>
      </c>
      <c r="IL27">
        <f>$B$175+$B$173*($B$161)</f>
        <v>21.9247</v>
      </c>
      <c r="IM27" t="e">
        <f>IF($B$162+6*$B$67&lt;$B$163,$B$174+$B$173*(0.075),NA())</f>
        <v>#N/A</v>
      </c>
      <c r="IN27" t="e">
        <f>IF($B$162+6*$B$67&lt;$B$163,$B$175+$B$173*($B$162+6*$B$67),NA())</f>
        <v>#N/A</v>
      </c>
      <c r="IO27">
        <f>$B$174+$B$173*(0.075+(5+0.5)*($B$170-0.075)/12)</f>
        <v>78.1502875</v>
      </c>
      <c r="IP27">
        <f>$B$175+$B$173*($B$164)</f>
        <v>56.4793</v>
      </c>
      <c r="IU27">
        <f>IF($B$167+0.05+2*'PARAMÈTRES'!$C$101&lt;$B$168-$B$41,$B$174+$B$173*($B$169-$B$29/2+$B$41),NA())</f>
        <v>91.5082</v>
      </c>
      <c r="IV27">
        <f>IF($B$167+0.05+2*'PARAMÈTRES'!$C$101&lt;$B$168-$B$41,$B$175+$B$173*($B$167+0.05+2*'PARAMÈTRES'!$C$101),NA())</f>
        <v>41.1217</v>
      </c>
      <c r="IW27">
        <f>IF(AND(0.2+1*$B$43&lt;$B$170,ABS(0.2+1*$B$43-$B$169)&gt;$B$29/2+0.03),$B$174+$B$173*(0.2+1*$B$43),NA())</f>
        <v>41.596</v>
      </c>
      <c r="IX27">
        <f>IF(AND(0.2+1*$B$43&lt;$B$170,ABS(0.2+1*$B$43-$B$169)&gt;$B$29/2+0.03),$B$175+$B$173*($B$165+$B$42+0.015),NA())</f>
        <v>58.91092</v>
      </c>
      <c r="JW27">
        <f>$B$174+$B$173*($B$170+4*$B$176)</f>
        <v>135.182</v>
      </c>
      <c r="JX27">
        <f>$B$175+$B$173*((MAX($B$166,$B$168)+0.75)-5*6.5*$B$176)</f>
        <v>49.5753</v>
      </c>
      <c r="KG27" t="e">
        <f>IF($B$21=1,$B$182+$B$181*($B$177*1/4-$B$60/2),NA())</f>
        <v>#N/A</v>
      </c>
      <c r="KH27" t="e">
        <f>IF($B$21=1,$B$183+$B$181*($B$59),NA())</f>
        <v>#N/A</v>
      </c>
      <c r="KI27" t="e">
        <f>IF(AND($B$21=1,2*$B$67&gt;$B$59,2*$B$67&lt;$B$178-$B$59,OR($B$63=0,ABS(2*$B$67-$B$178/2)&gt;$B$59/2)),$B$182+$B$181*($B$177),NA())</f>
        <v>#N/A</v>
      </c>
      <c r="KJ27" t="e">
        <f>IF(AND($B$21=1,2*$B$67&gt;$B$59,2*$B$67&lt;$B$178-$B$59,OR($B$63=0,ABS(2*$B$67-$B$178/2)&gt;$B$59/2)),$B$183+$B$181*(2*$B$67),NA())</f>
        <v>#N/A</v>
      </c>
      <c r="KK27" t="e">
        <f>IF($B$21=1,$B$182+$B$181*($B$177*1/4+($B$60/2-$B$41*0.5)),NA())</f>
        <v>#N/A</v>
      </c>
      <c r="KL27" t="e">
        <f>IF($B$21=1,$B$183+$B$181*($B$178-$B$41),NA())</f>
        <v>#N/A</v>
      </c>
    </row>
    <row r="28">
      <c r="A28" t="inlineStr">
        <is>
          <t>a2</t>
        </is>
      </c>
      <c r="B28">
        <f>'PARAMÈTRES'!$C$92</f>
        <v>0.8</v>
      </c>
      <c r="D28" t="inlineStr">
        <is>
          <t>p6_t2</t>
        </is>
      </c>
      <c r="E28" t="str">
        <f>"Polyane sur lit de sable "&amp;'PARAMÈTRES'!$C$87*100&amp;" cm"</f>
        <v>Polyane sur lit de sable 5 cm</v>
      </c>
      <c r="G28" t="e">
        <f>NA()</f>
        <v>#N/A</v>
      </c>
      <c r="H28" t="e">
        <f>NA()</f>
        <v>#N/A</v>
      </c>
      <c r="K28" t="e">
        <f>NA()</f>
        <v>#N/A</v>
      </c>
      <c r="L28" t="e">
        <f>NA()</f>
        <v>#N/A</v>
      </c>
      <c r="M28" t="e">
        <f>IF(AND(7&lt;=$B$12,$B$45=1),$B$133+$B$132*($B$13*7),NA())</f>
        <v>#N/A</v>
      </c>
      <c r="N28" t="e">
        <f>IF(AND(7&lt;=$B$12,$B$45=1),$B$134+$B$132*($B$5/2),NA())</f>
        <v>#N/A</v>
      </c>
      <c r="O28" t="e">
        <f>IF(12&lt;=$B$14-1,$B$133+$B$132*($B$6),NA())</f>
        <v>#N/A</v>
      </c>
      <c r="P28" t="e">
        <f>IF(12&lt;=$B$14-1,$B$134+$B$132*(12*$B$15),NA())</f>
        <v>#N/A</v>
      </c>
      <c r="Q28" t="e">
        <f>NA()</f>
        <v>#N/A</v>
      </c>
      <c r="R28" t="e">
        <f>NA()</f>
        <v>#N/A</v>
      </c>
      <c r="EA28" t="e">
        <f>NA()</f>
        <v>#N/A</v>
      </c>
      <c r="EB28" t="e">
        <f>NA()</f>
        <v>#N/A</v>
      </c>
      <c r="EE28" t="e">
        <f>IF(11&lt;=$B$16-1,$B$139+$B$138*($B$5-11*($B$5/2)/MAX(1,$B$16-1)),NA())</f>
        <v>#N/A</v>
      </c>
      <c r="EF28" t="e">
        <f>IF(11&lt;=$B$16-1,$B$140+$B$138*($B$9+$B$8*11*($B$5/2)/MAX(1,$B$16-1)+1.2*$B$141),NA())</f>
        <v>#N/A</v>
      </c>
      <c r="EK28" t="e">
        <f>NA()</f>
        <v>#N/A</v>
      </c>
      <c r="EL28" t="e">
        <f>NA()</f>
        <v>#N/A</v>
      </c>
      <c r="FA28" t="e">
        <f>NA()</f>
        <v>#N/A</v>
      </c>
      <c r="FB28" t="e">
        <f>NA()</f>
        <v>#N/A</v>
      </c>
      <c r="FC28">
        <f>IF(AND(1&lt;$B$22,($B$19+1*$B$64)&gt;=$B$87),$B$145+$B$144*($B$89),NA())</f>
        <v>183.182</v>
      </c>
      <c r="FD28">
        <f>IF(AND(1&lt;$B$22,($B$19+1*$B$64)&gt;=$B$87),$B$146+$B$144*(($B$19+1*$B$64)),NA())</f>
        <v>46.10454</v>
      </c>
      <c r="FE28" t="e">
        <f>IF(AND(AND($B$21=1,(2*$B$66)&lt;$B$62),(2*$B$66)&gt;=$B$87),$B$145+$B$144*($B$89),NA())</f>
        <v>#N/A</v>
      </c>
      <c r="FF28" t="e">
        <f>IF(AND(AND($B$21=1,(2*$B$66)&lt;$B$62),(2*$B$66)&gt;=$B$87),$B$146+$B$144*((2*$B$66)),NA())</f>
        <v>#N/A</v>
      </c>
      <c r="FI28" t="e">
        <f>NA()</f>
        <v>#N/A</v>
      </c>
      <c r="FJ28" t="e">
        <f>NA()</f>
        <v>#N/A</v>
      </c>
      <c r="FK28" t="e">
        <f>NA()</f>
        <v>#N/A</v>
      </c>
      <c r="FL28" t="e">
        <f>NA()</f>
        <v>#N/A</v>
      </c>
      <c r="FM28" t="e">
        <f>NA()</f>
        <v>#N/A</v>
      </c>
      <c r="FN28" t="e">
        <f>NA()</f>
        <v>#N/A</v>
      </c>
      <c r="GE28" t="e">
        <f>NA()</f>
        <v>#N/A</v>
      </c>
      <c r="GF28" t="e">
        <f>NA()</f>
        <v>#N/A</v>
      </c>
      <c r="GG28">
        <f>IF(AND(AND($B$20=1,($B$19+1*$B$64)&lt;$B$10-0.3),($B$19+1*$B$64)&gt;=$B$118),$B$151+$B$150*(MAX(IF(($B$19+1*$B$64)&lt;=$B$9,0,(($B$19+1*$B$64)-$B$9)/$B$8),MIN(($B$5-IF(($B$19+1*$B$64)&lt;=$B$9,0,(($B$19+1*$B$64)-$B$9)/$B$8)),$B$120))),NA())</f>
        <v>173.182</v>
      </c>
      <c r="GH28">
        <f>IF(AND(AND($B$20=1,($B$19+1*$B$64)&lt;$B$10-0.3),($B$19+1*$B$64)&gt;=$B$118),$B$152+$B$150*(($B$19+1*$B$64)),NA())</f>
        <v>37.6818</v>
      </c>
      <c r="GI28" t="e">
        <f>IF(AND(AND($B$21=1,(2*$B$66)&lt;IF($B$63=1,$B$10-0.2,$B$62)),(2*$B$66)&gt;=$B$118),$B$151+$B$150*(MAX(IF((2*$B$66)&lt;=$B$9,0,((2*$B$66)-$B$9)/$B$8),MIN(($B$5-IF((2*$B$66)&lt;=$B$9,0,((2*$B$66)-$B$9)/$B$8)),$B$120))),NA())</f>
        <v>#N/A</v>
      </c>
      <c r="GJ28" t="e">
        <f>IF(AND(AND($B$21=1,(2*$B$66)&lt;IF($B$63=1,$B$10-0.2,$B$62)),(2*$B$66)&gt;=$B$118),$B$152+$B$150*((2*$B$66)),NA())</f>
        <v>#N/A</v>
      </c>
      <c r="GM28" t="e">
        <f>NA()</f>
        <v>#N/A</v>
      </c>
      <c r="GN28" t="e">
        <f>NA()</f>
        <v>#N/A</v>
      </c>
      <c r="GO28" t="e">
        <f>NA()</f>
        <v>#N/A</v>
      </c>
      <c r="GP28" t="e">
        <f>NA()</f>
        <v>#N/A</v>
      </c>
      <c r="HI28" t="e">
        <f>NA()</f>
        <v>#N/A</v>
      </c>
      <c r="HJ28" t="e">
        <f>NA()</f>
        <v>#N/A</v>
      </c>
      <c r="HK28" t="e">
        <f>NA()</f>
        <v>#N/A</v>
      </c>
      <c r="HL28" t="e">
        <f>NA()</f>
        <v>#N/A</v>
      </c>
      <c r="HM28" t="e">
        <f>NA()</f>
        <v>#N/A</v>
      </c>
      <c r="HN28" t="e">
        <f>NA()</f>
        <v>#N/A</v>
      </c>
      <c r="HQ28" t="e">
        <f>NA()</f>
        <v>#N/A</v>
      </c>
      <c r="HR28" t="e">
        <f>NA()</f>
        <v>#N/A</v>
      </c>
      <c r="HS28" t="e">
        <f>NA()</f>
        <v>#N/A</v>
      </c>
      <c r="HT28" t="e">
        <f>NA()</f>
        <v>#N/A</v>
      </c>
      <c r="HU28" t="e">
        <f>NA()</f>
        <v>#N/A</v>
      </c>
      <c r="HV28" t="e">
        <f>NA()</f>
        <v>#N/A</v>
      </c>
      <c r="HW28" t="e">
        <f>IF(12&lt;=$B$50/2,$B$157+$B$156*((12-0.5)*$B$6/MAX(1,$B$50/2)),NA())</f>
        <v>#N/A</v>
      </c>
      <c r="HX28" t="e">
        <f>IF(12&lt;=$B$50/2,$B$158+$B$156*($B$5),NA())</f>
        <v>#N/A</v>
      </c>
      <c r="IK28" t="e">
        <f>NA()</f>
        <v>#N/A</v>
      </c>
      <c r="IL28" t="e">
        <f>NA()</f>
        <v>#N/A</v>
      </c>
      <c r="IM28" t="e">
        <f>NA()</f>
        <v>#N/A</v>
      </c>
      <c r="IN28" t="e">
        <f>NA()</f>
        <v>#N/A</v>
      </c>
      <c r="IO28" t="e">
        <f>NA()</f>
        <v>#N/A</v>
      </c>
      <c r="IP28" t="e">
        <f>NA()</f>
        <v>#N/A</v>
      </c>
      <c r="IU28">
        <f>IF($B$167+0.05+2*'PARAMÈTRES'!$C$101&lt;$B$168-$B$41,$B$174+$B$173*($B$169+$B$29/2-$B$41),NA())</f>
        <v>99.187</v>
      </c>
      <c r="IV28">
        <f>IF($B$167+0.05+2*'PARAMÈTRES'!$C$101&lt;$B$168-$B$41,$B$175+$B$173*($B$167+0.05+2*'PARAMÈTRES'!$C$101),NA())</f>
        <v>41.1217</v>
      </c>
      <c r="IW28" t="e">
        <f>IF(AND(0.2+1*$B$43&lt;$B$170,ABS(0.2+1*$B$43-$B$169)&gt;$B$29/2+0.03,$B$44=1),$B$174+$B$173*(0.2+1*$B$43),NA())</f>
        <v>#N/A</v>
      </c>
      <c r="IX28" t="e">
        <f>IF(AND(0.2+1*$B$43&lt;$B$170,ABS(0.2+1*$B$43-$B$169)&gt;$B$29/2+0.03,$B$44=1),$B$175+$B$173*($B$166-$B$42-0.015),NA())</f>
        <v>#N/A</v>
      </c>
      <c r="JW28" t="e">
        <f>NA()</f>
        <v>#N/A</v>
      </c>
      <c r="JX28" t="e">
        <f>NA()</f>
        <v>#N/A</v>
      </c>
      <c r="KG28" t="e">
        <f>NA()</f>
        <v>#N/A</v>
      </c>
      <c r="KH28" t="e">
        <f>NA()</f>
        <v>#N/A</v>
      </c>
      <c r="KI28" t="e">
        <f>NA()</f>
        <v>#N/A</v>
      </c>
      <c r="KJ28" t="e">
        <f>NA()</f>
        <v>#N/A</v>
      </c>
      <c r="KK28" t="e">
        <f>NA()</f>
        <v>#N/A</v>
      </c>
      <c r="KL28" t="e">
        <f>NA()</f>
        <v>#N/A</v>
      </c>
    </row>
    <row r="29">
      <c r="A29" t="inlineStr">
        <is>
          <t>f1</t>
        </is>
      </c>
      <c r="B29">
        <f>'PARAMÈTRES'!$C$91</f>
        <v>0.4</v>
      </c>
      <c r="D29" t="inlineStr">
        <is>
          <t>p6_t3</t>
        </is>
      </c>
      <c r="E29" t="str">
        <f>"Remblai latérite compactée 95 % OPM – "&amp;'GROS_ŒUVRE'!$E$7*100&amp;" cm"</f>
        <v>Remblai latérite compactée 95 % OPM – 20 cm</v>
      </c>
      <c r="G29" t="e">
        <f>IF(8&lt;=$B$12,$B$133+$B$132*($B$13*8),NA())</f>
        <v>#N/A</v>
      </c>
      <c r="H29" t="e">
        <f>IF(8&lt;=$B$12,$B$134+$B$132*(-4*$B$135),NA())</f>
        <v>#N/A</v>
      </c>
      <c r="K29">
        <f>IF(1&lt;=$B$12,$B$133+$B$132*($B$13*1-$B$27/2),NA())</f>
        <v>48.9795714285714</v>
      </c>
      <c r="L29">
        <f>IF(1&lt;=$B$12,$B$134+$B$132*($B$5-$B$27/2),NA())</f>
        <v>81.96</v>
      </c>
      <c r="M29" t="e">
        <f>IF(8&lt;=$B$12,$B$133+$B$132*($B$13*8),NA())</f>
        <v>#N/A</v>
      </c>
      <c r="N29" t="e">
        <f>IF(8&lt;=$B$12,$B$134+$B$132*(0),NA())</f>
        <v>#N/A</v>
      </c>
      <c r="EA29" t="e">
        <f>IF(AND($B$18=1,9&lt;=$B$26-1),$B$139+$B$138*(9*($B$5/MAX(1,$B$26))),NA())</f>
        <v>#N/A</v>
      </c>
      <c r="EB29" t="e">
        <f>IF(AND($B$18=1,9&lt;=$B$26-1),$B$140+$B$138*($B$7),NA())</f>
        <v>#N/A</v>
      </c>
      <c r="EE29" t="e">
        <f>IF(12&lt;=$B$16-1,$B$139+$B$138*(12*($B$5/2)/MAX(1,$B$16-1)),NA())</f>
        <v>#N/A</v>
      </c>
      <c r="EF29" t="e">
        <f>IF(12&lt;=$B$16-1,$B$140+$B$138*($B$9+$B$8*12*($B$5/2)/MAX(1,$B$16-1)+1.2*$B$141),NA())</f>
        <v>#N/A</v>
      </c>
      <c r="EK29" t="e">
        <f>IF($B$45=1,$B$139+$B$138*($B$5/2-$B$27/2),NA())</f>
        <v>#N/A</v>
      </c>
      <c r="EL29" t="e">
        <f>IF($B$45=1,$B$140+$B$138*((-$B$33+$B$34)),NA())</f>
        <v>#N/A</v>
      </c>
      <c r="FA29" t="e">
        <f>IF(8&lt;=$B$12,$B$145+$B$144*($B$13*8),NA())</f>
        <v>#N/A</v>
      </c>
      <c r="FB29" t="e">
        <f>IF(8&lt;=$B$12,$B$146+$B$144*(0),NA())</f>
        <v>#N/A</v>
      </c>
      <c r="FC29">
        <f>IF(1&lt;$B$22,$B$145+$B$144*(IF(($B$19+1*$B$64)&lt;$B$87,$B$91,$B$89)),NA())</f>
        <v>183.182</v>
      </c>
      <c r="FD29">
        <f>IF(1&lt;$B$22,$B$146+$B$144*(($B$19+1*$B$64)),NA())</f>
        <v>46.10454</v>
      </c>
      <c r="FE29" t="e">
        <f>IF(AND($B$21=1,(2*$B$66)&lt;$B$62),$B$145+$B$144*(IF((2*$B$66)&lt;$B$87,$B$91,$B$89)),NA())</f>
        <v>#N/A</v>
      </c>
      <c r="FF29" t="e">
        <f>IF(AND($B$21=1,(2*$B$66)&lt;$B$62),$B$146+$B$144*((2*$B$66)),NA())</f>
        <v>#N/A</v>
      </c>
      <c r="FI29" t="e">
        <f>IF(5&lt;=$B$23,$B$145+$B$144*((IF(5=1,1,IF(5=$B$23,$B$12,5*(5-1)))-1)*$B$13),NA())</f>
        <v>#N/A</v>
      </c>
      <c r="FJ29" t="e">
        <f>IF(5&lt;=$B$23,$B$146+$B$144*(0),NA())</f>
        <v>#N/A</v>
      </c>
      <c r="FK29" t="e">
        <f>IF($B$85=1,$B$145+$B$144*($B$90),NA())</f>
        <v>#N/A</v>
      </c>
      <c r="FL29" t="e">
        <f>IF($B$85=1,$B$146+$B$144*($B$87),NA())</f>
        <v>#N/A</v>
      </c>
      <c r="FM29" t="e">
        <f>IF(AND($B$85=1,3&lt;=$B$68),$B$145+$B$144*($B$90-0.1),NA())</f>
        <v>#N/A</v>
      </c>
      <c r="FN29" t="e">
        <f>IF(AND($B$85=1,3&lt;=$B$68),$B$146+$B$144*($B$87+0.15),NA())</f>
        <v>#N/A</v>
      </c>
      <c r="GE29" t="e">
        <f>IF(7&lt;=$B$14-1,$B$151+$B$150*(7*$B$15),NA())</f>
        <v>#N/A</v>
      </c>
      <c r="GF29" t="e">
        <f>IF(7&lt;=$B$14-1,$B$152+$B$150*(0),NA())</f>
        <v>#N/A</v>
      </c>
      <c r="GG29">
        <f>IF(AND($B$20=1,($B$19+1*$B$64)&lt;$B$10-0.3),$B$151+$B$150*(MAX(IF(($B$19+1*$B$64)&lt;=$B$9,0,(($B$19+1*$B$64)-$B$9)/$B$8),MIN(($B$5-IF(($B$19+1*$B$64)&lt;=$B$9,0,(($B$19+1*$B$64)-$B$9)/$B$8)),IF(($B$19+1*$B$64)&lt;$B$118,$B$122,$B$120)))),NA())</f>
        <v>173.182</v>
      </c>
      <c r="GH29">
        <f>IF(AND($B$20=1,($B$19+1*$B$64)&lt;$B$10-0.3),$B$152+$B$150*(($B$19+1*$B$64)),NA())</f>
        <v>37.6818</v>
      </c>
      <c r="GI29" t="e">
        <f>IF(AND($B$21=1,(2*$B$66)&lt;IF($B$63=1,$B$10-0.2,$B$62)),$B$151+$B$150*(MAX(IF((2*$B$66)&lt;=$B$9,0,((2*$B$66)-$B$9)/$B$8),MIN(($B$5-IF((2*$B$66)&lt;=$B$9,0,((2*$B$66)-$B$9)/$B$8)),IF((2*$B$66)&lt;$B$118,$B$122,$B$120)))),NA())</f>
        <v>#N/A</v>
      </c>
      <c r="GJ29" t="e">
        <f>IF(AND($B$21=1,(2*$B$66)&lt;IF($B$63=1,$B$10-0.2,$B$62)),$B$152+$B$150*((2*$B$66)),NA())</f>
        <v>#N/A</v>
      </c>
      <c r="GM29" t="e">
        <f>IF($B$116=1,$B$151+$B$150*($B$121),NA())</f>
        <v>#N/A</v>
      </c>
      <c r="GN29" t="e">
        <f>IF($B$116=1,$B$152+$B$150*($B$118),NA())</f>
        <v>#N/A</v>
      </c>
      <c r="GO29" t="e">
        <f>IF(AND($B$116=1,3&lt;=$B$99),$B$151+$B$150*($B$121-0.1),NA())</f>
        <v>#N/A</v>
      </c>
      <c r="GP29" t="e">
        <f>IF(AND($B$116=1,3&lt;=$B$99),$B$152+$B$150*($B$118+0.15),NA())</f>
        <v>#N/A</v>
      </c>
      <c r="HI29">
        <f>IF(4&lt;=$B$16-1,$B$157+$B$156*(-$B$46),NA())</f>
        <v>21.451</v>
      </c>
      <c r="HJ29">
        <f>IF(4&lt;=$B$16-1,$B$158+$B$156*(4*($B$5/2)/MAX(1,$B$16-1)),NA())</f>
        <v>33</v>
      </c>
      <c r="HK29" t="e">
        <f>IF(8&lt;=$B$12,$B$157+$B$156*($B$13*8),NA())</f>
        <v>#N/A</v>
      </c>
      <c r="HL29" t="e">
        <f>IF(8&lt;=$B$12,$B$158+$B$156*(0),NA())</f>
        <v>#N/A</v>
      </c>
      <c r="HM29">
        <f>IF(AND(5&lt;=$B$12,1&lt;=$B$25),$B$157+$B$156*((5-1)*$B$13+1*$B$13/($B$25+1)),NA())</f>
        <v>120.305285714286</v>
      </c>
      <c r="HN29">
        <f>IF(AND(5&lt;=$B$12,1&lt;=$B$25),$B$158+$B$156*(0),NA())</f>
        <v>14</v>
      </c>
      <c r="HQ29" t="e">
        <f>IF(AND(1&lt;=$B$23,5&lt;=$B$24),$B$157+$B$156*((IF(1=1,1,IF(1=$B$23,$B$12,5*(1-1)))-1)*$B$13),NA())</f>
        <v>#N/A</v>
      </c>
      <c r="HR29" t="e">
        <f>IF(AND(1&lt;=$B$23,5&lt;=$B$24),$B$158+$B$156*((0*$B$5/2+(5-1)*($B$5/2)/$B$24)),NA())</f>
        <v>#N/A</v>
      </c>
      <c r="HS29">
        <f>IF(AND(2&lt;=$B$12,$B$51&gt;0),$B$157+$B$156*(((2-0.5)*$B$13)-($B$51*$B$13)/2),NA())</f>
        <v>54.0767142857143</v>
      </c>
      <c r="HT29">
        <f>IF(AND(2&lt;=$B$12,$B$51&gt;0),$B$158+$B$156*((0*$B$5/2+0.6*$B$159)),NA())</f>
        <v>14.6</v>
      </c>
      <c r="HU29">
        <f>IF(3&lt;=$B$47,$B$157+$B$156*(((MAX(1,MIN($B$12,ROUND(3*$B$12/($B$47+1),0)))-1)*$B$13+0.25*$B$13)-$B$48/2),NA())</f>
        <v>90.8824285714286</v>
      </c>
      <c r="HV29">
        <f>IF(3&lt;=$B$47,$B$158+$B$156*(IF(MOD(3,2)=1,$B$5/4,3*$B$5/4)-$B$49/2),NA())</f>
        <v>30.72</v>
      </c>
      <c r="HW29" t="e">
        <f>IF(13&lt;=$B$50/2,$B$157+$B$156*((13-0.5)*$B$6/MAX(1,$B$50/2)),NA())</f>
        <v>#N/A</v>
      </c>
      <c r="HX29" t="e">
        <f>IF(13&lt;=$B$50/2,$B$158+$B$156*(0),NA())</f>
        <v>#N/A</v>
      </c>
      <c r="IK29">
        <f>$B$174+$B$173*($B$169-$B$29/2)</f>
        <v>90.2284</v>
      </c>
      <c r="IL29">
        <f>$B$175+$B$173*($B$167)</f>
        <v>32.1631</v>
      </c>
      <c r="IM29" t="e">
        <f>IF($B$162+7*$B$67&lt;$B$163,$B$174+$B$173*(-0.075),NA())</f>
        <v>#N/A</v>
      </c>
      <c r="IN29" t="e">
        <f>IF($B$162+7*$B$67&lt;$B$163,$B$175+$B$173*($B$162+7*$B$67),NA())</f>
        <v>#N/A</v>
      </c>
      <c r="IO29">
        <f>$B$174+$B$173*(0.075+6*($B$170-0.075)/12)</f>
        <v>82.22965</v>
      </c>
      <c r="IP29">
        <f>$B$175+$B$173*(0)</f>
        <v>51.3601</v>
      </c>
      <c r="IU29" t="e">
        <f>NA()</f>
        <v>#N/A</v>
      </c>
      <c r="IV29" t="e">
        <f>NA()</f>
        <v>#N/A</v>
      </c>
      <c r="IW29">
        <f>IF(AND(0.2+2*$B$43&lt;$B$170,ABS(0.2+2*$B$43-$B$169)&gt;$B$29/2+0.03),$B$174+$B$173*(0.2+2*$B$43),NA())</f>
        <v>46.7152</v>
      </c>
      <c r="IX29">
        <f>IF(AND(0.2+2*$B$43&lt;$B$170,ABS(0.2+2*$B$43-$B$169)&gt;$B$29/2+0.03),$B$175+$B$173*($B$165+$B$42+0.015),NA())</f>
        <v>58.91092</v>
      </c>
      <c r="JW29">
        <f>$B$174+$B$173*($B$169+$B$27/2-$B$41)</f>
        <v>109.4254</v>
      </c>
      <c r="JX29">
        <f>$B$175+$B$173*($B$161+$B$41)</f>
        <v>23.2045</v>
      </c>
      <c r="KG29" t="e">
        <f>IF($B$21=1,$B$182+$B$181*($B$177*2/4-$B$60/2),NA())</f>
        <v>#N/A</v>
      </c>
      <c r="KH29" t="e">
        <f>IF($B$21=1,$B$183+$B$181*($B$59),NA())</f>
        <v>#N/A</v>
      </c>
      <c r="KI29" t="e">
        <f>IF(AND($B$21=1,3*$B$67&gt;$B$59,3*$B$67&lt;$B$178-$B$59,OR($B$63=0,ABS(3*$B$67-$B$178/2)&gt;$B$59/2)),$B$182+$B$181*(0),NA())</f>
        <v>#N/A</v>
      </c>
      <c r="KJ29" t="e">
        <f>IF(AND($B$21=1,3*$B$67&gt;$B$59,3*$B$67&lt;$B$178-$B$59,OR($B$63=0,ABS(3*$B$67-$B$178/2)&gt;$B$59/2)),$B$183+$B$181*(3*$B$67),NA())</f>
        <v>#N/A</v>
      </c>
      <c r="KK29" t="e">
        <f>IF($B$21=1,$B$182+$B$181*($B$177*2/4-($B$60/2-$B$41*0.5)),NA())</f>
        <v>#N/A</v>
      </c>
      <c r="KL29" t="e">
        <f>IF($B$21=1,$B$183+$B$181*($B$41),NA())</f>
        <v>#N/A</v>
      </c>
    </row>
    <row r="30">
      <c r="A30" t="inlineStr">
        <is>
          <t>f2</t>
        </is>
      </c>
      <c r="B30">
        <f>'PARAMÈTRES'!$C$94</f>
        <v>0.3</v>
      </c>
      <c r="D30" t="inlineStr">
        <is>
          <t>p6_t4</t>
        </is>
      </c>
      <c r="E30" t="str">
        <f>"Fût "&amp;'PARAMÈTRES'!$C$91*100&amp;" × "&amp;'PARAMÈTRES'!$C$91*100&amp;" h "&amp;FIXED('PARAMÈTRES'!$C$95,2,TRUE)&amp;" m – "&amp;'PARAMÈTRES'!$C$99&amp;" "&amp;'PARAMÈTRES'!$C$98&amp;" + cadres "&amp;'PARAMÈTRES'!$C$100&amp;" e = "&amp;'PARAMÈTRES'!$C$101*100</f>
        <v>Fût 40 × 40 h 1.20 m – 4 HA12 + cadres HA6 e = 15</v>
      </c>
      <c r="G30" t="e">
        <f>IF(8&lt;=$B$12,$B$133+$B$132*($B$13*8),NA())</f>
        <v>#N/A</v>
      </c>
      <c r="H30" t="e">
        <f>IF(8&lt;=$B$12,$B$134+$B$132*($B$5+4*$B$135),NA())</f>
        <v>#N/A</v>
      </c>
      <c r="K30">
        <f>IF(1&lt;=$B$12,$B$133+$B$132*($B$13*1+$B$27/2),NA())</f>
        <v>53.0595714285714</v>
      </c>
      <c r="L30">
        <f>IF(1&lt;=$B$12,$B$134+$B$132*($B$5-$B$27/2),NA())</f>
        <v>81.96</v>
      </c>
      <c r="M30" t="e">
        <f>IF(8&lt;=$B$12,$B$133+$B$132*($B$13*8),NA())</f>
        <v>#N/A</v>
      </c>
      <c r="N30" t="e">
        <f>IF(8&lt;=$B$12,$B$134+$B$132*($B$5),NA())</f>
        <v>#N/A</v>
      </c>
      <c r="EA30" t="e">
        <f>IF(AND($B$18=1,9&lt;=$B$26-1),$B$139+$B$138*(9*($B$5/MAX(1,$B$26))),NA())</f>
        <v>#N/A</v>
      </c>
      <c r="EB30" t="e">
        <f>IF(AND($B$18=1,9&lt;=$B$26-1),$B$140+$B$138*(($B$9+$B$8*MIN(9*($B$5/MAX(1,$B$26)),$B$5-(9*($B$5/MAX(1,$B$26)))))),NA())</f>
        <v>#N/A</v>
      </c>
      <c r="EE30" t="e">
        <f>IF(12&lt;=$B$16-1,$B$139+$B$138*($B$5-12*($B$5/2)/MAX(1,$B$16-1)),NA())</f>
        <v>#N/A</v>
      </c>
      <c r="EF30" t="e">
        <f>IF(12&lt;=$B$16-1,$B$140+$B$138*($B$9+$B$8*12*($B$5/2)/MAX(1,$B$16-1)+1.2*$B$141),NA())</f>
        <v>#N/A</v>
      </c>
      <c r="EK30" t="e">
        <f>IF($B$45=1,$B$139+$B$138*($B$5/2+$B$27/2),NA())</f>
        <v>#N/A</v>
      </c>
      <c r="EL30" t="e">
        <f>IF($B$45=1,$B$140+$B$138*((-$B$33+$B$34)),NA())</f>
        <v>#N/A</v>
      </c>
      <c r="FA30" t="e">
        <f>IF(8&lt;=$B$12,$B$145+$B$144*($B$13*8),NA())</f>
        <v>#N/A</v>
      </c>
      <c r="FB30" t="e">
        <f>IF(8&lt;=$B$12,$B$146+$B$144*($B$9),NA())</f>
        <v>#N/A</v>
      </c>
      <c r="FC30">
        <f>IF(1&lt;$B$22,$B$145+$B$144*(IF(($B$19+1*$B$64)&lt;$B$94,$B$97,$B$96)),NA())</f>
        <v>183.182</v>
      </c>
      <c r="FD30">
        <f>IF(1&lt;$B$22,$B$146+$B$144*(($B$19+1*$B$64)),NA())</f>
        <v>46.10454</v>
      </c>
      <c r="FE30" t="e">
        <f>IF(AND($B$21=1,(2*$B$66)&lt;$B$62),$B$145+$B$144*(IF((2*$B$66)&lt;$B$94,$B$97,$B$96)),NA())</f>
        <v>#N/A</v>
      </c>
      <c r="FF30" t="e">
        <f>IF(AND($B$21=1,(2*$B$66)&lt;$B$62),$B$146+$B$144*((2*$B$66)),NA())</f>
        <v>#N/A</v>
      </c>
      <c r="FI30" t="e">
        <f>IF(5&lt;=$B$23,$B$145+$B$144*(IF(5=1,1,IF(5=$B$23,$B$12,5*(5-1)))*$B$13),NA())</f>
        <v>#N/A</v>
      </c>
      <c r="FJ30" t="e">
        <f>IF(5&lt;=$B$23,$B$146+$B$144*($B$9),NA())</f>
        <v>#N/A</v>
      </c>
      <c r="FK30" t="e">
        <f>IF($B$85=1,$B$145+$B$144*($B$91),NA())</f>
        <v>#N/A</v>
      </c>
      <c r="FL30" t="e">
        <f>IF($B$85=1,$B$146+$B$144*($B$87),NA())</f>
        <v>#N/A</v>
      </c>
      <c r="FM30" t="e">
        <f>IF(AND($B$85=1,3&lt;=$B$68),$B$145+$B$144*($B$91+0.1),NA())</f>
        <v>#N/A</v>
      </c>
      <c r="FN30" t="e">
        <f>IF(AND($B$85=1,3&lt;=$B$68),$B$146+$B$144*($B$87+0.15),NA())</f>
        <v>#N/A</v>
      </c>
      <c r="GE30" t="e">
        <f>IF(7&lt;=$B$14-1,$B$151+$B$150*(7*$B$15),NA())</f>
        <v>#N/A</v>
      </c>
      <c r="GF30" t="e">
        <f>IF(7&lt;=$B$14-1,$B$152+$B$150*($B$9+$B$8*MIN(7*$B$15,$B$5-7*$B$15)),NA())</f>
        <v>#N/A</v>
      </c>
      <c r="GG30">
        <f>IF(AND($B$20=1,($B$19+1*$B$64)&lt;$B$10-0.3),$B$151+$B$150*(MAX(IF(($B$19+1*$B$64)&lt;=$B$9,0,(($B$19+1*$B$64)-$B$9)/$B$8),MIN(($B$5-IF(($B$19+1*$B$64)&lt;=$B$9,0,(($B$19+1*$B$64)-$B$9)/$B$8)),IF(($B$19+1*$B$64)&lt;$B$125,$B$128,$B$127)))),NA())</f>
        <v>173.182</v>
      </c>
      <c r="GH30">
        <f>IF(AND($B$20=1,($B$19+1*$B$64)&lt;$B$10-0.3),$B$152+$B$150*(($B$19+1*$B$64)),NA())</f>
        <v>37.6818</v>
      </c>
      <c r="GI30" t="e">
        <f>IF(AND($B$21=1,(2*$B$66)&lt;IF($B$63=1,$B$10-0.2,$B$62)),$B$151+$B$150*(MAX(IF((2*$B$66)&lt;=$B$9,0,((2*$B$66)-$B$9)/$B$8),MIN(($B$5-IF((2*$B$66)&lt;=$B$9,0,((2*$B$66)-$B$9)/$B$8)),IF((2*$B$66)&lt;$B$125,$B$128,$B$127)))),NA())</f>
        <v>#N/A</v>
      </c>
      <c r="GJ30" t="e">
        <f>IF(AND($B$21=1,(2*$B$66)&lt;IF($B$63=1,$B$10-0.2,$B$62)),$B$152+$B$150*((2*$B$66)),NA())</f>
        <v>#N/A</v>
      </c>
      <c r="GM30" t="e">
        <f>IF($B$116=1,$B$151+$B$150*($B$122),NA())</f>
        <v>#N/A</v>
      </c>
      <c r="GN30" t="e">
        <f>IF($B$116=1,$B$152+$B$150*($B$118),NA())</f>
        <v>#N/A</v>
      </c>
      <c r="GO30" t="e">
        <f>IF(AND($B$116=1,3&lt;=$B$99),$B$151+$B$150*($B$122+0.1),NA())</f>
        <v>#N/A</v>
      </c>
      <c r="GP30" t="e">
        <f>IF(AND($B$116=1,3&lt;=$B$99),$B$152+$B$150*($B$118+0.15),NA())</f>
        <v>#N/A</v>
      </c>
      <c r="HI30">
        <f>IF(4&lt;=$B$16-1,$B$157+$B$156*($B$6+$B$46),NA())</f>
        <v>175.731</v>
      </c>
      <c r="HJ30">
        <f>IF(4&lt;=$B$16-1,$B$158+$B$156*(4*($B$5/2)/MAX(1,$B$16-1)),NA())</f>
        <v>33</v>
      </c>
      <c r="HK30" t="e">
        <f>IF(8&lt;=$B$12,$B$157+$B$156*($B$13*8),NA())</f>
        <v>#N/A</v>
      </c>
      <c r="HL30" t="e">
        <f>IF(8&lt;=$B$12,$B$158+$B$156*($B$5),NA())</f>
        <v>#N/A</v>
      </c>
      <c r="HM30">
        <f>IF(AND(5&lt;=$B$12,1&lt;=$B$25),$B$157+$B$156*((5-1)*$B$13+1*$B$13/($B$25+1)),NA())</f>
        <v>120.305285714286</v>
      </c>
      <c r="HN30">
        <f>IF(AND(5&lt;=$B$12,1&lt;=$B$25),$B$158+$B$156*($B$5),NA())</f>
        <v>90</v>
      </c>
      <c r="HQ30" t="e">
        <f>IF(AND(1&lt;=$B$23,5&lt;=$B$24),$B$157+$B$156*(IF(1=1,1,IF(1=$B$23,$B$12,5*(1-1)))*$B$13),NA())</f>
        <v>#N/A</v>
      </c>
      <c r="HR30" t="e">
        <f>IF(AND(1&lt;=$B$23,5&lt;=$B$24),$B$158+$B$156*((0*$B$5/2+5*($B$5/2)/$B$24)),NA())</f>
        <v>#N/A</v>
      </c>
      <c r="HS30">
        <f>IF(AND(2&lt;=$B$12,$B$51&gt;0),$B$157+$B$156*(((2-0.5)*$B$13)+($B$51*$B$13)/2),NA())</f>
        <v>56.2481428571429</v>
      </c>
      <c r="HT30">
        <f>IF(AND(2&lt;=$B$12,$B$51&gt;0),$B$158+$B$156*((0*$B$5/2+0.6*$B$159)),NA())</f>
        <v>14.6</v>
      </c>
      <c r="HU30">
        <f>IF(3&lt;=$B$47,$B$157+$B$156*(((MAX(1,MIN($B$12,ROUND(3*$B$12/($B$47+1),0)))-1)*$B$13+0.25*$B$13)+$B$48/2),NA())</f>
        <v>95.4424285714286</v>
      </c>
      <c r="HV30">
        <f>IF(3&lt;=$B$47,$B$158+$B$156*(IF(MOD(3,2)=1,$B$5/4,3*$B$5/4)-$B$49/2),NA())</f>
        <v>30.72</v>
      </c>
      <c r="HW30" t="e">
        <f>IF(13&lt;=$B$50/2,$B$157+$B$156*((13-0.5)*$B$6/MAX(1,$B$50/2)),NA())</f>
        <v>#N/A</v>
      </c>
      <c r="HX30" t="e">
        <f>IF(13&lt;=$B$50/2,$B$158+$B$156*($B$5),NA())</f>
        <v>#N/A</v>
      </c>
      <c r="IK30">
        <f>$B$174+$B$173*($B$169+$B$29/2)</f>
        <v>100.4668</v>
      </c>
      <c r="IL30">
        <f>$B$175+$B$173*($B$167)</f>
        <v>32.1631</v>
      </c>
      <c r="IM30" t="e">
        <f>IF($B$162+7*$B$67&lt;$B$163,$B$174+$B$173*(0.075),NA())</f>
        <v>#N/A</v>
      </c>
      <c r="IN30" t="e">
        <f>IF($B$162+7*$B$67&lt;$B$163,$B$175+$B$173*($B$162+7*$B$67),NA())</f>
        <v>#N/A</v>
      </c>
      <c r="IO30">
        <f>$B$174+$B$173*(0.075+(6+0.5)*($B$170-0.075)/12)</f>
        <v>86.3090125</v>
      </c>
      <c r="IP30">
        <f>$B$175+$B$173*($B$164)</f>
        <v>56.4793</v>
      </c>
      <c r="IU30">
        <f>IF($B$167+0.05+3*'PARAMÈTRES'!$C$101&lt;$B$168-$B$41,$B$174+$B$173*($B$169-$B$29/2+$B$41),NA())</f>
        <v>91.5082</v>
      </c>
      <c r="IV30">
        <f>IF($B$167+0.05+3*'PARAMÈTRES'!$C$101&lt;$B$168-$B$41,$B$175+$B$173*($B$167+0.05+3*'PARAMÈTRES'!$C$101),NA())</f>
        <v>44.9611</v>
      </c>
      <c r="IW30" t="e">
        <f>IF(AND(0.2+2*$B$43&lt;$B$170,ABS(0.2+2*$B$43-$B$169)&gt;$B$29/2+0.03,$B$44=1),$B$174+$B$173*(0.2+2*$B$43),NA())</f>
        <v>#N/A</v>
      </c>
      <c r="IX30" t="e">
        <f>IF(AND(0.2+2*$B$43&lt;$B$170,ABS(0.2+2*$B$43-$B$169)&gt;$B$29/2+0.03,$B$44=1),$B$175+$B$173*($B$166-$B$42-0.015),NA())</f>
        <v>#N/A</v>
      </c>
      <c r="JW30">
        <f>$B$174+$B$173*($B$170+1*$B$176)</f>
        <v>132.182</v>
      </c>
      <c r="JX30">
        <f>$B$175+$B$173*($B$161+$B$41)</f>
        <v>23.2045</v>
      </c>
      <c r="KG30" t="e">
        <f>IF($B$21=1,$B$182+$B$181*($B$177*2/4+$B$60/2),NA())</f>
        <v>#N/A</v>
      </c>
      <c r="KH30" t="e">
        <f>IF($B$21=1,$B$183+$B$181*($B$59),NA())</f>
        <v>#N/A</v>
      </c>
      <c r="KI30" t="e">
        <f>IF(AND($B$21=1,3*$B$67&gt;$B$59,3*$B$67&lt;$B$178-$B$59,OR($B$63=0,ABS(3*$B$67-$B$178/2)&gt;$B$59/2)),$B$182+$B$181*($B$177*1/4-$B$60/2),NA())</f>
        <v>#N/A</v>
      </c>
      <c r="KJ30" t="e">
        <f>IF(AND($B$21=1,3*$B$67&gt;$B$59,3*$B$67&lt;$B$178-$B$59,OR($B$63=0,ABS(3*$B$67-$B$178/2)&gt;$B$59/2)),$B$183+$B$181*(3*$B$67),NA())</f>
        <v>#N/A</v>
      </c>
      <c r="KK30" t="e">
        <f>IF($B$21=1,$B$182+$B$181*($B$177*2/4-($B$60/2-$B$41*0.5)),NA())</f>
        <v>#N/A</v>
      </c>
      <c r="KL30" t="e">
        <f>IF($B$21=1,$B$183+$B$181*($B$178-$B$41),NA())</f>
        <v>#N/A</v>
      </c>
    </row>
    <row r="31">
      <c r="A31" t="inlineStr">
        <is>
          <t>b_fil</t>
        </is>
      </c>
      <c r="B31">
        <f>'PARAMÈTRES'!$C$102</f>
        <v>0.6</v>
      </c>
      <c r="D31" t="inlineStr">
        <is>
          <t>p6_t5</t>
        </is>
      </c>
      <c r="E31" t="str">
        <f>"Quadrillage "&amp;'PARAMÈTRES'!$C$97&amp;" maille "&amp;'PARAMÈTRES'!$C$96*100&amp;" cm"</f>
        <v>Quadrillage HA12 maille 15 cm</v>
      </c>
      <c r="G31" t="e">
        <f>NA()</f>
        <v>#N/A</v>
      </c>
      <c r="H31" t="e">
        <f>NA()</f>
        <v>#N/A</v>
      </c>
      <c r="K31">
        <f>IF(1&lt;=$B$12,$B$133+$B$132*($B$13*1+$B$27/2),NA())</f>
        <v>53.0595714285714</v>
      </c>
      <c r="L31">
        <f>IF(1&lt;=$B$12,$B$134+$B$132*($B$5+$B$27/2),NA())</f>
        <v>86.04</v>
      </c>
      <c r="M31" t="e">
        <f>IF(AND(8&lt;=$B$12,$B$45=1),$B$133+$B$132*($B$13*8),NA())</f>
        <v>#N/A</v>
      </c>
      <c r="N31" t="e">
        <f>IF(AND(8&lt;=$B$12,$B$45=1),$B$134+$B$132*($B$5/2),NA())</f>
        <v>#N/A</v>
      </c>
      <c r="EA31" t="e">
        <f>NA()</f>
        <v>#N/A</v>
      </c>
      <c r="EB31" t="e">
        <f>NA()</f>
        <v>#N/A</v>
      </c>
      <c r="EE31" t="e">
        <f>IF(13&lt;=$B$16-1,$B$139+$B$138*(13*($B$5/2)/MAX(1,$B$16-1)),NA())</f>
        <v>#N/A</v>
      </c>
      <c r="EF31" t="e">
        <f>IF(13&lt;=$B$16-1,$B$140+$B$138*($B$9+$B$8*13*($B$5/2)/MAX(1,$B$16-1)+1.2*$B$141),NA())</f>
        <v>#N/A</v>
      </c>
      <c r="EK31" t="e">
        <f>IF($B$45=1,$B$139+$B$138*($B$5/2+$B$27/2),NA())</f>
        <v>#N/A</v>
      </c>
      <c r="EL31" t="e">
        <f>IF($B$45=1,$B$140+$B$138*((-$B$33+$B$34)+$B$35),NA())</f>
        <v>#N/A</v>
      </c>
      <c r="FA31" t="e">
        <f>NA()</f>
        <v>#N/A</v>
      </c>
      <c r="FB31" t="e">
        <f>NA()</f>
        <v>#N/A</v>
      </c>
      <c r="FC31">
        <f>IF(AND(1&lt;$B$22,($B$19+1*$B$64)&gt;=$B$94),$B$145+$B$144*($B$96),NA())</f>
        <v>183.182</v>
      </c>
      <c r="FD31">
        <f>IF(AND(1&lt;$B$22,($B$19+1*$B$64)&gt;=$B$94),$B$146+$B$144*(($B$19+1*$B$64)),NA())</f>
        <v>46.10454</v>
      </c>
      <c r="FE31" t="e">
        <f>IF(AND(AND($B$21=1,(2*$B$66)&lt;$B$62),(2*$B$66)&gt;=$B$94),$B$145+$B$144*($B$96),NA())</f>
        <v>#N/A</v>
      </c>
      <c r="FF31" t="e">
        <f>IF(AND(AND($B$21=1,(2*$B$66)&lt;$B$62),(2*$B$66)&gt;=$B$94),$B$146+$B$144*((2*$B$66)),NA())</f>
        <v>#N/A</v>
      </c>
      <c r="FI31" t="e">
        <f>NA()</f>
        <v>#N/A</v>
      </c>
      <c r="FJ31" t="e">
        <f>NA()</f>
        <v>#N/A</v>
      </c>
      <c r="FK31" t="e">
        <f>NA()</f>
        <v>#N/A</v>
      </c>
      <c r="FL31" t="e">
        <f>NA()</f>
        <v>#N/A</v>
      </c>
      <c r="FM31" t="e">
        <f>NA()</f>
        <v>#N/A</v>
      </c>
      <c r="FN31" t="e">
        <f>NA()</f>
        <v>#N/A</v>
      </c>
      <c r="GE31" t="e">
        <f>NA()</f>
        <v>#N/A</v>
      </c>
      <c r="GF31" t="e">
        <f>NA()</f>
        <v>#N/A</v>
      </c>
      <c r="GG31">
        <f>IF(AND(AND($B$20=1,($B$19+1*$B$64)&lt;$B$10-0.3),($B$19+1*$B$64)&gt;=$B$125),$B$151+$B$150*(MAX(IF(($B$19+1*$B$64)&lt;=$B$9,0,(($B$19+1*$B$64)-$B$9)/$B$8),MIN(($B$5-IF(($B$19+1*$B$64)&lt;=$B$9,0,(($B$19+1*$B$64)-$B$9)/$B$8)),$B$127))),NA())</f>
        <v>173.182</v>
      </c>
      <c r="GH31">
        <f>IF(AND(AND($B$20=1,($B$19+1*$B$64)&lt;$B$10-0.3),($B$19+1*$B$64)&gt;=$B$125),$B$152+$B$150*(($B$19+1*$B$64)),NA())</f>
        <v>37.6818</v>
      </c>
      <c r="GI31" t="e">
        <f>IF(AND(AND($B$21=1,(2*$B$66)&lt;IF($B$63=1,$B$10-0.2,$B$62)),(2*$B$66)&gt;=$B$125),$B$151+$B$150*(MAX(IF((2*$B$66)&lt;=$B$9,0,((2*$B$66)-$B$9)/$B$8),MIN(($B$5-IF((2*$B$66)&lt;=$B$9,0,((2*$B$66)-$B$9)/$B$8)),$B$127))),NA())</f>
        <v>#N/A</v>
      </c>
      <c r="GJ31" t="e">
        <f>IF(AND(AND($B$21=1,(2*$B$66)&lt;IF($B$63=1,$B$10-0.2,$B$62)),(2*$B$66)&gt;=$B$125),$B$152+$B$150*((2*$B$66)),NA())</f>
        <v>#N/A</v>
      </c>
      <c r="GM31" t="e">
        <f>NA()</f>
        <v>#N/A</v>
      </c>
      <c r="GN31" t="e">
        <f>NA()</f>
        <v>#N/A</v>
      </c>
      <c r="GO31" t="e">
        <f>NA()</f>
        <v>#N/A</v>
      </c>
      <c r="GP31" t="e">
        <f>NA()</f>
        <v>#N/A</v>
      </c>
      <c r="HI31" t="e">
        <f>NA()</f>
        <v>#N/A</v>
      </c>
      <c r="HJ31" t="e">
        <f>NA()</f>
        <v>#N/A</v>
      </c>
      <c r="HK31" t="e">
        <f>NA()</f>
        <v>#N/A</v>
      </c>
      <c r="HL31" t="e">
        <f>NA()</f>
        <v>#N/A</v>
      </c>
      <c r="HM31" t="e">
        <f>NA()</f>
        <v>#N/A</v>
      </c>
      <c r="HN31" t="e">
        <f>NA()</f>
        <v>#N/A</v>
      </c>
      <c r="HQ31" t="e">
        <f>NA()</f>
        <v>#N/A</v>
      </c>
      <c r="HR31" t="e">
        <f>NA()</f>
        <v>#N/A</v>
      </c>
      <c r="HS31">
        <f>IF(AND(2&lt;=$B$12,$B$51&gt;0),$B$157+$B$156*(((2-0.5)*$B$13)+($B$51*$B$13)/2),NA())</f>
        <v>56.2481428571429</v>
      </c>
      <c r="HT31">
        <f>IF(AND(2&lt;=$B$12,$B$51&gt;0),$B$158+$B$156*((0*$B$5/2+$B$5/2-0.6*$B$159)),NA())</f>
        <v>51.4</v>
      </c>
      <c r="HU31">
        <f>IF(3&lt;=$B$47,$B$157+$B$156*(((MAX(1,MIN($B$12,ROUND(3*$B$12/($B$47+1),0)))-1)*$B$13+0.25*$B$13)+$B$48/2),NA())</f>
        <v>95.4424285714286</v>
      </c>
      <c r="HV31">
        <f>IF(3&lt;=$B$47,$B$158+$B$156*(IF(MOD(3,2)=1,$B$5/4,3*$B$5/4)+$B$49/2),NA())</f>
        <v>35.28</v>
      </c>
      <c r="HW31" t="e">
        <f>IF(14&lt;=$B$50/2,$B$157+$B$156*((14-0.5)*$B$6/MAX(1,$B$50/2)),NA())</f>
        <v>#N/A</v>
      </c>
      <c r="HX31" t="e">
        <f>IF(14&lt;=$B$50/2,$B$158+$B$156*(0),NA())</f>
        <v>#N/A</v>
      </c>
      <c r="IK31">
        <f>$B$174+$B$173*($B$169+$B$29/2)</f>
        <v>100.4668</v>
      </c>
      <c r="IL31">
        <f>$B$175+$B$173*($B$168)</f>
        <v>62.8783</v>
      </c>
      <c r="IM31" t="e">
        <f>NA()</f>
        <v>#N/A</v>
      </c>
      <c r="IN31" t="e">
        <f>NA()</f>
        <v>#N/A</v>
      </c>
      <c r="IO31" t="e">
        <f>NA()</f>
        <v>#N/A</v>
      </c>
      <c r="IP31" t="e">
        <f>NA()</f>
        <v>#N/A</v>
      </c>
      <c r="IU31">
        <f>IF($B$167+0.05+3*'PARAMÈTRES'!$C$101&lt;$B$168-$B$41,$B$174+$B$173*($B$169+$B$29/2-$B$41),NA())</f>
        <v>99.187</v>
      </c>
      <c r="IV31">
        <f>IF($B$167+0.05+3*'PARAMÈTRES'!$C$101&lt;$B$168-$B$41,$B$175+$B$173*($B$167+0.05+3*'PARAMÈTRES'!$C$101),NA())</f>
        <v>44.9611</v>
      </c>
      <c r="IW31">
        <f>IF(AND(0.2+3*$B$43&lt;$B$170,ABS(0.2+3*$B$43-$B$169)&gt;$B$29/2+0.03),$B$174+$B$173*(0.2+3*$B$43),NA())</f>
        <v>51.8344</v>
      </c>
      <c r="IX31">
        <f>IF(AND(0.2+3*$B$43&lt;$B$170,ABS(0.2+3*$B$43-$B$169)&gt;$B$29/2+0.03),$B$175+$B$173*($B$165+$B$42+0.015),NA())</f>
        <v>58.91092</v>
      </c>
      <c r="JW31">
        <f>$B$174+$B$173*($B$170+4*$B$176)</f>
        <v>135.182</v>
      </c>
      <c r="JX31">
        <f>$B$175+$B$173*((MAX($B$166,$B$168)+0.75)-6*6.5*$B$176)</f>
        <v>43.0753</v>
      </c>
      <c r="KG31" t="e">
        <f>IF($B$21=1,$B$182+$B$181*($B$177*2/4+$B$60/2),NA())</f>
        <v>#N/A</v>
      </c>
      <c r="KH31" t="e">
        <f>IF($B$21=1,$B$183+$B$181*($B$178-$B$59),NA())</f>
        <v>#N/A</v>
      </c>
      <c r="KI31" t="e">
        <f>NA()</f>
        <v>#N/A</v>
      </c>
      <c r="KJ31" t="e">
        <f>NA()</f>
        <v>#N/A</v>
      </c>
      <c r="KK31" t="e">
        <f>NA()</f>
        <v>#N/A</v>
      </c>
      <c r="KL31" t="e">
        <f>NA()</f>
        <v>#N/A</v>
      </c>
    </row>
    <row r="32">
      <c r="A32" t="inlineStr">
        <is>
          <t>h_fil</t>
        </is>
      </c>
      <c r="B32">
        <f>'PARAMÈTRES'!$C$103</f>
        <v>0.2</v>
      </c>
      <c r="D32" t="inlineStr">
        <is>
          <t>p6_t9</t>
        </is>
      </c>
      <c r="E32" t="str">
        <f>"Semelle isolée béton armé "&amp;'PARAMÈTRES'!$C$143&amp;" kg/m³ sur propreté "&amp;'PARAMÈTRES'!$C$142&amp;" kg/m³"</f>
        <v>Semelle isolée béton armé 350 kg/m³ sur propreté 150 kg/m³</v>
      </c>
      <c r="G32" t="e">
        <f>IF(9&lt;=$B$12,$B$133+$B$132*($B$13*9),NA())</f>
        <v>#N/A</v>
      </c>
      <c r="H32" t="e">
        <f>IF(9&lt;=$B$12,$B$134+$B$132*(-4*$B$135),NA())</f>
        <v>#N/A</v>
      </c>
      <c r="K32">
        <f>IF(1&lt;=$B$12,$B$133+$B$132*($B$13*1-$B$27/2),NA())</f>
        <v>48.9795714285714</v>
      </c>
      <c r="L32">
        <f>IF(1&lt;=$B$12,$B$134+$B$132*($B$5+$B$27/2),NA())</f>
        <v>86.04</v>
      </c>
      <c r="M32" t="e">
        <f>IF(9&lt;=$B$12,$B$133+$B$132*($B$13*9),NA())</f>
        <v>#N/A</v>
      </c>
      <c r="N32" t="e">
        <f>IF(9&lt;=$B$12,$B$134+$B$132*(0),NA())</f>
        <v>#N/A</v>
      </c>
      <c r="EA32" t="e">
        <f>IF(AND($B$18=1,10&lt;=$B$26-1),$B$139+$B$138*(10*($B$5/MAX(1,$B$26))),NA())</f>
        <v>#N/A</v>
      </c>
      <c r="EB32" t="e">
        <f>IF(AND($B$18=1,10&lt;=$B$26-1),$B$140+$B$138*($B$7),NA())</f>
        <v>#N/A</v>
      </c>
      <c r="EE32" t="e">
        <f>IF(13&lt;=$B$16-1,$B$139+$B$138*($B$5-13*($B$5/2)/MAX(1,$B$16-1)),NA())</f>
        <v>#N/A</v>
      </c>
      <c r="EF32" t="e">
        <f>IF(13&lt;=$B$16-1,$B$140+$B$138*($B$9+$B$8*13*($B$5/2)/MAX(1,$B$16-1)+1.2*$B$141),NA())</f>
        <v>#N/A</v>
      </c>
      <c r="EK32" t="e">
        <f>IF($B$45=1,$B$139+$B$138*($B$5/2-$B$27/2),NA())</f>
        <v>#N/A</v>
      </c>
      <c r="EL32" t="e">
        <f>IF($B$45=1,$B$140+$B$138*((-$B$33+$B$34)+$B$35),NA())</f>
        <v>#N/A</v>
      </c>
      <c r="FA32" t="e">
        <f>IF(9&lt;=$B$12,$B$145+$B$144*($B$13*9),NA())</f>
        <v>#N/A</v>
      </c>
      <c r="FB32" t="e">
        <f>IF(9&lt;=$B$12,$B$146+$B$144*(0),NA())</f>
        <v>#N/A</v>
      </c>
      <c r="FC32">
        <f>IF(1&lt;$B$22,$B$145+$B$144*(IF(($B$19+1*$B$64)&lt;$B$94,$B$98,$B$96)),NA())</f>
        <v>183.182</v>
      </c>
      <c r="FD32">
        <f>IF(1&lt;$B$22,$B$146+$B$144*(($B$19+1*$B$64)),NA())</f>
        <v>46.10454</v>
      </c>
      <c r="FE32" t="e">
        <f>IF(AND($B$21=1,(2*$B$66)&lt;$B$62),$B$145+$B$144*(IF((2*$B$66)&lt;$B$94,$B$98,$B$96)),NA())</f>
        <v>#N/A</v>
      </c>
      <c r="FF32" t="e">
        <f>IF(AND($B$21=1,(2*$B$66)&lt;$B$62),$B$146+$B$144*((2*$B$66)),NA())</f>
        <v>#N/A</v>
      </c>
      <c r="FI32" t="e">
        <f>IF(5&lt;=$B$23,$B$145+$B$144*(IF(5=1,1,IF(5=$B$23,$B$12,5*(5-1)))*$B$13),NA())</f>
        <v>#N/A</v>
      </c>
      <c r="FJ32" t="e">
        <f>IF(5&lt;=$B$23,$B$146+$B$144*(0),NA())</f>
        <v>#N/A</v>
      </c>
      <c r="FK32" t="e">
        <f>IF($B$92=1,$B$145+$B$144*($B$97),NA())</f>
        <v>#N/A</v>
      </c>
      <c r="FL32" t="e">
        <f>IF($B$92=1,$B$146+$B$144*(0),NA())</f>
        <v>#N/A</v>
      </c>
      <c r="FM32" t="e">
        <f>IF($B$92=1,$B$145+$B$144*($B$97),NA())</f>
        <v>#N/A</v>
      </c>
      <c r="FN32" t="e">
        <f>IF($B$92=1,$B$146+$B$144*(0),NA())</f>
        <v>#N/A</v>
      </c>
      <c r="GE32" t="e">
        <f>IF(8&lt;=$B$14-1,$B$151+$B$150*(8*$B$15),NA())</f>
        <v>#N/A</v>
      </c>
      <c r="GF32" t="e">
        <f>IF(8&lt;=$B$14-1,$B$152+$B$150*(0),NA())</f>
        <v>#N/A</v>
      </c>
      <c r="GG32">
        <f>IF(AND($B$20=1,($B$19+1*$B$64)&lt;$B$10-0.3),$B$151+$B$150*(MAX(IF(($B$19+1*$B$64)&lt;=$B$9,0,(($B$19+1*$B$64)-$B$9)/$B$8),MIN(($B$5-IF(($B$19+1*$B$64)&lt;=$B$9,0,(($B$19+1*$B$64)-$B$9)/$B$8)),IF(($B$19+1*$B$64)&lt;$B$125,$B$129,$B$127)))),NA())</f>
        <v>173.182</v>
      </c>
      <c r="GH32">
        <f>IF(AND($B$20=1,($B$19+1*$B$64)&lt;$B$10-0.3),$B$152+$B$150*(($B$19+1*$B$64)),NA())</f>
        <v>37.6818</v>
      </c>
      <c r="GI32" t="e">
        <f>IF(AND($B$21=1,(2*$B$66)&lt;IF($B$63=1,$B$10-0.2,$B$62)),$B$151+$B$150*(MAX(IF((2*$B$66)&lt;=$B$9,0,((2*$B$66)-$B$9)/$B$8),MIN(($B$5-IF((2*$B$66)&lt;=$B$9,0,((2*$B$66)-$B$9)/$B$8)),IF((2*$B$66)&lt;$B$125,$B$129,$B$127)))),NA())</f>
        <v>#N/A</v>
      </c>
      <c r="GJ32" t="e">
        <f>IF(AND($B$21=1,(2*$B$66)&lt;IF($B$63=1,$B$10-0.2,$B$62)),$B$152+$B$150*((2*$B$66)),NA())</f>
        <v>#N/A</v>
      </c>
      <c r="GM32" t="e">
        <f>IF($B$123=1,$B$151+$B$150*($B$128),NA())</f>
        <v>#N/A</v>
      </c>
      <c r="GN32" t="e">
        <f>IF($B$123=1,$B$152+$B$150*(0),NA())</f>
        <v>#N/A</v>
      </c>
      <c r="GO32" t="e">
        <f>IF($B$123=1,$B$151+$B$150*($B$128),NA())</f>
        <v>#N/A</v>
      </c>
      <c r="GP32" t="e">
        <f>IF($B$123=1,$B$152+$B$150*(0),NA())</f>
        <v>#N/A</v>
      </c>
      <c r="HI32">
        <f>IF(4&lt;=$B$16-1,$B$157+$B$156*(-$B$46),NA())</f>
        <v>21.451</v>
      </c>
      <c r="HJ32">
        <f>IF(4&lt;=$B$16-1,$B$158+$B$156*($B$5-4*($B$5/2)/MAX(1,$B$16-1)),NA())</f>
        <v>71</v>
      </c>
      <c r="HK32" t="e">
        <f>IF(9&lt;=$B$12,$B$157+$B$156*($B$13*9),NA())</f>
        <v>#N/A</v>
      </c>
      <c r="HL32" t="e">
        <f>IF(9&lt;=$B$12,$B$158+$B$156*(0),NA())</f>
        <v>#N/A</v>
      </c>
      <c r="HM32" t="e">
        <f>IF(AND(5&lt;=$B$12,2&lt;=$B$25),$B$157+$B$156*((5-1)*$B$13+2*$B$13/($B$25+1)),NA())</f>
        <v>#N/A</v>
      </c>
      <c r="HN32" t="e">
        <f>IF(AND(5&lt;=$B$12,2&lt;=$B$25),$B$158+$B$156*(0),NA())</f>
        <v>#N/A</v>
      </c>
      <c r="HQ32" t="e">
        <f>IF(AND(1&lt;=$B$23,5&lt;=$B$24),$B$157+$B$156*((IF(1=1,1,IF(1=$B$23,$B$12,5*(1-1)))-1)*$B$13),NA())</f>
        <v>#N/A</v>
      </c>
      <c r="HR32" t="e">
        <f>IF(AND(1&lt;=$B$23,5&lt;=$B$24),$B$158+$B$156*((0*$B$5/2+5*($B$5/2)/$B$24)),NA())</f>
        <v>#N/A</v>
      </c>
      <c r="HS32">
        <f>IF(AND(2&lt;=$B$12,$B$51&gt;0),$B$157+$B$156*(((2-0.5)*$B$13)-($B$51*$B$13)/2),NA())</f>
        <v>54.0767142857143</v>
      </c>
      <c r="HT32">
        <f>IF(AND(2&lt;=$B$12,$B$51&gt;0),$B$158+$B$156*((0*$B$5/2+$B$5/2-0.6*$B$159)),NA())</f>
        <v>51.4</v>
      </c>
      <c r="HU32">
        <f>IF(3&lt;=$B$47,$B$157+$B$156*(((MAX(1,MIN($B$12,ROUND(3*$B$12/($B$47+1),0)))-1)*$B$13+0.25*$B$13)-$B$48/2),NA())</f>
        <v>90.8824285714286</v>
      </c>
      <c r="HV32">
        <f>IF(3&lt;=$B$47,$B$158+$B$156*(IF(MOD(3,2)=1,$B$5/4,3*$B$5/4)+$B$49/2),NA())</f>
        <v>35.28</v>
      </c>
      <c r="HW32" t="e">
        <f>IF(14&lt;=$B$50/2,$B$157+$B$156*((14-0.5)*$B$6/MAX(1,$B$50/2)),NA())</f>
        <v>#N/A</v>
      </c>
      <c r="HX32" t="e">
        <f>IF(14&lt;=$B$50/2,$B$158+$B$156*($B$5),NA())</f>
        <v>#N/A</v>
      </c>
      <c r="IK32">
        <f>$B$174+$B$173*($B$169-$B$29/2)</f>
        <v>90.2284</v>
      </c>
      <c r="IL32">
        <f>$B$175+$B$173*($B$168)</f>
        <v>62.8783</v>
      </c>
      <c r="IM32">
        <f>$B$174+$B$173*(-0.075)</f>
        <v>29.4379</v>
      </c>
      <c r="IN32">
        <f>$B$175+$B$173*($B$163)</f>
        <v>52.6399</v>
      </c>
      <c r="IO32">
        <f>$B$174+$B$173*(0.075+7*($B$170-0.075)/12)</f>
        <v>90.388375</v>
      </c>
      <c r="IP32">
        <f>$B$175+$B$173*(0)</f>
        <v>51.3601</v>
      </c>
      <c r="IU32" t="e">
        <f>NA()</f>
        <v>#N/A</v>
      </c>
      <c r="IV32" t="e">
        <f>NA()</f>
        <v>#N/A</v>
      </c>
      <c r="IW32" t="e">
        <f>IF(AND(0.2+3*$B$43&lt;$B$170,ABS(0.2+3*$B$43-$B$169)&gt;$B$29/2+0.03,$B$44=1),$B$174+$B$173*(0.2+3*$B$43),NA())</f>
        <v>#N/A</v>
      </c>
      <c r="IX32" t="e">
        <f>IF(AND(0.2+3*$B$43&lt;$B$170,ABS(0.2+3*$B$43-$B$169)&gt;$B$29/2+0.03,$B$44=1),$B$175+$B$173*($B$166-$B$42-0.015),NA())</f>
        <v>#N/A</v>
      </c>
      <c r="JW32" t="e">
        <f>NA()</f>
        <v>#N/A</v>
      </c>
      <c r="JX32" t="e">
        <f>NA()</f>
        <v>#N/A</v>
      </c>
      <c r="KG32" t="e">
        <f>IF($B$21=1,$B$182+$B$181*($B$177*2/4-$B$60/2),NA())</f>
        <v>#N/A</v>
      </c>
      <c r="KH32" t="e">
        <f>IF($B$21=1,$B$183+$B$181*($B$178-$B$59),NA())</f>
        <v>#N/A</v>
      </c>
      <c r="KI32" t="e">
        <f>IF(AND($B$21=1,3*$B$67&gt;$B$59,3*$B$67&lt;$B$178-$B$59,OR($B$63=0,ABS(3*$B$67-$B$178/2)&gt;$B$59/2)),$B$182+$B$181*($B$177*1/4+$B$60/2),NA())</f>
        <v>#N/A</v>
      </c>
      <c r="KJ32" t="e">
        <f>IF(AND($B$21=1,3*$B$67&gt;$B$59,3*$B$67&lt;$B$178-$B$59,OR($B$63=0,ABS(3*$B$67-$B$178/2)&gt;$B$59/2)),$B$183+$B$181*(3*$B$67),NA())</f>
        <v>#N/A</v>
      </c>
      <c r="KK32" t="e">
        <f>IF($B$21=1,$B$182+$B$181*($B$177*2/4+($B$60/2-$B$41*0.5)),NA())</f>
        <v>#N/A</v>
      </c>
      <c r="KL32" t="e">
        <f>IF($B$21=1,$B$183+$B$181*($B$41),NA())</f>
        <v>#N/A</v>
      </c>
    </row>
    <row r="33">
      <c r="A33" t="inlineStr">
        <is>
          <t>D</t>
        </is>
      </c>
      <c r="B33">
        <f>'PARAMÈTRES'!$C$83</f>
        <v>1.2</v>
      </c>
      <c r="D33" t="inlineStr">
        <is>
          <t>p6_t7</t>
        </is>
      </c>
      <c r="E33" t="str">
        <f>"Agglos 15 pleins h "&amp;FIXED('PARAMÈTRES'!$C$111,2,TRUE)&amp;" m"</f>
        <v>Agglos 15 pleins h 1.00 m</v>
      </c>
      <c r="G33" t="e">
        <f>IF(9&lt;=$B$12,$B$133+$B$132*($B$13*9),NA())</f>
        <v>#N/A</v>
      </c>
      <c r="H33" t="e">
        <f>IF(9&lt;=$B$12,$B$134+$B$132*($B$5+4*$B$135),NA())</f>
        <v>#N/A</v>
      </c>
      <c r="K33">
        <f>IF(1&lt;=$B$12,$B$133+$B$132*($B$13*1-$B$27/2),NA())</f>
        <v>48.9795714285714</v>
      </c>
      <c r="L33">
        <f>IF(1&lt;=$B$12,$B$134+$B$132*($B$5-$B$27/2),NA())</f>
        <v>81.96</v>
      </c>
      <c r="M33" t="e">
        <f>IF(9&lt;=$B$12,$B$133+$B$132*($B$13*9),NA())</f>
        <v>#N/A</v>
      </c>
      <c r="N33" t="e">
        <f>IF(9&lt;=$B$12,$B$134+$B$132*($B$5),NA())</f>
        <v>#N/A</v>
      </c>
      <c r="EA33" t="e">
        <f>IF(AND($B$18=1,10&lt;=$B$26-1),$B$139+$B$138*(10*($B$5/MAX(1,$B$26))),NA())</f>
        <v>#N/A</v>
      </c>
      <c r="EB33" t="e">
        <f>IF(AND($B$18=1,10&lt;=$B$26-1),$B$140+$B$138*(($B$9+$B$8*MIN(10*($B$5/MAX(1,$B$26)),$B$5-(10*($B$5/MAX(1,$B$26)))))),NA())</f>
        <v>#N/A</v>
      </c>
      <c r="EE33" t="e">
        <f>IF(14&lt;=$B$16-1,$B$139+$B$138*(14*($B$5/2)/MAX(1,$B$16-1)),NA())</f>
        <v>#N/A</v>
      </c>
      <c r="EF33" t="e">
        <f>IF(14&lt;=$B$16-1,$B$140+$B$138*($B$9+$B$8*14*($B$5/2)/MAX(1,$B$16-1)+1.2*$B$141),NA())</f>
        <v>#N/A</v>
      </c>
      <c r="EK33" t="e">
        <f>IF($B$45=1,$B$139+$B$138*($B$5/2-$B$27/2),NA())</f>
        <v>#N/A</v>
      </c>
      <c r="EL33" t="e">
        <f>IF($B$45=1,$B$140+$B$138*((-$B$33+$B$34)),NA())</f>
        <v>#N/A</v>
      </c>
      <c r="FA33" t="e">
        <f>IF(9&lt;=$B$12,$B$145+$B$144*($B$13*9),NA())</f>
        <v>#N/A</v>
      </c>
      <c r="FB33" t="e">
        <f>IF(9&lt;=$B$12,$B$146+$B$144*($B$9),NA())</f>
        <v>#N/A</v>
      </c>
      <c r="FC33">
        <f>IF(1&lt;$B$22,$B$145+$B$144*($B$6),NA())</f>
        <v>183.182</v>
      </c>
      <c r="FD33">
        <f>IF(1&lt;$B$22,$B$146+$B$144*(($B$19+1*$B$64)),NA())</f>
        <v>46.10454</v>
      </c>
      <c r="FE33" t="e">
        <f>IF(AND($B$21=1,(2*$B$66)&lt;$B$62),$B$145+$B$144*($B$6),NA())</f>
        <v>#N/A</v>
      </c>
      <c r="FF33" t="e">
        <f>IF(AND($B$21=1,(2*$B$66)&lt;$B$62),$B$146+$B$144*((2*$B$66)),NA())</f>
        <v>#N/A</v>
      </c>
      <c r="FI33" t="e">
        <f>IF(5&lt;=$B$23,$B$145+$B$144*((IF(5=1,1,IF(5=$B$23,$B$12,5*(5-1)))-1)*$B$13),NA())</f>
        <v>#N/A</v>
      </c>
      <c r="FJ33" t="e">
        <f>IF(5&lt;=$B$23,$B$146+$B$144*($B$9),NA())</f>
        <v>#N/A</v>
      </c>
      <c r="FK33" t="e">
        <f>IF($B$92=1,$B$145+$B$144*($B$97),NA())</f>
        <v>#N/A</v>
      </c>
      <c r="FL33" t="e">
        <f>IF($B$92=1,$B$146+$B$144*($B$9),NA())</f>
        <v>#N/A</v>
      </c>
      <c r="FM33" t="e">
        <f>IF($B$92=1,$B$145+$B$144*($B$98),NA())</f>
        <v>#N/A</v>
      </c>
      <c r="FN33" t="e">
        <f>IF($B$92=1,$B$146+$B$144*($B$94),NA())</f>
        <v>#N/A</v>
      </c>
      <c r="GE33" t="e">
        <f>IF(8&lt;=$B$14-1,$B$151+$B$150*(8*$B$15),NA())</f>
        <v>#N/A</v>
      </c>
      <c r="GF33" t="e">
        <f>IF(8&lt;=$B$14-1,$B$152+$B$150*($B$9+$B$8*MIN(8*$B$15,$B$5-8*$B$15)),NA())</f>
        <v>#N/A</v>
      </c>
      <c r="GG33">
        <f>IF(AND($B$20=1,($B$19+1*$B$64)&lt;$B$10-0.3),$B$151+$B$150*(($B$5-IF(($B$19+1*$B$64)&lt;=$B$9,0,(($B$19+1*$B$64)-$B$9)/$B$8))),NA())</f>
        <v>173.182</v>
      </c>
      <c r="GH33">
        <f>IF(AND($B$20=1,($B$19+1*$B$64)&lt;$B$10-0.3),$B$152+$B$150*(($B$19+1*$B$64)),NA())</f>
        <v>37.6818</v>
      </c>
      <c r="GI33" t="e">
        <f>IF(AND($B$21=1,(2*$B$66)&lt;IF($B$63=1,$B$10-0.2,$B$62)),$B$151+$B$150*(($B$5-IF((2*$B$66)&lt;=$B$9,0,((2*$B$66)-$B$9)/$B$8))),NA())</f>
        <v>#N/A</v>
      </c>
      <c r="GJ33" t="e">
        <f>IF(AND($B$21=1,(2*$B$66)&lt;IF($B$63=1,$B$10-0.2,$B$62)),$B$152+$B$150*((2*$B$66)),NA())</f>
        <v>#N/A</v>
      </c>
      <c r="GM33" t="e">
        <f>IF($B$123=1,$B$151+$B$150*($B$128),NA())</f>
        <v>#N/A</v>
      </c>
      <c r="GN33" t="e">
        <f>IF($B$123=1,$B$152+$B$150*(MIN($B$9,$B$125+$B$64)),NA())</f>
        <v>#N/A</v>
      </c>
      <c r="GO33" t="e">
        <f>IF($B$123=1,$B$151+$B$150*($B$129),NA())</f>
        <v>#N/A</v>
      </c>
      <c r="GP33" t="e">
        <f>IF($B$123=1,$B$152+$B$150*($B$125),NA())</f>
        <v>#N/A</v>
      </c>
      <c r="HI33">
        <f>IF(4&lt;=$B$16-1,$B$157+$B$156*($B$6+$B$46),NA())</f>
        <v>175.731</v>
      </c>
      <c r="HJ33">
        <f>IF(4&lt;=$B$16-1,$B$158+$B$156*($B$5-4*($B$5/2)/MAX(1,$B$16-1)),NA())</f>
        <v>71</v>
      </c>
      <c r="HK33" t="e">
        <f>IF(9&lt;=$B$12,$B$157+$B$156*($B$13*9),NA())</f>
        <v>#N/A</v>
      </c>
      <c r="HL33" t="e">
        <f>IF(9&lt;=$B$12,$B$158+$B$156*($B$5),NA())</f>
        <v>#N/A</v>
      </c>
      <c r="HM33" t="e">
        <f>IF(AND(5&lt;=$B$12,2&lt;=$B$25),$B$157+$B$156*((5-1)*$B$13+2*$B$13/($B$25+1)),NA())</f>
        <v>#N/A</v>
      </c>
      <c r="HN33" t="e">
        <f>IF(AND(5&lt;=$B$12,2&lt;=$B$25),$B$158+$B$156*($B$5),NA())</f>
        <v>#N/A</v>
      </c>
      <c r="HQ33" t="e">
        <f>IF(AND(1&lt;=$B$23,5&lt;=$B$24),$B$157+$B$156*(IF(1=1,1,IF(1=$B$23,$B$12,5*(1-1)))*$B$13),NA())</f>
        <v>#N/A</v>
      </c>
      <c r="HR33" t="e">
        <f>IF(AND(1&lt;=$B$23,5&lt;=$B$24),$B$158+$B$156*((0*$B$5/2+(5-1)*($B$5/2)/$B$24)),NA())</f>
        <v>#N/A</v>
      </c>
      <c r="HS33">
        <f>IF(AND(2&lt;=$B$12,$B$51&gt;0),$B$157+$B$156*(((2-0.5)*$B$13)-($B$51*$B$13)/2),NA())</f>
        <v>54.0767142857143</v>
      </c>
      <c r="HT33">
        <f>IF(AND(2&lt;=$B$12,$B$51&gt;0),$B$158+$B$156*((0*$B$5/2+0.6*$B$159)),NA())</f>
        <v>14.6</v>
      </c>
      <c r="HU33">
        <f>IF(3&lt;=$B$47,$B$157+$B$156*(((MAX(1,MIN($B$12,ROUND(3*$B$12/($B$47+1),0)))-1)*$B$13+0.25*$B$13)-$B$48/2),NA())</f>
        <v>90.8824285714286</v>
      </c>
      <c r="HV33">
        <f>IF(3&lt;=$B$47,$B$158+$B$156*(IF(MOD(3,2)=1,$B$5/4,3*$B$5/4)-$B$49/2),NA())</f>
        <v>30.72</v>
      </c>
      <c r="HW33" t="e">
        <f>IF(15&lt;=$B$50/2,$B$157+$B$156*((15-0.5)*$B$6/MAX(1,$B$50/2)),NA())</f>
        <v>#N/A</v>
      </c>
      <c r="HX33" t="e">
        <f>IF(15&lt;=$B$50/2,$B$158+$B$156*(0),NA())</f>
        <v>#N/A</v>
      </c>
      <c r="IK33">
        <f>$B$174+$B$173*($B$169-$B$29/2)</f>
        <v>90.2284</v>
      </c>
      <c r="IL33">
        <f>$B$175+$B$173*($B$167)</f>
        <v>32.1631</v>
      </c>
      <c r="IM33">
        <f>$B$174+$B$173*(-0.075)</f>
        <v>29.4379</v>
      </c>
      <c r="IN33">
        <f>$B$175+$B$173*($B$166+0.6)</f>
        <v>78.2359</v>
      </c>
      <c r="IO33">
        <f>$B$174+$B$173*(0.075+(7+0.5)*($B$170-0.075)/12)</f>
        <v>94.4677375</v>
      </c>
      <c r="IP33">
        <f>$B$175+$B$173*($B$164)</f>
        <v>56.4793</v>
      </c>
      <c r="IU33">
        <f>IF($B$167+0.05+4*'PARAMÈTRES'!$C$101&lt;$B$168-$B$41,$B$174+$B$173*($B$169-$B$29/2+$B$41),NA())</f>
        <v>91.5082</v>
      </c>
      <c r="IV33">
        <f>IF($B$167+0.05+4*'PARAMÈTRES'!$C$101&lt;$B$168-$B$41,$B$175+$B$173*($B$167+0.05+4*'PARAMÈTRES'!$C$101),NA())</f>
        <v>48.8005</v>
      </c>
      <c r="IW33">
        <f>IF(AND(0.2+4*$B$43&lt;$B$170,ABS(0.2+4*$B$43-$B$169)&gt;$B$29/2+0.03),$B$174+$B$173*(0.2+4*$B$43),NA())</f>
        <v>56.9536</v>
      </c>
      <c r="IX33">
        <f>IF(AND(0.2+4*$B$43&lt;$B$170,ABS(0.2+4*$B$43-$B$169)&gt;$B$29/2+0.03),$B$175+$B$173*($B$165+$B$42+0.015),NA())</f>
        <v>58.91092</v>
      </c>
      <c r="JW33">
        <f>$B$174+$B$173*($B$169+$B$27/2)</f>
        <v>110.7052</v>
      </c>
      <c r="JX33">
        <f>$B$175+$B$173*(($B$161+$B$167)/2)</f>
        <v>27.0439</v>
      </c>
      <c r="KG33" t="e">
        <f>IF($B$21=1,$B$182+$B$181*($B$177*2/4-$B$60/2),NA())</f>
        <v>#N/A</v>
      </c>
      <c r="KH33" t="e">
        <f>IF($B$21=1,$B$183+$B$181*($B$59),NA())</f>
        <v>#N/A</v>
      </c>
      <c r="KI33" t="e">
        <f>IF(AND($B$21=1,3*$B$67&gt;$B$59,3*$B$67&lt;$B$178-$B$59,OR($B$63=0,ABS(3*$B$67-$B$178/2)&gt;$B$59/2)),$B$182+$B$181*($B$177*2/4-$B$60/2),NA())</f>
        <v>#N/A</v>
      </c>
      <c r="KJ33" t="e">
        <f>IF(AND($B$21=1,3*$B$67&gt;$B$59,3*$B$67&lt;$B$178-$B$59,OR($B$63=0,ABS(3*$B$67-$B$178/2)&gt;$B$59/2)),$B$183+$B$181*(3*$B$67),NA())</f>
        <v>#N/A</v>
      </c>
      <c r="KK33" t="e">
        <f>IF($B$21=1,$B$182+$B$181*($B$177*2/4+($B$60/2-$B$41*0.5)),NA())</f>
        <v>#N/A</v>
      </c>
      <c r="KL33" t="e">
        <f>IF($B$21=1,$B$183+$B$181*($B$178-$B$41),NA())</f>
        <v>#N/A</v>
      </c>
    </row>
    <row r="34">
      <c r="A34" t="inlineStr">
        <is>
          <t>e_prop</t>
        </is>
      </c>
      <c r="B34">
        <f>'PARAMÈTRES'!$C$88</f>
        <v>0.05</v>
      </c>
      <c r="D34" t="inlineStr">
        <is>
          <t>p6_t8</t>
        </is>
      </c>
      <c r="E34" t="str">
        <f>"Filants "&amp;'PARAMÈTRES'!$C$105&amp;" "&amp;'PARAMÈTRES'!$C$104&amp;" + rép. "&amp;'PARAMÈTRES'!$C$106&amp;" e = "&amp;'PARAMÈTRES'!$C$107*100</f>
        <v>Filants 4 HA10 + rép. HA8 e = 20</v>
      </c>
      <c r="G34" t="e">
        <f>NA()</f>
        <v>#N/A</v>
      </c>
      <c r="H34" t="e">
        <f>NA()</f>
        <v>#N/A</v>
      </c>
      <c r="K34" t="e">
        <f>NA()</f>
        <v>#N/A</v>
      </c>
      <c r="L34" t="e">
        <f>NA()</f>
        <v>#N/A</v>
      </c>
      <c r="M34" t="e">
        <f>IF(AND(9&lt;=$B$12,$B$45=1),$B$133+$B$132*($B$13*9),NA())</f>
        <v>#N/A</v>
      </c>
      <c r="N34" t="e">
        <f>IF(AND(9&lt;=$B$12,$B$45=1),$B$134+$B$132*($B$5/2),NA())</f>
        <v>#N/A</v>
      </c>
      <c r="EA34" t="e">
        <f>NA()</f>
        <v>#N/A</v>
      </c>
      <c r="EB34" t="e">
        <f>NA()</f>
        <v>#N/A</v>
      </c>
      <c r="EE34" t="e">
        <f>IF(14&lt;=$B$16-1,$B$139+$B$138*($B$5-14*($B$5/2)/MAX(1,$B$16-1)),NA())</f>
        <v>#N/A</v>
      </c>
      <c r="EF34" t="e">
        <f>IF(14&lt;=$B$16-1,$B$140+$B$138*($B$9+$B$8*14*($B$5/2)/MAX(1,$B$16-1)+1.2*$B$141),NA())</f>
        <v>#N/A</v>
      </c>
      <c r="EK34" t="e">
        <f>NA()</f>
        <v>#N/A</v>
      </c>
      <c r="EL34" t="e">
        <f>NA()</f>
        <v>#N/A</v>
      </c>
      <c r="FA34" t="e">
        <f>NA()</f>
        <v>#N/A</v>
      </c>
      <c r="FB34" t="e">
        <f>NA()</f>
        <v>#N/A</v>
      </c>
      <c r="FC34" t="e">
        <f>NA()</f>
        <v>#N/A</v>
      </c>
      <c r="FD34" t="e">
        <f>NA()</f>
        <v>#N/A</v>
      </c>
      <c r="FE34" t="e">
        <f>NA()</f>
        <v>#N/A</v>
      </c>
      <c r="FF34" t="e">
        <f>NA()</f>
        <v>#N/A</v>
      </c>
      <c r="FI34" t="e">
        <f>NA()</f>
        <v>#N/A</v>
      </c>
      <c r="FJ34" t="e">
        <f>NA()</f>
        <v>#N/A</v>
      </c>
      <c r="FK34" t="e">
        <f>NA()</f>
        <v>#N/A</v>
      </c>
      <c r="FL34" t="e">
        <f>NA()</f>
        <v>#N/A</v>
      </c>
      <c r="FM34" t="e">
        <f>NA()</f>
        <v>#N/A</v>
      </c>
      <c r="FN34" t="e">
        <f>NA()</f>
        <v>#N/A</v>
      </c>
      <c r="GE34" t="e">
        <f>NA()</f>
        <v>#N/A</v>
      </c>
      <c r="GF34" t="e">
        <f>NA()</f>
        <v>#N/A</v>
      </c>
      <c r="GG34" t="e">
        <f>NA()</f>
        <v>#N/A</v>
      </c>
      <c r="GH34" t="e">
        <f>NA()</f>
        <v>#N/A</v>
      </c>
      <c r="GI34" t="e">
        <f>NA()</f>
        <v>#N/A</v>
      </c>
      <c r="GJ34" t="e">
        <f>NA()</f>
        <v>#N/A</v>
      </c>
      <c r="GM34" t="e">
        <f>NA()</f>
        <v>#N/A</v>
      </c>
      <c r="GN34" t="e">
        <f>NA()</f>
        <v>#N/A</v>
      </c>
      <c r="GO34" t="e">
        <f>NA()</f>
        <v>#N/A</v>
      </c>
      <c r="GP34" t="e">
        <f>NA()</f>
        <v>#N/A</v>
      </c>
      <c r="HI34" t="e">
        <f>NA()</f>
        <v>#N/A</v>
      </c>
      <c r="HJ34" t="e">
        <f>NA()</f>
        <v>#N/A</v>
      </c>
      <c r="HK34" t="e">
        <f>NA()</f>
        <v>#N/A</v>
      </c>
      <c r="HL34" t="e">
        <f>NA()</f>
        <v>#N/A</v>
      </c>
      <c r="HM34" t="e">
        <f>NA()</f>
        <v>#N/A</v>
      </c>
      <c r="HN34" t="e">
        <f>NA()</f>
        <v>#N/A</v>
      </c>
      <c r="HQ34" t="e">
        <f>NA()</f>
        <v>#N/A</v>
      </c>
      <c r="HR34" t="e">
        <f>NA()</f>
        <v>#N/A</v>
      </c>
      <c r="HS34" t="e">
        <f>NA()</f>
        <v>#N/A</v>
      </c>
      <c r="HT34" t="e">
        <f>NA()</f>
        <v>#N/A</v>
      </c>
      <c r="HU34" t="e">
        <f>NA()</f>
        <v>#N/A</v>
      </c>
      <c r="HV34" t="e">
        <f>NA()</f>
        <v>#N/A</v>
      </c>
      <c r="HW34" t="e">
        <f>IF(15&lt;=$B$50/2,$B$157+$B$156*((15-0.5)*$B$6/MAX(1,$B$50/2)),NA())</f>
        <v>#N/A</v>
      </c>
      <c r="HX34" t="e">
        <f>IF(15&lt;=$B$50/2,$B$158+$B$156*($B$5),NA())</f>
        <v>#N/A</v>
      </c>
      <c r="IK34" t="e">
        <f>NA()</f>
        <v>#N/A</v>
      </c>
      <c r="IL34" t="e">
        <f>NA()</f>
        <v>#N/A</v>
      </c>
      <c r="IM34" t="e">
        <f>NA()</f>
        <v>#N/A</v>
      </c>
      <c r="IN34" t="e">
        <f>NA()</f>
        <v>#N/A</v>
      </c>
      <c r="IO34" t="e">
        <f>NA()</f>
        <v>#N/A</v>
      </c>
      <c r="IP34" t="e">
        <f>NA()</f>
        <v>#N/A</v>
      </c>
      <c r="IU34">
        <f>IF($B$167+0.05+4*'PARAMÈTRES'!$C$101&lt;$B$168-$B$41,$B$174+$B$173*($B$169+$B$29/2-$B$41),NA())</f>
        <v>99.187</v>
      </c>
      <c r="IV34">
        <f>IF($B$167+0.05+4*'PARAMÈTRES'!$C$101&lt;$B$168-$B$41,$B$175+$B$173*($B$167+0.05+4*'PARAMÈTRES'!$C$101),NA())</f>
        <v>48.8005</v>
      </c>
      <c r="IW34" t="e">
        <f>IF(AND(0.2+4*$B$43&lt;$B$170,ABS(0.2+4*$B$43-$B$169)&gt;$B$29/2+0.03,$B$44=1),$B$174+$B$173*(0.2+4*$B$43),NA())</f>
        <v>#N/A</v>
      </c>
      <c r="IX34" t="e">
        <f>IF(AND(0.2+4*$B$43&lt;$B$170,ABS(0.2+4*$B$43-$B$169)&gt;$B$29/2+0.03,$B$44=1),$B$175+$B$173*($B$166-$B$42-0.015),NA())</f>
        <v>#N/A</v>
      </c>
      <c r="JW34">
        <f>$B$174+$B$173*($B$170+1*$B$176)</f>
        <v>132.182</v>
      </c>
      <c r="JX34">
        <f>$B$175+$B$173*(($B$161+$B$167)/2)</f>
        <v>27.0439</v>
      </c>
      <c r="KG34" t="e">
        <f>NA()</f>
        <v>#N/A</v>
      </c>
      <c r="KH34" t="e">
        <f>NA()</f>
        <v>#N/A</v>
      </c>
      <c r="KI34" t="e">
        <f>NA()</f>
        <v>#N/A</v>
      </c>
      <c r="KJ34" t="e">
        <f>NA()</f>
        <v>#N/A</v>
      </c>
      <c r="KK34" t="e">
        <f>NA()</f>
        <v>#N/A</v>
      </c>
      <c r="KL34" t="e">
        <f>NA()</f>
        <v>#N/A</v>
      </c>
    </row>
    <row r="35">
      <c r="A35" t="inlineStr">
        <is>
          <t>h_s1</t>
        </is>
      </c>
      <c r="B35">
        <f>'PARAMÈTRES'!$C$90</f>
        <v>0.4</v>
      </c>
      <c r="D35" t="inlineStr">
        <is>
          <t>p7_tE</t>
        </is>
      </c>
      <c r="E35" t="str">
        <f>"Panneau entre poteaux "&amp;FIXED('PRÉDIMENSIONNEMENT'!$C$30,2,TRUE)&amp;" m"</f>
        <v>Panneau entre poteaux 5.71 m</v>
      </c>
      <c r="G35" t="e">
        <f>IF(10&lt;=$B$12,$B$133+$B$132*($B$13*10),NA())</f>
        <v>#N/A</v>
      </c>
      <c r="H35" t="e">
        <f>IF(10&lt;=$B$12,$B$134+$B$132*(-4*$B$135),NA())</f>
        <v>#N/A</v>
      </c>
      <c r="K35" t="e">
        <f>IF(AND(1&lt;=$B$12,$B$45=1),$B$133+$B$132*($B$13*1-$B$27/2),NA())</f>
        <v>#N/A</v>
      </c>
      <c r="L35" t="e">
        <f>IF(AND(1&lt;=$B$12,$B$45=1),$B$134+$B$132*($B$5/2-$B$27/2),NA())</f>
        <v>#N/A</v>
      </c>
      <c r="M35" t="e">
        <f>IF(10&lt;=$B$12,$B$133+$B$132*($B$13*10),NA())</f>
        <v>#N/A</v>
      </c>
      <c r="N35" t="e">
        <f>IF(10&lt;=$B$12,$B$134+$B$132*(0),NA())</f>
        <v>#N/A</v>
      </c>
      <c r="EA35" t="e">
        <f>IF(AND($B$18=1,11&lt;=$B$26-1),$B$139+$B$138*(11*($B$5/MAX(1,$B$26))),NA())</f>
        <v>#N/A</v>
      </c>
      <c r="EB35" t="e">
        <f>IF(AND($B$18=1,11&lt;=$B$26-1),$B$140+$B$138*($B$7),NA())</f>
        <v>#N/A</v>
      </c>
      <c r="EE35" t="e">
        <f>IF(15&lt;=$B$16-1,$B$139+$B$138*(15*($B$5/2)/MAX(1,$B$16-1)),NA())</f>
        <v>#N/A</v>
      </c>
      <c r="EF35" t="e">
        <f>IF(15&lt;=$B$16-1,$B$140+$B$138*($B$9+$B$8*15*($B$5/2)/MAX(1,$B$16-1)+1.2*$B$141),NA())</f>
        <v>#N/A</v>
      </c>
      <c r="EK35" t="e">
        <f>IF($B$45=1,$B$139+$B$138*($B$5/2-$B$29/2),NA())</f>
        <v>#N/A</v>
      </c>
      <c r="EL35" t="e">
        <f>IF($B$45=1,$B$140+$B$138*((-$B$33+$B$34)+$B$35),NA())</f>
        <v>#N/A</v>
      </c>
      <c r="FA35" t="e">
        <f>IF(10&lt;=$B$12,$B$145+$B$144*($B$13*10),NA())</f>
        <v>#N/A</v>
      </c>
      <c r="FB35" t="e">
        <f>IF(10&lt;=$B$12,$B$146+$B$144*(0),NA())</f>
        <v>#N/A</v>
      </c>
      <c r="FC35">
        <f>IF(2&lt;$B$22,$B$145+$B$144*(0),NA())</f>
        <v>20</v>
      </c>
      <c r="FD35">
        <f>IF(2&lt;$B$22,$B$146+$B$144*(($B$19+2*$B$64)),NA())</f>
        <v>53.44773</v>
      </c>
      <c r="FE35" t="e">
        <f>IF(AND($B$21=1,(3*$B$66)&lt;$B$62),$B$145+$B$144*(0),NA())</f>
        <v>#N/A</v>
      </c>
      <c r="FF35" t="e">
        <f>IF(AND($B$21=1,(3*$B$66)&lt;$B$62),$B$146+$B$144*((3*$B$66)),NA())</f>
        <v>#N/A</v>
      </c>
      <c r="FI35" t="e">
        <f>IF(6&lt;=$B$23,$B$145+$B$144*((IF(6=1,1,IF(6=$B$23,$B$12,5*(6-1)))-1)*$B$13),NA())</f>
        <v>#N/A</v>
      </c>
      <c r="FJ35" t="e">
        <f>IF(6&lt;=$B$23,$B$146+$B$144*(0),NA())</f>
        <v>#N/A</v>
      </c>
      <c r="FK35" t="e">
        <f>IF($B$92=1,$B$145+$B$144*($B$98),NA())</f>
        <v>#N/A</v>
      </c>
      <c r="FL35" t="e">
        <f>IF($B$92=1,$B$146+$B$144*(0),NA())</f>
        <v>#N/A</v>
      </c>
      <c r="FM35" t="e">
        <f>IF($B$92=1,$B$145+$B$144*($B$98),NA())</f>
        <v>#N/A</v>
      </c>
      <c r="FN35" t="e">
        <f>IF($B$92=1,$B$146+$B$144*(0),NA())</f>
        <v>#N/A</v>
      </c>
      <c r="GE35" t="e">
        <f>IF(9&lt;=$B$14-1,$B$151+$B$150*(9*$B$15),NA())</f>
        <v>#N/A</v>
      </c>
      <c r="GF35" t="e">
        <f>IF(9&lt;=$B$14-1,$B$152+$B$150*(0),NA())</f>
        <v>#N/A</v>
      </c>
      <c r="GG35">
        <f>IF(AND($B$20=1,($B$19+2*$B$64)&lt;$B$10-0.3),$B$151+$B$150*(IF(($B$19+2*$B$64)&lt;=$B$9,0,(($B$19+2*$B$64)-$B$9)/$B$8)),NA())</f>
        <v>20</v>
      </c>
      <c r="GH35">
        <f>IF(AND($B$20=1,($B$19+2*$B$64)&lt;$B$10-0.3),$B$152+$B$150*(($B$19+2*$B$64)),NA())</f>
        <v>51.46818</v>
      </c>
      <c r="GI35" t="e">
        <f>IF(AND($B$21=1,(3*$B$66)&lt;IF($B$63=1,$B$10-0.2,$B$62)),$B$151+$B$150*(IF((3*$B$66)&lt;=$B$9,0,((3*$B$66)-$B$9)/$B$8)),NA())</f>
        <v>#N/A</v>
      </c>
      <c r="GJ35" t="e">
        <f>IF(AND($B$21=1,(3*$B$66)&lt;IF($B$63=1,$B$10-0.2,$B$62)),$B$152+$B$150*((3*$B$66)),NA())</f>
        <v>#N/A</v>
      </c>
      <c r="GM35" t="e">
        <f>IF($B$123=1,$B$151+$B$150*($B$129),NA())</f>
        <v>#N/A</v>
      </c>
      <c r="GN35" t="e">
        <f>IF($B$123=1,$B$152+$B$150*(0),NA())</f>
        <v>#N/A</v>
      </c>
      <c r="GO35" t="e">
        <f>IF($B$123=1,$B$151+$B$150*($B$129),NA())</f>
        <v>#N/A</v>
      </c>
      <c r="GP35" t="e">
        <f>IF($B$123=1,$B$152+$B$150*(0),NA())</f>
        <v>#N/A</v>
      </c>
      <c r="HI35">
        <f>IF(5&lt;=$B$16-1,$B$157+$B$156*(-$B$46),NA())</f>
        <v>21.451</v>
      </c>
      <c r="HJ35">
        <f>IF(5&lt;=$B$16-1,$B$158+$B$156*(5*($B$5/2)/MAX(1,$B$16-1)),NA())</f>
        <v>37.75</v>
      </c>
      <c r="HK35" t="e">
        <f>IF(10&lt;=$B$12,$B$157+$B$156*($B$13*10),NA())</f>
        <v>#N/A</v>
      </c>
      <c r="HL35" t="e">
        <f>IF(10&lt;=$B$12,$B$158+$B$156*(0),NA())</f>
        <v>#N/A</v>
      </c>
      <c r="HM35">
        <f>IF(AND(6&lt;=$B$12,1&lt;=$B$25),$B$157+$B$156*((6-1)*$B$13+1*$B$13/($B$25+1)),NA())</f>
        <v>142.019571428571</v>
      </c>
      <c r="HN35">
        <f>IF(AND(6&lt;=$B$12,1&lt;=$B$25),$B$158+$B$156*(0),NA())</f>
        <v>14</v>
      </c>
      <c r="HQ35" t="e">
        <f>IF(AND(1&lt;=$B$23,6&lt;=$B$24),$B$157+$B$156*((IF(1=1,1,IF(1=$B$23,$B$12,5*(1-1)))-1)*$B$13),NA())</f>
        <v>#N/A</v>
      </c>
      <c r="HR35" t="e">
        <f>IF(AND(1&lt;=$B$23,6&lt;=$B$24),$B$158+$B$156*((0*$B$5/2+(6-1)*($B$5/2)/$B$24)),NA())</f>
        <v>#N/A</v>
      </c>
      <c r="HS35">
        <f>IF(AND(2&lt;=$B$12,$B$51&gt;0),$B$157+$B$156*(((2-0.5)*$B$13)-($B$51*$B$13)/2),NA())</f>
        <v>54.0767142857143</v>
      </c>
      <c r="HT35">
        <f>IF(AND(2&lt;=$B$12,$B$51&gt;0),$B$158+$B$156*((0*$B$5/2+0.6*$B$159)),NA())</f>
        <v>14.6</v>
      </c>
      <c r="HU35">
        <f>IF(3&lt;=$B$47,$B$157+$B$156*(((MAX(1,MIN($B$12,ROUND(3*$B$12/($B$47+1),0)))-1)*$B$13+0.25*$B$13)-$B$48/2-0.2),NA())</f>
        <v>90.1224285714286</v>
      </c>
      <c r="HV35">
        <f>IF(3&lt;=$B$47,$B$158+$B$156*(IF(MOD(3,2)=1,$B$5/4,3*$B$5/4)-$B$49/2-0.2),NA())</f>
        <v>29.96</v>
      </c>
      <c r="HW35" t="e">
        <f>IF(16&lt;=$B$50/2,$B$157+$B$156*((16-0.5)*$B$6/MAX(1,$B$50/2)),NA())</f>
        <v>#N/A</v>
      </c>
      <c r="HX35" t="e">
        <f>IF(16&lt;=$B$50/2,$B$158+$B$156*(0),NA())</f>
        <v>#N/A</v>
      </c>
      <c r="IK35">
        <f>$B$174+$B$173*(0.075)</f>
        <v>33.2773</v>
      </c>
      <c r="IL35">
        <f>$B$175+$B$173*($B$165)</f>
        <v>57.7591</v>
      </c>
      <c r="IM35">
        <f>$B$174+$B$173*(0.075)</f>
        <v>33.2773</v>
      </c>
      <c r="IN35">
        <f>$B$175+$B$173*($B$163)</f>
        <v>52.6399</v>
      </c>
      <c r="IO35">
        <f>$B$174+$B$173*(0.075+8*($B$170-0.075)/12)</f>
        <v>98.5471</v>
      </c>
      <c r="IP35">
        <f>$B$175+$B$173*(0)</f>
        <v>51.3601</v>
      </c>
      <c r="IU35" t="e">
        <f>NA()</f>
        <v>#N/A</v>
      </c>
      <c r="IV35" t="e">
        <f>NA()</f>
        <v>#N/A</v>
      </c>
      <c r="IW35">
        <f>IF(AND(0.2+5*$B$43&lt;$B$170,ABS(0.2+5*$B$43-$B$169)&gt;$B$29/2+0.03),$B$174+$B$173*(0.2+5*$B$43),NA())</f>
        <v>62.0728</v>
      </c>
      <c r="IX35">
        <f>IF(AND(0.2+5*$B$43&lt;$B$170,ABS(0.2+5*$B$43-$B$169)&gt;$B$29/2+0.03),$B$175+$B$173*($B$165+$B$42+0.015),NA())</f>
        <v>58.91092</v>
      </c>
      <c r="JW35">
        <f>$B$174+$B$173*($B$170+4*$B$176)</f>
        <v>135.182</v>
      </c>
      <c r="JX35">
        <f>$B$175+$B$173*((MAX($B$166,$B$168)+0.75)-7*6.5*$B$176)</f>
        <v>36.5753</v>
      </c>
      <c r="KG35" t="e">
        <f>IF($B$21=1,$B$182+$B$181*($B$177*3/4-$B$60/2),NA())</f>
        <v>#N/A</v>
      </c>
      <c r="KH35" t="e">
        <f>IF($B$21=1,$B$183+$B$181*($B$59),NA())</f>
        <v>#N/A</v>
      </c>
      <c r="KI35" t="e">
        <f>IF(AND($B$21=1,3*$B$67&gt;$B$59,3*$B$67&lt;$B$178-$B$59,OR($B$63=0,ABS(3*$B$67-$B$178/2)&gt;$B$59/2)),$B$182+$B$181*($B$177*2/4+$B$60/2),NA())</f>
        <v>#N/A</v>
      </c>
      <c r="KJ35" t="e">
        <f>IF(AND($B$21=1,3*$B$67&gt;$B$59,3*$B$67&lt;$B$178-$B$59,OR($B$63=0,ABS(3*$B$67-$B$178/2)&gt;$B$59/2)),$B$183+$B$181*(3*$B$67),NA())</f>
        <v>#N/A</v>
      </c>
      <c r="KK35" t="e">
        <f>IF($B$21=1,$B$182+$B$181*($B$177*3/4-($B$60/2-$B$41*0.5)),NA())</f>
        <v>#N/A</v>
      </c>
      <c r="KL35" t="e">
        <f>IF($B$21=1,$B$183+$B$181*($B$41),NA())</f>
        <v>#N/A</v>
      </c>
    </row>
    <row r="36">
      <c r="A36" t="inlineStr">
        <is>
          <t>h_fut</t>
        </is>
      </c>
      <c r="B36">
        <f>'PARAMÈTRES'!$C$95</f>
        <v>1.2</v>
      </c>
      <c r="D36" t="inlineStr">
        <is>
          <t>p7_tH</t>
        </is>
      </c>
      <c r="E36" t="str">
        <f>"Mur h "&amp;FIXED('GROS_ŒUVRE'!$E$16,2,TRUE)&amp;" m"</f>
        <v>Mur h 0.00 m</v>
      </c>
      <c r="G36" t="e">
        <f>IF(10&lt;=$B$12,$B$133+$B$132*($B$13*10),NA())</f>
        <v>#N/A</v>
      </c>
      <c r="H36" t="e">
        <f>IF(10&lt;=$B$12,$B$134+$B$132*($B$5+4*$B$135),NA())</f>
        <v>#N/A</v>
      </c>
      <c r="K36" t="e">
        <f>IF(AND(1&lt;=$B$12,$B$45=1),$B$133+$B$132*($B$13*1+$B$27/2),NA())</f>
        <v>#N/A</v>
      </c>
      <c r="L36" t="e">
        <f>IF(AND(1&lt;=$B$12,$B$45=1),$B$134+$B$132*($B$5/2-$B$27/2),NA())</f>
        <v>#N/A</v>
      </c>
      <c r="M36" t="e">
        <f>IF(10&lt;=$B$12,$B$133+$B$132*($B$13*10),NA())</f>
        <v>#N/A</v>
      </c>
      <c r="N36" t="e">
        <f>IF(10&lt;=$B$12,$B$134+$B$132*($B$5),NA())</f>
        <v>#N/A</v>
      </c>
      <c r="EA36" t="e">
        <f>IF(AND($B$18=1,11&lt;=$B$26-1),$B$139+$B$138*(11*($B$5/MAX(1,$B$26))),NA())</f>
        <v>#N/A</v>
      </c>
      <c r="EB36" t="e">
        <f>IF(AND($B$18=1,11&lt;=$B$26-1),$B$140+$B$138*(($B$9+$B$8*MIN(11*($B$5/MAX(1,$B$26)),$B$5-(11*($B$5/MAX(1,$B$26)))))),NA())</f>
        <v>#N/A</v>
      </c>
      <c r="EE36" t="e">
        <f>IF(15&lt;=$B$16-1,$B$139+$B$138*($B$5-15*($B$5/2)/MAX(1,$B$16-1)),NA())</f>
        <v>#N/A</v>
      </c>
      <c r="EF36" t="e">
        <f>IF(15&lt;=$B$16-1,$B$140+$B$138*($B$9+$B$8*15*($B$5/2)/MAX(1,$B$16-1)+1.2*$B$141),NA())</f>
        <v>#N/A</v>
      </c>
      <c r="EK36" t="e">
        <f>IF($B$45=1,$B$139+$B$138*($B$5/2-$B$29/2),NA())</f>
        <v>#N/A</v>
      </c>
      <c r="EL36" t="e">
        <f>IF($B$45=1,$B$140+$B$138*(0),NA())</f>
        <v>#N/A</v>
      </c>
      <c r="FA36" t="e">
        <f>IF(10&lt;=$B$12,$B$145+$B$144*($B$13*10),NA())</f>
        <v>#N/A</v>
      </c>
      <c r="FB36" t="e">
        <f>IF(10&lt;=$B$12,$B$146+$B$144*($B$9),NA())</f>
        <v>#N/A</v>
      </c>
      <c r="FC36">
        <f>IF(2&lt;$B$22,$B$145+$B$144*(IF(($B$19+2*$B$64)&lt;$B$73,$B$76,$B$75)),NA())</f>
        <v>90.3722375</v>
      </c>
      <c r="FD36">
        <f>IF(2&lt;$B$22,$B$146+$B$144*(($B$19+2*$B$64)),NA())</f>
        <v>53.44773</v>
      </c>
      <c r="FE36" t="e">
        <f>IF(AND($B$21=1,(3*$B$66)&lt;$B$62),$B$145+$B$144*(IF((3*$B$66)&lt;$B$73,$B$76,$B$75)),NA())</f>
        <v>#N/A</v>
      </c>
      <c r="FF36" t="e">
        <f>IF(AND($B$21=1,(3*$B$66)&lt;$B$62),$B$146+$B$144*((3*$B$66)),NA())</f>
        <v>#N/A</v>
      </c>
      <c r="FI36" t="e">
        <f>IF(6&lt;=$B$23,$B$145+$B$144*(IF(6=1,1,IF(6=$B$23,$B$12,5*(6-1)))*$B$13),NA())</f>
        <v>#N/A</v>
      </c>
      <c r="FJ36" t="e">
        <f>IF(6&lt;=$B$23,$B$146+$B$144*($B$9),NA())</f>
        <v>#N/A</v>
      </c>
      <c r="FK36" t="e">
        <f>IF($B$92=1,$B$145+$B$144*($B$98),NA())</f>
        <v>#N/A</v>
      </c>
      <c r="FL36" t="e">
        <f>IF($B$92=1,$B$146+$B$144*($B$9),NA())</f>
        <v>#N/A</v>
      </c>
      <c r="FM36" t="e">
        <f>IF($B$92=1,$B$145+$B$144*($B$97),NA())</f>
        <v>#N/A</v>
      </c>
      <c r="FN36" t="e">
        <f>IF($B$92=1,$B$146+$B$144*($B$94),NA())</f>
        <v>#N/A</v>
      </c>
      <c r="GE36" t="e">
        <f>IF(9&lt;=$B$14-1,$B$151+$B$150*(9*$B$15),NA())</f>
        <v>#N/A</v>
      </c>
      <c r="GF36" t="e">
        <f>IF(9&lt;=$B$14-1,$B$152+$B$150*($B$9+$B$8*MIN(9*$B$15,$B$5-9*$B$15)),NA())</f>
        <v>#N/A</v>
      </c>
      <c r="GG36">
        <f>IF(AND($B$20=1,($B$19+2*$B$64)&lt;$B$10-0.3),$B$151+$B$150*(MAX(IF(($B$19+2*$B$64)&lt;=$B$9,0,(($B$19+2*$B$64)-$B$9)/$B$8),MIN(($B$5-IF(($B$19+2*$B$64)&lt;=$B$9,0,(($B$19+2*$B$64)-$B$9)/$B$8)),IF(($B$19+2*$B$64)&lt;$B$104,$B$107,$B$106)))),NA())</f>
        <v>62.12505</v>
      </c>
      <c r="GH36">
        <f>IF(AND($B$20=1,($B$19+2*$B$64)&lt;$B$10-0.3),$B$152+$B$150*(($B$19+2*$B$64)),NA())</f>
        <v>51.46818</v>
      </c>
      <c r="GI36" t="e">
        <f>IF(AND($B$21=1,(3*$B$66)&lt;IF($B$63=1,$B$10-0.2,$B$62)),$B$151+$B$150*(MAX(IF((3*$B$66)&lt;=$B$9,0,((3*$B$66)-$B$9)/$B$8),MIN(($B$5-IF((3*$B$66)&lt;=$B$9,0,((3*$B$66)-$B$9)/$B$8)),IF((3*$B$66)&lt;$B$104,$B$107,$B$106)))),NA())</f>
        <v>#N/A</v>
      </c>
      <c r="GJ36" t="e">
        <f>IF(AND($B$21=1,(3*$B$66)&lt;IF($B$63=1,$B$10-0.2,$B$62)),$B$152+$B$150*((3*$B$66)),NA())</f>
        <v>#N/A</v>
      </c>
      <c r="GM36" t="e">
        <f>IF($B$123=1,$B$151+$B$150*($B$129),NA())</f>
        <v>#N/A</v>
      </c>
      <c r="GN36" t="e">
        <f>IF($B$123=1,$B$152+$B$150*(MIN($B$9,$B$125+$B$64)),NA())</f>
        <v>#N/A</v>
      </c>
      <c r="GO36" t="e">
        <f>IF($B$123=1,$B$151+$B$150*($B$128),NA())</f>
        <v>#N/A</v>
      </c>
      <c r="GP36" t="e">
        <f>IF($B$123=1,$B$152+$B$150*($B$125),NA())</f>
        <v>#N/A</v>
      </c>
      <c r="HI36">
        <f>IF(5&lt;=$B$16-1,$B$157+$B$156*($B$6+$B$46),NA())</f>
        <v>175.731</v>
      </c>
      <c r="HJ36">
        <f>IF(5&lt;=$B$16-1,$B$158+$B$156*(5*($B$5/2)/MAX(1,$B$16-1)),NA())</f>
        <v>37.75</v>
      </c>
      <c r="HK36" t="e">
        <f>IF(10&lt;=$B$12,$B$157+$B$156*($B$13*10),NA())</f>
        <v>#N/A</v>
      </c>
      <c r="HL36" t="e">
        <f>IF(10&lt;=$B$12,$B$158+$B$156*($B$5),NA())</f>
        <v>#N/A</v>
      </c>
      <c r="HM36">
        <f>IF(AND(6&lt;=$B$12,1&lt;=$B$25),$B$157+$B$156*((6-1)*$B$13+1*$B$13/($B$25+1)),NA())</f>
        <v>142.019571428571</v>
      </c>
      <c r="HN36">
        <f>IF(AND(6&lt;=$B$12,1&lt;=$B$25),$B$158+$B$156*($B$5),NA())</f>
        <v>90</v>
      </c>
      <c r="HQ36" t="e">
        <f>IF(AND(1&lt;=$B$23,6&lt;=$B$24),$B$157+$B$156*(IF(1=1,1,IF(1=$B$23,$B$12,5*(1-1)))*$B$13),NA())</f>
        <v>#N/A</v>
      </c>
      <c r="HR36" t="e">
        <f>IF(AND(1&lt;=$B$23,6&lt;=$B$24),$B$158+$B$156*((0*$B$5/2+6*($B$5/2)/$B$24)),NA())</f>
        <v>#N/A</v>
      </c>
      <c r="HS36">
        <f>IF(AND(2&lt;=$B$12,$B$51&gt;0),$B$157+$B$156*(((2-0.5)*$B$13)+($B$51*$B$13)/2),NA())</f>
        <v>56.2481428571429</v>
      </c>
      <c r="HT36">
        <f>IF(AND(2&lt;=$B$12,$B$51&gt;0),$B$158+$B$156*((0*$B$5/2+0.6*$B$159)+(((0*$B$5/2+$B$5/2-0.6*$B$159))-((0*$B$5/2+0.6*$B$159)))/4),NA())</f>
        <v>23.8</v>
      </c>
      <c r="HU36">
        <f>IF(3&lt;=$B$47,$B$157+$B$156*(((MAX(1,MIN($B$12,ROUND(3*$B$12/($B$47+1),0)))-1)*$B$13+0.25*$B$13)+$B$48/2+0.2),NA())</f>
        <v>96.2024285714286</v>
      </c>
      <c r="HV36">
        <f>IF(3&lt;=$B$47,$B$158+$B$156*(IF(MOD(3,2)=1,$B$5/4,3*$B$5/4)-$B$49/2-0.2),NA())</f>
        <v>29.96</v>
      </c>
      <c r="HW36" t="e">
        <f>IF(16&lt;=$B$50/2,$B$157+$B$156*((16-0.5)*$B$6/MAX(1,$B$50/2)),NA())</f>
        <v>#N/A</v>
      </c>
      <c r="HX36" t="e">
        <f>IF(16&lt;=$B$50/2,$B$158+$B$156*($B$5),NA())</f>
        <v>#N/A</v>
      </c>
      <c r="IK36">
        <f>$B$174+$B$173*($B$169-$B$29/2)</f>
        <v>90.2284</v>
      </c>
      <c r="IL36">
        <f>$B$175+$B$173*($B$165)</f>
        <v>57.7591</v>
      </c>
      <c r="IM36">
        <f>$B$174+$B$173*(0.075)</f>
        <v>33.2773</v>
      </c>
      <c r="IN36">
        <f>$B$175+$B$173*($B$166+0.6)</f>
        <v>78.2359</v>
      </c>
      <c r="IO36">
        <f>$B$174+$B$173*(0.075+(8+0.5)*($B$170-0.075)/12)</f>
        <v>102.6264625</v>
      </c>
      <c r="IP36">
        <f>$B$175+$B$173*($B$164)</f>
        <v>56.4793</v>
      </c>
      <c r="IU36">
        <f>IF($B$167+0.05+5*'PARAMÈTRES'!$C$101&lt;$B$168-$B$41,$B$174+$B$173*($B$169-$B$29/2+$B$41),NA())</f>
        <v>91.5082</v>
      </c>
      <c r="IV36">
        <f>IF($B$167+0.05+5*'PARAMÈTRES'!$C$101&lt;$B$168-$B$41,$B$175+$B$173*($B$167+0.05+5*'PARAMÈTRES'!$C$101),NA())</f>
        <v>52.6399</v>
      </c>
      <c r="IW36" t="e">
        <f>IF(AND(0.2+5*$B$43&lt;$B$170,ABS(0.2+5*$B$43-$B$169)&gt;$B$29/2+0.03,$B$44=1),$B$174+$B$173*(0.2+5*$B$43),NA())</f>
        <v>#N/A</v>
      </c>
      <c r="IX36" t="e">
        <f>IF(AND(0.2+5*$B$43&lt;$B$170,ABS(0.2+5*$B$43-$B$169)&gt;$B$29/2+0.03,$B$44=1),$B$175+$B$173*($B$166-$B$42-0.015),NA())</f>
        <v>#N/A</v>
      </c>
      <c r="JW36" t="e">
        <f>NA()</f>
        <v>#N/A</v>
      </c>
      <c r="JX36" t="e">
        <f>NA()</f>
        <v>#N/A</v>
      </c>
      <c r="KG36" t="e">
        <f>IF($B$21=1,$B$182+$B$181*($B$177*3/4+$B$60/2),NA())</f>
        <v>#N/A</v>
      </c>
      <c r="KH36" t="e">
        <f>IF($B$21=1,$B$183+$B$181*($B$59),NA())</f>
        <v>#N/A</v>
      </c>
      <c r="KI36" t="e">
        <f>IF(AND($B$21=1,3*$B$67&gt;$B$59,3*$B$67&lt;$B$178-$B$59,OR($B$63=0,ABS(3*$B$67-$B$178/2)&gt;$B$59/2)),$B$182+$B$181*($B$177*3/4-$B$60/2),NA())</f>
        <v>#N/A</v>
      </c>
      <c r="KJ36" t="e">
        <f>IF(AND($B$21=1,3*$B$67&gt;$B$59,3*$B$67&lt;$B$178-$B$59,OR($B$63=0,ABS(3*$B$67-$B$178/2)&gt;$B$59/2)),$B$183+$B$181*(3*$B$67),NA())</f>
        <v>#N/A</v>
      </c>
      <c r="KK36" t="e">
        <f>IF($B$21=1,$B$182+$B$181*($B$177*3/4-($B$60/2-$B$41*0.5)),NA())</f>
        <v>#N/A</v>
      </c>
      <c r="KL36" t="e">
        <f>IF($B$21=1,$B$183+$B$181*($B$178-$B$41),NA())</f>
        <v>#N/A</v>
      </c>
    </row>
    <row r="37">
      <c r="A37" t="inlineStr">
        <is>
          <t>h_mf</t>
        </is>
      </c>
      <c r="B37">
        <f>'PARAMÈTRES'!$C$111</f>
        <v>1</v>
      </c>
      <c r="D37" t="inlineStr">
        <is>
          <t>p7_t1</t>
        </is>
      </c>
      <c r="E37" t="str">
        <f>"Chaînage haut "&amp;'PARAMÈTRES'!$C$129*100&amp;" × "&amp;'PARAMÈTRES'!$C$130*100&amp;" – "&amp;'PARAMÈTRES'!$C$132&amp;" "&amp;'PARAMÈTRES'!$C$131&amp;" + cad. "&amp;'PARAMÈTRES'!$C$133&amp;" e = "&amp;'PARAMÈTRES'!$C$134*100</f>
        <v>Chaînage haut 15 × 20 – 4 HA10 + cad. HA6 e = 20</v>
      </c>
      <c r="G37" t="e">
        <f>NA()</f>
        <v>#N/A</v>
      </c>
      <c r="H37" t="e">
        <f>NA()</f>
        <v>#N/A</v>
      </c>
      <c r="K37" t="e">
        <f>IF(AND(1&lt;=$B$12,$B$45=1),$B$133+$B$132*($B$13*1+$B$27/2),NA())</f>
        <v>#N/A</v>
      </c>
      <c r="L37" t="e">
        <f>IF(AND(1&lt;=$B$12,$B$45=1),$B$134+$B$132*($B$5/2+$B$27/2),NA())</f>
        <v>#N/A</v>
      </c>
      <c r="M37" t="e">
        <f>IF(AND(10&lt;=$B$12,$B$45=1),$B$133+$B$132*($B$13*10),NA())</f>
        <v>#N/A</v>
      </c>
      <c r="N37" t="e">
        <f>IF(AND(10&lt;=$B$12,$B$45=1),$B$134+$B$132*($B$5/2),NA())</f>
        <v>#N/A</v>
      </c>
      <c r="EA37" t="e">
        <f>NA()</f>
        <v>#N/A</v>
      </c>
      <c r="EB37" t="e">
        <f>NA()</f>
        <v>#N/A</v>
      </c>
      <c r="EE37" t="e">
        <f>IF(16&lt;=$B$16-1,$B$139+$B$138*(16*($B$5/2)/MAX(1,$B$16-1)),NA())</f>
        <v>#N/A</v>
      </c>
      <c r="EF37" t="e">
        <f>IF(16&lt;=$B$16-1,$B$140+$B$138*($B$9+$B$8*16*($B$5/2)/MAX(1,$B$16-1)+1.2*$B$141),NA())</f>
        <v>#N/A</v>
      </c>
      <c r="EK37" t="e">
        <f>NA()</f>
        <v>#N/A</v>
      </c>
      <c r="EL37" t="e">
        <f>NA()</f>
        <v>#N/A</v>
      </c>
      <c r="FA37" t="e">
        <f>NA()</f>
        <v>#N/A</v>
      </c>
      <c r="FB37" t="e">
        <f>NA()</f>
        <v>#N/A</v>
      </c>
      <c r="FC37" t="e">
        <f>IF(AND(2&lt;$B$22,($B$19+2*$B$64)&gt;=$B$73),$B$145+$B$144*($B$75),NA())</f>
        <v>#N/A</v>
      </c>
      <c r="FD37" t="e">
        <f>IF(AND(2&lt;$B$22,($B$19+2*$B$64)&gt;=$B$73),$B$146+$B$144*(($B$19+2*$B$64)),NA())</f>
        <v>#N/A</v>
      </c>
      <c r="FE37" t="e">
        <f>IF(AND(AND($B$21=1,(3*$B$66)&lt;$B$62),(3*$B$66)&gt;=$B$73),$B$145+$B$144*($B$75),NA())</f>
        <v>#N/A</v>
      </c>
      <c r="FF37" t="e">
        <f>IF(AND(AND($B$21=1,(3*$B$66)&lt;$B$62),(3*$B$66)&gt;=$B$73),$B$146+$B$144*((3*$B$66)),NA())</f>
        <v>#N/A</v>
      </c>
      <c r="FI37" t="e">
        <f>NA()</f>
        <v>#N/A</v>
      </c>
      <c r="FJ37" t="e">
        <f>NA()</f>
        <v>#N/A</v>
      </c>
      <c r="FK37" t="e">
        <f>NA()</f>
        <v>#N/A</v>
      </c>
      <c r="FL37" t="e">
        <f>NA()</f>
        <v>#N/A</v>
      </c>
      <c r="FM37" t="e">
        <f>NA()</f>
        <v>#N/A</v>
      </c>
      <c r="FN37" t="e">
        <f>NA()</f>
        <v>#N/A</v>
      </c>
      <c r="GE37" t="e">
        <f>NA()</f>
        <v>#N/A</v>
      </c>
      <c r="GF37" t="e">
        <f>NA()</f>
        <v>#N/A</v>
      </c>
      <c r="GG37" t="e">
        <f>IF(AND(AND($B$20=1,($B$19+2*$B$64)&lt;$B$10-0.3),($B$19+2*$B$64)&gt;=$B$104),$B$151+$B$150*(MAX(IF(($B$19+2*$B$64)&lt;=$B$9,0,(($B$19+2*$B$64)-$B$9)/$B$8),MIN(($B$5-IF(($B$19+2*$B$64)&lt;=$B$9,0,(($B$19+2*$B$64)-$B$9)/$B$8)),$B$106))),NA())</f>
        <v>#N/A</v>
      </c>
      <c r="GH37" t="e">
        <f>IF(AND(AND($B$20=1,($B$19+2*$B$64)&lt;$B$10-0.3),($B$19+2*$B$64)&gt;=$B$104),$B$152+$B$150*(($B$19+2*$B$64)),NA())</f>
        <v>#N/A</v>
      </c>
      <c r="GI37" t="e">
        <f>IF(AND(AND($B$21=1,(3*$B$66)&lt;IF($B$63=1,$B$10-0.2,$B$62)),(3*$B$66)&gt;=$B$104),$B$151+$B$150*(MAX(IF((3*$B$66)&lt;=$B$9,0,((3*$B$66)-$B$9)/$B$8),MIN(($B$5-IF((3*$B$66)&lt;=$B$9,0,((3*$B$66)-$B$9)/$B$8)),$B$106))),NA())</f>
        <v>#N/A</v>
      </c>
      <c r="GJ37" t="e">
        <f>IF(AND(AND($B$21=1,(3*$B$66)&lt;IF($B$63=1,$B$10-0.2,$B$62)),(3*$B$66)&gt;=$B$104),$B$152+$B$150*((3*$B$66)),NA())</f>
        <v>#N/A</v>
      </c>
      <c r="GM37" t="e">
        <f>NA()</f>
        <v>#N/A</v>
      </c>
      <c r="GN37" t="e">
        <f>NA()</f>
        <v>#N/A</v>
      </c>
      <c r="GO37" t="e">
        <f>NA()</f>
        <v>#N/A</v>
      </c>
      <c r="GP37" t="e">
        <f>NA()</f>
        <v>#N/A</v>
      </c>
      <c r="HI37" t="e">
        <f>NA()</f>
        <v>#N/A</v>
      </c>
      <c r="HJ37" t="e">
        <f>NA()</f>
        <v>#N/A</v>
      </c>
      <c r="HK37" t="e">
        <f>NA()</f>
        <v>#N/A</v>
      </c>
      <c r="HL37" t="e">
        <f>NA()</f>
        <v>#N/A</v>
      </c>
      <c r="HM37" t="e">
        <f>NA()</f>
        <v>#N/A</v>
      </c>
      <c r="HN37" t="e">
        <f>NA()</f>
        <v>#N/A</v>
      </c>
      <c r="HQ37" t="e">
        <f>NA()</f>
        <v>#N/A</v>
      </c>
      <c r="HR37" t="e">
        <f>NA()</f>
        <v>#N/A</v>
      </c>
      <c r="HS37">
        <f>IF(AND(2&lt;=$B$12,$B$51&gt;0),$B$157+$B$156*(((2-0.5)*$B$13)-($B$51*$B$13)/2),NA())</f>
        <v>54.0767142857143</v>
      </c>
      <c r="HT37">
        <f>IF(AND(2&lt;=$B$12,$B$51&gt;0),$B$158+$B$156*((0*$B$5/2+0.6*$B$159)+(((0*$B$5/2+$B$5/2-0.6*$B$159))-((0*$B$5/2+0.6*$B$159)))/2),NA())</f>
        <v>33</v>
      </c>
      <c r="HU37">
        <f>IF(3&lt;=$B$47,$B$157+$B$156*(((MAX(1,MIN($B$12,ROUND(3*$B$12/($B$47+1),0)))-1)*$B$13+0.25*$B$13)+$B$48/2+0.2),NA())</f>
        <v>96.2024285714286</v>
      </c>
      <c r="HV37">
        <f>IF(3&lt;=$B$47,$B$158+$B$156*(IF(MOD(3,2)=1,$B$5/4,3*$B$5/4)+$B$49/2+0.2),NA())</f>
        <v>36.04</v>
      </c>
      <c r="IK37" t="e">
        <f>NA()</f>
        <v>#N/A</v>
      </c>
      <c r="IL37" t="e">
        <f>NA()</f>
        <v>#N/A</v>
      </c>
      <c r="IM37" t="e">
        <f>NA()</f>
        <v>#N/A</v>
      </c>
      <c r="IN37" t="e">
        <f>NA()</f>
        <v>#N/A</v>
      </c>
      <c r="IO37" t="e">
        <f>NA()</f>
        <v>#N/A</v>
      </c>
      <c r="IP37" t="e">
        <f>NA()</f>
        <v>#N/A</v>
      </c>
      <c r="IU37">
        <f>IF($B$167+0.05+5*'PARAMÈTRES'!$C$101&lt;$B$168-$B$41,$B$174+$B$173*($B$169+$B$29/2-$B$41),NA())</f>
        <v>99.187</v>
      </c>
      <c r="IV37">
        <f>IF($B$167+0.05+5*'PARAMÈTRES'!$C$101&lt;$B$168-$B$41,$B$175+$B$173*($B$167+0.05+5*'PARAMÈTRES'!$C$101),NA())</f>
        <v>52.6399</v>
      </c>
      <c r="IW37">
        <f>IF(AND(0.2+6*$B$43&lt;$B$170,ABS(0.2+6*$B$43-$B$169)&gt;$B$29/2+0.03),$B$174+$B$173*(0.2+6*$B$43),NA())</f>
        <v>67.192</v>
      </c>
      <c r="IX37">
        <f>IF(AND(0.2+6*$B$43&lt;$B$170,ABS(0.2+6*$B$43-$B$169)&gt;$B$29/2+0.03),$B$175+$B$173*($B$165+$B$42+0.015),NA())</f>
        <v>58.91092</v>
      </c>
      <c r="KG37" t="e">
        <f>IF($B$21=1,$B$182+$B$181*($B$177*3/4+$B$60/2),NA())</f>
        <v>#N/A</v>
      </c>
      <c r="KH37" t="e">
        <f>IF($B$21=1,$B$183+$B$181*($B$178-$B$59),NA())</f>
        <v>#N/A</v>
      </c>
      <c r="KI37" t="e">
        <f>NA()</f>
        <v>#N/A</v>
      </c>
      <c r="KJ37" t="e">
        <f>NA()</f>
        <v>#N/A</v>
      </c>
      <c r="KK37" t="e">
        <f>NA()</f>
        <v>#N/A</v>
      </c>
      <c r="KL37" t="e">
        <f>NA()</f>
        <v>#N/A</v>
      </c>
    </row>
    <row r="38">
      <c r="A38" t="inlineStr">
        <is>
          <t>e_rem</t>
        </is>
      </c>
      <c r="B38">
        <f>'GROS_ŒUVRE'!$E$7</f>
        <v>0.2</v>
      </c>
      <c r="D38" t="inlineStr">
        <is>
          <t>p7_t2</t>
        </is>
      </c>
      <c r="E38" t="str">
        <f>"Chaînage intermédiaire "&amp;'PARAMÈTRES'!$C$129*100&amp;" × "&amp;'PARAMÈTRES'!$C$130*100&amp;" – "&amp;'PARAMÈTRES'!$C$132&amp;" "&amp;'PARAMÈTRES'!$C$131&amp;" + cad. "&amp;'PARAMÈTRES'!$C$133</f>
        <v>Chaînage intermédiaire 15 × 20 – 4 HA10 + cad. HA6</v>
      </c>
      <c r="G38" t="e">
        <f>IF(11&lt;=$B$12,$B$133+$B$132*($B$13*11),NA())</f>
        <v>#N/A</v>
      </c>
      <c r="H38" t="e">
        <f>IF(11&lt;=$B$12,$B$134+$B$132*(-4*$B$135),NA())</f>
        <v>#N/A</v>
      </c>
      <c r="K38" t="e">
        <f>IF(AND(1&lt;=$B$12,$B$45=1),$B$133+$B$132*($B$13*1-$B$27/2),NA())</f>
        <v>#N/A</v>
      </c>
      <c r="L38" t="e">
        <f>IF(AND(1&lt;=$B$12,$B$45=1),$B$134+$B$132*($B$5/2+$B$27/2),NA())</f>
        <v>#N/A</v>
      </c>
      <c r="M38" t="e">
        <f>IF(11&lt;=$B$12,$B$133+$B$132*($B$13*11),NA())</f>
        <v>#N/A</v>
      </c>
      <c r="N38" t="e">
        <f>IF(11&lt;=$B$12,$B$134+$B$132*(0),NA())</f>
        <v>#N/A</v>
      </c>
      <c r="EA38" t="e">
        <f>IF(AND($B$18=1,12&lt;=$B$26-1),$B$139+$B$138*(12*($B$5/MAX(1,$B$26))),NA())</f>
        <v>#N/A</v>
      </c>
      <c r="EB38" t="e">
        <f>IF(AND($B$18=1,12&lt;=$B$26-1),$B$140+$B$138*($B$7),NA())</f>
        <v>#N/A</v>
      </c>
      <c r="EE38" t="e">
        <f>IF(16&lt;=$B$16-1,$B$139+$B$138*($B$5-16*($B$5/2)/MAX(1,$B$16-1)),NA())</f>
        <v>#N/A</v>
      </c>
      <c r="EF38" t="e">
        <f>IF(16&lt;=$B$16-1,$B$140+$B$138*($B$9+$B$8*16*($B$5/2)/MAX(1,$B$16-1)+1.2*$B$141),NA())</f>
        <v>#N/A</v>
      </c>
      <c r="EK38" t="e">
        <f>IF($B$45=1,$B$139+$B$138*($B$5/2+$B$29/2),NA())</f>
        <v>#N/A</v>
      </c>
      <c r="EL38" t="e">
        <f>IF($B$45=1,$B$140+$B$138*((-$B$33+$B$34)+$B$35),NA())</f>
        <v>#N/A</v>
      </c>
      <c r="FA38" t="e">
        <f>IF(11&lt;=$B$12,$B$145+$B$144*($B$13*11),NA())</f>
        <v>#N/A</v>
      </c>
      <c r="FB38" t="e">
        <f>IF(11&lt;=$B$12,$B$146+$B$144*(0),NA())</f>
        <v>#N/A</v>
      </c>
      <c r="FC38">
        <f>IF(2&lt;$B$22,$B$145+$B$144*(IF(($B$19+2*$B$64)&lt;$B$73,$B$77,$B$75)),NA())</f>
        <v>112.8097625</v>
      </c>
      <c r="FD38">
        <f>IF(2&lt;$B$22,$B$146+$B$144*(($B$19+2*$B$64)),NA())</f>
        <v>53.44773</v>
      </c>
      <c r="FE38" t="e">
        <f>IF(AND($B$21=1,(3*$B$66)&lt;$B$62),$B$145+$B$144*(IF((3*$B$66)&lt;$B$73,$B$77,$B$75)),NA())</f>
        <v>#N/A</v>
      </c>
      <c r="FF38" t="e">
        <f>IF(AND($B$21=1,(3*$B$66)&lt;$B$62),$B$146+$B$144*((3*$B$66)),NA())</f>
        <v>#N/A</v>
      </c>
      <c r="FI38" t="e">
        <f>IF(6&lt;=$B$23,$B$145+$B$144*(IF(6=1,1,IF(6=$B$23,$B$12,5*(6-1)))*$B$13),NA())</f>
        <v>#N/A</v>
      </c>
      <c r="FJ38" t="e">
        <f>IF(6&lt;=$B$23,$B$146+$B$144*(0),NA())</f>
        <v>#N/A</v>
      </c>
      <c r="FK38" t="e">
        <f>IF($B$92=1,$B$145+$B$144*($B$97),NA())</f>
        <v>#N/A</v>
      </c>
      <c r="FL38" t="e">
        <f>IF($B$92=1,$B$146+$B$144*($B$94),NA())</f>
        <v>#N/A</v>
      </c>
      <c r="FM38" t="e">
        <f>IF(AND($B$92=1,4&lt;=$B$68),$B$145+$B$144*($B$97-0.1),NA())</f>
        <v>#N/A</v>
      </c>
      <c r="FN38" t="e">
        <f>IF(AND($B$92=1,4&lt;=$B$68),$B$146+$B$144*($B$94+0.15),NA())</f>
        <v>#N/A</v>
      </c>
      <c r="GE38" t="e">
        <f>IF(10&lt;=$B$14-1,$B$151+$B$150*(10*$B$15),NA())</f>
        <v>#N/A</v>
      </c>
      <c r="GF38" t="e">
        <f>IF(10&lt;=$B$14-1,$B$152+$B$150*(0),NA())</f>
        <v>#N/A</v>
      </c>
      <c r="GG38">
        <f>IF(AND($B$20=1,($B$19+2*$B$64)&lt;$B$10-0.3),$B$151+$B$150*(MAX(IF(($B$19+2*$B$64)&lt;=$B$9,0,(($B$19+2*$B$64)-$B$9)/$B$8),MIN(($B$5-IF(($B$19+2*$B$64)&lt;=$B$9,0,(($B$19+2*$B$64)-$B$9)/$B$8)),IF(($B$19+2*$B$64)&lt;$B$104,$B$108,$B$106)))),NA())</f>
        <v>92.76145</v>
      </c>
      <c r="GH38">
        <f>IF(AND($B$20=1,($B$19+2*$B$64)&lt;$B$10-0.3),$B$152+$B$150*(($B$19+2*$B$64)),NA())</f>
        <v>51.46818</v>
      </c>
      <c r="GI38" t="e">
        <f>IF(AND($B$21=1,(3*$B$66)&lt;IF($B$63=1,$B$10-0.2,$B$62)),$B$151+$B$150*(MAX(IF((3*$B$66)&lt;=$B$9,0,((3*$B$66)-$B$9)/$B$8),MIN(($B$5-IF((3*$B$66)&lt;=$B$9,0,((3*$B$66)-$B$9)/$B$8)),IF((3*$B$66)&lt;$B$104,$B$108,$B$106)))),NA())</f>
        <v>#N/A</v>
      </c>
      <c r="GJ38" t="e">
        <f>IF(AND($B$21=1,(3*$B$66)&lt;IF($B$63=1,$B$10-0.2,$B$62)),$B$152+$B$150*((3*$B$66)),NA())</f>
        <v>#N/A</v>
      </c>
      <c r="GM38" t="e">
        <f>IF($B$123=1,$B$151+$B$150*($B$128),NA())</f>
        <v>#N/A</v>
      </c>
      <c r="GN38" t="e">
        <f>IF($B$123=1,$B$152+$B$150*($B$125),NA())</f>
        <v>#N/A</v>
      </c>
      <c r="GO38" t="e">
        <f>IF(AND($B$123=1,4&lt;=$B$99),$B$151+$B$150*($B$128-0.1),NA())</f>
        <v>#N/A</v>
      </c>
      <c r="GP38" t="e">
        <f>IF(AND($B$123=1,4&lt;=$B$99),$B$152+$B$150*($B$125+0.15),NA())</f>
        <v>#N/A</v>
      </c>
      <c r="HI38">
        <f>IF(5&lt;=$B$16-1,$B$157+$B$156*(-$B$46),NA())</f>
        <v>21.451</v>
      </c>
      <c r="HJ38">
        <f>IF(5&lt;=$B$16-1,$B$158+$B$156*($B$5-5*($B$5/2)/MAX(1,$B$16-1)),NA())</f>
        <v>66.25</v>
      </c>
      <c r="HK38" t="e">
        <f>IF(11&lt;=$B$12,$B$157+$B$156*($B$13*11),NA())</f>
        <v>#N/A</v>
      </c>
      <c r="HL38" t="e">
        <f>IF(11&lt;=$B$12,$B$158+$B$156*(0),NA())</f>
        <v>#N/A</v>
      </c>
      <c r="HM38" t="e">
        <f>IF(AND(6&lt;=$B$12,2&lt;=$B$25),$B$157+$B$156*((6-1)*$B$13+2*$B$13/($B$25+1)),NA())</f>
        <v>#N/A</v>
      </c>
      <c r="HN38" t="e">
        <f>IF(AND(6&lt;=$B$12,2&lt;=$B$25),$B$158+$B$156*(0),NA())</f>
        <v>#N/A</v>
      </c>
      <c r="HQ38" t="e">
        <f>IF(AND(1&lt;=$B$23,6&lt;=$B$24),$B$157+$B$156*((IF(1=1,1,IF(1=$B$23,$B$12,5*(1-1)))-1)*$B$13),NA())</f>
        <v>#N/A</v>
      </c>
      <c r="HR38" t="e">
        <f>IF(AND(1&lt;=$B$23,6&lt;=$B$24),$B$158+$B$156*((0*$B$5/2+6*($B$5/2)/$B$24)),NA())</f>
        <v>#N/A</v>
      </c>
      <c r="HS38">
        <f>IF(AND(2&lt;=$B$12,$B$51&gt;0),$B$157+$B$156*(((2-0.5)*$B$13)+($B$51*$B$13)/2),NA())</f>
        <v>56.2481428571429</v>
      </c>
      <c r="HT38">
        <f>IF(AND(2&lt;=$B$12,$B$51&gt;0),$B$158+$B$156*((0*$B$5/2+0.6*$B$159)+3*(((0*$B$5/2+$B$5/2-0.6*$B$159))-((0*$B$5/2+0.6*$B$159)))/4),NA())</f>
        <v>42.2</v>
      </c>
      <c r="HU38">
        <f>IF(3&lt;=$B$47,$B$157+$B$156*(((MAX(1,MIN($B$12,ROUND(3*$B$12/($B$47+1),0)))-1)*$B$13+0.25*$B$13)-$B$48/2-0.2),NA())</f>
        <v>90.1224285714286</v>
      </c>
      <c r="HV38">
        <f>IF(3&lt;=$B$47,$B$158+$B$156*(IF(MOD(3,2)=1,$B$5/4,3*$B$5/4)+$B$49/2+0.2),NA())</f>
        <v>36.04</v>
      </c>
      <c r="IK38">
        <f>$B$174+$B$173*(0.075)</f>
        <v>33.2773</v>
      </c>
      <c r="IL38">
        <f>$B$175+$B$173*($B$166)</f>
        <v>62.8783</v>
      </c>
      <c r="IO38">
        <f>$B$174+$B$173*(0.075+9*($B$170-0.075)/12)</f>
        <v>106.705825</v>
      </c>
      <c r="IP38">
        <f>$B$175+$B$173*(0)</f>
        <v>51.3601</v>
      </c>
      <c r="IU38" t="e">
        <f>NA()</f>
        <v>#N/A</v>
      </c>
      <c r="IV38" t="e">
        <f>NA()</f>
        <v>#N/A</v>
      </c>
      <c r="IW38" t="e">
        <f>IF(AND(0.2+6*$B$43&lt;$B$170,ABS(0.2+6*$B$43-$B$169)&gt;$B$29/2+0.03,$B$44=1),$B$174+$B$173*(0.2+6*$B$43),NA())</f>
        <v>#N/A</v>
      </c>
      <c r="IX38" t="e">
        <f>IF(AND(0.2+6*$B$43&lt;$B$170,ABS(0.2+6*$B$43-$B$169)&gt;$B$29/2+0.03,$B$44=1),$B$175+$B$173*($B$166-$B$42-0.015),NA())</f>
        <v>#N/A</v>
      </c>
      <c r="KG38" t="e">
        <f>IF($B$21=1,$B$182+$B$181*($B$177*3/4-$B$60/2),NA())</f>
        <v>#N/A</v>
      </c>
      <c r="KH38" t="e">
        <f>IF($B$21=1,$B$183+$B$181*($B$178-$B$59),NA())</f>
        <v>#N/A</v>
      </c>
      <c r="KI38" t="e">
        <f>IF(AND($B$21=1,3*$B$67&gt;$B$59,3*$B$67&lt;$B$178-$B$59,OR($B$63=0,ABS(3*$B$67-$B$178/2)&gt;$B$59/2)),$B$182+$B$181*($B$177*3/4+$B$60/2),NA())</f>
        <v>#N/A</v>
      </c>
      <c r="KJ38" t="e">
        <f>IF(AND($B$21=1,3*$B$67&gt;$B$59,3*$B$67&lt;$B$178-$B$59,OR($B$63=0,ABS(3*$B$67-$B$178/2)&gt;$B$59/2)),$B$183+$B$181*(3*$B$67),NA())</f>
        <v>#N/A</v>
      </c>
      <c r="KK38" t="e">
        <f>IF($B$21=1,$B$182+$B$181*($B$177*3/4+($B$60/2-$B$41*0.5)),NA())</f>
        <v>#N/A</v>
      </c>
      <c r="KL38" t="e">
        <f>IF($B$21=1,$B$183+$B$181*($B$41),NA())</f>
        <v>#N/A</v>
      </c>
    </row>
    <row r="39">
      <c r="A39" t="inlineStr">
        <is>
          <t>e_sable</t>
        </is>
      </c>
      <c r="B39">
        <f>'PARAMÈTRES'!$C$87</f>
        <v>0.05</v>
      </c>
      <c r="D39" t="inlineStr">
        <is>
          <t>p7_t3</t>
        </is>
      </c>
      <c r="E39" t="str">
        <f>"Chaînage bas "&amp;'PARAMÈTRES'!$C$129*100&amp;" × "&amp;'PARAMÈTRES'!$C$130*100&amp;" – "&amp;'PARAMÈTRES'!$C$132&amp;" "&amp;'PARAMÈTRES'!$C$131&amp;" + cad. "&amp;'PARAMÈTRES'!$C$133</f>
        <v>Chaînage bas 15 × 20 – 4 HA10 + cad. HA6</v>
      </c>
      <c r="G39" t="e">
        <f>IF(11&lt;=$B$12,$B$133+$B$132*($B$13*11),NA())</f>
        <v>#N/A</v>
      </c>
      <c r="H39" t="e">
        <f>IF(11&lt;=$B$12,$B$134+$B$132*($B$5+4*$B$135),NA())</f>
        <v>#N/A</v>
      </c>
      <c r="K39" t="e">
        <f>IF(AND(1&lt;=$B$12,$B$45=1),$B$133+$B$132*($B$13*1-$B$27/2),NA())</f>
        <v>#N/A</v>
      </c>
      <c r="L39" t="e">
        <f>IF(AND(1&lt;=$B$12,$B$45=1),$B$134+$B$132*($B$5/2-$B$27/2),NA())</f>
        <v>#N/A</v>
      </c>
      <c r="M39" t="e">
        <f>IF(11&lt;=$B$12,$B$133+$B$132*($B$13*11),NA())</f>
        <v>#N/A</v>
      </c>
      <c r="N39" t="e">
        <f>IF(11&lt;=$B$12,$B$134+$B$132*($B$5),NA())</f>
        <v>#N/A</v>
      </c>
      <c r="EA39" t="e">
        <f>IF(AND($B$18=1,12&lt;=$B$26-1),$B$139+$B$138*(12*($B$5/MAX(1,$B$26))),NA())</f>
        <v>#N/A</v>
      </c>
      <c r="EB39" t="e">
        <f>IF(AND($B$18=1,12&lt;=$B$26-1),$B$140+$B$138*(($B$9+$B$8*MIN(12*($B$5/MAX(1,$B$26)),$B$5-(12*($B$5/MAX(1,$B$26)))))),NA())</f>
        <v>#N/A</v>
      </c>
      <c r="EE39" t="e">
        <f>IF(17&lt;=$B$16-1,$B$139+$B$138*(17*($B$5/2)/MAX(1,$B$16-1)),NA())</f>
        <v>#N/A</v>
      </c>
      <c r="EF39" t="e">
        <f>IF(17&lt;=$B$16-1,$B$140+$B$138*($B$9+$B$8*17*($B$5/2)/MAX(1,$B$16-1)+1.2*$B$141),NA())</f>
        <v>#N/A</v>
      </c>
      <c r="EK39" t="e">
        <f>IF($B$45=1,$B$139+$B$138*($B$5/2+$B$29/2),NA())</f>
        <v>#N/A</v>
      </c>
      <c r="EL39" t="e">
        <f>IF($B$45=1,$B$140+$B$138*(0),NA())</f>
        <v>#N/A</v>
      </c>
      <c r="FA39" t="e">
        <f>IF(11&lt;=$B$12,$B$145+$B$144*($B$13*11),NA())</f>
        <v>#N/A</v>
      </c>
      <c r="FB39" t="e">
        <f>IF(11&lt;=$B$12,$B$146+$B$144*($B$9),NA())</f>
        <v>#N/A</v>
      </c>
      <c r="FC39">
        <f>IF(2&lt;$B$22,$B$145+$B$144*(IF(($B$19+2*$B$64)&lt;$B$80,$B$83,$B$82)),NA())</f>
        <v>183.182</v>
      </c>
      <c r="FD39">
        <f>IF(2&lt;$B$22,$B$146+$B$144*(($B$19+2*$B$64)),NA())</f>
        <v>53.44773</v>
      </c>
      <c r="FE39" t="e">
        <f>IF(AND($B$21=1,(3*$B$66)&lt;$B$62),$B$145+$B$144*(IF((3*$B$66)&lt;$B$80,$B$83,$B$82)),NA())</f>
        <v>#N/A</v>
      </c>
      <c r="FF39" t="e">
        <f>IF(AND($B$21=1,(3*$B$66)&lt;$B$62),$B$146+$B$144*((3*$B$66)),NA())</f>
        <v>#N/A</v>
      </c>
      <c r="FI39" t="e">
        <f>IF(6&lt;=$B$23,$B$145+$B$144*((IF(6=1,1,IF(6=$B$23,$B$12,5*(6-1)))-1)*$B$13),NA())</f>
        <v>#N/A</v>
      </c>
      <c r="FJ39" t="e">
        <f>IF(6&lt;=$B$23,$B$146+$B$144*($B$9),NA())</f>
        <v>#N/A</v>
      </c>
      <c r="FK39" t="e">
        <f>IF($B$92=1,$B$145+$B$144*($B$98),NA())</f>
        <v>#N/A</v>
      </c>
      <c r="FL39" t="e">
        <f>IF($B$92=1,$B$146+$B$144*($B$94),NA())</f>
        <v>#N/A</v>
      </c>
      <c r="FM39" t="e">
        <f>IF(AND($B$92=1,4&lt;=$B$68),$B$145+$B$144*($B$98+0.1),NA())</f>
        <v>#N/A</v>
      </c>
      <c r="FN39" t="e">
        <f>IF(AND($B$92=1,4&lt;=$B$68),$B$146+$B$144*($B$94+0.15),NA())</f>
        <v>#N/A</v>
      </c>
      <c r="GE39" t="e">
        <f>IF(10&lt;=$B$14-1,$B$151+$B$150*(10*$B$15),NA())</f>
        <v>#N/A</v>
      </c>
      <c r="GF39" t="e">
        <f>IF(10&lt;=$B$14-1,$B$152+$B$150*($B$9+$B$8*MIN(10*$B$15,$B$5-10*$B$15)),NA())</f>
        <v>#N/A</v>
      </c>
      <c r="GG39">
        <f>IF(AND($B$20=1,($B$19+2*$B$64)&lt;$B$10-0.3),$B$151+$B$150*(MAX(IF(($B$19+2*$B$64)&lt;=$B$9,0,(($B$19+2*$B$64)-$B$9)/$B$8),MIN(($B$5-IF(($B$19+2*$B$64)&lt;=$B$9,0,(($B$19+2*$B$64)-$B$9)/$B$8)),IF(($B$19+2*$B$64)&lt;$B$111,$B$114,$B$113)))),NA())</f>
        <v>173.182</v>
      </c>
      <c r="GH39">
        <f>IF(AND($B$20=1,($B$19+2*$B$64)&lt;$B$10-0.3),$B$152+$B$150*(($B$19+2*$B$64)),NA())</f>
        <v>51.46818</v>
      </c>
      <c r="GI39" t="e">
        <f>IF(AND($B$21=1,(3*$B$66)&lt;IF($B$63=1,$B$10-0.2,$B$62)),$B$151+$B$150*(MAX(IF((3*$B$66)&lt;=$B$9,0,((3*$B$66)-$B$9)/$B$8),MIN(($B$5-IF((3*$B$66)&lt;=$B$9,0,((3*$B$66)-$B$9)/$B$8)),IF((3*$B$66)&lt;$B$111,$B$114,$B$113)))),NA())</f>
        <v>#N/A</v>
      </c>
      <c r="GJ39" t="e">
        <f>IF(AND($B$21=1,(3*$B$66)&lt;IF($B$63=1,$B$10-0.2,$B$62)),$B$152+$B$150*((3*$B$66)),NA())</f>
        <v>#N/A</v>
      </c>
      <c r="GM39" t="e">
        <f>IF($B$123=1,$B$151+$B$150*($B$129),NA())</f>
        <v>#N/A</v>
      </c>
      <c r="GN39" t="e">
        <f>IF($B$123=1,$B$152+$B$150*($B$125),NA())</f>
        <v>#N/A</v>
      </c>
      <c r="GO39" t="e">
        <f>IF(AND($B$123=1,4&lt;=$B$99),$B$151+$B$150*($B$129+0.1),NA())</f>
        <v>#N/A</v>
      </c>
      <c r="GP39" t="e">
        <f>IF(AND($B$123=1,4&lt;=$B$99),$B$152+$B$150*($B$125+0.15),NA())</f>
        <v>#N/A</v>
      </c>
      <c r="HI39">
        <f>IF(5&lt;=$B$16-1,$B$157+$B$156*($B$6+$B$46),NA())</f>
        <v>175.731</v>
      </c>
      <c r="HJ39">
        <f>IF(5&lt;=$B$16-1,$B$158+$B$156*($B$5-5*($B$5/2)/MAX(1,$B$16-1)),NA())</f>
        <v>66.25</v>
      </c>
      <c r="HK39" t="e">
        <f>IF(11&lt;=$B$12,$B$157+$B$156*($B$13*11),NA())</f>
        <v>#N/A</v>
      </c>
      <c r="HL39" t="e">
        <f>IF(11&lt;=$B$12,$B$158+$B$156*($B$5),NA())</f>
        <v>#N/A</v>
      </c>
      <c r="HM39" t="e">
        <f>IF(AND(6&lt;=$B$12,2&lt;=$B$25),$B$157+$B$156*((6-1)*$B$13+2*$B$13/($B$25+1)),NA())</f>
        <v>#N/A</v>
      </c>
      <c r="HN39" t="e">
        <f>IF(AND(6&lt;=$B$12,2&lt;=$B$25),$B$158+$B$156*($B$5),NA())</f>
        <v>#N/A</v>
      </c>
      <c r="HQ39" t="e">
        <f>IF(AND(1&lt;=$B$23,6&lt;=$B$24),$B$157+$B$156*(IF(1=1,1,IF(1=$B$23,$B$12,5*(1-1)))*$B$13),NA())</f>
        <v>#N/A</v>
      </c>
      <c r="HR39" t="e">
        <f>IF(AND(1&lt;=$B$23,6&lt;=$B$24),$B$158+$B$156*((0*$B$5/2+(6-1)*($B$5/2)/$B$24)),NA())</f>
        <v>#N/A</v>
      </c>
      <c r="HS39">
        <f>IF(AND(2&lt;=$B$12,$B$51&gt;0),$B$157+$B$156*(((2-0.5)*$B$13)-($B$51*$B$13)/2),NA())</f>
        <v>54.0767142857143</v>
      </c>
      <c r="HT39">
        <f>IF(AND(2&lt;=$B$12,$B$51&gt;0),$B$158+$B$156*((0*$B$5/2+$B$5/2-0.6*$B$159)),NA())</f>
        <v>51.4</v>
      </c>
      <c r="HU39">
        <f>IF(3&lt;=$B$47,$B$157+$B$156*(((MAX(1,MIN($B$12,ROUND(3*$B$12/($B$47+1),0)))-1)*$B$13+0.25*$B$13)-$B$48/2-0.2),NA())</f>
        <v>90.1224285714286</v>
      </c>
      <c r="HV39">
        <f>IF(3&lt;=$B$47,$B$158+$B$156*(IF(MOD(3,2)=1,$B$5/4,3*$B$5/4)-$B$49/2-0.2),NA())</f>
        <v>29.96</v>
      </c>
      <c r="IK39">
        <f>$B$174+$B$173*($B$169-$B$29/2)</f>
        <v>90.2284</v>
      </c>
      <c r="IL39">
        <f>$B$175+$B$173*($B$166)</f>
        <v>62.8783</v>
      </c>
      <c r="IO39">
        <f>$B$174+$B$173*(0.075+(9+0.5)*($B$170-0.075)/12)</f>
        <v>110.7851875</v>
      </c>
      <c r="IP39">
        <f>$B$175+$B$173*($B$164)</f>
        <v>56.4793</v>
      </c>
      <c r="IU39">
        <f>IF($B$167+0.05+6*'PARAMÈTRES'!$C$101&lt;$B$168-$B$41,$B$174+$B$173*($B$169-$B$29/2+$B$41),NA())</f>
        <v>91.5082</v>
      </c>
      <c r="IV39">
        <f>IF($B$167+0.05+6*'PARAMÈTRES'!$C$101&lt;$B$168-$B$41,$B$175+$B$173*($B$167+0.05+6*'PARAMÈTRES'!$C$101),NA())</f>
        <v>56.4793</v>
      </c>
      <c r="IW39">
        <f>IF(AND(0.2+7*$B$43&lt;$B$170,ABS(0.2+7*$B$43-$B$169)&gt;$B$29/2+0.03),$B$174+$B$173*(0.2+7*$B$43),NA())</f>
        <v>72.3112</v>
      </c>
      <c r="IX39">
        <f>IF(AND(0.2+7*$B$43&lt;$B$170,ABS(0.2+7*$B$43-$B$169)&gt;$B$29/2+0.03),$B$175+$B$173*($B$165+$B$42+0.015),NA())</f>
        <v>58.91092</v>
      </c>
      <c r="KG39" t="e">
        <f>IF($B$21=1,$B$182+$B$181*($B$177*3/4-$B$60/2),NA())</f>
        <v>#N/A</v>
      </c>
      <c r="KH39" t="e">
        <f>IF($B$21=1,$B$183+$B$181*($B$59),NA())</f>
        <v>#N/A</v>
      </c>
      <c r="KI39" t="e">
        <f>IF(AND($B$21=1,3*$B$67&gt;$B$59,3*$B$67&lt;$B$178-$B$59,OR($B$63=0,ABS(3*$B$67-$B$178/2)&gt;$B$59/2)),$B$182+$B$181*($B$177),NA())</f>
        <v>#N/A</v>
      </c>
      <c r="KJ39" t="e">
        <f>IF(AND($B$21=1,3*$B$67&gt;$B$59,3*$B$67&lt;$B$178-$B$59,OR($B$63=0,ABS(3*$B$67-$B$178/2)&gt;$B$59/2)),$B$183+$B$181*(3*$B$67),NA())</f>
        <v>#N/A</v>
      </c>
      <c r="KK39" t="e">
        <f>IF($B$21=1,$B$182+$B$181*($B$177*3/4+($B$60/2-$B$41*0.5)),NA())</f>
        <v>#N/A</v>
      </c>
      <c r="KL39" t="e">
        <f>IF($B$21=1,$B$183+$B$181*($B$178-$B$41),NA())</f>
        <v>#N/A</v>
      </c>
    </row>
    <row r="40">
      <c r="A40" t="inlineStr">
        <is>
          <t>e_dal</t>
        </is>
      </c>
      <c r="B40">
        <f>'GROS_ŒUVRE'!$E$6</f>
        <v>0.2</v>
      </c>
      <c r="D40" t="inlineStr">
        <is>
          <t>p7_t4</t>
        </is>
      </c>
      <c r="E40" t="str">
        <f>'PARAMÈTRES'!$C$136&amp;" raidisseurs "&amp;'PARAMÈTRES'!$C$135*100&amp;" × "&amp;'PARAMÈTRES'!$C$135*100&amp;" – "&amp;'PARAMÈTRES'!$C$132&amp;" "&amp;'PARAMÈTRES'!$C$131&amp;" + cad. "&amp;'PARAMÈTRES'!$C$133&amp;" e = "&amp;'PARAMÈTRES'!$C$134*100</f>
        <v>3 raidisseurs 15 × 15 – 4 HA10 + cad. HA6 e = 20</v>
      </c>
      <c r="G40" t="e">
        <f>NA()</f>
        <v>#N/A</v>
      </c>
      <c r="H40" t="e">
        <f>NA()</f>
        <v>#N/A</v>
      </c>
      <c r="K40" t="e">
        <f>NA()</f>
        <v>#N/A</v>
      </c>
      <c r="L40" t="e">
        <f>NA()</f>
        <v>#N/A</v>
      </c>
      <c r="M40" t="e">
        <f>IF(AND(11&lt;=$B$12,$B$45=1),$B$133+$B$132*($B$13*11),NA())</f>
        <v>#N/A</v>
      </c>
      <c r="N40" t="e">
        <f>IF(AND(11&lt;=$B$12,$B$45=1),$B$134+$B$132*($B$5/2),NA())</f>
        <v>#N/A</v>
      </c>
      <c r="EA40" t="e">
        <f>NA()</f>
        <v>#N/A</v>
      </c>
      <c r="EB40" t="e">
        <f>NA()</f>
        <v>#N/A</v>
      </c>
      <c r="EE40" t="e">
        <f>IF(17&lt;=$B$16-1,$B$139+$B$138*($B$5-17*($B$5/2)/MAX(1,$B$16-1)),NA())</f>
        <v>#N/A</v>
      </c>
      <c r="EF40" t="e">
        <f>IF(17&lt;=$B$16-1,$B$140+$B$138*($B$9+$B$8*17*($B$5/2)/MAX(1,$B$16-1)+1.2*$B$141),NA())</f>
        <v>#N/A</v>
      </c>
      <c r="EK40" t="e">
        <f>NA()</f>
        <v>#N/A</v>
      </c>
      <c r="EL40" t="e">
        <f>NA()</f>
        <v>#N/A</v>
      </c>
      <c r="FA40" t="e">
        <f>NA()</f>
        <v>#N/A</v>
      </c>
      <c r="FB40" t="e">
        <f>NA()</f>
        <v>#N/A</v>
      </c>
      <c r="FC40">
        <f>IF(AND(2&lt;$B$22,($B$19+2*$B$64)&gt;=$B$80),$B$145+$B$144*($B$82),NA())</f>
        <v>183.182</v>
      </c>
      <c r="FD40">
        <f>IF(AND(2&lt;$B$22,($B$19+2*$B$64)&gt;=$B$80),$B$146+$B$144*(($B$19+2*$B$64)),NA())</f>
        <v>53.44773</v>
      </c>
      <c r="FE40" t="e">
        <f>IF(AND(AND($B$21=1,(3*$B$66)&lt;$B$62),(3*$B$66)&gt;=$B$80),$B$145+$B$144*($B$82),NA())</f>
        <v>#N/A</v>
      </c>
      <c r="FF40" t="e">
        <f>IF(AND(AND($B$21=1,(3*$B$66)&lt;$B$62),(3*$B$66)&gt;=$B$80),$B$146+$B$144*((3*$B$66)),NA())</f>
        <v>#N/A</v>
      </c>
      <c r="FI40" t="e">
        <f>NA()</f>
        <v>#N/A</v>
      </c>
      <c r="FJ40" t="e">
        <f>NA()</f>
        <v>#N/A</v>
      </c>
      <c r="FK40" t="e">
        <f>NA()</f>
        <v>#N/A</v>
      </c>
      <c r="FL40" t="e">
        <f>NA()</f>
        <v>#N/A</v>
      </c>
      <c r="FM40" t="e">
        <f>NA()</f>
        <v>#N/A</v>
      </c>
      <c r="FN40" t="e">
        <f>NA()</f>
        <v>#N/A</v>
      </c>
      <c r="GE40" t="e">
        <f>NA()</f>
        <v>#N/A</v>
      </c>
      <c r="GF40" t="e">
        <f>NA()</f>
        <v>#N/A</v>
      </c>
      <c r="GG40">
        <f>IF(AND(AND($B$20=1,($B$19+2*$B$64)&lt;$B$10-0.3),($B$19+2*$B$64)&gt;=$B$111),$B$151+$B$150*(MAX(IF(($B$19+2*$B$64)&lt;=$B$9,0,(($B$19+2*$B$64)-$B$9)/$B$8),MIN(($B$5-IF(($B$19+2*$B$64)&lt;=$B$9,0,(($B$19+2*$B$64)-$B$9)/$B$8)),$B$113))),NA())</f>
        <v>173.182</v>
      </c>
      <c r="GH40">
        <f>IF(AND(AND($B$20=1,($B$19+2*$B$64)&lt;$B$10-0.3),($B$19+2*$B$64)&gt;=$B$111),$B$152+$B$150*(($B$19+2*$B$64)),NA())</f>
        <v>51.46818</v>
      </c>
      <c r="GI40" t="e">
        <f>IF(AND(AND($B$21=1,(3*$B$66)&lt;IF($B$63=1,$B$10-0.2,$B$62)),(3*$B$66)&gt;=$B$111),$B$151+$B$150*(MAX(IF((3*$B$66)&lt;=$B$9,0,((3*$B$66)-$B$9)/$B$8),MIN(($B$5-IF((3*$B$66)&lt;=$B$9,0,((3*$B$66)-$B$9)/$B$8)),$B$113))),NA())</f>
        <v>#N/A</v>
      </c>
      <c r="GJ40" t="e">
        <f>IF(AND(AND($B$21=1,(3*$B$66)&lt;IF($B$63=1,$B$10-0.2,$B$62)),(3*$B$66)&gt;=$B$111),$B$152+$B$150*((3*$B$66)),NA())</f>
        <v>#N/A</v>
      </c>
      <c r="GM40" t="e">
        <f>NA()</f>
        <v>#N/A</v>
      </c>
      <c r="GN40" t="e">
        <f>NA()</f>
        <v>#N/A</v>
      </c>
      <c r="GO40" t="e">
        <f>NA()</f>
        <v>#N/A</v>
      </c>
      <c r="GP40" t="e">
        <f>NA()</f>
        <v>#N/A</v>
      </c>
      <c r="HI40" t="e">
        <f>NA()</f>
        <v>#N/A</v>
      </c>
      <c r="HJ40" t="e">
        <f>NA()</f>
        <v>#N/A</v>
      </c>
      <c r="HK40" t="e">
        <f>NA()</f>
        <v>#N/A</v>
      </c>
      <c r="HL40" t="e">
        <f>NA()</f>
        <v>#N/A</v>
      </c>
      <c r="HM40" t="e">
        <f>NA()</f>
        <v>#N/A</v>
      </c>
      <c r="HN40" t="e">
        <f>NA()</f>
        <v>#N/A</v>
      </c>
      <c r="HQ40" t="e">
        <f>NA()</f>
        <v>#N/A</v>
      </c>
      <c r="HR40" t="e">
        <f>NA()</f>
        <v>#N/A</v>
      </c>
      <c r="HS40" t="e">
        <f>NA()</f>
        <v>#N/A</v>
      </c>
      <c r="HT40" t="e">
        <f>NA()</f>
        <v>#N/A</v>
      </c>
      <c r="HU40" t="e">
        <f>NA()</f>
        <v>#N/A</v>
      </c>
      <c r="HV40" t="e">
        <f>NA()</f>
        <v>#N/A</v>
      </c>
      <c r="IK40" t="e">
        <f>NA()</f>
        <v>#N/A</v>
      </c>
      <c r="IL40" t="e">
        <f>NA()</f>
        <v>#N/A</v>
      </c>
      <c r="IO40" t="e">
        <f>NA()</f>
        <v>#N/A</v>
      </c>
      <c r="IP40" t="e">
        <f>NA()</f>
        <v>#N/A</v>
      </c>
      <c r="IU40">
        <f>IF($B$167+0.05+6*'PARAMÈTRES'!$C$101&lt;$B$168-$B$41,$B$174+$B$173*($B$169+$B$29/2-$B$41),NA())</f>
        <v>99.187</v>
      </c>
      <c r="IV40">
        <f>IF($B$167+0.05+6*'PARAMÈTRES'!$C$101&lt;$B$168-$B$41,$B$175+$B$173*($B$167+0.05+6*'PARAMÈTRES'!$C$101),NA())</f>
        <v>56.4793</v>
      </c>
      <c r="IW40" t="e">
        <f>IF(AND(0.2+7*$B$43&lt;$B$170,ABS(0.2+7*$B$43-$B$169)&gt;$B$29/2+0.03,$B$44=1),$B$174+$B$173*(0.2+7*$B$43),NA())</f>
        <v>#N/A</v>
      </c>
      <c r="IX40" t="e">
        <f>IF(AND(0.2+7*$B$43&lt;$B$170,ABS(0.2+7*$B$43-$B$169)&gt;$B$29/2+0.03,$B$44=1),$B$175+$B$173*($B$166-$B$42-0.015),NA())</f>
        <v>#N/A</v>
      </c>
      <c r="KG40" t="e">
        <f>NA()</f>
        <v>#N/A</v>
      </c>
      <c r="KH40" t="e">
        <f>NA()</f>
        <v>#N/A</v>
      </c>
      <c r="KI40" t="e">
        <f>NA()</f>
        <v>#N/A</v>
      </c>
      <c r="KJ40" t="e">
        <f>NA()</f>
        <v>#N/A</v>
      </c>
      <c r="KK40" t="e">
        <f>NA()</f>
        <v>#N/A</v>
      </c>
      <c r="KL40" t="e">
        <f>NA()</f>
        <v>#N/A</v>
      </c>
    </row>
    <row r="41">
      <c r="A41" t="inlineStr">
        <is>
          <t>c_fond</t>
        </is>
      </c>
      <c r="B41">
        <f>'PARAMÈTRES'!$C$108</f>
        <v>0.05</v>
      </c>
      <c r="G41" t="e">
        <f>IF(12&lt;=$B$12,$B$133+$B$132*($B$13*12),NA())</f>
        <v>#N/A</v>
      </c>
      <c r="H41" t="e">
        <f>IF(12&lt;=$B$12,$B$134+$B$132*(-4*$B$135),NA())</f>
        <v>#N/A</v>
      </c>
      <c r="K41">
        <f>IF(2&lt;=$B$12,$B$133+$B$132*($B$13*2-$B$27/2),NA())</f>
        <v>68.4081428571429</v>
      </c>
      <c r="L41">
        <f>IF(2&lt;=$B$12,$B$134+$B$132*(0-$B$27/2),NA())</f>
        <v>13.96</v>
      </c>
      <c r="M41" t="e">
        <f>IF(12&lt;=$B$12,$B$133+$B$132*($B$13*12),NA())</f>
        <v>#N/A</v>
      </c>
      <c r="N41" t="e">
        <f>IF(12&lt;=$B$12,$B$134+$B$132*(0),NA())</f>
        <v>#N/A</v>
      </c>
      <c r="EA41" t="e">
        <f>IF(AND($B$18=1,13&lt;=$B$26-1),$B$139+$B$138*(13*($B$5/MAX(1,$B$26))),NA())</f>
        <v>#N/A</v>
      </c>
      <c r="EB41" t="e">
        <f>IF(AND($B$18=1,13&lt;=$B$26-1),$B$140+$B$138*($B$7),NA())</f>
        <v>#N/A</v>
      </c>
      <c r="EE41" t="e">
        <f>IF(18&lt;=$B$16-1,$B$139+$B$138*(18*($B$5/2)/MAX(1,$B$16-1)),NA())</f>
        <v>#N/A</v>
      </c>
      <c r="EF41" t="e">
        <f>IF(18&lt;=$B$16-1,$B$140+$B$138*($B$9+$B$8*18*($B$5/2)/MAX(1,$B$16-1)+1.2*$B$141),NA())</f>
        <v>#N/A</v>
      </c>
      <c r="FA41" t="e">
        <f>IF(12&lt;=$B$12,$B$145+$B$144*($B$13*12),NA())</f>
        <v>#N/A</v>
      </c>
      <c r="FB41" t="e">
        <f>IF(12&lt;=$B$12,$B$146+$B$144*(0),NA())</f>
        <v>#N/A</v>
      </c>
      <c r="FC41">
        <f>IF(2&lt;$B$22,$B$145+$B$144*(IF(($B$19+2*$B$64)&lt;$B$80,$B$84,$B$82)),NA())</f>
        <v>183.182</v>
      </c>
      <c r="FD41">
        <f>IF(2&lt;$B$22,$B$146+$B$144*(($B$19+2*$B$64)),NA())</f>
        <v>53.44773</v>
      </c>
      <c r="FE41" t="e">
        <f>IF(AND($B$21=1,(3*$B$66)&lt;$B$62),$B$145+$B$144*(IF((3*$B$66)&lt;$B$80,$B$84,$B$82)),NA())</f>
        <v>#N/A</v>
      </c>
      <c r="FF41" t="e">
        <f>IF(AND($B$21=1,(3*$B$66)&lt;$B$62),$B$146+$B$144*((3*$B$66)),NA())</f>
        <v>#N/A</v>
      </c>
      <c r="FI41" t="e">
        <f>IF(7&lt;=$B$23,$B$145+$B$144*((IF(7=1,1,IF(7=$B$23,$B$12,5*(7-1)))-1)*$B$13),NA())</f>
        <v>#N/A</v>
      </c>
      <c r="FJ41" t="e">
        <f>IF(7&lt;=$B$23,$B$146+$B$144*(0),NA())</f>
        <v>#N/A</v>
      </c>
      <c r="GE41" t="e">
        <f>IF(11&lt;=$B$14-1,$B$151+$B$150*(11*$B$15),NA())</f>
        <v>#N/A</v>
      </c>
      <c r="GF41" t="e">
        <f>IF(11&lt;=$B$14-1,$B$152+$B$150*(0),NA())</f>
        <v>#N/A</v>
      </c>
      <c r="GG41">
        <f>IF(AND($B$20=1,($B$19+2*$B$64)&lt;$B$10-0.3),$B$151+$B$150*(MAX(IF(($B$19+2*$B$64)&lt;=$B$9,0,(($B$19+2*$B$64)-$B$9)/$B$8),MIN(($B$5-IF(($B$19+2*$B$64)&lt;=$B$9,0,(($B$19+2*$B$64)-$B$9)/$B$8)),IF(($B$19+2*$B$64)&lt;$B$111,$B$115,$B$113)))),NA())</f>
        <v>173.182</v>
      </c>
      <c r="GH41">
        <f>IF(AND($B$20=1,($B$19+2*$B$64)&lt;$B$10-0.3),$B$152+$B$150*(($B$19+2*$B$64)),NA())</f>
        <v>51.46818</v>
      </c>
      <c r="GI41" t="e">
        <f>IF(AND($B$21=1,(3*$B$66)&lt;IF($B$63=1,$B$10-0.2,$B$62)),$B$151+$B$150*(MAX(IF((3*$B$66)&lt;=$B$9,0,((3*$B$66)-$B$9)/$B$8),MIN(($B$5-IF((3*$B$66)&lt;=$B$9,0,((3*$B$66)-$B$9)/$B$8)),IF((3*$B$66)&lt;$B$111,$B$115,$B$113)))),NA())</f>
        <v>#N/A</v>
      </c>
      <c r="GJ41" t="e">
        <f>IF(AND($B$21=1,(3*$B$66)&lt;IF($B$63=1,$B$10-0.2,$B$62)),$B$152+$B$150*((3*$B$66)),NA())</f>
        <v>#N/A</v>
      </c>
      <c r="HI41">
        <f>IF(6&lt;=$B$16-1,$B$157+$B$156*(-$B$46),NA())</f>
        <v>21.451</v>
      </c>
      <c r="HJ41">
        <f>IF(6&lt;=$B$16-1,$B$158+$B$156*(6*($B$5/2)/MAX(1,$B$16-1)),NA())</f>
        <v>42.5</v>
      </c>
      <c r="HK41" t="e">
        <f>IF(12&lt;=$B$12,$B$157+$B$156*($B$13*12),NA())</f>
        <v>#N/A</v>
      </c>
      <c r="HL41" t="e">
        <f>IF(12&lt;=$B$12,$B$158+$B$156*(0),NA())</f>
        <v>#N/A</v>
      </c>
      <c r="HM41">
        <f>IF(AND(7&lt;=$B$12,1&lt;=$B$25),$B$157+$B$156*((7-1)*$B$13+1*$B$13/($B$25+1)),NA())</f>
        <v>163.733857142857</v>
      </c>
      <c r="HN41">
        <f>IF(AND(7&lt;=$B$12,1&lt;=$B$25),$B$158+$B$156*(0),NA())</f>
        <v>14</v>
      </c>
      <c r="HQ41">
        <f>IF(AND(1&lt;=$B$23,1&lt;=$B$24),$B$157+$B$156*((IF(1=1,1,IF(1=$B$23,$B$12,5*(1-1)))-1)*$B$13),NA())</f>
        <v>22.591</v>
      </c>
      <c r="HR41">
        <f>IF(AND(1&lt;=$B$23,1&lt;=$B$24),$B$158+$B$156*((1*$B$5/2+(1-1)*($B$5/2)/$B$24)),NA())</f>
        <v>52</v>
      </c>
      <c r="HS41">
        <f>IF(AND(2&lt;=$B$12,$B$51&gt;0),$B$157+$B$156*(((2-0.5)*$B$13)-($B$51*$B$13)/2),NA())</f>
        <v>54.0767142857143</v>
      </c>
      <c r="HT41">
        <f>IF(AND(2&lt;=$B$12,$B$51&gt;0),$B$158+$B$156*((1*$B$5/2+0.6*$B$159)),NA())</f>
        <v>52.6</v>
      </c>
      <c r="HU41">
        <f>IF(4&lt;=$B$47,$B$157+$B$156*(((MAX(1,MIN($B$12,ROUND(4*$B$12/($B$47+1),0)))-1)*$B$13+0.25*$B$13)-$B$48/2),NA())</f>
        <v>134.311</v>
      </c>
      <c r="HV41">
        <f>IF(4&lt;=$B$47,$B$158+$B$156*(IF(MOD(4,2)=1,$B$5/4,3*$B$5/4)-$B$49/2),NA())</f>
        <v>68.72</v>
      </c>
      <c r="IK41">
        <f>$B$174+$B$173*($B$169+$B$29/2)</f>
        <v>100.4668</v>
      </c>
      <c r="IL41">
        <f>$B$175+$B$173*($B$165)</f>
        <v>57.7591</v>
      </c>
      <c r="IO41">
        <f>$B$174+$B$173*(0.075+10*($B$170-0.075)/12)</f>
        <v>114.86455</v>
      </c>
      <c r="IP41">
        <f>$B$175+$B$173*(0)</f>
        <v>51.3601</v>
      </c>
      <c r="IU41" t="e">
        <f>NA()</f>
        <v>#N/A</v>
      </c>
      <c r="IV41" t="e">
        <f>NA()</f>
        <v>#N/A</v>
      </c>
      <c r="IW41">
        <f>IF(AND(0.2+8*$B$43&lt;$B$170,ABS(0.2+8*$B$43-$B$169)&gt;$B$29/2+0.03),$B$174+$B$173*(0.2+8*$B$43),NA())</f>
        <v>77.4304</v>
      </c>
      <c r="IX41">
        <f>IF(AND(0.2+8*$B$43&lt;$B$170,ABS(0.2+8*$B$43-$B$169)&gt;$B$29/2+0.03),$B$175+$B$173*($B$165+$B$42+0.015),NA())</f>
        <v>58.91092</v>
      </c>
      <c r="KI41" t="e">
        <f>IF(AND($B$21=1,4*$B$67&gt;$B$59,4*$B$67&lt;$B$178-$B$59,OR($B$63=0,ABS(4*$B$67-$B$178/2)&gt;$B$59/2)),$B$182+$B$181*(0),NA())</f>
        <v>#N/A</v>
      </c>
      <c r="KJ41" t="e">
        <f>IF(AND($B$21=1,4*$B$67&gt;$B$59,4*$B$67&lt;$B$178-$B$59,OR($B$63=0,ABS(4*$B$67-$B$178/2)&gt;$B$59/2)),$B$183+$B$181*(4*$B$67),NA())</f>
        <v>#N/A</v>
      </c>
    </row>
    <row r="42">
      <c r="A42" t="inlineStr">
        <is>
          <t>c_dal</t>
        </is>
      </c>
      <c r="B42">
        <f>'PARAMÈTRES'!$C$121</f>
        <v>0.03</v>
      </c>
      <c r="G42" t="e">
        <f>IF(12&lt;=$B$12,$B$133+$B$132*($B$13*12),NA())</f>
        <v>#N/A</v>
      </c>
      <c r="H42" t="e">
        <f>IF(12&lt;=$B$12,$B$134+$B$132*($B$5+4*$B$135),NA())</f>
        <v>#N/A</v>
      </c>
      <c r="K42">
        <f>IF(2&lt;=$B$12,$B$133+$B$132*($B$13*2+$B$27/2),NA())</f>
        <v>72.4881428571429</v>
      </c>
      <c r="L42">
        <f>IF(2&lt;=$B$12,$B$134+$B$132*(0-$B$27/2),NA())</f>
        <v>13.96</v>
      </c>
      <c r="M42" t="e">
        <f>IF(12&lt;=$B$12,$B$133+$B$132*($B$13*12),NA())</f>
        <v>#N/A</v>
      </c>
      <c r="N42" t="e">
        <f>IF(12&lt;=$B$12,$B$134+$B$132*($B$5),NA())</f>
        <v>#N/A</v>
      </c>
      <c r="EA42" t="e">
        <f>IF(AND($B$18=1,13&lt;=$B$26-1),$B$139+$B$138*(13*($B$5/MAX(1,$B$26))),NA())</f>
        <v>#N/A</v>
      </c>
      <c r="EB42" t="e">
        <f>IF(AND($B$18=1,13&lt;=$B$26-1),$B$140+$B$138*(($B$9+$B$8*MIN(13*($B$5/MAX(1,$B$26)),$B$5-(13*($B$5/MAX(1,$B$26)))))),NA())</f>
        <v>#N/A</v>
      </c>
      <c r="EE42" t="e">
        <f>IF(18&lt;=$B$16-1,$B$139+$B$138*($B$5-18*($B$5/2)/MAX(1,$B$16-1)),NA())</f>
        <v>#N/A</v>
      </c>
      <c r="EF42" t="e">
        <f>IF(18&lt;=$B$16-1,$B$140+$B$138*($B$9+$B$8*18*($B$5/2)/MAX(1,$B$16-1)+1.2*$B$141),NA())</f>
        <v>#N/A</v>
      </c>
      <c r="FA42" t="e">
        <f>IF(12&lt;=$B$12,$B$145+$B$144*($B$13*12),NA())</f>
        <v>#N/A</v>
      </c>
      <c r="FB42" t="e">
        <f>IF(12&lt;=$B$12,$B$146+$B$144*($B$9),NA())</f>
        <v>#N/A</v>
      </c>
      <c r="FC42">
        <f>IF(2&lt;$B$22,$B$145+$B$144*(IF(($B$19+2*$B$64)&lt;$B$87,$B$90,$B$89)),NA())</f>
        <v>183.182</v>
      </c>
      <c r="FD42">
        <f>IF(2&lt;$B$22,$B$146+$B$144*(($B$19+2*$B$64)),NA())</f>
        <v>53.44773</v>
      </c>
      <c r="FE42" t="e">
        <f>IF(AND($B$21=1,(3*$B$66)&lt;$B$62),$B$145+$B$144*(IF((3*$B$66)&lt;$B$87,$B$90,$B$89)),NA())</f>
        <v>#N/A</v>
      </c>
      <c r="FF42" t="e">
        <f>IF(AND($B$21=1,(3*$B$66)&lt;$B$62),$B$146+$B$144*((3*$B$66)),NA())</f>
        <v>#N/A</v>
      </c>
      <c r="FI42" t="e">
        <f>IF(7&lt;=$B$23,$B$145+$B$144*(IF(7=1,1,IF(7=$B$23,$B$12,5*(7-1)))*$B$13),NA())</f>
        <v>#N/A</v>
      </c>
      <c r="FJ42" t="e">
        <f>IF(7&lt;=$B$23,$B$146+$B$144*($B$9),NA())</f>
        <v>#N/A</v>
      </c>
      <c r="GE42" t="e">
        <f>IF(11&lt;=$B$14-1,$B$151+$B$150*(11*$B$15),NA())</f>
        <v>#N/A</v>
      </c>
      <c r="GF42" t="e">
        <f>IF(11&lt;=$B$14-1,$B$152+$B$150*($B$9+$B$8*MIN(11*$B$15,$B$5-11*$B$15)),NA())</f>
        <v>#N/A</v>
      </c>
      <c r="GG42">
        <f>IF(AND($B$20=1,($B$19+2*$B$64)&lt;$B$10-0.3),$B$151+$B$150*(MAX(IF(($B$19+2*$B$64)&lt;=$B$9,0,(($B$19+2*$B$64)-$B$9)/$B$8),MIN(($B$5-IF(($B$19+2*$B$64)&lt;=$B$9,0,(($B$19+2*$B$64)-$B$9)/$B$8)),IF(($B$19+2*$B$64)&lt;$B$118,$B$121,$B$120)))),NA())</f>
        <v>173.182</v>
      </c>
      <c r="GH42">
        <f>IF(AND($B$20=1,($B$19+2*$B$64)&lt;$B$10-0.3),$B$152+$B$150*(($B$19+2*$B$64)),NA())</f>
        <v>51.46818</v>
      </c>
      <c r="GI42" t="e">
        <f>IF(AND($B$21=1,(3*$B$66)&lt;IF($B$63=1,$B$10-0.2,$B$62)),$B$151+$B$150*(MAX(IF((3*$B$66)&lt;=$B$9,0,((3*$B$66)-$B$9)/$B$8),MIN(($B$5-IF((3*$B$66)&lt;=$B$9,0,((3*$B$66)-$B$9)/$B$8)),IF((3*$B$66)&lt;$B$118,$B$121,$B$120)))),NA())</f>
        <v>#N/A</v>
      </c>
      <c r="GJ42" t="e">
        <f>IF(AND($B$21=1,(3*$B$66)&lt;IF($B$63=1,$B$10-0.2,$B$62)),$B$152+$B$150*((3*$B$66)),NA())</f>
        <v>#N/A</v>
      </c>
      <c r="HI42">
        <f>IF(6&lt;=$B$16-1,$B$157+$B$156*($B$6+$B$46),NA())</f>
        <v>175.731</v>
      </c>
      <c r="HJ42">
        <f>IF(6&lt;=$B$16-1,$B$158+$B$156*(6*($B$5/2)/MAX(1,$B$16-1)),NA())</f>
        <v>42.5</v>
      </c>
      <c r="HK42" t="e">
        <f>IF(12&lt;=$B$12,$B$157+$B$156*($B$13*12),NA())</f>
        <v>#N/A</v>
      </c>
      <c r="HL42" t="e">
        <f>IF(12&lt;=$B$12,$B$158+$B$156*($B$5),NA())</f>
        <v>#N/A</v>
      </c>
      <c r="HM42">
        <f>IF(AND(7&lt;=$B$12,1&lt;=$B$25),$B$157+$B$156*((7-1)*$B$13+1*$B$13/($B$25+1)),NA())</f>
        <v>163.733857142857</v>
      </c>
      <c r="HN42">
        <f>IF(AND(7&lt;=$B$12,1&lt;=$B$25),$B$158+$B$156*($B$5),NA())</f>
        <v>90</v>
      </c>
      <c r="HQ42">
        <f>IF(AND(1&lt;=$B$23,1&lt;=$B$24),$B$157+$B$156*(IF(1=1,1,IF(1=$B$23,$B$12,5*(1-1)))*$B$13),NA())</f>
        <v>44.3052857142857</v>
      </c>
      <c r="HR42">
        <f>IF(AND(1&lt;=$B$23,1&lt;=$B$24),$B$158+$B$156*((1*$B$5/2+1*($B$5/2)/$B$24)),NA())</f>
        <v>71</v>
      </c>
      <c r="HS42">
        <f>IF(AND(2&lt;=$B$12,$B$51&gt;0),$B$157+$B$156*(((2-0.5)*$B$13)+($B$51*$B$13)/2),NA())</f>
        <v>56.2481428571429</v>
      </c>
      <c r="HT42">
        <f>IF(AND(2&lt;=$B$12,$B$51&gt;0),$B$158+$B$156*((1*$B$5/2+0.6*$B$159)),NA())</f>
        <v>52.6</v>
      </c>
      <c r="HU42">
        <f>IF(4&lt;=$B$47,$B$157+$B$156*(((MAX(1,MIN($B$12,ROUND(4*$B$12/($B$47+1),0)))-1)*$B$13+0.25*$B$13)+$B$48/2),NA())</f>
        <v>138.871</v>
      </c>
      <c r="HV42">
        <f>IF(4&lt;=$B$47,$B$158+$B$156*(IF(MOD(4,2)=1,$B$5/4,3*$B$5/4)-$B$49/2),NA())</f>
        <v>68.72</v>
      </c>
      <c r="IK42">
        <f>$B$174+$B$173*($B$170)</f>
        <v>131.182</v>
      </c>
      <c r="IL42">
        <f>$B$175+$B$173*($B$165)</f>
        <v>57.7591</v>
      </c>
      <c r="IO42">
        <f>$B$174+$B$173*(0.075+(10+0.5)*($B$170-0.075)/12)</f>
        <v>118.9439125</v>
      </c>
      <c r="IP42">
        <f>$B$175+$B$173*($B$164)</f>
        <v>56.4793</v>
      </c>
      <c r="IU42">
        <f>IF($B$167+0.05+7*'PARAMÈTRES'!$C$101&lt;$B$168-$B$41,$B$174+$B$173*($B$169-$B$29/2+$B$41),NA())</f>
        <v>91.5082</v>
      </c>
      <c r="IV42">
        <f>IF($B$167+0.05+7*'PARAMÈTRES'!$C$101&lt;$B$168-$B$41,$B$175+$B$173*($B$167+0.05+7*'PARAMÈTRES'!$C$101),NA())</f>
        <v>60.3187</v>
      </c>
      <c r="IW42" t="e">
        <f>IF(AND(0.2+8*$B$43&lt;$B$170,ABS(0.2+8*$B$43-$B$169)&gt;$B$29/2+0.03,$B$44=1),$B$174+$B$173*(0.2+8*$B$43),NA())</f>
        <v>#N/A</v>
      </c>
      <c r="IX42" t="e">
        <f>IF(AND(0.2+8*$B$43&lt;$B$170,ABS(0.2+8*$B$43-$B$169)&gt;$B$29/2+0.03,$B$44=1),$B$175+$B$173*($B$166-$B$42-0.015),NA())</f>
        <v>#N/A</v>
      </c>
      <c r="KI42" t="e">
        <f>IF(AND($B$21=1,4*$B$67&gt;$B$59,4*$B$67&lt;$B$178-$B$59,OR($B$63=0,ABS(4*$B$67-$B$178/2)&gt;$B$59/2)),$B$182+$B$181*($B$177*1/4-$B$60/2),NA())</f>
        <v>#N/A</v>
      </c>
      <c r="KJ42" t="e">
        <f>IF(AND($B$21=1,4*$B$67&gt;$B$59,4*$B$67&lt;$B$178-$B$59,OR($B$63=0,ABS(4*$B$67-$B$178/2)&gt;$B$59/2)),$B$183+$B$181*(4*$B$67),NA())</f>
        <v>#N/A</v>
      </c>
    </row>
    <row r="43">
      <c r="A43" t="inlineStr">
        <is>
          <t>maille</t>
        </is>
      </c>
      <c r="B43">
        <f>'GROS_ŒUVRE'!$E$8</f>
        <v>0.2</v>
      </c>
      <c r="G43" t="e">
        <f>NA()</f>
        <v>#N/A</v>
      </c>
      <c r="H43" t="e">
        <f>NA()</f>
        <v>#N/A</v>
      </c>
      <c r="K43">
        <f>IF(2&lt;=$B$12,$B$133+$B$132*($B$13*2+$B$27/2),NA())</f>
        <v>72.4881428571429</v>
      </c>
      <c r="L43">
        <f>IF(2&lt;=$B$12,$B$134+$B$132*(0+$B$27/2),NA())</f>
        <v>18.04</v>
      </c>
      <c r="M43" t="e">
        <f>IF(AND(12&lt;=$B$12,$B$45=1),$B$133+$B$132*($B$13*12),NA())</f>
        <v>#N/A</v>
      </c>
      <c r="N43" t="e">
        <f>IF(AND(12&lt;=$B$12,$B$45=1),$B$134+$B$132*($B$5/2),NA())</f>
        <v>#N/A</v>
      </c>
      <c r="EA43" t="e">
        <f>NA()</f>
        <v>#N/A</v>
      </c>
      <c r="EB43" t="e">
        <f>NA()</f>
        <v>#N/A</v>
      </c>
      <c r="EE43" t="e">
        <f>IF(19&lt;=$B$16-1,$B$139+$B$138*(19*($B$5/2)/MAX(1,$B$16-1)),NA())</f>
        <v>#N/A</v>
      </c>
      <c r="EF43" t="e">
        <f>IF(19&lt;=$B$16-1,$B$140+$B$138*($B$9+$B$8*19*($B$5/2)/MAX(1,$B$16-1)+1.2*$B$141),NA())</f>
        <v>#N/A</v>
      </c>
      <c r="FA43" t="e">
        <f>NA()</f>
        <v>#N/A</v>
      </c>
      <c r="FB43" t="e">
        <f>NA()</f>
        <v>#N/A</v>
      </c>
      <c r="FC43">
        <f>IF(AND(2&lt;$B$22,($B$19+2*$B$64)&gt;=$B$87),$B$145+$B$144*($B$89),NA())</f>
        <v>183.182</v>
      </c>
      <c r="FD43">
        <f>IF(AND(2&lt;$B$22,($B$19+2*$B$64)&gt;=$B$87),$B$146+$B$144*(($B$19+2*$B$64)),NA())</f>
        <v>53.44773</v>
      </c>
      <c r="FE43" t="e">
        <f>IF(AND(AND($B$21=1,(3*$B$66)&lt;$B$62),(3*$B$66)&gt;=$B$87),$B$145+$B$144*($B$89),NA())</f>
        <v>#N/A</v>
      </c>
      <c r="FF43" t="e">
        <f>IF(AND(AND($B$21=1,(3*$B$66)&lt;$B$62),(3*$B$66)&gt;=$B$87),$B$146+$B$144*((3*$B$66)),NA())</f>
        <v>#N/A</v>
      </c>
      <c r="FI43" t="e">
        <f>NA()</f>
        <v>#N/A</v>
      </c>
      <c r="FJ43" t="e">
        <f>NA()</f>
        <v>#N/A</v>
      </c>
      <c r="GE43" t="e">
        <f>NA()</f>
        <v>#N/A</v>
      </c>
      <c r="GF43" t="e">
        <f>NA()</f>
        <v>#N/A</v>
      </c>
      <c r="GG43">
        <f>IF(AND(AND($B$20=1,($B$19+2*$B$64)&lt;$B$10-0.3),($B$19+2*$B$64)&gt;=$B$118),$B$151+$B$150*(MAX(IF(($B$19+2*$B$64)&lt;=$B$9,0,(($B$19+2*$B$64)-$B$9)/$B$8),MIN(($B$5-IF(($B$19+2*$B$64)&lt;=$B$9,0,(($B$19+2*$B$64)-$B$9)/$B$8)),$B$120))),NA())</f>
        <v>173.182</v>
      </c>
      <c r="GH43">
        <f>IF(AND(AND($B$20=1,($B$19+2*$B$64)&lt;$B$10-0.3),($B$19+2*$B$64)&gt;=$B$118),$B$152+$B$150*(($B$19+2*$B$64)),NA())</f>
        <v>51.46818</v>
      </c>
      <c r="GI43" t="e">
        <f>IF(AND(AND($B$21=1,(3*$B$66)&lt;IF($B$63=1,$B$10-0.2,$B$62)),(3*$B$66)&gt;=$B$118),$B$151+$B$150*(MAX(IF((3*$B$66)&lt;=$B$9,0,((3*$B$66)-$B$9)/$B$8),MIN(($B$5-IF((3*$B$66)&lt;=$B$9,0,((3*$B$66)-$B$9)/$B$8)),$B$120))),NA())</f>
        <v>#N/A</v>
      </c>
      <c r="GJ43" t="e">
        <f>IF(AND(AND($B$21=1,(3*$B$66)&lt;IF($B$63=1,$B$10-0.2,$B$62)),(3*$B$66)&gt;=$B$118),$B$152+$B$150*((3*$B$66)),NA())</f>
        <v>#N/A</v>
      </c>
      <c r="HI43" t="e">
        <f>NA()</f>
        <v>#N/A</v>
      </c>
      <c r="HJ43" t="e">
        <f>NA()</f>
        <v>#N/A</v>
      </c>
      <c r="HK43" t="e">
        <f>NA()</f>
        <v>#N/A</v>
      </c>
      <c r="HL43" t="e">
        <f>NA()</f>
        <v>#N/A</v>
      </c>
      <c r="HM43" t="e">
        <f>NA()</f>
        <v>#N/A</v>
      </c>
      <c r="HN43" t="e">
        <f>NA()</f>
        <v>#N/A</v>
      </c>
      <c r="HQ43" t="e">
        <f>NA()</f>
        <v>#N/A</v>
      </c>
      <c r="HR43" t="e">
        <f>NA()</f>
        <v>#N/A</v>
      </c>
      <c r="HS43">
        <f>IF(AND(2&lt;=$B$12,$B$51&gt;0),$B$157+$B$156*(((2-0.5)*$B$13)+($B$51*$B$13)/2),NA())</f>
        <v>56.2481428571429</v>
      </c>
      <c r="HT43">
        <f>IF(AND(2&lt;=$B$12,$B$51&gt;0),$B$158+$B$156*((1*$B$5/2+$B$5/2-0.6*$B$159)),NA())</f>
        <v>89.4</v>
      </c>
      <c r="HU43">
        <f>IF(4&lt;=$B$47,$B$157+$B$156*(((MAX(1,MIN($B$12,ROUND(4*$B$12/($B$47+1),0)))-1)*$B$13+0.25*$B$13)+$B$48/2),NA())</f>
        <v>138.871</v>
      </c>
      <c r="HV43">
        <f>IF(4&lt;=$B$47,$B$158+$B$156*(IF(MOD(4,2)=1,$B$5/4,3*$B$5/4)+$B$49/2),NA())</f>
        <v>73.28</v>
      </c>
      <c r="IK43" t="e">
        <f>NA()</f>
        <v>#N/A</v>
      </c>
      <c r="IL43" t="e">
        <f>NA()</f>
        <v>#N/A</v>
      </c>
      <c r="IO43" t="e">
        <f>NA()</f>
        <v>#N/A</v>
      </c>
      <c r="IP43" t="e">
        <f>NA()</f>
        <v>#N/A</v>
      </c>
      <c r="IU43">
        <f>IF($B$167+0.05+7*'PARAMÈTRES'!$C$101&lt;$B$168-$B$41,$B$174+$B$173*($B$169+$B$29/2-$B$41),NA())</f>
        <v>99.187</v>
      </c>
      <c r="IV43">
        <f>IF($B$167+0.05+7*'PARAMÈTRES'!$C$101&lt;$B$168-$B$41,$B$175+$B$173*($B$167+0.05+7*'PARAMÈTRES'!$C$101),NA())</f>
        <v>60.3187</v>
      </c>
      <c r="IW43">
        <f>IF(AND(0.2+9*$B$43&lt;$B$170,ABS(0.2+9*$B$43-$B$169)&gt;$B$29/2+0.03),$B$174+$B$173*(0.2+9*$B$43),NA())</f>
        <v>82.5496</v>
      </c>
      <c r="IX43">
        <f>IF(AND(0.2+9*$B$43&lt;$B$170,ABS(0.2+9*$B$43-$B$169)&gt;$B$29/2+0.03),$B$175+$B$173*($B$165+$B$42+0.015),NA())</f>
        <v>58.91092</v>
      </c>
      <c r="KI43" t="e">
        <f>NA()</f>
        <v>#N/A</v>
      </c>
      <c r="KJ43" t="e">
        <f>NA()</f>
        <v>#N/A</v>
      </c>
    </row>
    <row r="44">
      <c r="A44" t="inlineStr">
        <is>
          <t>kdbl</t>
        </is>
      </c>
      <c r="B44">
        <f>'GROS_ŒUVRE'!$E$9</f>
        <v>0</v>
      </c>
      <c r="G44" t="e">
        <f>IF(13&lt;=$B$12,$B$133+$B$132*($B$13*13),NA())</f>
        <v>#N/A</v>
      </c>
      <c r="H44" t="e">
        <f>IF(13&lt;=$B$12,$B$134+$B$132*(-4*$B$135),NA())</f>
        <v>#N/A</v>
      </c>
      <c r="K44">
        <f>IF(2&lt;=$B$12,$B$133+$B$132*($B$13*2-$B$27/2),NA())</f>
        <v>68.4081428571429</v>
      </c>
      <c r="L44">
        <f>IF(2&lt;=$B$12,$B$134+$B$132*(0+$B$27/2),NA())</f>
        <v>18.04</v>
      </c>
      <c r="M44" t="e">
        <f>IF(13&lt;=$B$12,$B$133+$B$132*($B$13*13),NA())</f>
        <v>#N/A</v>
      </c>
      <c r="N44" t="e">
        <f>IF(13&lt;=$B$12,$B$134+$B$132*(0),NA())</f>
        <v>#N/A</v>
      </c>
      <c r="EA44" t="e">
        <f>IF(AND($B$18=1,14&lt;=$B$26-1),$B$139+$B$138*(14*($B$5/MAX(1,$B$26))),NA())</f>
        <v>#N/A</v>
      </c>
      <c r="EB44" t="e">
        <f>IF(AND($B$18=1,14&lt;=$B$26-1),$B$140+$B$138*($B$7),NA())</f>
        <v>#N/A</v>
      </c>
      <c r="EE44" t="e">
        <f>IF(19&lt;=$B$16-1,$B$139+$B$138*($B$5-19*($B$5/2)/MAX(1,$B$16-1)),NA())</f>
        <v>#N/A</v>
      </c>
      <c r="EF44" t="e">
        <f>IF(19&lt;=$B$16-1,$B$140+$B$138*($B$9+$B$8*19*($B$5/2)/MAX(1,$B$16-1)+1.2*$B$141),NA())</f>
        <v>#N/A</v>
      </c>
      <c r="FA44" t="e">
        <f>IF(13&lt;=$B$12,$B$145+$B$144*($B$13*13),NA())</f>
        <v>#N/A</v>
      </c>
      <c r="FB44" t="e">
        <f>IF(13&lt;=$B$12,$B$146+$B$144*(0),NA())</f>
        <v>#N/A</v>
      </c>
      <c r="FC44">
        <f>IF(2&lt;$B$22,$B$145+$B$144*(IF(($B$19+2*$B$64)&lt;$B$87,$B$91,$B$89)),NA())</f>
        <v>183.182</v>
      </c>
      <c r="FD44">
        <f>IF(2&lt;$B$22,$B$146+$B$144*(($B$19+2*$B$64)),NA())</f>
        <v>53.44773</v>
      </c>
      <c r="FE44" t="e">
        <f>IF(AND($B$21=1,(3*$B$66)&lt;$B$62),$B$145+$B$144*(IF((3*$B$66)&lt;$B$87,$B$91,$B$89)),NA())</f>
        <v>#N/A</v>
      </c>
      <c r="FF44" t="e">
        <f>IF(AND($B$21=1,(3*$B$66)&lt;$B$62),$B$146+$B$144*((3*$B$66)),NA())</f>
        <v>#N/A</v>
      </c>
      <c r="FI44" t="e">
        <f>IF(7&lt;=$B$23,$B$145+$B$144*(IF(7=1,1,IF(7=$B$23,$B$12,5*(7-1)))*$B$13),NA())</f>
        <v>#N/A</v>
      </c>
      <c r="FJ44" t="e">
        <f>IF(7&lt;=$B$23,$B$146+$B$144*(0),NA())</f>
        <v>#N/A</v>
      </c>
      <c r="GE44" t="e">
        <f>IF(12&lt;=$B$14-1,$B$151+$B$150*(12*$B$15),NA())</f>
        <v>#N/A</v>
      </c>
      <c r="GF44" t="e">
        <f>IF(12&lt;=$B$14-1,$B$152+$B$150*(0),NA())</f>
        <v>#N/A</v>
      </c>
      <c r="GG44">
        <f>IF(AND($B$20=1,($B$19+2*$B$64)&lt;$B$10-0.3),$B$151+$B$150*(MAX(IF(($B$19+2*$B$64)&lt;=$B$9,0,(($B$19+2*$B$64)-$B$9)/$B$8),MIN(($B$5-IF(($B$19+2*$B$64)&lt;=$B$9,0,(($B$19+2*$B$64)-$B$9)/$B$8)),IF(($B$19+2*$B$64)&lt;$B$118,$B$122,$B$120)))),NA())</f>
        <v>173.182</v>
      </c>
      <c r="GH44">
        <f>IF(AND($B$20=1,($B$19+2*$B$64)&lt;$B$10-0.3),$B$152+$B$150*(($B$19+2*$B$64)),NA())</f>
        <v>51.46818</v>
      </c>
      <c r="GI44" t="e">
        <f>IF(AND($B$21=1,(3*$B$66)&lt;IF($B$63=1,$B$10-0.2,$B$62)),$B$151+$B$150*(MAX(IF((3*$B$66)&lt;=$B$9,0,((3*$B$66)-$B$9)/$B$8),MIN(($B$5-IF((3*$B$66)&lt;=$B$9,0,((3*$B$66)-$B$9)/$B$8)),IF((3*$B$66)&lt;$B$118,$B$122,$B$120)))),NA())</f>
        <v>#N/A</v>
      </c>
      <c r="GJ44" t="e">
        <f>IF(AND($B$21=1,(3*$B$66)&lt;IF($B$63=1,$B$10-0.2,$B$62)),$B$152+$B$150*((3*$B$66)),NA())</f>
        <v>#N/A</v>
      </c>
      <c r="HI44">
        <f>IF(6&lt;=$B$16-1,$B$157+$B$156*(-$B$46),NA())</f>
        <v>21.451</v>
      </c>
      <c r="HJ44">
        <f>IF(6&lt;=$B$16-1,$B$158+$B$156*($B$5-6*($B$5/2)/MAX(1,$B$16-1)),NA())</f>
        <v>61.5</v>
      </c>
      <c r="HK44" t="e">
        <f>IF(13&lt;=$B$12,$B$157+$B$156*($B$13*13),NA())</f>
        <v>#N/A</v>
      </c>
      <c r="HL44" t="e">
        <f>IF(13&lt;=$B$12,$B$158+$B$156*(0),NA())</f>
        <v>#N/A</v>
      </c>
      <c r="HM44" t="e">
        <f>IF(AND(7&lt;=$B$12,2&lt;=$B$25),$B$157+$B$156*((7-1)*$B$13+2*$B$13/($B$25+1)),NA())</f>
        <v>#N/A</v>
      </c>
      <c r="HN44" t="e">
        <f>IF(AND(7&lt;=$B$12,2&lt;=$B$25),$B$158+$B$156*(0),NA())</f>
        <v>#N/A</v>
      </c>
      <c r="HQ44">
        <f>IF(AND(1&lt;=$B$23,1&lt;=$B$24),$B$157+$B$156*((IF(1=1,1,IF(1=$B$23,$B$12,5*(1-1)))-1)*$B$13),NA())</f>
        <v>22.591</v>
      </c>
      <c r="HR44">
        <f>IF(AND(1&lt;=$B$23,1&lt;=$B$24),$B$158+$B$156*((1*$B$5/2+1*($B$5/2)/$B$24)),NA())</f>
        <v>71</v>
      </c>
      <c r="HS44">
        <f>IF(AND(2&lt;=$B$12,$B$51&gt;0),$B$157+$B$156*(((2-0.5)*$B$13)-($B$51*$B$13)/2),NA())</f>
        <v>54.0767142857143</v>
      </c>
      <c r="HT44">
        <f>IF(AND(2&lt;=$B$12,$B$51&gt;0),$B$158+$B$156*((1*$B$5/2+$B$5/2-0.6*$B$159)),NA())</f>
        <v>89.4</v>
      </c>
      <c r="HU44">
        <f>IF(4&lt;=$B$47,$B$157+$B$156*(((MAX(1,MIN($B$12,ROUND(4*$B$12/($B$47+1),0)))-1)*$B$13+0.25*$B$13)-$B$48/2),NA())</f>
        <v>134.311</v>
      </c>
      <c r="HV44">
        <f>IF(4&lt;=$B$47,$B$158+$B$156*(IF(MOD(4,2)=1,$B$5/4,3*$B$5/4)+$B$49/2),NA())</f>
        <v>73.28</v>
      </c>
      <c r="IK44">
        <f>$B$174+$B$173*($B$169+$B$29/2)</f>
        <v>100.4668</v>
      </c>
      <c r="IL44">
        <f>$B$175+$B$173*($B$166)</f>
        <v>62.8783</v>
      </c>
      <c r="IO44">
        <f>$B$174+$B$173*(0.075+11*($B$170-0.075)/12)</f>
        <v>123.023275</v>
      </c>
      <c r="IP44">
        <f>$B$175+$B$173*(0)</f>
        <v>51.3601</v>
      </c>
      <c r="IU44" t="e">
        <f>NA()</f>
        <v>#N/A</v>
      </c>
      <c r="IV44" t="e">
        <f>NA()</f>
        <v>#N/A</v>
      </c>
      <c r="IW44" t="e">
        <f>IF(AND(0.2+9*$B$43&lt;$B$170,ABS(0.2+9*$B$43-$B$169)&gt;$B$29/2+0.03,$B$44=1),$B$174+$B$173*(0.2+9*$B$43),NA())</f>
        <v>#N/A</v>
      </c>
      <c r="IX44" t="e">
        <f>IF(AND(0.2+9*$B$43&lt;$B$170,ABS(0.2+9*$B$43-$B$169)&gt;$B$29/2+0.03,$B$44=1),$B$175+$B$173*($B$166-$B$42-0.015),NA())</f>
        <v>#N/A</v>
      </c>
      <c r="KI44" t="e">
        <f>IF(AND($B$21=1,4*$B$67&gt;$B$59,4*$B$67&lt;$B$178-$B$59,OR($B$63=0,ABS(4*$B$67-$B$178/2)&gt;$B$59/2)),$B$182+$B$181*($B$177*1/4+$B$60/2),NA())</f>
        <v>#N/A</v>
      </c>
      <c r="KJ44" t="e">
        <f>IF(AND($B$21=1,4*$B$67&gt;$B$59,4*$B$67&lt;$B$178-$B$59,OR($B$63=0,ABS(4*$B$67-$B$178/2)&gt;$B$59/2)),$B$183+$B$181*(4*$B$67),NA())</f>
        <v>#N/A</v>
      </c>
    </row>
    <row r="45">
      <c r="A45" t="inlineStr">
        <is>
          <t>file_int</t>
        </is>
      </c>
      <c r="B45">
        <f>IF('PRÉDIMENSIONNEMENT'!$C$38&gt;0,1,0)</f>
        <v>0</v>
      </c>
      <c r="G45" t="e">
        <f>IF(13&lt;=$B$12,$B$133+$B$132*($B$13*13),NA())</f>
        <v>#N/A</v>
      </c>
      <c r="H45" t="e">
        <f>IF(13&lt;=$B$12,$B$134+$B$132*($B$5+4*$B$135),NA())</f>
        <v>#N/A</v>
      </c>
      <c r="K45">
        <f>IF(2&lt;=$B$12,$B$133+$B$132*($B$13*2-$B$27/2),NA())</f>
        <v>68.4081428571429</v>
      </c>
      <c r="L45">
        <f>IF(2&lt;=$B$12,$B$134+$B$132*(0-$B$27/2),NA())</f>
        <v>13.96</v>
      </c>
      <c r="M45" t="e">
        <f>IF(13&lt;=$B$12,$B$133+$B$132*($B$13*13),NA())</f>
        <v>#N/A</v>
      </c>
      <c r="N45" t="e">
        <f>IF(13&lt;=$B$12,$B$134+$B$132*($B$5),NA())</f>
        <v>#N/A</v>
      </c>
      <c r="EA45" t="e">
        <f>IF(AND($B$18=1,14&lt;=$B$26-1),$B$139+$B$138*(14*($B$5/MAX(1,$B$26))),NA())</f>
        <v>#N/A</v>
      </c>
      <c r="EB45" t="e">
        <f>IF(AND($B$18=1,14&lt;=$B$26-1),$B$140+$B$138*(($B$9+$B$8*MIN(14*($B$5/MAX(1,$B$26)),$B$5-(14*($B$5/MAX(1,$B$26)))))),NA())</f>
        <v>#N/A</v>
      </c>
      <c r="EE45" t="e">
        <f>IF(20&lt;=$B$16-1,$B$139+$B$138*(20*($B$5/2)/MAX(1,$B$16-1)),NA())</f>
        <v>#N/A</v>
      </c>
      <c r="EF45" t="e">
        <f>IF(20&lt;=$B$16-1,$B$140+$B$138*($B$9+$B$8*20*($B$5/2)/MAX(1,$B$16-1)+1.2*$B$141),NA())</f>
        <v>#N/A</v>
      </c>
      <c r="FA45" t="e">
        <f>IF(13&lt;=$B$12,$B$145+$B$144*($B$13*13),NA())</f>
        <v>#N/A</v>
      </c>
      <c r="FB45" t="e">
        <f>IF(13&lt;=$B$12,$B$146+$B$144*($B$9),NA())</f>
        <v>#N/A</v>
      </c>
      <c r="FC45">
        <f>IF(2&lt;$B$22,$B$145+$B$144*(IF(($B$19+2*$B$64)&lt;$B$94,$B$97,$B$96)),NA())</f>
        <v>183.182</v>
      </c>
      <c r="FD45">
        <f>IF(2&lt;$B$22,$B$146+$B$144*(($B$19+2*$B$64)),NA())</f>
        <v>53.44773</v>
      </c>
      <c r="FE45" t="e">
        <f>IF(AND($B$21=1,(3*$B$66)&lt;$B$62),$B$145+$B$144*(IF((3*$B$66)&lt;$B$94,$B$97,$B$96)),NA())</f>
        <v>#N/A</v>
      </c>
      <c r="FF45" t="e">
        <f>IF(AND($B$21=1,(3*$B$66)&lt;$B$62),$B$146+$B$144*((3*$B$66)),NA())</f>
        <v>#N/A</v>
      </c>
      <c r="FI45" t="e">
        <f>IF(7&lt;=$B$23,$B$145+$B$144*((IF(7=1,1,IF(7=$B$23,$B$12,5*(7-1)))-1)*$B$13),NA())</f>
        <v>#N/A</v>
      </c>
      <c r="FJ45" t="e">
        <f>IF(7&lt;=$B$23,$B$146+$B$144*($B$9),NA())</f>
        <v>#N/A</v>
      </c>
      <c r="GE45" t="e">
        <f>IF(12&lt;=$B$14-1,$B$151+$B$150*(12*$B$15),NA())</f>
        <v>#N/A</v>
      </c>
      <c r="GF45" t="e">
        <f>IF(12&lt;=$B$14-1,$B$152+$B$150*($B$9+$B$8*MIN(12*$B$15,$B$5-12*$B$15)),NA())</f>
        <v>#N/A</v>
      </c>
      <c r="GG45">
        <f>IF(AND($B$20=1,($B$19+2*$B$64)&lt;$B$10-0.3),$B$151+$B$150*(MAX(IF(($B$19+2*$B$64)&lt;=$B$9,0,(($B$19+2*$B$64)-$B$9)/$B$8),MIN(($B$5-IF(($B$19+2*$B$64)&lt;=$B$9,0,(($B$19+2*$B$64)-$B$9)/$B$8)),IF(($B$19+2*$B$64)&lt;$B$125,$B$128,$B$127)))),NA())</f>
        <v>173.182</v>
      </c>
      <c r="GH45">
        <f>IF(AND($B$20=1,($B$19+2*$B$64)&lt;$B$10-0.3),$B$152+$B$150*(($B$19+2*$B$64)),NA())</f>
        <v>51.46818</v>
      </c>
      <c r="GI45" t="e">
        <f>IF(AND($B$21=1,(3*$B$66)&lt;IF($B$63=1,$B$10-0.2,$B$62)),$B$151+$B$150*(MAX(IF((3*$B$66)&lt;=$B$9,0,((3*$B$66)-$B$9)/$B$8),MIN(($B$5-IF((3*$B$66)&lt;=$B$9,0,((3*$B$66)-$B$9)/$B$8)),IF((3*$B$66)&lt;$B$125,$B$128,$B$127)))),NA())</f>
        <v>#N/A</v>
      </c>
      <c r="GJ45" t="e">
        <f>IF(AND($B$21=1,(3*$B$66)&lt;IF($B$63=1,$B$10-0.2,$B$62)),$B$152+$B$150*((3*$B$66)),NA())</f>
        <v>#N/A</v>
      </c>
      <c r="HI45">
        <f>IF(6&lt;=$B$16-1,$B$157+$B$156*($B$6+$B$46),NA())</f>
        <v>175.731</v>
      </c>
      <c r="HJ45">
        <f>IF(6&lt;=$B$16-1,$B$158+$B$156*($B$5-6*($B$5/2)/MAX(1,$B$16-1)),NA())</f>
        <v>61.5</v>
      </c>
      <c r="HK45" t="e">
        <f>IF(13&lt;=$B$12,$B$157+$B$156*($B$13*13),NA())</f>
        <v>#N/A</v>
      </c>
      <c r="HL45" t="e">
        <f>IF(13&lt;=$B$12,$B$158+$B$156*($B$5),NA())</f>
        <v>#N/A</v>
      </c>
      <c r="HM45" t="e">
        <f>IF(AND(7&lt;=$B$12,2&lt;=$B$25),$B$157+$B$156*((7-1)*$B$13+2*$B$13/($B$25+1)),NA())</f>
        <v>#N/A</v>
      </c>
      <c r="HN45" t="e">
        <f>IF(AND(7&lt;=$B$12,2&lt;=$B$25),$B$158+$B$156*($B$5),NA())</f>
        <v>#N/A</v>
      </c>
      <c r="HQ45">
        <f>IF(AND(1&lt;=$B$23,1&lt;=$B$24),$B$157+$B$156*(IF(1=1,1,IF(1=$B$23,$B$12,5*(1-1)))*$B$13),NA())</f>
        <v>44.3052857142857</v>
      </c>
      <c r="HR45">
        <f>IF(AND(1&lt;=$B$23,1&lt;=$B$24),$B$158+$B$156*((1*$B$5/2+(1-1)*($B$5/2)/$B$24)),NA())</f>
        <v>52</v>
      </c>
      <c r="HS45">
        <f>IF(AND(2&lt;=$B$12,$B$51&gt;0),$B$157+$B$156*(((2-0.5)*$B$13)-($B$51*$B$13)/2),NA())</f>
        <v>54.0767142857143</v>
      </c>
      <c r="HT45">
        <f>IF(AND(2&lt;=$B$12,$B$51&gt;0),$B$158+$B$156*((1*$B$5/2+0.6*$B$159)),NA())</f>
        <v>52.6</v>
      </c>
      <c r="HU45">
        <f>IF(4&lt;=$B$47,$B$157+$B$156*(((MAX(1,MIN($B$12,ROUND(4*$B$12/($B$47+1),0)))-1)*$B$13+0.25*$B$13)-$B$48/2),NA())</f>
        <v>134.311</v>
      </c>
      <c r="HV45">
        <f>IF(4&lt;=$B$47,$B$158+$B$156*(IF(MOD(4,2)=1,$B$5/4,3*$B$5/4)-$B$49/2),NA())</f>
        <v>68.72</v>
      </c>
      <c r="IK45">
        <f>$B$174+$B$173*($B$170)</f>
        <v>131.182</v>
      </c>
      <c r="IL45">
        <f>$B$175+$B$173*($B$166)</f>
        <v>62.8783</v>
      </c>
      <c r="IO45">
        <f>$B$174+$B$173*(0.075+(11+0.5)*($B$170-0.075)/12)</f>
        <v>127.1026375</v>
      </c>
      <c r="IP45">
        <f>$B$175+$B$173*($B$164)</f>
        <v>56.4793</v>
      </c>
      <c r="IU45" t="e">
        <f>IF($B$167+0.05+8*'PARAMÈTRES'!$C$101&lt;$B$168-$B$41,$B$174+$B$173*($B$169-$B$29/2+$B$41),NA())</f>
        <v>#N/A</v>
      </c>
      <c r="IV45" t="e">
        <f>IF($B$167+0.05+8*'PARAMÈTRES'!$C$101&lt;$B$168-$B$41,$B$175+$B$173*($B$167+0.05+8*'PARAMÈTRES'!$C$101),NA())</f>
        <v>#N/A</v>
      </c>
      <c r="IW45">
        <f>IF(AND(0.2+10*$B$43&lt;$B$170,ABS(0.2+10*$B$43-$B$169)&gt;$B$29/2+0.03),$B$174+$B$173*(0.2+10*$B$43),NA())</f>
        <v>87.6688</v>
      </c>
      <c r="IX45">
        <f>IF(AND(0.2+10*$B$43&lt;$B$170,ABS(0.2+10*$B$43-$B$169)&gt;$B$29/2+0.03),$B$175+$B$173*($B$165+$B$42+0.015),NA())</f>
        <v>58.91092</v>
      </c>
      <c r="KI45" t="e">
        <f>IF(AND($B$21=1,4*$B$67&gt;$B$59,4*$B$67&lt;$B$178-$B$59,OR($B$63=0,ABS(4*$B$67-$B$178/2)&gt;$B$59/2)),$B$182+$B$181*($B$177*2/4-$B$60/2),NA())</f>
        <v>#N/A</v>
      </c>
      <c r="KJ45" t="e">
        <f>IF(AND($B$21=1,4*$B$67&gt;$B$59,4*$B$67&lt;$B$178-$B$59,OR($B$63=0,ABS(4*$B$67-$B$178/2)&gt;$B$59/2)),$B$183+$B$181*(4*$B$67),NA())</f>
        <v>#N/A</v>
      </c>
    </row>
    <row r="46">
      <c r="A46" t="inlineStr">
        <is>
          <t>deb</t>
        </is>
      </c>
      <c r="B46">
        <f>'PARAMÈTRES'!$C$19</f>
        <v>0.3</v>
      </c>
      <c r="G46" t="e">
        <f>NA()</f>
        <v>#N/A</v>
      </c>
      <c r="H46" t="e">
        <f>NA()</f>
        <v>#N/A</v>
      </c>
      <c r="K46" t="e">
        <f>NA()</f>
        <v>#N/A</v>
      </c>
      <c r="L46" t="e">
        <f>NA()</f>
        <v>#N/A</v>
      </c>
      <c r="M46" t="e">
        <f>IF(AND(13&lt;=$B$12,$B$45=1),$B$133+$B$132*($B$13*13),NA())</f>
        <v>#N/A</v>
      </c>
      <c r="N46" t="e">
        <f>IF(AND(13&lt;=$B$12,$B$45=1),$B$134+$B$132*($B$5/2),NA())</f>
        <v>#N/A</v>
      </c>
      <c r="EA46" t="e">
        <f>NA()</f>
        <v>#N/A</v>
      </c>
      <c r="EB46" t="e">
        <f>NA()</f>
        <v>#N/A</v>
      </c>
      <c r="EE46" t="e">
        <f>IF(20&lt;=$B$16-1,$B$139+$B$138*($B$5-20*($B$5/2)/MAX(1,$B$16-1)),NA())</f>
        <v>#N/A</v>
      </c>
      <c r="EF46" t="e">
        <f>IF(20&lt;=$B$16-1,$B$140+$B$138*($B$9+$B$8*20*($B$5/2)/MAX(1,$B$16-1)+1.2*$B$141),NA())</f>
        <v>#N/A</v>
      </c>
      <c r="FA46" t="e">
        <f>NA()</f>
        <v>#N/A</v>
      </c>
      <c r="FB46" t="e">
        <f>NA()</f>
        <v>#N/A</v>
      </c>
      <c r="FC46">
        <f>IF(AND(2&lt;$B$22,($B$19+2*$B$64)&gt;=$B$94),$B$145+$B$144*($B$96),NA())</f>
        <v>183.182</v>
      </c>
      <c r="FD46">
        <f>IF(AND(2&lt;$B$22,($B$19+2*$B$64)&gt;=$B$94),$B$146+$B$144*(($B$19+2*$B$64)),NA())</f>
        <v>53.44773</v>
      </c>
      <c r="FE46" t="e">
        <f>IF(AND(AND($B$21=1,(3*$B$66)&lt;$B$62),(3*$B$66)&gt;=$B$94),$B$145+$B$144*($B$96),NA())</f>
        <v>#N/A</v>
      </c>
      <c r="FF46" t="e">
        <f>IF(AND(AND($B$21=1,(3*$B$66)&lt;$B$62),(3*$B$66)&gt;=$B$94),$B$146+$B$144*((3*$B$66)),NA())</f>
        <v>#N/A</v>
      </c>
      <c r="FI46" t="e">
        <f>NA()</f>
        <v>#N/A</v>
      </c>
      <c r="FJ46" t="e">
        <f>NA()</f>
        <v>#N/A</v>
      </c>
      <c r="GE46" t="e">
        <f>NA()</f>
        <v>#N/A</v>
      </c>
      <c r="GF46" t="e">
        <f>NA()</f>
        <v>#N/A</v>
      </c>
      <c r="GG46">
        <f>IF(AND(AND($B$20=1,($B$19+2*$B$64)&lt;$B$10-0.3),($B$19+2*$B$64)&gt;=$B$125),$B$151+$B$150*(MAX(IF(($B$19+2*$B$64)&lt;=$B$9,0,(($B$19+2*$B$64)-$B$9)/$B$8),MIN(($B$5-IF(($B$19+2*$B$64)&lt;=$B$9,0,(($B$19+2*$B$64)-$B$9)/$B$8)),$B$127))),NA())</f>
        <v>173.182</v>
      </c>
      <c r="GH46">
        <f>IF(AND(AND($B$20=1,($B$19+2*$B$64)&lt;$B$10-0.3),($B$19+2*$B$64)&gt;=$B$125),$B$152+$B$150*(($B$19+2*$B$64)),NA())</f>
        <v>51.46818</v>
      </c>
      <c r="GI46" t="e">
        <f>IF(AND(AND($B$21=1,(3*$B$66)&lt;IF($B$63=1,$B$10-0.2,$B$62)),(3*$B$66)&gt;=$B$125),$B$151+$B$150*(MAX(IF((3*$B$66)&lt;=$B$9,0,((3*$B$66)-$B$9)/$B$8),MIN(($B$5-IF((3*$B$66)&lt;=$B$9,0,((3*$B$66)-$B$9)/$B$8)),$B$127))),NA())</f>
        <v>#N/A</v>
      </c>
      <c r="GJ46" t="e">
        <f>IF(AND(AND($B$21=1,(3*$B$66)&lt;IF($B$63=1,$B$10-0.2,$B$62)),(3*$B$66)&gt;=$B$125),$B$152+$B$150*((3*$B$66)),NA())</f>
        <v>#N/A</v>
      </c>
      <c r="HI46" t="e">
        <f>NA()</f>
        <v>#N/A</v>
      </c>
      <c r="HJ46" t="e">
        <f>NA()</f>
        <v>#N/A</v>
      </c>
      <c r="HK46" t="e">
        <f>NA()</f>
        <v>#N/A</v>
      </c>
      <c r="HL46" t="e">
        <f>NA()</f>
        <v>#N/A</v>
      </c>
      <c r="HM46" t="e">
        <f>NA()</f>
        <v>#N/A</v>
      </c>
      <c r="HN46" t="e">
        <f>NA()</f>
        <v>#N/A</v>
      </c>
      <c r="HQ46" t="e">
        <f>NA()</f>
        <v>#N/A</v>
      </c>
      <c r="HR46" t="e">
        <f>NA()</f>
        <v>#N/A</v>
      </c>
      <c r="HS46" t="e">
        <f>NA()</f>
        <v>#N/A</v>
      </c>
      <c r="HT46" t="e">
        <f>NA()</f>
        <v>#N/A</v>
      </c>
      <c r="HU46" t="e">
        <f>NA()</f>
        <v>#N/A</v>
      </c>
      <c r="HV46" t="e">
        <f>NA()</f>
        <v>#N/A</v>
      </c>
      <c r="IK46" t="e">
        <f>NA()</f>
        <v>#N/A</v>
      </c>
      <c r="IL46" t="e">
        <f>NA()</f>
        <v>#N/A</v>
      </c>
      <c r="IO46" t="e">
        <f>NA()</f>
        <v>#N/A</v>
      </c>
      <c r="IP46" t="e">
        <f>NA()</f>
        <v>#N/A</v>
      </c>
      <c r="IU46" t="e">
        <f>IF($B$167+0.05+8*'PARAMÈTRES'!$C$101&lt;$B$168-$B$41,$B$174+$B$173*($B$169+$B$29/2-$B$41),NA())</f>
        <v>#N/A</v>
      </c>
      <c r="IV46" t="e">
        <f>IF($B$167+0.05+8*'PARAMÈTRES'!$C$101&lt;$B$168-$B$41,$B$175+$B$173*($B$167+0.05+8*'PARAMÈTRES'!$C$101),NA())</f>
        <v>#N/A</v>
      </c>
      <c r="IW46" t="e">
        <f>IF(AND(0.2+10*$B$43&lt;$B$170,ABS(0.2+10*$B$43-$B$169)&gt;$B$29/2+0.03,$B$44=1),$B$174+$B$173*(0.2+10*$B$43),NA())</f>
        <v>#N/A</v>
      </c>
      <c r="IX46" t="e">
        <f>IF(AND(0.2+10*$B$43&lt;$B$170,ABS(0.2+10*$B$43-$B$169)&gt;$B$29/2+0.03,$B$44=1),$B$175+$B$173*($B$166-$B$42-0.015),NA())</f>
        <v>#N/A</v>
      </c>
      <c r="KI46" t="e">
        <f>NA()</f>
        <v>#N/A</v>
      </c>
      <c r="KJ46" t="e">
        <f>NA()</f>
        <v>#N/A</v>
      </c>
    </row>
    <row r="47">
      <c r="A47" t="inlineStr">
        <is>
          <t>nb_sky</t>
        </is>
      </c>
      <c r="B47">
        <f>'PARAMÈTRES'!$C$37</f>
        <v>4</v>
      </c>
      <c r="G47" t="e">
        <f>IF(14&lt;=$B$12,$B$133+$B$132*($B$13*14),NA())</f>
        <v>#N/A</v>
      </c>
      <c r="H47" t="e">
        <f>IF(14&lt;=$B$12,$B$134+$B$132*(-4*$B$135),NA())</f>
        <v>#N/A</v>
      </c>
      <c r="K47">
        <f>IF(2&lt;=$B$12,$B$133+$B$132*($B$13*2-$B$27/2),NA())</f>
        <v>68.4081428571429</v>
      </c>
      <c r="L47">
        <f>IF(2&lt;=$B$12,$B$134+$B$132*($B$5-$B$27/2),NA())</f>
        <v>81.96</v>
      </c>
      <c r="M47" t="e">
        <f>IF(14&lt;=$B$12,$B$133+$B$132*($B$13*14),NA())</f>
        <v>#N/A</v>
      </c>
      <c r="N47" t="e">
        <f>IF(14&lt;=$B$12,$B$134+$B$132*(0),NA())</f>
        <v>#N/A</v>
      </c>
      <c r="EA47" t="e">
        <f>IF(AND($B$18=1,15&lt;=$B$26-1),$B$139+$B$138*(15*($B$5/MAX(1,$B$26))),NA())</f>
        <v>#N/A</v>
      </c>
      <c r="EB47" t="e">
        <f>IF(AND($B$18=1,15&lt;=$B$26-1),$B$140+$B$138*($B$7),NA())</f>
        <v>#N/A</v>
      </c>
      <c r="EE47" t="e">
        <f>IF(21&lt;=$B$16-1,$B$139+$B$138*(21*($B$5/2)/MAX(1,$B$16-1)),NA())</f>
        <v>#N/A</v>
      </c>
      <c r="EF47" t="e">
        <f>IF(21&lt;=$B$16-1,$B$140+$B$138*($B$9+$B$8*21*($B$5/2)/MAX(1,$B$16-1)+1.2*$B$141),NA())</f>
        <v>#N/A</v>
      </c>
      <c r="FA47" t="e">
        <f>IF(14&lt;=$B$12,$B$145+$B$144*($B$13*14),NA())</f>
        <v>#N/A</v>
      </c>
      <c r="FB47" t="e">
        <f>IF(14&lt;=$B$12,$B$146+$B$144*(0),NA())</f>
        <v>#N/A</v>
      </c>
      <c r="FC47">
        <f>IF(2&lt;$B$22,$B$145+$B$144*(IF(($B$19+2*$B$64)&lt;$B$94,$B$98,$B$96)),NA())</f>
        <v>183.182</v>
      </c>
      <c r="FD47">
        <f>IF(2&lt;$B$22,$B$146+$B$144*(($B$19+2*$B$64)),NA())</f>
        <v>53.44773</v>
      </c>
      <c r="FE47" t="e">
        <f>IF(AND($B$21=1,(3*$B$66)&lt;$B$62),$B$145+$B$144*(IF((3*$B$66)&lt;$B$94,$B$98,$B$96)),NA())</f>
        <v>#N/A</v>
      </c>
      <c r="FF47" t="e">
        <f>IF(AND($B$21=1,(3*$B$66)&lt;$B$62),$B$146+$B$144*((3*$B$66)),NA())</f>
        <v>#N/A</v>
      </c>
      <c r="FI47" t="e">
        <f>IF(8&lt;=$B$23,$B$145+$B$144*((IF(8=1,1,IF(8=$B$23,$B$12,5*(8-1)))-1)*$B$13),NA())</f>
        <v>#N/A</v>
      </c>
      <c r="FJ47" t="e">
        <f>IF(8&lt;=$B$23,$B$146+$B$144*(0),NA())</f>
        <v>#N/A</v>
      </c>
      <c r="GG47">
        <f>IF(AND($B$20=1,($B$19+2*$B$64)&lt;$B$10-0.3),$B$151+$B$150*(MAX(IF(($B$19+2*$B$64)&lt;=$B$9,0,(($B$19+2*$B$64)-$B$9)/$B$8),MIN(($B$5-IF(($B$19+2*$B$64)&lt;=$B$9,0,(($B$19+2*$B$64)-$B$9)/$B$8)),IF(($B$19+2*$B$64)&lt;$B$125,$B$129,$B$127)))),NA())</f>
        <v>173.182</v>
      </c>
      <c r="GH47">
        <f>IF(AND($B$20=1,($B$19+2*$B$64)&lt;$B$10-0.3),$B$152+$B$150*(($B$19+2*$B$64)),NA())</f>
        <v>51.46818</v>
      </c>
      <c r="GI47" t="e">
        <f>IF(AND($B$21=1,(3*$B$66)&lt;IF($B$63=1,$B$10-0.2,$B$62)),$B$151+$B$150*(MAX(IF((3*$B$66)&lt;=$B$9,0,((3*$B$66)-$B$9)/$B$8),MIN(($B$5-IF((3*$B$66)&lt;=$B$9,0,((3*$B$66)-$B$9)/$B$8)),IF((3*$B$66)&lt;$B$125,$B$129,$B$127)))),NA())</f>
        <v>#N/A</v>
      </c>
      <c r="GJ47" t="e">
        <f>IF(AND($B$21=1,(3*$B$66)&lt;IF($B$63=1,$B$10-0.2,$B$62)),$B$152+$B$150*((3*$B$66)),NA())</f>
        <v>#N/A</v>
      </c>
      <c r="HI47">
        <f>IF(7&lt;=$B$16-1,$B$157+$B$156*(-$B$46),NA())</f>
        <v>21.451</v>
      </c>
      <c r="HJ47">
        <f>IF(7&lt;=$B$16-1,$B$158+$B$156*(7*($B$5/2)/MAX(1,$B$16-1)),NA())</f>
        <v>47.25</v>
      </c>
      <c r="HK47" t="e">
        <f>IF(14&lt;=$B$12,$B$157+$B$156*($B$13*14),NA())</f>
        <v>#N/A</v>
      </c>
      <c r="HL47" t="e">
        <f>IF(14&lt;=$B$12,$B$158+$B$156*(0),NA())</f>
        <v>#N/A</v>
      </c>
      <c r="HM47" t="e">
        <f>IF(AND(8&lt;=$B$12,1&lt;=$B$25),$B$157+$B$156*((8-1)*$B$13+1*$B$13/($B$25+1)),NA())</f>
        <v>#N/A</v>
      </c>
      <c r="HN47" t="e">
        <f>IF(AND(8&lt;=$B$12,1&lt;=$B$25),$B$158+$B$156*(0),NA())</f>
        <v>#N/A</v>
      </c>
      <c r="HQ47">
        <f>IF(AND(1&lt;=$B$23,2&lt;=$B$24),$B$157+$B$156*((IF(1=1,1,IF(1=$B$23,$B$12,5*(1-1)))-1)*$B$13),NA())</f>
        <v>22.591</v>
      </c>
      <c r="HR47">
        <f>IF(AND(1&lt;=$B$23,2&lt;=$B$24),$B$158+$B$156*((1*$B$5/2+(2-1)*($B$5/2)/$B$24)),NA())</f>
        <v>71</v>
      </c>
      <c r="HS47">
        <f>IF(AND(2&lt;=$B$12,$B$51&gt;0),$B$157+$B$156*(((2-0.5)*$B$13)-($B$51*$B$13)/2),NA())</f>
        <v>54.0767142857143</v>
      </c>
      <c r="HT47">
        <f>IF(AND(2&lt;=$B$12,$B$51&gt;0),$B$158+$B$156*((1*$B$5/2+0.6*$B$159)),NA())</f>
        <v>52.6</v>
      </c>
      <c r="HU47">
        <f>IF(4&lt;=$B$47,$B$157+$B$156*(((MAX(1,MIN($B$12,ROUND(4*$B$12/($B$47+1),0)))-1)*$B$13+0.25*$B$13)-$B$48/2-0.2),NA())</f>
        <v>133.551</v>
      </c>
      <c r="HV47">
        <f>IF(4&lt;=$B$47,$B$158+$B$156*(IF(MOD(4,2)=1,$B$5/4,3*$B$5/4)-$B$49/2-0.2),NA())</f>
        <v>67.96</v>
      </c>
      <c r="IK47">
        <f>$B$174+$B$173*(0.075)</f>
        <v>33.2773</v>
      </c>
      <c r="IL47">
        <f>$B$175+$B$173*($B$165)</f>
        <v>57.7591</v>
      </c>
      <c r="IU47" t="e">
        <f>NA()</f>
        <v>#N/A</v>
      </c>
      <c r="IV47" t="e">
        <f>NA()</f>
        <v>#N/A</v>
      </c>
      <c r="IW47" t="e">
        <f>IF(AND(0.2+11*$B$43&lt;$B$170,ABS(0.2+11*$B$43-$B$169)&gt;$B$29/2+0.03),$B$174+$B$173*(0.2+11*$B$43),NA())</f>
        <v>#N/A</v>
      </c>
      <c r="IX47" t="e">
        <f>IF(AND(0.2+11*$B$43&lt;$B$170,ABS(0.2+11*$B$43-$B$169)&gt;$B$29/2+0.03),$B$175+$B$173*($B$165+$B$42+0.015),NA())</f>
        <v>#N/A</v>
      </c>
      <c r="KI47" t="e">
        <f>IF(AND($B$21=1,4*$B$67&gt;$B$59,4*$B$67&lt;$B$178-$B$59,OR($B$63=0,ABS(4*$B$67-$B$178/2)&gt;$B$59/2)),$B$182+$B$181*($B$177*2/4+$B$60/2),NA())</f>
        <v>#N/A</v>
      </c>
      <c r="KJ47" t="e">
        <f>IF(AND($B$21=1,4*$B$67&gt;$B$59,4*$B$67&lt;$B$178-$B$59,OR($B$63=0,ABS(4*$B$67-$B$178/2)&gt;$B$59/2)),$B$183+$B$181*(4*$B$67),NA())</f>
        <v>#N/A</v>
      </c>
    </row>
    <row r="48">
      <c r="A48" t="inlineStr">
        <is>
          <t>a_sky</t>
        </is>
      </c>
      <c r="B48">
        <f>'PARAMÈTRES'!$C$38</f>
        <v>1.2</v>
      </c>
      <c r="G48" t="e">
        <f>IF(14&lt;=$B$12,$B$133+$B$132*($B$13*14),NA())</f>
        <v>#N/A</v>
      </c>
      <c r="H48" t="e">
        <f>IF(14&lt;=$B$12,$B$134+$B$132*($B$5+4*$B$135),NA())</f>
        <v>#N/A</v>
      </c>
      <c r="K48">
        <f>IF(2&lt;=$B$12,$B$133+$B$132*($B$13*2+$B$27/2),NA())</f>
        <v>72.4881428571429</v>
      </c>
      <c r="L48">
        <f>IF(2&lt;=$B$12,$B$134+$B$132*($B$5-$B$27/2),NA())</f>
        <v>81.96</v>
      </c>
      <c r="M48" t="e">
        <f>IF(14&lt;=$B$12,$B$133+$B$132*($B$13*14),NA())</f>
        <v>#N/A</v>
      </c>
      <c r="N48" t="e">
        <f>IF(14&lt;=$B$12,$B$134+$B$132*($B$5),NA())</f>
        <v>#N/A</v>
      </c>
      <c r="EA48" t="e">
        <f>IF(AND($B$18=1,15&lt;=$B$26-1),$B$139+$B$138*(15*($B$5/MAX(1,$B$26))),NA())</f>
        <v>#N/A</v>
      </c>
      <c r="EB48" t="e">
        <f>IF(AND($B$18=1,15&lt;=$B$26-1),$B$140+$B$138*(($B$9+$B$8*MIN(15*($B$5/MAX(1,$B$26)),$B$5-(15*($B$5/MAX(1,$B$26)))))),NA())</f>
        <v>#N/A</v>
      </c>
      <c r="EE48" t="e">
        <f>IF(21&lt;=$B$16-1,$B$139+$B$138*($B$5-21*($B$5/2)/MAX(1,$B$16-1)),NA())</f>
        <v>#N/A</v>
      </c>
      <c r="EF48" t="e">
        <f>IF(21&lt;=$B$16-1,$B$140+$B$138*($B$9+$B$8*21*($B$5/2)/MAX(1,$B$16-1)+1.2*$B$141),NA())</f>
        <v>#N/A</v>
      </c>
      <c r="FA48" t="e">
        <f>IF(14&lt;=$B$12,$B$145+$B$144*($B$13*14),NA())</f>
        <v>#N/A</v>
      </c>
      <c r="FB48" t="e">
        <f>IF(14&lt;=$B$12,$B$146+$B$144*($B$9),NA())</f>
        <v>#N/A</v>
      </c>
      <c r="FC48">
        <f>IF(2&lt;$B$22,$B$145+$B$144*($B$6),NA())</f>
        <v>183.182</v>
      </c>
      <c r="FD48">
        <f>IF(2&lt;$B$22,$B$146+$B$144*(($B$19+2*$B$64)),NA())</f>
        <v>53.44773</v>
      </c>
      <c r="FE48" t="e">
        <f>IF(AND($B$21=1,(3*$B$66)&lt;$B$62),$B$145+$B$144*($B$6),NA())</f>
        <v>#N/A</v>
      </c>
      <c r="FF48" t="e">
        <f>IF(AND($B$21=1,(3*$B$66)&lt;$B$62),$B$146+$B$144*((3*$B$66)),NA())</f>
        <v>#N/A</v>
      </c>
      <c r="FI48" t="e">
        <f>IF(8&lt;=$B$23,$B$145+$B$144*(IF(8=1,1,IF(8=$B$23,$B$12,5*(8-1)))*$B$13),NA())</f>
        <v>#N/A</v>
      </c>
      <c r="FJ48" t="e">
        <f>IF(8&lt;=$B$23,$B$146+$B$144*($B$9),NA())</f>
        <v>#N/A</v>
      </c>
      <c r="GG48">
        <f>IF(AND($B$20=1,($B$19+2*$B$64)&lt;$B$10-0.3),$B$151+$B$150*(($B$5-IF(($B$19+2*$B$64)&lt;=$B$9,0,(($B$19+2*$B$64)-$B$9)/$B$8))),NA())</f>
        <v>173.182</v>
      </c>
      <c r="GH48">
        <f>IF(AND($B$20=1,($B$19+2*$B$64)&lt;$B$10-0.3),$B$152+$B$150*(($B$19+2*$B$64)),NA())</f>
        <v>51.46818</v>
      </c>
      <c r="GI48" t="e">
        <f>IF(AND($B$21=1,(3*$B$66)&lt;IF($B$63=1,$B$10-0.2,$B$62)),$B$151+$B$150*(($B$5-IF((3*$B$66)&lt;=$B$9,0,((3*$B$66)-$B$9)/$B$8))),NA())</f>
        <v>#N/A</v>
      </c>
      <c r="GJ48" t="e">
        <f>IF(AND($B$21=1,(3*$B$66)&lt;IF($B$63=1,$B$10-0.2,$B$62)),$B$152+$B$150*((3*$B$66)),NA())</f>
        <v>#N/A</v>
      </c>
      <c r="HI48">
        <f>IF(7&lt;=$B$16-1,$B$157+$B$156*($B$6+$B$46),NA())</f>
        <v>175.731</v>
      </c>
      <c r="HJ48">
        <f>IF(7&lt;=$B$16-1,$B$158+$B$156*(7*($B$5/2)/MAX(1,$B$16-1)),NA())</f>
        <v>47.25</v>
      </c>
      <c r="HK48" t="e">
        <f>IF(14&lt;=$B$12,$B$157+$B$156*($B$13*14),NA())</f>
        <v>#N/A</v>
      </c>
      <c r="HL48" t="e">
        <f>IF(14&lt;=$B$12,$B$158+$B$156*($B$5),NA())</f>
        <v>#N/A</v>
      </c>
      <c r="HM48" t="e">
        <f>IF(AND(8&lt;=$B$12,1&lt;=$B$25),$B$157+$B$156*((8-1)*$B$13+1*$B$13/($B$25+1)),NA())</f>
        <v>#N/A</v>
      </c>
      <c r="HN48" t="e">
        <f>IF(AND(8&lt;=$B$12,1&lt;=$B$25),$B$158+$B$156*($B$5),NA())</f>
        <v>#N/A</v>
      </c>
      <c r="HQ48">
        <f>IF(AND(1&lt;=$B$23,2&lt;=$B$24),$B$157+$B$156*(IF(1=1,1,IF(1=$B$23,$B$12,5*(1-1)))*$B$13),NA())</f>
        <v>44.3052857142857</v>
      </c>
      <c r="HR48">
        <f>IF(AND(1&lt;=$B$23,2&lt;=$B$24),$B$158+$B$156*((1*$B$5/2+2*($B$5/2)/$B$24)),NA())</f>
        <v>90</v>
      </c>
      <c r="HS48">
        <f>IF(AND(2&lt;=$B$12,$B$51&gt;0),$B$157+$B$156*(((2-0.5)*$B$13)+($B$51*$B$13)/2),NA())</f>
        <v>56.2481428571429</v>
      </c>
      <c r="HT48">
        <f>IF(AND(2&lt;=$B$12,$B$51&gt;0),$B$158+$B$156*((1*$B$5/2+0.6*$B$159)+(((1*$B$5/2+$B$5/2-0.6*$B$159))-((1*$B$5/2+0.6*$B$159)))/4),NA())</f>
        <v>61.8</v>
      </c>
      <c r="HU48">
        <f>IF(4&lt;=$B$47,$B$157+$B$156*(((MAX(1,MIN($B$12,ROUND(4*$B$12/($B$47+1),0)))-1)*$B$13+0.25*$B$13)+$B$48/2+0.2),NA())</f>
        <v>139.631</v>
      </c>
      <c r="HV48">
        <f>IF(4&lt;=$B$47,$B$158+$B$156*(IF(MOD(4,2)=1,$B$5/4,3*$B$5/4)-$B$49/2-0.2),NA())</f>
        <v>67.96</v>
      </c>
      <c r="IK48">
        <f>$B$174+$B$173*(0.075)</f>
        <v>33.2773</v>
      </c>
      <c r="IL48">
        <f>$B$175+$B$173*($B$166)</f>
        <v>62.8783</v>
      </c>
      <c r="IU48" t="e">
        <f>IF($B$167+0.05+9*'PARAMÈTRES'!$C$101&lt;$B$168-$B$41,$B$174+$B$173*($B$169-$B$29/2+$B$41),NA())</f>
        <v>#N/A</v>
      </c>
      <c r="IV48" t="e">
        <f>IF($B$167+0.05+9*'PARAMÈTRES'!$C$101&lt;$B$168-$B$41,$B$175+$B$173*($B$167+0.05+9*'PARAMÈTRES'!$C$101),NA())</f>
        <v>#N/A</v>
      </c>
      <c r="IW48" t="e">
        <f>IF(AND(0.2+11*$B$43&lt;$B$170,ABS(0.2+11*$B$43-$B$169)&gt;$B$29/2+0.03,$B$44=1),$B$174+$B$173*(0.2+11*$B$43),NA())</f>
        <v>#N/A</v>
      </c>
      <c r="IX48" t="e">
        <f>IF(AND(0.2+11*$B$43&lt;$B$170,ABS(0.2+11*$B$43-$B$169)&gt;$B$29/2+0.03,$B$44=1),$B$175+$B$173*($B$166-$B$42-0.015),NA())</f>
        <v>#N/A</v>
      </c>
      <c r="KI48" t="e">
        <f>IF(AND($B$21=1,4*$B$67&gt;$B$59,4*$B$67&lt;$B$178-$B$59,OR($B$63=0,ABS(4*$B$67-$B$178/2)&gt;$B$59/2)),$B$182+$B$181*($B$177*3/4-$B$60/2),NA())</f>
        <v>#N/A</v>
      </c>
      <c r="KJ48" t="e">
        <f>IF(AND($B$21=1,4*$B$67&gt;$B$59,4*$B$67&lt;$B$178-$B$59,OR($B$63=0,ABS(4*$B$67-$B$178/2)&gt;$B$59/2)),$B$183+$B$181*(4*$B$67),NA())</f>
        <v>#N/A</v>
      </c>
    </row>
    <row r="49">
      <c r="A49" t="inlineStr">
        <is>
          <t>b_sky</t>
        </is>
      </c>
      <c r="B49">
        <f>'PARAMÈTRES'!$C$39</f>
        <v>1.2</v>
      </c>
      <c r="G49" t="e">
        <f>NA()</f>
        <v>#N/A</v>
      </c>
      <c r="H49" t="e">
        <f>NA()</f>
        <v>#N/A</v>
      </c>
      <c r="K49">
        <f>IF(2&lt;=$B$12,$B$133+$B$132*($B$13*2+$B$27/2),NA())</f>
        <v>72.4881428571429</v>
      </c>
      <c r="L49">
        <f>IF(2&lt;=$B$12,$B$134+$B$132*($B$5+$B$27/2),NA())</f>
        <v>86.04</v>
      </c>
      <c r="M49" t="e">
        <f>IF(AND(14&lt;=$B$12,$B$45=1),$B$133+$B$132*($B$13*14),NA())</f>
        <v>#N/A</v>
      </c>
      <c r="N49" t="e">
        <f>IF(AND(14&lt;=$B$12,$B$45=1),$B$134+$B$132*($B$5/2),NA())</f>
        <v>#N/A</v>
      </c>
      <c r="EA49" t="e">
        <f>NA()</f>
        <v>#N/A</v>
      </c>
      <c r="EB49" t="e">
        <f>NA()</f>
        <v>#N/A</v>
      </c>
      <c r="EE49" t="e">
        <f>IF(22&lt;=$B$16-1,$B$139+$B$138*(22*($B$5/2)/MAX(1,$B$16-1)),NA())</f>
        <v>#N/A</v>
      </c>
      <c r="EF49" t="e">
        <f>IF(22&lt;=$B$16-1,$B$140+$B$138*($B$9+$B$8*22*($B$5/2)/MAX(1,$B$16-1)+1.2*$B$141),NA())</f>
        <v>#N/A</v>
      </c>
      <c r="FA49" t="e">
        <f>NA()</f>
        <v>#N/A</v>
      </c>
      <c r="FB49" t="e">
        <f>NA()</f>
        <v>#N/A</v>
      </c>
      <c r="FC49" t="e">
        <f>NA()</f>
        <v>#N/A</v>
      </c>
      <c r="FD49" t="e">
        <f>NA()</f>
        <v>#N/A</v>
      </c>
      <c r="FE49" t="e">
        <f>NA()</f>
        <v>#N/A</v>
      </c>
      <c r="FF49" t="e">
        <f>NA()</f>
        <v>#N/A</v>
      </c>
      <c r="FI49" t="e">
        <f>NA()</f>
        <v>#N/A</v>
      </c>
      <c r="FJ49" t="e">
        <f>NA()</f>
        <v>#N/A</v>
      </c>
      <c r="GG49" t="e">
        <f>NA()</f>
        <v>#N/A</v>
      </c>
      <c r="GH49" t="e">
        <f>NA()</f>
        <v>#N/A</v>
      </c>
      <c r="GI49" t="e">
        <f>NA()</f>
        <v>#N/A</v>
      </c>
      <c r="GJ49" t="e">
        <f>NA()</f>
        <v>#N/A</v>
      </c>
      <c r="HI49" t="e">
        <f>NA()</f>
        <v>#N/A</v>
      </c>
      <c r="HJ49" t="e">
        <f>NA()</f>
        <v>#N/A</v>
      </c>
      <c r="HK49" t="e">
        <f>NA()</f>
        <v>#N/A</v>
      </c>
      <c r="HL49" t="e">
        <f>NA()</f>
        <v>#N/A</v>
      </c>
      <c r="HM49" t="e">
        <f>NA()</f>
        <v>#N/A</v>
      </c>
      <c r="HN49" t="e">
        <f>NA()</f>
        <v>#N/A</v>
      </c>
      <c r="HQ49" t="e">
        <f>NA()</f>
        <v>#N/A</v>
      </c>
      <c r="HR49" t="e">
        <f>NA()</f>
        <v>#N/A</v>
      </c>
      <c r="HS49">
        <f>IF(AND(2&lt;=$B$12,$B$51&gt;0),$B$157+$B$156*(((2-0.5)*$B$13)-($B$51*$B$13)/2),NA())</f>
        <v>54.0767142857143</v>
      </c>
      <c r="HT49">
        <f>IF(AND(2&lt;=$B$12,$B$51&gt;0),$B$158+$B$156*((1*$B$5/2+0.6*$B$159)+(((1*$B$5/2+$B$5/2-0.6*$B$159))-((1*$B$5/2+0.6*$B$159)))/2),NA())</f>
        <v>71</v>
      </c>
      <c r="HU49">
        <f>IF(4&lt;=$B$47,$B$157+$B$156*(((MAX(1,MIN($B$12,ROUND(4*$B$12/($B$47+1),0)))-1)*$B$13+0.25*$B$13)+$B$48/2+0.2),NA())</f>
        <v>139.631</v>
      </c>
      <c r="HV49">
        <f>IF(4&lt;=$B$47,$B$158+$B$156*(IF(MOD(4,2)=1,$B$5/4,3*$B$5/4)+$B$49/2+0.2),NA())</f>
        <v>74.04</v>
      </c>
      <c r="IK49" t="e">
        <f>NA()</f>
        <v>#N/A</v>
      </c>
      <c r="IL49" t="e">
        <f>NA()</f>
        <v>#N/A</v>
      </c>
      <c r="IU49" t="e">
        <f>IF($B$167+0.05+9*'PARAMÈTRES'!$C$101&lt;$B$168-$B$41,$B$174+$B$173*($B$169+$B$29/2-$B$41),NA())</f>
        <v>#N/A</v>
      </c>
      <c r="IV49" t="e">
        <f>IF($B$167+0.05+9*'PARAMÈTRES'!$C$101&lt;$B$168-$B$41,$B$175+$B$173*($B$167+0.05+9*'PARAMÈTRES'!$C$101),NA())</f>
        <v>#N/A</v>
      </c>
      <c r="IW49" t="e">
        <f>IF(AND(0.2+12*$B$43&lt;$B$170,ABS(0.2+12*$B$43-$B$169)&gt;$B$29/2+0.03),$B$174+$B$173*(0.2+12*$B$43),NA())</f>
        <v>#N/A</v>
      </c>
      <c r="IX49" t="e">
        <f>IF(AND(0.2+12*$B$43&lt;$B$170,ABS(0.2+12*$B$43-$B$169)&gt;$B$29/2+0.03),$B$175+$B$173*($B$165+$B$42+0.015),NA())</f>
        <v>#N/A</v>
      </c>
      <c r="KI49" t="e">
        <f>NA()</f>
        <v>#N/A</v>
      </c>
      <c r="KJ49" t="e">
        <f>NA()</f>
        <v>#N/A</v>
      </c>
    </row>
    <row r="50">
      <c r="A50" t="inlineStr">
        <is>
          <t>nb_desc</t>
        </is>
      </c>
      <c r="B50">
        <f>'PRÉDIMENSIONNEMENT'!$C$64</f>
        <v>6</v>
      </c>
      <c r="G50" t="e">
        <f>IF(15&lt;=$B$12,$B$133+$B$132*($B$13*15),NA())</f>
        <v>#N/A</v>
      </c>
      <c r="H50" t="e">
        <f>IF(15&lt;=$B$12,$B$134+$B$132*(-4*$B$135),NA())</f>
        <v>#N/A</v>
      </c>
      <c r="K50">
        <f>IF(2&lt;=$B$12,$B$133+$B$132*($B$13*2-$B$27/2),NA())</f>
        <v>68.4081428571429</v>
      </c>
      <c r="L50">
        <f>IF(2&lt;=$B$12,$B$134+$B$132*($B$5+$B$27/2),NA())</f>
        <v>86.04</v>
      </c>
      <c r="M50" t="e">
        <f>IF(15&lt;=$B$12,$B$133+$B$132*($B$13*15),NA())</f>
        <v>#N/A</v>
      </c>
      <c r="N50" t="e">
        <f>IF(15&lt;=$B$12,$B$134+$B$132*(0),NA())</f>
        <v>#N/A</v>
      </c>
      <c r="EA50" t="e">
        <f>IF(AND($B$18=1,16&lt;=$B$26-1),$B$139+$B$138*(16*($B$5/MAX(1,$B$26))),NA())</f>
        <v>#N/A</v>
      </c>
      <c r="EB50" t="e">
        <f>IF(AND($B$18=1,16&lt;=$B$26-1),$B$140+$B$138*($B$7),NA())</f>
        <v>#N/A</v>
      </c>
      <c r="EE50" t="e">
        <f>IF(22&lt;=$B$16-1,$B$139+$B$138*($B$5-22*($B$5/2)/MAX(1,$B$16-1)),NA())</f>
        <v>#N/A</v>
      </c>
      <c r="EF50" t="e">
        <f>IF(22&lt;=$B$16-1,$B$140+$B$138*($B$9+$B$8*22*($B$5/2)/MAX(1,$B$16-1)+1.2*$B$141),NA())</f>
        <v>#N/A</v>
      </c>
      <c r="FA50" t="e">
        <f>IF(15&lt;=$B$12,$B$145+$B$144*($B$13*15),NA())</f>
        <v>#N/A</v>
      </c>
      <c r="FB50" t="e">
        <f>IF(15&lt;=$B$12,$B$146+$B$144*(0),NA())</f>
        <v>#N/A</v>
      </c>
      <c r="FC50">
        <f>IF(3&lt;$B$22,$B$145+$B$144*(0),NA())</f>
        <v>20</v>
      </c>
      <c r="FD50">
        <f>IF(3&lt;$B$22,$B$146+$B$144*(($B$19+3*$B$64)),NA())</f>
        <v>60.79092</v>
      </c>
      <c r="FE50" t="e">
        <f>IF(AND($B$21=1,(4*$B$66)&lt;$B$62),$B$145+$B$144*(0),NA())</f>
        <v>#N/A</v>
      </c>
      <c r="FF50" t="e">
        <f>IF(AND($B$21=1,(4*$B$66)&lt;$B$62),$B$146+$B$144*((4*$B$66)),NA())</f>
        <v>#N/A</v>
      </c>
      <c r="FI50" t="e">
        <f>IF(8&lt;=$B$23,$B$145+$B$144*(IF(8=1,1,IF(8=$B$23,$B$12,5*(8-1)))*$B$13),NA())</f>
        <v>#N/A</v>
      </c>
      <c r="FJ50" t="e">
        <f>IF(8&lt;=$B$23,$B$146+$B$144*(0),NA())</f>
        <v>#N/A</v>
      </c>
      <c r="GG50">
        <f>IF(AND($B$20=1,($B$19+3*$B$64)&lt;$B$10-0.3),$B$151+$B$150*(IF(($B$19+3*$B$64)&lt;=$B$9,0,(($B$19+3*$B$64)-$B$9)/$B$8)),NA())</f>
        <v>20</v>
      </c>
      <c r="GH50">
        <f>IF(AND($B$20=1,($B$19+3*$B$64)&lt;$B$10-0.3),$B$152+$B$150*(($B$19+3*$B$64)),NA())</f>
        <v>65.25456</v>
      </c>
      <c r="GI50" t="e">
        <f>IF(AND($B$21=1,(4*$B$66)&lt;IF($B$63=1,$B$10-0.2,$B$62)),$B$151+$B$150*(IF((4*$B$66)&lt;=$B$9,0,((4*$B$66)-$B$9)/$B$8)),NA())</f>
        <v>#N/A</v>
      </c>
      <c r="GJ50" t="e">
        <f>IF(AND($B$21=1,(4*$B$66)&lt;IF($B$63=1,$B$10-0.2,$B$62)),$B$152+$B$150*((4*$B$66)),NA())</f>
        <v>#N/A</v>
      </c>
      <c r="HI50">
        <f>IF(7&lt;=$B$16-1,$B$157+$B$156*(-$B$46),NA())</f>
        <v>21.451</v>
      </c>
      <c r="HJ50">
        <f>IF(7&lt;=$B$16-1,$B$158+$B$156*($B$5-7*($B$5/2)/MAX(1,$B$16-1)),NA())</f>
        <v>56.75</v>
      </c>
      <c r="HK50" t="e">
        <f>IF(15&lt;=$B$12,$B$157+$B$156*($B$13*15),NA())</f>
        <v>#N/A</v>
      </c>
      <c r="HL50" t="e">
        <f>IF(15&lt;=$B$12,$B$158+$B$156*(0),NA())</f>
        <v>#N/A</v>
      </c>
      <c r="HM50" t="e">
        <f>IF(AND(8&lt;=$B$12,2&lt;=$B$25),$B$157+$B$156*((8-1)*$B$13+2*$B$13/($B$25+1)),NA())</f>
        <v>#N/A</v>
      </c>
      <c r="HN50" t="e">
        <f>IF(AND(8&lt;=$B$12,2&lt;=$B$25),$B$158+$B$156*(0),NA())</f>
        <v>#N/A</v>
      </c>
      <c r="HQ50">
        <f>IF(AND(1&lt;=$B$23,2&lt;=$B$24),$B$157+$B$156*((IF(1=1,1,IF(1=$B$23,$B$12,5*(1-1)))-1)*$B$13),NA())</f>
        <v>22.591</v>
      </c>
      <c r="HR50">
        <f>IF(AND(1&lt;=$B$23,2&lt;=$B$24),$B$158+$B$156*((1*$B$5/2+2*($B$5/2)/$B$24)),NA())</f>
        <v>90</v>
      </c>
      <c r="HS50">
        <f>IF(AND(2&lt;=$B$12,$B$51&gt;0),$B$157+$B$156*(((2-0.5)*$B$13)+($B$51*$B$13)/2),NA())</f>
        <v>56.2481428571429</v>
      </c>
      <c r="HT50">
        <f>IF(AND(2&lt;=$B$12,$B$51&gt;0),$B$158+$B$156*((1*$B$5/2+0.6*$B$159)+3*(((1*$B$5/2+$B$5/2-0.6*$B$159))-((1*$B$5/2+0.6*$B$159)))/4),NA())</f>
        <v>80.2</v>
      </c>
      <c r="HU50">
        <f>IF(4&lt;=$B$47,$B$157+$B$156*(((MAX(1,MIN($B$12,ROUND(4*$B$12/($B$47+1),0)))-1)*$B$13+0.25*$B$13)-$B$48/2-0.2),NA())</f>
        <v>133.551</v>
      </c>
      <c r="HV50">
        <f>IF(4&lt;=$B$47,$B$158+$B$156*(IF(MOD(4,2)=1,$B$5/4,3*$B$5/4)+$B$49/2+0.2),NA())</f>
        <v>74.04</v>
      </c>
      <c r="IU50" t="e">
        <f>NA()</f>
        <v>#N/A</v>
      </c>
      <c r="IV50" t="e">
        <f>NA()</f>
        <v>#N/A</v>
      </c>
      <c r="IW50" t="e">
        <f>IF(AND(0.2+12*$B$43&lt;$B$170,ABS(0.2+12*$B$43-$B$169)&gt;$B$29/2+0.03,$B$44=1),$B$174+$B$173*(0.2+12*$B$43),NA())</f>
        <v>#N/A</v>
      </c>
      <c r="IX50" t="e">
        <f>IF(AND(0.2+12*$B$43&lt;$B$170,ABS(0.2+12*$B$43-$B$169)&gt;$B$29/2+0.03,$B$44=1),$B$175+$B$173*($B$166-$B$42-0.015),NA())</f>
        <v>#N/A</v>
      </c>
      <c r="KI50" t="e">
        <f>IF(AND($B$21=1,4*$B$67&gt;$B$59,4*$B$67&lt;$B$178-$B$59,OR($B$63=0,ABS(4*$B$67-$B$178/2)&gt;$B$59/2)),$B$182+$B$181*($B$177*3/4+$B$60/2),NA())</f>
        <v>#N/A</v>
      </c>
      <c r="KJ50" t="e">
        <f>IF(AND($B$21=1,4*$B$67&gt;$B$59,4*$B$67&lt;$B$178-$B$59,OR($B$63=0,ABS(4*$B$67-$B$178/2)&gt;$B$59/2)),$B$183+$B$181*(4*$B$67),NA())</f>
        <v>#N/A</v>
      </c>
    </row>
    <row r="51">
      <c r="A51" t="inlineStr">
        <is>
          <t>pct</t>
        </is>
      </c>
      <c r="B51">
        <f>'PARAMÈTRES'!$C$45</f>
        <v>0.1</v>
      </c>
      <c r="G51" t="e">
        <f>IF(15&lt;=$B$12,$B$133+$B$132*($B$13*15),NA())</f>
        <v>#N/A</v>
      </c>
      <c r="H51" t="e">
        <f>IF(15&lt;=$B$12,$B$134+$B$132*($B$5+4*$B$135),NA())</f>
        <v>#N/A</v>
      </c>
      <c r="K51">
        <f>IF(2&lt;=$B$12,$B$133+$B$132*($B$13*2-$B$27/2),NA())</f>
        <v>68.4081428571429</v>
      </c>
      <c r="L51">
        <f>IF(2&lt;=$B$12,$B$134+$B$132*($B$5-$B$27/2),NA())</f>
        <v>81.96</v>
      </c>
      <c r="M51" t="e">
        <f>IF(15&lt;=$B$12,$B$133+$B$132*($B$13*15),NA())</f>
        <v>#N/A</v>
      </c>
      <c r="N51" t="e">
        <f>IF(15&lt;=$B$12,$B$134+$B$132*($B$5),NA())</f>
        <v>#N/A</v>
      </c>
      <c r="EA51" t="e">
        <f>IF(AND($B$18=1,16&lt;=$B$26-1),$B$139+$B$138*(16*($B$5/MAX(1,$B$26))),NA())</f>
        <v>#N/A</v>
      </c>
      <c r="EB51" t="e">
        <f>IF(AND($B$18=1,16&lt;=$B$26-1),$B$140+$B$138*(($B$9+$B$8*MIN(16*($B$5/MAX(1,$B$26)),$B$5-(16*($B$5/MAX(1,$B$26)))))),NA())</f>
        <v>#N/A</v>
      </c>
      <c r="EE51" t="e">
        <f>IF(23&lt;=$B$16-1,$B$139+$B$138*(23*($B$5/2)/MAX(1,$B$16-1)),NA())</f>
        <v>#N/A</v>
      </c>
      <c r="EF51" t="e">
        <f>IF(23&lt;=$B$16-1,$B$140+$B$138*($B$9+$B$8*23*($B$5/2)/MAX(1,$B$16-1)+1.2*$B$141),NA())</f>
        <v>#N/A</v>
      </c>
      <c r="FA51" t="e">
        <f>IF(15&lt;=$B$12,$B$145+$B$144*($B$13*15),NA())</f>
        <v>#N/A</v>
      </c>
      <c r="FB51" t="e">
        <f>IF(15&lt;=$B$12,$B$146+$B$144*($B$9),NA())</f>
        <v>#N/A</v>
      </c>
      <c r="FC51">
        <f>IF(3&lt;$B$22,$B$145+$B$144*(IF(($B$19+3*$B$64)&lt;$B$73,$B$76,$B$75)),NA())</f>
        <v>101.591</v>
      </c>
      <c r="FD51">
        <f>IF(3&lt;$B$22,$B$146+$B$144*(($B$19+3*$B$64)),NA())</f>
        <v>60.79092</v>
      </c>
      <c r="FE51" t="e">
        <f>IF(AND($B$21=1,(4*$B$66)&lt;$B$62),$B$145+$B$144*(IF((4*$B$66)&lt;$B$73,$B$76,$B$75)),NA())</f>
        <v>#N/A</v>
      </c>
      <c r="FF51" t="e">
        <f>IF(AND($B$21=1,(4*$B$66)&lt;$B$62),$B$146+$B$144*((4*$B$66)),NA())</f>
        <v>#N/A</v>
      </c>
      <c r="FI51" t="e">
        <f>IF(8&lt;=$B$23,$B$145+$B$144*((IF(8=1,1,IF(8=$B$23,$B$12,5*(8-1)))-1)*$B$13),NA())</f>
        <v>#N/A</v>
      </c>
      <c r="FJ51" t="e">
        <f>IF(8&lt;=$B$23,$B$146+$B$144*($B$9),NA())</f>
        <v>#N/A</v>
      </c>
      <c r="GG51">
        <f>IF(AND($B$20=1,($B$19+3*$B$64)&lt;$B$10-0.3),$B$151+$B$150*(MAX(IF(($B$19+3*$B$64)&lt;=$B$9,0,(($B$19+3*$B$64)-$B$9)/$B$8),MIN(($B$5-IF(($B$19+3*$B$64)&lt;=$B$9,0,(($B$19+3*$B$64)-$B$9)/$B$8)),IF(($B$19+3*$B$64)&lt;$B$104,$B$107,$B$106)))),NA())</f>
        <v>77.44325</v>
      </c>
      <c r="GH51">
        <f>IF(AND($B$20=1,($B$19+3*$B$64)&lt;$B$10-0.3),$B$152+$B$150*(($B$19+3*$B$64)),NA())</f>
        <v>65.25456</v>
      </c>
      <c r="GI51" t="e">
        <f>IF(AND($B$21=1,(4*$B$66)&lt;IF($B$63=1,$B$10-0.2,$B$62)),$B$151+$B$150*(MAX(IF((4*$B$66)&lt;=$B$9,0,((4*$B$66)-$B$9)/$B$8),MIN(($B$5-IF((4*$B$66)&lt;=$B$9,0,((4*$B$66)-$B$9)/$B$8)),IF((4*$B$66)&lt;$B$104,$B$107,$B$106)))),NA())</f>
        <v>#N/A</v>
      </c>
      <c r="GJ51" t="e">
        <f>IF(AND($B$21=1,(4*$B$66)&lt;IF($B$63=1,$B$10-0.2,$B$62)),$B$152+$B$150*((4*$B$66)),NA())</f>
        <v>#N/A</v>
      </c>
      <c r="HI51">
        <f>IF(7&lt;=$B$16-1,$B$157+$B$156*($B$6+$B$46),NA())</f>
        <v>175.731</v>
      </c>
      <c r="HJ51">
        <f>IF(7&lt;=$B$16-1,$B$158+$B$156*($B$5-7*($B$5/2)/MAX(1,$B$16-1)),NA())</f>
        <v>56.75</v>
      </c>
      <c r="HK51" t="e">
        <f>IF(15&lt;=$B$12,$B$157+$B$156*($B$13*15),NA())</f>
        <v>#N/A</v>
      </c>
      <c r="HL51" t="e">
        <f>IF(15&lt;=$B$12,$B$158+$B$156*($B$5),NA())</f>
        <v>#N/A</v>
      </c>
      <c r="HM51" t="e">
        <f>IF(AND(8&lt;=$B$12,2&lt;=$B$25),$B$157+$B$156*((8-1)*$B$13+2*$B$13/($B$25+1)),NA())</f>
        <v>#N/A</v>
      </c>
      <c r="HN51" t="e">
        <f>IF(AND(8&lt;=$B$12,2&lt;=$B$25),$B$158+$B$156*($B$5),NA())</f>
        <v>#N/A</v>
      </c>
      <c r="HQ51">
        <f>IF(AND(1&lt;=$B$23,2&lt;=$B$24),$B$157+$B$156*(IF(1=1,1,IF(1=$B$23,$B$12,5*(1-1)))*$B$13),NA())</f>
        <v>44.3052857142857</v>
      </c>
      <c r="HR51">
        <f>IF(AND(1&lt;=$B$23,2&lt;=$B$24),$B$158+$B$156*((1*$B$5/2+(2-1)*($B$5/2)/$B$24)),NA())</f>
        <v>71</v>
      </c>
      <c r="HS51">
        <f>IF(AND(2&lt;=$B$12,$B$51&gt;0),$B$157+$B$156*(((2-0.5)*$B$13)-($B$51*$B$13)/2),NA())</f>
        <v>54.0767142857143</v>
      </c>
      <c r="HT51">
        <f>IF(AND(2&lt;=$B$12,$B$51&gt;0),$B$158+$B$156*((1*$B$5/2+$B$5/2-0.6*$B$159)),NA())</f>
        <v>89.4</v>
      </c>
      <c r="HU51">
        <f>IF(4&lt;=$B$47,$B$157+$B$156*(((MAX(1,MIN($B$12,ROUND(4*$B$12/($B$47+1),0)))-1)*$B$13+0.25*$B$13)-$B$48/2-0.2),NA())</f>
        <v>133.551</v>
      </c>
      <c r="HV51">
        <f>IF(4&lt;=$B$47,$B$158+$B$156*(IF(MOD(4,2)=1,$B$5/4,3*$B$5/4)-$B$49/2-0.2),NA())</f>
        <v>67.96</v>
      </c>
      <c r="IU51" t="e">
        <f>IF($B$167+0.05+10*'PARAMÈTRES'!$C$101&lt;$B$168-$B$41,$B$174+$B$173*($B$169-$B$29/2+$B$41),NA())</f>
        <v>#N/A</v>
      </c>
      <c r="IV51" t="e">
        <f>IF($B$167+0.05+10*'PARAMÈTRES'!$C$101&lt;$B$168-$B$41,$B$175+$B$173*($B$167+0.05+10*'PARAMÈTRES'!$C$101),NA())</f>
        <v>#N/A</v>
      </c>
      <c r="IW51">
        <f>IF(AND(0.2+13*$B$43&lt;$B$170,ABS(0.2+13*$B$43-$B$169)&gt;$B$29/2+0.03),$B$174+$B$173*(0.2+13*$B$43),NA())</f>
        <v>103.0264</v>
      </c>
      <c r="IX51">
        <f>IF(AND(0.2+13*$B$43&lt;$B$170,ABS(0.2+13*$B$43-$B$169)&gt;$B$29/2+0.03),$B$175+$B$173*($B$165+$B$42+0.015),NA())</f>
        <v>58.91092</v>
      </c>
      <c r="KI51" t="e">
        <f>IF(AND($B$21=1,4*$B$67&gt;$B$59,4*$B$67&lt;$B$178-$B$59,OR($B$63=0,ABS(4*$B$67-$B$178/2)&gt;$B$59/2)),$B$182+$B$181*($B$177),NA())</f>
        <v>#N/A</v>
      </c>
      <c r="KJ51" t="e">
        <f>IF(AND($B$21=1,4*$B$67&gt;$B$59,4*$B$67&lt;$B$178-$B$59,OR($B$63=0,ABS(4*$B$67-$B$178/2)&gt;$B$59/2)),$B$183+$B$181*(4*$B$67),NA())</f>
        <v>#N/A</v>
      </c>
    </row>
    <row r="52">
      <c r="A52" t="inlineStr">
        <is>
          <t>acr</t>
        </is>
      </c>
      <c r="B52">
        <f>IF('PARAMÈTRES'!$C$42="Oui",1,0)</f>
        <v>0</v>
      </c>
      <c r="G52" t="e">
        <f>NA()</f>
        <v>#N/A</v>
      </c>
      <c r="H52" t="e">
        <f>NA()</f>
        <v>#N/A</v>
      </c>
      <c r="K52" t="e">
        <f>NA()</f>
        <v>#N/A</v>
      </c>
      <c r="L52" t="e">
        <f>NA()</f>
        <v>#N/A</v>
      </c>
      <c r="M52" t="e">
        <f>IF(AND(15&lt;=$B$12,$B$45=1),$B$133+$B$132*($B$13*15),NA())</f>
        <v>#N/A</v>
      </c>
      <c r="N52" t="e">
        <f>IF(AND(15&lt;=$B$12,$B$45=1),$B$134+$B$132*($B$5/2),NA())</f>
        <v>#N/A</v>
      </c>
      <c r="EA52" t="e">
        <f>NA()</f>
        <v>#N/A</v>
      </c>
      <c r="EB52" t="e">
        <f>NA()</f>
        <v>#N/A</v>
      </c>
      <c r="EE52" t="e">
        <f>IF(23&lt;=$B$16-1,$B$139+$B$138*($B$5-23*($B$5/2)/MAX(1,$B$16-1)),NA())</f>
        <v>#N/A</v>
      </c>
      <c r="EF52" t="e">
        <f>IF(23&lt;=$B$16-1,$B$140+$B$138*($B$9+$B$8*23*($B$5/2)/MAX(1,$B$16-1)+1.2*$B$141),NA())</f>
        <v>#N/A</v>
      </c>
      <c r="FA52" t="e">
        <f>NA()</f>
        <v>#N/A</v>
      </c>
      <c r="FB52" t="e">
        <f>NA()</f>
        <v>#N/A</v>
      </c>
      <c r="FC52">
        <f>IF(AND(3&lt;$B$22,($B$19+3*$B$64)&gt;=$B$73),$B$145+$B$144*($B$75),NA())</f>
        <v>101.591</v>
      </c>
      <c r="FD52">
        <f>IF(AND(3&lt;$B$22,($B$19+3*$B$64)&gt;=$B$73),$B$146+$B$144*(($B$19+3*$B$64)),NA())</f>
        <v>60.79092</v>
      </c>
      <c r="FE52" t="e">
        <f>IF(AND(AND($B$21=1,(4*$B$66)&lt;$B$62),(4*$B$66)&gt;=$B$73),$B$145+$B$144*($B$75),NA())</f>
        <v>#N/A</v>
      </c>
      <c r="FF52" t="e">
        <f>IF(AND(AND($B$21=1,(4*$B$66)&lt;$B$62),(4*$B$66)&gt;=$B$73),$B$146+$B$144*((4*$B$66)),NA())</f>
        <v>#N/A</v>
      </c>
      <c r="FI52" t="e">
        <f>NA()</f>
        <v>#N/A</v>
      </c>
      <c r="FJ52" t="e">
        <f>NA()</f>
        <v>#N/A</v>
      </c>
      <c r="GG52">
        <f>IF(AND(AND($B$20=1,($B$19+3*$B$64)&lt;$B$10-0.3),($B$19+3*$B$64)&gt;=$B$104),$B$151+$B$150*(MAX(IF(($B$19+3*$B$64)&lt;=$B$9,0,(($B$19+3*$B$64)-$B$9)/$B$8),MIN(($B$5-IF(($B$19+3*$B$64)&lt;=$B$9,0,(($B$19+3*$B$64)-$B$9)/$B$8)),$B$106))),NA())</f>
        <v>77.44325</v>
      </c>
      <c r="GH52">
        <f>IF(AND(AND($B$20=1,($B$19+3*$B$64)&lt;$B$10-0.3),($B$19+3*$B$64)&gt;=$B$104),$B$152+$B$150*(($B$19+3*$B$64)),NA())</f>
        <v>65.25456</v>
      </c>
      <c r="GI52" t="e">
        <f>IF(AND(AND($B$21=1,(4*$B$66)&lt;IF($B$63=1,$B$10-0.2,$B$62)),(4*$B$66)&gt;=$B$104),$B$151+$B$150*(MAX(IF((4*$B$66)&lt;=$B$9,0,((4*$B$66)-$B$9)/$B$8),MIN(($B$5-IF((4*$B$66)&lt;=$B$9,0,((4*$B$66)-$B$9)/$B$8)),$B$106))),NA())</f>
        <v>#N/A</v>
      </c>
      <c r="GJ52" t="e">
        <f>IF(AND(AND($B$21=1,(4*$B$66)&lt;IF($B$63=1,$B$10-0.2,$B$62)),(4*$B$66)&gt;=$B$104),$B$152+$B$150*((4*$B$66)),NA())</f>
        <v>#N/A</v>
      </c>
      <c r="HI52" t="e">
        <f>NA()</f>
        <v>#N/A</v>
      </c>
      <c r="HJ52" t="e">
        <f>NA()</f>
        <v>#N/A</v>
      </c>
      <c r="HK52" t="e">
        <f>NA()</f>
        <v>#N/A</v>
      </c>
      <c r="HL52" t="e">
        <f>NA()</f>
        <v>#N/A</v>
      </c>
      <c r="HM52" t="e">
        <f>NA()</f>
        <v>#N/A</v>
      </c>
      <c r="HN52" t="e">
        <f>NA()</f>
        <v>#N/A</v>
      </c>
      <c r="HQ52" t="e">
        <f>NA()</f>
        <v>#N/A</v>
      </c>
      <c r="HR52" t="e">
        <f>NA()</f>
        <v>#N/A</v>
      </c>
      <c r="HS52" t="e">
        <f>NA()</f>
        <v>#N/A</v>
      </c>
      <c r="HT52" t="e">
        <f>NA()</f>
        <v>#N/A</v>
      </c>
      <c r="HU52" t="e">
        <f>NA()</f>
        <v>#N/A</v>
      </c>
      <c r="HV52" t="e">
        <f>NA()</f>
        <v>#N/A</v>
      </c>
      <c r="IU52" t="e">
        <f>IF($B$167+0.05+10*'PARAMÈTRES'!$C$101&lt;$B$168-$B$41,$B$174+$B$173*($B$169+$B$29/2-$B$41),NA())</f>
        <v>#N/A</v>
      </c>
      <c r="IV52" t="e">
        <f>IF($B$167+0.05+10*'PARAMÈTRES'!$C$101&lt;$B$168-$B$41,$B$175+$B$173*($B$167+0.05+10*'PARAMÈTRES'!$C$101),NA())</f>
        <v>#N/A</v>
      </c>
      <c r="IW52" t="e">
        <f>IF(AND(0.2+13*$B$43&lt;$B$170,ABS(0.2+13*$B$43-$B$169)&gt;$B$29/2+0.03,$B$44=1),$B$174+$B$173*(0.2+13*$B$43),NA())</f>
        <v>#N/A</v>
      </c>
      <c r="IX52" t="e">
        <f>IF(AND(0.2+13*$B$43&lt;$B$170,ABS(0.2+13*$B$43-$B$169)&gt;$B$29/2+0.03,$B$44=1),$B$175+$B$173*($B$166-$B$42-0.015),NA())</f>
        <v>#N/A</v>
      </c>
      <c r="KI52" t="e">
        <f>NA()</f>
        <v>#N/A</v>
      </c>
      <c r="KJ52" t="e">
        <f>NA()</f>
        <v>#N/A</v>
      </c>
    </row>
    <row r="53">
      <c r="A53" t="inlineStr">
        <is>
          <t>h_acr</t>
        </is>
      </c>
      <c r="B53">
        <f>'PARAMÈTRES'!$C$43*$B$52</f>
        <v>0</v>
      </c>
      <c r="G53" t="e">
        <f>IF(16&lt;=$B$12,$B$133+$B$132*($B$13*16),NA())</f>
        <v>#N/A</v>
      </c>
      <c r="H53" t="e">
        <f>IF(16&lt;=$B$12,$B$134+$B$132*(-4*$B$135),NA())</f>
        <v>#N/A</v>
      </c>
      <c r="K53" t="e">
        <f>IF(AND(2&lt;=$B$12,$B$45=1),$B$133+$B$132*($B$13*2-$B$27/2),NA())</f>
        <v>#N/A</v>
      </c>
      <c r="L53" t="e">
        <f>IF(AND(2&lt;=$B$12,$B$45=1),$B$134+$B$132*($B$5/2-$B$27/2),NA())</f>
        <v>#N/A</v>
      </c>
      <c r="M53" t="e">
        <f>IF(16&lt;=$B$12,$B$133+$B$132*($B$13*16),NA())</f>
        <v>#N/A</v>
      </c>
      <c r="N53" t="e">
        <f>IF(16&lt;=$B$12,$B$134+$B$132*(0),NA())</f>
        <v>#N/A</v>
      </c>
      <c r="EA53" t="e">
        <f>IF(AND($B$18=1,17&lt;=$B$26-1),$B$139+$B$138*(17*($B$5/MAX(1,$B$26))),NA())</f>
        <v>#N/A</v>
      </c>
      <c r="EB53" t="e">
        <f>IF(AND($B$18=1,17&lt;=$B$26-1),$B$140+$B$138*($B$7),NA())</f>
        <v>#N/A</v>
      </c>
      <c r="EE53" t="e">
        <f>IF(24&lt;=$B$16-1,$B$139+$B$138*(24*($B$5/2)/MAX(1,$B$16-1)),NA())</f>
        <v>#N/A</v>
      </c>
      <c r="EF53" t="e">
        <f>IF(24&lt;=$B$16-1,$B$140+$B$138*($B$9+$B$8*24*($B$5/2)/MAX(1,$B$16-1)+1.2*$B$141),NA())</f>
        <v>#N/A</v>
      </c>
      <c r="FA53" t="e">
        <f>IF(16&lt;=$B$12,$B$145+$B$144*($B$13*16),NA())</f>
        <v>#N/A</v>
      </c>
      <c r="FB53" t="e">
        <f>IF(16&lt;=$B$12,$B$146+$B$144*(0),NA())</f>
        <v>#N/A</v>
      </c>
      <c r="FC53">
        <f>IF(3&lt;$B$22,$B$145+$B$144*(IF(($B$19+3*$B$64)&lt;$B$73,$B$77,$B$75)),NA())</f>
        <v>101.591</v>
      </c>
      <c r="FD53">
        <f>IF(3&lt;$B$22,$B$146+$B$144*(($B$19+3*$B$64)),NA())</f>
        <v>60.79092</v>
      </c>
      <c r="FE53" t="e">
        <f>IF(AND($B$21=1,(4*$B$66)&lt;$B$62),$B$145+$B$144*(IF((4*$B$66)&lt;$B$73,$B$77,$B$75)),NA())</f>
        <v>#N/A</v>
      </c>
      <c r="FF53" t="e">
        <f>IF(AND($B$21=1,(4*$B$66)&lt;$B$62),$B$146+$B$144*((4*$B$66)),NA())</f>
        <v>#N/A</v>
      </c>
      <c r="FI53" t="e">
        <f>IF(9&lt;=$B$23,$B$145+$B$144*((IF(9=1,1,IF(9=$B$23,$B$12,5*(9-1)))-1)*$B$13),NA())</f>
        <v>#N/A</v>
      </c>
      <c r="FJ53" t="e">
        <f>IF(9&lt;=$B$23,$B$146+$B$144*(0),NA())</f>
        <v>#N/A</v>
      </c>
      <c r="GG53">
        <f>IF(AND($B$20=1,($B$19+3*$B$64)&lt;$B$10-0.3),$B$151+$B$150*(MAX(IF(($B$19+3*$B$64)&lt;=$B$9,0,(($B$19+3*$B$64)-$B$9)/$B$8),MIN(($B$5-IF(($B$19+3*$B$64)&lt;=$B$9,0,(($B$19+3*$B$64)-$B$9)/$B$8)),IF(($B$19+3*$B$64)&lt;$B$104,$B$108,$B$106)))),NA())</f>
        <v>77.44325</v>
      </c>
      <c r="GH53">
        <f>IF(AND($B$20=1,($B$19+3*$B$64)&lt;$B$10-0.3),$B$152+$B$150*(($B$19+3*$B$64)),NA())</f>
        <v>65.25456</v>
      </c>
      <c r="GI53" t="e">
        <f>IF(AND($B$21=1,(4*$B$66)&lt;IF($B$63=1,$B$10-0.2,$B$62)),$B$151+$B$150*(MAX(IF((4*$B$66)&lt;=$B$9,0,((4*$B$66)-$B$9)/$B$8),MIN(($B$5-IF((4*$B$66)&lt;=$B$9,0,((4*$B$66)-$B$9)/$B$8)),IF((4*$B$66)&lt;$B$104,$B$108,$B$106)))),NA())</f>
        <v>#N/A</v>
      </c>
      <c r="GJ53" t="e">
        <f>IF(AND($B$21=1,(4*$B$66)&lt;IF($B$63=1,$B$10-0.2,$B$62)),$B$152+$B$150*((4*$B$66)),NA())</f>
        <v>#N/A</v>
      </c>
      <c r="HI53">
        <f>IF(8&lt;=$B$16-1,$B$157+$B$156*(-$B$46),NA())</f>
        <v>21.451</v>
      </c>
      <c r="HJ53">
        <f>IF(8&lt;=$B$16-1,$B$158+$B$156*(8*($B$5/2)/MAX(1,$B$16-1)),NA())</f>
        <v>52</v>
      </c>
      <c r="HK53" t="e">
        <f>IF(16&lt;=$B$12,$B$157+$B$156*($B$13*16),NA())</f>
        <v>#N/A</v>
      </c>
      <c r="HL53" t="e">
        <f>IF(16&lt;=$B$12,$B$158+$B$156*(0),NA())</f>
        <v>#N/A</v>
      </c>
      <c r="HM53" t="e">
        <f>IF(AND(9&lt;=$B$12,1&lt;=$B$25),$B$157+$B$156*((9-1)*$B$13+1*$B$13/($B$25+1)),NA())</f>
        <v>#N/A</v>
      </c>
      <c r="HN53" t="e">
        <f>IF(AND(9&lt;=$B$12,1&lt;=$B$25),$B$158+$B$156*(0),NA())</f>
        <v>#N/A</v>
      </c>
      <c r="HQ53" t="e">
        <f>IF(AND(1&lt;=$B$23,3&lt;=$B$24),$B$157+$B$156*((IF(1=1,1,IF(1=$B$23,$B$12,5*(1-1)))-1)*$B$13),NA())</f>
        <v>#N/A</v>
      </c>
      <c r="HR53" t="e">
        <f>IF(AND(1&lt;=$B$23,3&lt;=$B$24),$B$158+$B$156*((1*$B$5/2+(3-1)*($B$5/2)/$B$24)),NA())</f>
        <v>#N/A</v>
      </c>
      <c r="HS53">
        <f>IF(AND(3&lt;=$B$12,$B$51&gt;0),$B$157+$B$156*(((3-0.5)*$B$13)-($B$51*$B$13)/2),NA())</f>
        <v>75.791</v>
      </c>
      <c r="HT53">
        <f>IF(AND(3&lt;=$B$12,$B$51&gt;0),$B$158+$B$156*((0*$B$5/2+0.6*$B$159)),NA())</f>
        <v>14.6</v>
      </c>
      <c r="HU53" t="e">
        <f>IF(5&lt;=$B$47,$B$157+$B$156*(((MAX(1,MIN($B$12,ROUND(5*$B$12/($B$47+1),0)))-1)*$B$13+0.25*$B$13)-$B$48/2),NA())</f>
        <v>#N/A</v>
      </c>
      <c r="HV53" t="e">
        <f>IF(5&lt;=$B$47,$B$158+$B$156*(IF(MOD(5,2)=1,$B$5/4,3*$B$5/4)-$B$49/2),NA())</f>
        <v>#N/A</v>
      </c>
      <c r="IU53" t="e">
        <f>NA()</f>
        <v>#N/A</v>
      </c>
      <c r="IV53" t="e">
        <f>NA()</f>
        <v>#N/A</v>
      </c>
      <c r="IW53">
        <f>IF(AND(0.2+14*$B$43&lt;$B$170,ABS(0.2+14*$B$43-$B$169)&gt;$B$29/2+0.03),$B$174+$B$173*(0.2+14*$B$43),NA())</f>
        <v>108.1456</v>
      </c>
      <c r="IX53">
        <f>IF(AND(0.2+14*$B$43&lt;$B$170,ABS(0.2+14*$B$43-$B$169)&gt;$B$29/2+0.03),$B$175+$B$173*($B$165+$B$42+0.015),NA())</f>
        <v>58.91092</v>
      </c>
      <c r="KI53" t="e">
        <f>IF(AND($B$21=1,5*$B$67&gt;$B$59,5*$B$67&lt;$B$178-$B$59,OR($B$63=0,ABS(5*$B$67-$B$178/2)&gt;$B$59/2)),$B$182+$B$181*(0),NA())</f>
        <v>#N/A</v>
      </c>
      <c r="KJ53" t="e">
        <f>IF(AND($B$21=1,5*$B$67&gt;$B$59,5*$B$67&lt;$B$178-$B$59,OR($B$63=0,ABS(5*$B$67-$B$178/2)&gt;$B$59/2)),$B$183+$B$181*(5*$B$67),NA())</f>
        <v>#N/A</v>
      </c>
    </row>
    <row r="54">
      <c r="A54" t="inlineStr">
        <is>
          <t>h_trav</t>
        </is>
      </c>
      <c r="B54">
        <f>MAX(0.2,'PRÉDIMENSIONNEMENT'!$G$70/1000)</f>
        <v>0.3</v>
      </c>
      <c r="G54" t="e">
        <f>IF(16&lt;=$B$12,$B$133+$B$132*($B$13*16),NA())</f>
        <v>#N/A</v>
      </c>
      <c r="H54" t="e">
        <f>IF(16&lt;=$B$12,$B$134+$B$132*($B$5+4*$B$135),NA())</f>
        <v>#N/A</v>
      </c>
      <c r="K54" t="e">
        <f>IF(AND(2&lt;=$B$12,$B$45=1),$B$133+$B$132*($B$13*2+$B$27/2),NA())</f>
        <v>#N/A</v>
      </c>
      <c r="L54" t="e">
        <f>IF(AND(2&lt;=$B$12,$B$45=1),$B$134+$B$132*($B$5/2-$B$27/2),NA())</f>
        <v>#N/A</v>
      </c>
      <c r="M54" t="e">
        <f>IF(16&lt;=$B$12,$B$133+$B$132*($B$13*16),NA())</f>
        <v>#N/A</v>
      </c>
      <c r="N54" t="e">
        <f>IF(16&lt;=$B$12,$B$134+$B$132*($B$5),NA())</f>
        <v>#N/A</v>
      </c>
      <c r="EA54" t="e">
        <f>IF(AND($B$18=1,17&lt;=$B$26-1),$B$139+$B$138*(17*($B$5/MAX(1,$B$26))),NA())</f>
        <v>#N/A</v>
      </c>
      <c r="EB54" t="e">
        <f>IF(AND($B$18=1,17&lt;=$B$26-1),$B$140+$B$138*(($B$9+$B$8*MIN(17*($B$5/MAX(1,$B$26)),$B$5-(17*($B$5/MAX(1,$B$26)))))),NA())</f>
        <v>#N/A</v>
      </c>
      <c r="EE54" t="e">
        <f>IF(24&lt;=$B$16-1,$B$139+$B$138*($B$5-24*($B$5/2)/MAX(1,$B$16-1)),NA())</f>
        <v>#N/A</v>
      </c>
      <c r="EF54" t="e">
        <f>IF(24&lt;=$B$16-1,$B$140+$B$138*($B$9+$B$8*24*($B$5/2)/MAX(1,$B$16-1)+1.2*$B$141),NA())</f>
        <v>#N/A</v>
      </c>
      <c r="FA54" t="e">
        <f>IF(16&lt;=$B$12,$B$145+$B$144*($B$13*16),NA())</f>
        <v>#N/A</v>
      </c>
      <c r="FB54" t="e">
        <f>IF(16&lt;=$B$12,$B$146+$B$144*($B$9),NA())</f>
        <v>#N/A</v>
      </c>
      <c r="FC54">
        <f>IF(3&lt;$B$22,$B$145+$B$144*(IF(($B$19+3*$B$64)&lt;$B$80,$B$83,$B$82)),NA())</f>
        <v>183.182</v>
      </c>
      <c r="FD54">
        <f>IF(3&lt;$B$22,$B$146+$B$144*(($B$19+3*$B$64)),NA())</f>
        <v>60.79092</v>
      </c>
      <c r="FE54" t="e">
        <f>IF(AND($B$21=1,(4*$B$66)&lt;$B$62),$B$145+$B$144*(IF((4*$B$66)&lt;$B$80,$B$83,$B$82)),NA())</f>
        <v>#N/A</v>
      </c>
      <c r="FF54" t="e">
        <f>IF(AND($B$21=1,(4*$B$66)&lt;$B$62),$B$146+$B$144*((4*$B$66)),NA())</f>
        <v>#N/A</v>
      </c>
      <c r="FI54" t="e">
        <f>IF(9&lt;=$B$23,$B$145+$B$144*(IF(9=1,1,IF(9=$B$23,$B$12,5*(9-1)))*$B$13),NA())</f>
        <v>#N/A</v>
      </c>
      <c r="FJ54" t="e">
        <f>IF(9&lt;=$B$23,$B$146+$B$144*($B$9),NA())</f>
        <v>#N/A</v>
      </c>
      <c r="GG54">
        <f>IF(AND($B$20=1,($B$19+3*$B$64)&lt;$B$10-0.3),$B$151+$B$150*(MAX(IF(($B$19+3*$B$64)&lt;=$B$9,0,(($B$19+3*$B$64)-$B$9)/$B$8),MIN(($B$5-IF(($B$19+3*$B$64)&lt;=$B$9,0,(($B$19+3*$B$64)-$B$9)/$B$8)),IF(($B$19+3*$B$64)&lt;$B$111,$B$114,$B$113)))),NA())</f>
        <v>173.182</v>
      </c>
      <c r="GH54">
        <f>IF(AND($B$20=1,($B$19+3*$B$64)&lt;$B$10-0.3),$B$152+$B$150*(($B$19+3*$B$64)),NA())</f>
        <v>65.25456</v>
      </c>
      <c r="GI54" t="e">
        <f>IF(AND($B$21=1,(4*$B$66)&lt;IF($B$63=1,$B$10-0.2,$B$62)),$B$151+$B$150*(MAX(IF((4*$B$66)&lt;=$B$9,0,((4*$B$66)-$B$9)/$B$8),MIN(($B$5-IF((4*$B$66)&lt;=$B$9,0,((4*$B$66)-$B$9)/$B$8)),IF((4*$B$66)&lt;$B$111,$B$114,$B$113)))),NA())</f>
        <v>#N/A</v>
      </c>
      <c r="GJ54" t="e">
        <f>IF(AND($B$21=1,(4*$B$66)&lt;IF($B$63=1,$B$10-0.2,$B$62)),$B$152+$B$150*((4*$B$66)),NA())</f>
        <v>#N/A</v>
      </c>
      <c r="HI54">
        <f>IF(8&lt;=$B$16-1,$B$157+$B$156*($B$6+$B$46),NA())</f>
        <v>175.731</v>
      </c>
      <c r="HJ54">
        <f>IF(8&lt;=$B$16-1,$B$158+$B$156*(8*($B$5/2)/MAX(1,$B$16-1)),NA())</f>
        <v>52</v>
      </c>
      <c r="HK54" t="e">
        <f>IF(16&lt;=$B$12,$B$157+$B$156*($B$13*16),NA())</f>
        <v>#N/A</v>
      </c>
      <c r="HL54" t="e">
        <f>IF(16&lt;=$B$12,$B$158+$B$156*($B$5),NA())</f>
        <v>#N/A</v>
      </c>
      <c r="HM54" t="e">
        <f>IF(AND(9&lt;=$B$12,1&lt;=$B$25),$B$157+$B$156*((9-1)*$B$13+1*$B$13/($B$25+1)),NA())</f>
        <v>#N/A</v>
      </c>
      <c r="HN54" t="e">
        <f>IF(AND(9&lt;=$B$12,1&lt;=$B$25),$B$158+$B$156*($B$5),NA())</f>
        <v>#N/A</v>
      </c>
      <c r="HQ54" t="e">
        <f>IF(AND(1&lt;=$B$23,3&lt;=$B$24),$B$157+$B$156*(IF(1=1,1,IF(1=$B$23,$B$12,5*(1-1)))*$B$13),NA())</f>
        <v>#N/A</v>
      </c>
      <c r="HR54" t="e">
        <f>IF(AND(1&lt;=$B$23,3&lt;=$B$24),$B$158+$B$156*((1*$B$5/2+3*($B$5/2)/$B$24)),NA())</f>
        <v>#N/A</v>
      </c>
      <c r="HS54">
        <f>IF(AND(3&lt;=$B$12,$B$51&gt;0),$B$157+$B$156*(((3-0.5)*$B$13)+($B$51*$B$13)/2),NA())</f>
        <v>77.9624285714286</v>
      </c>
      <c r="HT54">
        <f>IF(AND(3&lt;=$B$12,$B$51&gt;0),$B$158+$B$156*((0*$B$5/2+0.6*$B$159)),NA())</f>
        <v>14.6</v>
      </c>
      <c r="HU54" t="e">
        <f>IF(5&lt;=$B$47,$B$157+$B$156*(((MAX(1,MIN($B$12,ROUND(5*$B$12/($B$47+1),0)))-1)*$B$13+0.25*$B$13)+$B$48/2),NA())</f>
        <v>#N/A</v>
      </c>
      <c r="HV54" t="e">
        <f>IF(5&lt;=$B$47,$B$158+$B$156*(IF(MOD(5,2)=1,$B$5/4,3*$B$5/4)-$B$49/2),NA())</f>
        <v>#N/A</v>
      </c>
      <c r="IU54" t="e">
        <f>IF($B$167+0.05+11*'PARAMÈTRES'!$C$101&lt;$B$168-$B$41,$B$174+$B$173*($B$169-$B$29/2+$B$41),NA())</f>
        <v>#N/A</v>
      </c>
      <c r="IV54" t="e">
        <f>IF($B$167+0.05+11*'PARAMÈTRES'!$C$101&lt;$B$168-$B$41,$B$175+$B$173*($B$167+0.05+11*'PARAMÈTRES'!$C$101),NA())</f>
        <v>#N/A</v>
      </c>
      <c r="IW54" t="e">
        <f>IF(AND(0.2+14*$B$43&lt;$B$170,ABS(0.2+14*$B$43-$B$169)&gt;$B$29/2+0.03,$B$44=1),$B$174+$B$173*(0.2+14*$B$43),NA())</f>
        <v>#N/A</v>
      </c>
      <c r="IX54" t="e">
        <f>IF(AND(0.2+14*$B$43&lt;$B$170,ABS(0.2+14*$B$43-$B$169)&gt;$B$29/2+0.03,$B$44=1),$B$175+$B$173*($B$166-$B$42-0.015),NA())</f>
        <v>#N/A</v>
      </c>
      <c r="KI54" t="e">
        <f>IF(AND($B$21=1,5*$B$67&gt;$B$59,5*$B$67&lt;$B$178-$B$59,OR($B$63=0,ABS(5*$B$67-$B$178/2)&gt;$B$59/2)),$B$182+$B$181*($B$177*1/4-$B$60/2),NA())</f>
        <v>#N/A</v>
      </c>
      <c r="KJ54" t="e">
        <f>IF(AND($B$21=1,5*$B$67&gt;$B$59,5*$B$67&lt;$B$178-$B$59,OR($B$63=0,ABS(5*$B$67-$B$178/2)&gt;$B$59/2)),$B$183+$B$181*(5*$B$67),NA())</f>
        <v>#N/A</v>
      </c>
    </row>
    <row r="55">
      <c r="A55" t="inlineStr">
        <is>
          <t>l_jar</t>
        </is>
      </c>
      <c r="B55">
        <f>'PARAMÈTRES'!$C$24*'PARAMÈTRES'!$C$9</f>
        <v>2</v>
      </c>
      <c r="G55" t="e">
        <f>NA()</f>
        <v>#N/A</v>
      </c>
      <c r="H55" t="e">
        <f>NA()</f>
        <v>#N/A</v>
      </c>
      <c r="K55" t="e">
        <f>IF(AND(2&lt;=$B$12,$B$45=1),$B$133+$B$132*($B$13*2+$B$27/2),NA())</f>
        <v>#N/A</v>
      </c>
      <c r="L55" t="e">
        <f>IF(AND(2&lt;=$B$12,$B$45=1),$B$134+$B$132*($B$5/2+$B$27/2),NA())</f>
        <v>#N/A</v>
      </c>
      <c r="M55" t="e">
        <f>IF(AND(16&lt;=$B$12,$B$45=1),$B$133+$B$132*($B$13*16),NA())</f>
        <v>#N/A</v>
      </c>
      <c r="N55" t="e">
        <f>IF(AND(16&lt;=$B$12,$B$45=1),$B$134+$B$132*($B$5/2),NA())</f>
        <v>#N/A</v>
      </c>
      <c r="EA55" t="e">
        <f>NA()</f>
        <v>#N/A</v>
      </c>
      <c r="EB55" t="e">
        <f>NA()</f>
        <v>#N/A</v>
      </c>
      <c r="EE55" t="e">
        <f>IF(25&lt;=$B$16-1,$B$139+$B$138*(25*($B$5/2)/MAX(1,$B$16-1)),NA())</f>
        <v>#N/A</v>
      </c>
      <c r="EF55" t="e">
        <f>IF(25&lt;=$B$16-1,$B$140+$B$138*($B$9+$B$8*25*($B$5/2)/MAX(1,$B$16-1)+1.2*$B$141),NA())</f>
        <v>#N/A</v>
      </c>
      <c r="FA55" t="e">
        <f>NA()</f>
        <v>#N/A</v>
      </c>
      <c r="FB55" t="e">
        <f>NA()</f>
        <v>#N/A</v>
      </c>
      <c r="FC55">
        <f>IF(AND(3&lt;$B$22,($B$19+3*$B$64)&gt;=$B$80),$B$145+$B$144*($B$82),NA())</f>
        <v>183.182</v>
      </c>
      <c r="FD55">
        <f>IF(AND(3&lt;$B$22,($B$19+3*$B$64)&gt;=$B$80),$B$146+$B$144*(($B$19+3*$B$64)),NA())</f>
        <v>60.79092</v>
      </c>
      <c r="FE55" t="e">
        <f>IF(AND(AND($B$21=1,(4*$B$66)&lt;$B$62),(4*$B$66)&gt;=$B$80),$B$145+$B$144*($B$82),NA())</f>
        <v>#N/A</v>
      </c>
      <c r="FF55" t="e">
        <f>IF(AND(AND($B$21=1,(4*$B$66)&lt;$B$62),(4*$B$66)&gt;=$B$80),$B$146+$B$144*((4*$B$66)),NA())</f>
        <v>#N/A</v>
      </c>
      <c r="FI55" t="e">
        <f>NA()</f>
        <v>#N/A</v>
      </c>
      <c r="FJ55" t="e">
        <f>NA()</f>
        <v>#N/A</v>
      </c>
      <c r="GG55">
        <f>IF(AND(AND($B$20=1,($B$19+3*$B$64)&lt;$B$10-0.3),($B$19+3*$B$64)&gt;=$B$111),$B$151+$B$150*(MAX(IF(($B$19+3*$B$64)&lt;=$B$9,0,(($B$19+3*$B$64)-$B$9)/$B$8),MIN(($B$5-IF(($B$19+3*$B$64)&lt;=$B$9,0,(($B$19+3*$B$64)-$B$9)/$B$8)),$B$113))),NA())</f>
        <v>173.182</v>
      </c>
      <c r="GH55">
        <f>IF(AND(AND($B$20=1,($B$19+3*$B$64)&lt;$B$10-0.3),($B$19+3*$B$64)&gt;=$B$111),$B$152+$B$150*(($B$19+3*$B$64)),NA())</f>
        <v>65.25456</v>
      </c>
      <c r="GI55" t="e">
        <f>IF(AND(AND($B$21=1,(4*$B$66)&lt;IF($B$63=1,$B$10-0.2,$B$62)),(4*$B$66)&gt;=$B$111),$B$151+$B$150*(MAX(IF((4*$B$66)&lt;=$B$9,0,((4*$B$66)-$B$9)/$B$8),MIN(($B$5-IF((4*$B$66)&lt;=$B$9,0,((4*$B$66)-$B$9)/$B$8)),$B$113))),NA())</f>
        <v>#N/A</v>
      </c>
      <c r="GJ55" t="e">
        <f>IF(AND(AND($B$21=1,(4*$B$66)&lt;IF($B$63=1,$B$10-0.2,$B$62)),(4*$B$66)&gt;=$B$111),$B$152+$B$150*((4*$B$66)),NA())</f>
        <v>#N/A</v>
      </c>
      <c r="HI55" t="e">
        <f>NA()</f>
        <v>#N/A</v>
      </c>
      <c r="HJ55" t="e">
        <f>NA()</f>
        <v>#N/A</v>
      </c>
      <c r="HK55" t="e">
        <f>NA()</f>
        <v>#N/A</v>
      </c>
      <c r="HL55" t="e">
        <f>NA()</f>
        <v>#N/A</v>
      </c>
      <c r="HM55" t="e">
        <f>NA()</f>
        <v>#N/A</v>
      </c>
      <c r="HN55" t="e">
        <f>NA()</f>
        <v>#N/A</v>
      </c>
      <c r="HQ55" t="e">
        <f>NA()</f>
        <v>#N/A</v>
      </c>
      <c r="HR55" t="e">
        <f>NA()</f>
        <v>#N/A</v>
      </c>
      <c r="HS55">
        <f>IF(AND(3&lt;=$B$12,$B$51&gt;0),$B$157+$B$156*(((3-0.5)*$B$13)+($B$51*$B$13)/2),NA())</f>
        <v>77.9624285714286</v>
      </c>
      <c r="HT55">
        <f>IF(AND(3&lt;=$B$12,$B$51&gt;0),$B$158+$B$156*((0*$B$5/2+$B$5/2-0.6*$B$159)),NA())</f>
        <v>51.4</v>
      </c>
      <c r="HU55" t="e">
        <f>IF(5&lt;=$B$47,$B$157+$B$156*(((MAX(1,MIN($B$12,ROUND(5*$B$12/($B$47+1),0)))-1)*$B$13+0.25*$B$13)+$B$48/2),NA())</f>
        <v>#N/A</v>
      </c>
      <c r="HV55" t="e">
        <f>IF(5&lt;=$B$47,$B$158+$B$156*(IF(MOD(5,2)=1,$B$5/4,3*$B$5/4)+$B$49/2),NA())</f>
        <v>#N/A</v>
      </c>
      <c r="IU55" t="e">
        <f>IF($B$167+0.05+11*'PARAMÈTRES'!$C$101&lt;$B$168-$B$41,$B$174+$B$173*($B$169+$B$29/2-$B$41),NA())</f>
        <v>#N/A</v>
      </c>
      <c r="IV55" t="e">
        <f>IF($B$167+0.05+11*'PARAMÈTRES'!$C$101&lt;$B$168-$B$41,$B$175+$B$173*($B$167+0.05+11*'PARAMÈTRES'!$C$101),NA())</f>
        <v>#N/A</v>
      </c>
      <c r="IW55">
        <f>IF(AND(0.2+15*$B$43&lt;$B$170,ABS(0.2+15*$B$43-$B$169)&gt;$B$29/2+0.03),$B$174+$B$173*(0.2+15*$B$43),NA())</f>
        <v>113.2648</v>
      </c>
      <c r="IX55">
        <f>IF(AND(0.2+15*$B$43&lt;$B$170,ABS(0.2+15*$B$43-$B$169)&gt;$B$29/2+0.03),$B$175+$B$173*($B$165+$B$42+0.015),NA())</f>
        <v>58.91092</v>
      </c>
      <c r="KI55" t="e">
        <f>NA()</f>
        <v>#N/A</v>
      </c>
      <c r="KJ55" t="e">
        <f>NA()</f>
        <v>#N/A</v>
      </c>
    </row>
    <row r="56">
      <c r="A56" t="inlineStr">
        <is>
          <t>h_pot</t>
        </is>
      </c>
      <c r="B56">
        <f>MAX(0.15,'PRÉDIMENSIONNEMENT'!$G$69/1000)</f>
        <v>0.33</v>
      </c>
      <c r="G56" t="e">
        <f>IF(17&lt;=$B$12,$B$133+$B$132*($B$13*17),NA())</f>
        <v>#N/A</v>
      </c>
      <c r="H56" t="e">
        <f>IF(17&lt;=$B$12,$B$134+$B$132*(-4*$B$135),NA())</f>
        <v>#N/A</v>
      </c>
      <c r="K56" t="e">
        <f>IF(AND(2&lt;=$B$12,$B$45=1),$B$133+$B$132*($B$13*2-$B$27/2),NA())</f>
        <v>#N/A</v>
      </c>
      <c r="L56" t="e">
        <f>IF(AND(2&lt;=$B$12,$B$45=1),$B$134+$B$132*($B$5/2+$B$27/2),NA())</f>
        <v>#N/A</v>
      </c>
      <c r="M56" t="e">
        <f>IF(17&lt;=$B$12,$B$133+$B$132*($B$13*17),NA())</f>
        <v>#N/A</v>
      </c>
      <c r="N56" t="e">
        <f>IF(17&lt;=$B$12,$B$134+$B$132*(0),NA())</f>
        <v>#N/A</v>
      </c>
      <c r="EA56" t="e">
        <f>IF(AND($B$18=1,18&lt;=$B$26-1),$B$139+$B$138*(18*($B$5/MAX(1,$B$26))),NA())</f>
        <v>#N/A</v>
      </c>
      <c r="EB56" t="e">
        <f>IF(AND($B$18=1,18&lt;=$B$26-1),$B$140+$B$138*($B$7),NA())</f>
        <v>#N/A</v>
      </c>
      <c r="EE56" t="e">
        <f>IF(25&lt;=$B$16-1,$B$139+$B$138*($B$5-25*($B$5/2)/MAX(1,$B$16-1)),NA())</f>
        <v>#N/A</v>
      </c>
      <c r="EF56" t="e">
        <f>IF(25&lt;=$B$16-1,$B$140+$B$138*($B$9+$B$8*25*($B$5/2)/MAX(1,$B$16-1)+1.2*$B$141),NA())</f>
        <v>#N/A</v>
      </c>
      <c r="FA56" t="e">
        <f>IF(17&lt;=$B$12,$B$145+$B$144*($B$13*17),NA())</f>
        <v>#N/A</v>
      </c>
      <c r="FB56" t="e">
        <f>IF(17&lt;=$B$12,$B$146+$B$144*(0),NA())</f>
        <v>#N/A</v>
      </c>
      <c r="FC56">
        <f>IF(3&lt;$B$22,$B$145+$B$144*(IF(($B$19+3*$B$64)&lt;$B$80,$B$84,$B$82)),NA())</f>
        <v>183.182</v>
      </c>
      <c r="FD56">
        <f>IF(3&lt;$B$22,$B$146+$B$144*(($B$19+3*$B$64)),NA())</f>
        <v>60.79092</v>
      </c>
      <c r="FE56" t="e">
        <f>IF(AND($B$21=1,(4*$B$66)&lt;$B$62),$B$145+$B$144*(IF((4*$B$66)&lt;$B$80,$B$84,$B$82)),NA())</f>
        <v>#N/A</v>
      </c>
      <c r="FF56" t="e">
        <f>IF(AND($B$21=1,(4*$B$66)&lt;$B$62),$B$146+$B$144*((4*$B$66)),NA())</f>
        <v>#N/A</v>
      </c>
      <c r="FI56" t="e">
        <f>IF(9&lt;=$B$23,$B$145+$B$144*(IF(9=1,1,IF(9=$B$23,$B$12,5*(9-1)))*$B$13),NA())</f>
        <v>#N/A</v>
      </c>
      <c r="FJ56" t="e">
        <f>IF(9&lt;=$B$23,$B$146+$B$144*(0),NA())</f>
        <v>#N/A</v>
      </c>
      <c r="GG56">
        <f>IF(AND($B$20=1,($B$19+3*$B$64)&lt;$B$10-0.3),$B$151+$B$150*(MAX(IF(($B$19+3*$B$64)&lt;=$B$9,0,(($B$19+3*$B$64)-$B$9)/$B$8),MIN(($B$5-IF(($B$19+3*$B$64)&lt;=$B$9,0,(($B$19+3*$B$64)-$B$9)/$B$8)),IF(($B$19+3*$B$64)&lt;$B$111,$B$115,$B$113)))),NA())</f>
        <v>173.182</v>
      </c>
      <c r="GH56">
        <f>IF(AND($B$20=1,($B$19+3*$B$64)&lt;$B$10-0.3),$B$152+$B$150*(($B$19+3*$B$64)),NA())</f>
        <v>65.25456</v>
      </c>
      <c r="GI56" t="e">
        <f>IF(AND($B$21=1,(4*$B$66)&lt;IF($B$63=1,$B$10-0.2,$B$62)),$B$151+$B$150*(MAX(IF((4*$B$66)&lt;=$B$9,0,((4*$B$66)-$B$9)/$B$8),MIN(($B$5-IF((4*$B$66)&lt;=$B$9,0,((4*$B$66)-$B$9)/$B$8)),IF((4*$B$66)&lt;$B$111,$B$115,$B$113)))),NA())</f>
        <v>#N/A</v>
      </c>
      <c r="GJ56" t="e">
        <f>IF(AND($B$21=1,(4*$B$66)&lt;IF($B$63=1,$B$10-0.2,$B$62)),$B$152+$B$150*((4*$B$66)),NA())</f>
        <v>#N/A</v>
      </c>
      <c r="HI56">
        <f>IF(8&lt;=$B$16-1,$B$157+$B$156*(-$B$46),NA())</f>
        <v>21.451</v>
      </c>
      <c r="HJ56">
        <f>IF(8&lt;=$B$16-1,$B$158+$B$156*($B$5-8*($B$5/2)/MAX(1,$B$16-1)),NA())</f>
        <v>52</v>
      </c>
      <c r="HK56" t="e">
        <f>IF(17&lt;=$B$12,$B$157+$B$156*($B$13*17),NA())</f>
        <v>#N/A</v>
      </c>
      <c r="HL56" t="e">
        <f>IF(17&lt;=$B$12,$B$158+$B$156*(0),NA())</f>
        <v>#N/A</v>
      </c>
      <c r="HM56" t="e">
        <f>IF(AND(9&lt;=$B$12,2&lt;=$B$25),$B$157+$B$156*((9-1)*$B$13+2*$B$13/($B$25+1)),NA())</f>
        <v>#N/A</v>
      </c>
      <c r="HN56" t="e">
        <f>IF(AND(9&lt;=$B$12,2&lt;=$B$25),$B$158+$B$156*(0),NA())</f>
        <v>#N/A</v>
      </c>
      <c r="HQ56" t="e">
        <f>IF(AND(1&lt;=$B$23,3&lt;=$B$24),$B$157+$B$156*((IF(1=1,1,IF(1=$B$23,$B$12,5*(1-1)))-1)*$B$13),NA())</f>
        <v>#N/A</v>
      </c>
      <c r="HR56" t="e">
        <f>IF(AND(1&lt;=$B$23,3&lt;=$B$24),$B$158+$B$156*((1*$B$5/2+3*($B$5/2)/$B$24)),NA())</f>
        <v>#N/A</v>
      </c>
      <c r="HS56">
        <f>IF(AND(3&lt;=$B$12,$B$51&gt;0),$B$157+$B$156*(((3-0.5)*$B$13)-($B$51*$B$13)/2),NA())</f>
        <v>75.791</v>
      </c>
      <c r="HT56">
        <f>IF(AND(3&lt;=$B$12,$B$51&gt;0),$B$158+$B$156*((0*$B$5/2+$B$5/2-0.6*$B$159)),NA())</f>
        <v>51.4</v>
      </c>
      <c r="HU56" t="e">
        <f>IF(5&lt;=$B$47,$B$157+$B$156*(((MAX(1,MIN($B$12,ROUND(5*$B$12/($B$47+1),0)))-1)*$B$13+0.25*$B$13)-$B$48/2),NA())</f>
        <v>#N/A</v>
      </c>
      <c r="HV56" t="e">
        <f>IF(5&lt;=$B$47,$B$158+$B$156*(IF(MOD(5,2)=1,$B$5/4,3*$B$5/4)+$B$49/2),NA())</f>
        <v>#N/A</v>
      </c>
      <c r="IU56" t="e">
        <f>NA()</f>
        <v>#N/A</v>
      </c>
      <c r="IV56" t="e">
        <f>NA()</f>
        <v>#N/A</v>
      </c>
      <c r="IW56" t="e">
        <f>IF(AND(0.2+15*$B$43&lt;$B$170,ABS(0.2+15*$B$43-$B$169)&gt;$B$29/2+0.03,$B$44=1),$B$174+$B$173*(0.2+15*$B$43),NA())</f>
        <v>#N/A</v>
      </c>
      <c r="IX56" t="e">
        <f>IF(AND(0.2+15*$B$43&lt;$B$170,ABS(0.2+15*$B$43-$B$169)&gt;$B$29/2+0.03,$B$44=1),$B$175+$B$173*($B$166-$B$42-0.015),NA())</f>
        <v>#N/A</v>
      </c>
      <c r="KI56" t="e">
        <f>IF(AND($B$21=1,5*$B$67&gt;$B$59,5*$B$67&lt;$B$178-$B$59,OR($B$63=0,ABS(5*$B$67-$B$178/2)&gt;$B$59/2)),$B$182+$B$181*($B$177*1/4+$B$60/2),NA())</f>
        <v>#N/A</v>
      </c>
      <c r="KJ56" t="e">
        <f>IF(AND($B$21=1,5*$B$67&gt;$B$59,5*$B$67&lt;$B$178-$B$59,OR($B$63=0,ABS(5*$B$67-$B$178/2)&gt;$B$59/2)),$B$183+$B$181*(5*$B$67),NA())</f>
        <v>#N/A</v>
      </c>
    </row>
    <row r="57">
      <c r="A57" t="inlineStr">
        <is>
          <t>l_tige</t>
        </is>
      </c>
      <c r="B57">
        <f>'PARAMÈTRES'!$C$73</f>
        <v>0.6</v>
      </c>
      <c r="G57" t="e">
        <f>IF(17&lt;=$B$12,$B$133+$B$132*($B$13*17),NA())</f>
        <v>#N/A</v>
      </c>
      <c r="H57" t="e">
        <f>IF(17&lt;=$B$12,$B$134+$B$132*($B$5+4*$B$135),NA())</f>
        <v>#N/A</v>
      </c>
      <c r="K57" t="e">
        <f>IF(AND(2&lt;=$B$12,$B$45=1),$B$133+$B$132*($B$13*2-$B$27/2),NA())</f>
        <v>#N/A</v>
      </c>
      <c r="L57" t="e">
        <f>IF(AND(2&lt;=$B$12,$B$45=1),$B$134+$B$132*($B$5/2-$B$27/2),NA())</f>
        <v>#N/A</v>
      </c>
      <c r="M57" t="e">
        <f>IF(17&lt;=$B$12,$B$133+$B$132*($B$13*17),NA())</f>
        <v>#N/A</v>
      </c>
      <c r="N57" t="e">
        <f>IF(17&lt;=$B$12,$B$134+$B$132*($B$5),NA())</f>
        <v>#N/A</v>
      </c>
      <c r="EA57" t="e">
        <f>IF(AND($B$18=1,18&lt;=$B$26-1),$B$139+$B$138*(18*($B$5/MAX(1,$B$26))),NA())</f>
        <v>#N/A</v>
      </c>
      <c r="EB57" t="e">
        <f>IF(AND($B$18=1,18&lt;=$B$26-1),$B$140+$B$138*(($B$9+$B$8*MIN(18*($B$5/MAX(1,$B$26)),$B$5-(18*($B$5/MAX(1,$B$26)))))),NA())</f>
        <v>#N/A</v>
      </c>
      <c r="EE57" t="e">
        <f>IF(26&lt;=$B$16-1,$B$139+$B$138*(26*($B$5/2)/MAX(1,$B$16-1)),NA())</f>
        <v>#N/A</v>
      </c>
      <c r="EF57" t="e">
        <f>IF(26&lt;=$B$16-1,$B$140+$B$138*($B$9+$B$8*26*($B$5/2)/MAX(1,$B$16-1)+1.2*$B$141),NA())</f>
        <v>#N/A</v>
      </c>
      <c r="FA57" t="e">
        <f>IF(17&lt;=$B$12,$B$145+$B$144*($B$13*17),NA())</f>
        <v>#N/A</v>
      </c>
      <c r="FB57" t="e">
        <f>IF(17&lt;=$B$12,$B$146+$B$144*($B$9),NA())</f>
        <v>#N/A</v>
      </c>
      <c r="FC57">
        <f>IF(3&lt;$B$22,$B$145+$B$144*(IF(($B$19+3*$B$64)&lt;$B$87,$B$90,$B$89)),NA())</f>
        <v>183.182</v>
      </c>
      <c r="FD57">
        <f>IF(3&lt;$B$22,$B$146+$B$144*(($B$19+3*$B$64)),NA())</f>
        <v>60.79092</v>
      </c>
      <c r="FE57" t="e">
        <f>IF(AND($B$21=1,(4*$B$66)&lt;$B$62),$B$145+$B$144*(IF((4*$B$66)&lt;$B$87,$B$90,$B$89)),NA())</f>
        <v>#N/A</v>
      </c>
      <c r="FF57" t="e">
        <f>IF(AND($B$21=1,(4*$B$66)&lt;$B$62),$B$146+$B$144*((4*$B$66)),NA())</f>
        <v>#N/A</v>
      </c>
      <c r="FI57" t="e">
        <f>IF(9&lt;=$B$23,$B$145+$B$144*((IF(9=1,1,IF(9=$B$23,$B$12,5*(9-1)))-1)*$B$13),NA())</f>
        <v>#N/A</v>
      </c>
      <c r="FJ57" t="e">
        <f>IF(9&lt;=$B$23,$B$146+$B$144*($B$9),NA())</f>
        <v>#N/A</v>
      </c>
      <c r="GG57">
        <f>IF(AND($B$20=1,($B$19+3*$B$64)&lt;$B$10-0.3),$B$151+$B$150*(MAX(IF(($B$19+3*$B$64)&lt;=$B$9,0,(($B$19+3*$B$64)-$B$9)/$B$8),MIN(($B$5-IF(($B$19+3*$B$64)&lt;=$B$9,0,(($B$19+3*$B$64)-$B$9)/$B$8)),IF(($B$19+3*$B$64)&lt;$B$118,$B$121,$B$120)))),NA())</f>
        <v>173.182</v>
      </c>
      <c r="GH57">
        <f>IF(AND($B$20=1,($B$19+3*$B$64)&lt;$B$10-0.3),$B$152+$B$150*(($B$19+3*$B$64)),NA())</f>
        <v>65.25456</v>
      </c>
      <c r="GI57" t="e">
        <f>IF(AND($B$21=1,(4*$B$66)&lt;IF($B$63=1,$B$10-0.2,$B$62)),$B$151+$B$150*(MAX(IF((4*$B$66)&lt;=$B$9,0,((4*$B$66)-$B$9)/$B$8),MIN(($B$5-IF((4*$B$66)&lt;=$B$9,0,((4*$B$66)-$B$9)/$B$8)),IF((4*$B$66)&lt;$B$118,$B$121,$B$120)))),NA())</f>
        <v>#N/A</v>
      </c>
      <c r="GJ57" t="e">
        <f>IF(AND($B$21=1,(4*$B$66)&lt;IF($B$63=1,$B$10-0.2,$B$62)),$B$152+$B$150*((4*$B$66)),NA())</f>
        <v>#N/A</v>
      </c>
      <c r="HI57">
        <f>IF(8&lt;=$B$16-1,$B$157+$B$156*($B$6+$B$46),NA())</f>
        <v>175.731</v>
      </c>
      <c r="HJ57">
        <f>IF(8&lt;=$B$16-1,$B$158+$B$156*($B$5-8*($B$5/2)/MAX(1,$B$16-1)),NA())</f>
        <v>52</v>
      </c>
      <c r="HK57" t="e">
        <f>IF(17&lt;=$B$12,$B$157+$B$156*($B$13*17),NA())</f>
        <v>#N/A</v>
      </c>
      <c r="HL57" t="e">
        <f>IF(17&lt;=$B$12,$B$158+$B$156*($B$5),NA())</f>
        <v>#N/A</v>
      </c>
      <c r="HM57" t="e">
        <f>IF(AND(9&lt;=$B$12,2&lt;=$B$25),$B$157+$B$156*((9-1)*$B$13+2*$B$13/($B$25+1)),NA())</f>
        <v>#N/A</v>
      </c>
      <c r="HN57" t="e">
        <f>IF(AND(9&lt;=$B$12,2&lt;=$B$25),$B$158+$B$156*($B$5),NA())</f>
        <v>#N/A</v>
      </c>
      <c r="HQ57" t="e">
        <f>IF(AND(1&lt;=$B$23,3&lt;=$B$24),$B$157+$B$156*(IF(1=1,1,IF(1=$B$23,$B$12,5*(1-1)))*$B$13),NA())</f>
        <v>#N/A</v>
      </c>
      <c r="HR57" t="e">
        <f>IF(AND(1&lt;=$B$23,3&lt;=$B$24),$B$158+$B$156*((1*$B$5/2+(3-1)*($B$5/2)/$B$24)),NA())</f>
        <v>#N/A</v>
      </c>
      <c r="HS57">
        <f>IF(AND(3&lt;=$B$12,$B$51&gt;0),$B$157+$B$156*(((3-0.5)*$B$13)-($B$51*$B$13)/2),NA())</f>
        <v>75.791</v>
      </c>
      <c r="HT57">
        <f>IF(AND(3&lt;=$B$12,$B$51&gt;0),$B$158+$B$156*((0*$B$5/2+0.6*$B$159)),NA())</f>
        <v>14.6</v>
      </c>
      <c r="HU57" t="e">
        <f>IF(5&lt;=$B$47,$B$157+$B$156*(((MAX(1,MIN($B$12,ROUND(5*$B$12/($B$47+1),0)))-1)*$B$13+0.25*$B$13)-$B$48/2),NA())</f>
        <v>#N/A</v>
      </c>
      <c r="HV57" t="e">
        <f>IF(5&lt;=$B$47,$B$158+$B$156*(IF(MOD(5,2)=1,$B$5/4,3*$B$5/4)-$B$49/2),NA())</f>
        <v>#N/A</v>
      </c>
      <c r="IU57">
        <f>$B$174+$B$173*(0.075+$B$42)</f>
        <v>34.04518</v>
      </c>
      <c r="IV57">
        <f>$B$175+$B$173*($B$165+$B$42)</f>
        <v>58.52698</v>
      </c>
      <c r="IW57">
        <f>IF(AND(0.2+16*$B$43&lt;$B$170,ABS(0.2+16*$B$43-$B$169)&gt;$B$29/2+0.03),$B$174+$B$173*(0.2+16*$B$43),NA())</f>
        <v>118.384</v>
      </c>
      <c r="IX57">
        <f>IF(AND(0.2+16*$B$43&lt;$B$170,ABS(0.2+16*$B$43-$B$169)&gt;$B$29/2+0.03),$B$175+$B$173*($B$165+$B$42+0.015),NA())</f>
        <v>58.91092</v>
      </c>
      <c r="KI57" t="e">
        <f>IF(AND($B$21=1,5*$B$67&gt;$B$59,5*$B$67&lt;$B$178-$B$59,OR($B$63=0,ABS(5*$B$67-$B$178/2)&gt;$B$59/2)),$B$182+$B$181*($B$177*2/4-$B$60/2),NA())</f>
        <v>#N/A</v>
      </c>
      <c r="KJ57" t="e">
        <f>IF(AND($B$21=1,5*$B$67&gt;$B$59,5*$B$67&lt;$B$178-$B$59,OR($B$63=0,ABS(5*$B$67-$B$178/2)&gt;$B$59/2)),$B$183+$B$181*(5*$B$67),NA())</f>
        <v>#N/A</v>
      </c>
    </row>
    <row r="58">
      <c r="A58" t="inlineStr">
        <is>
          <t>b_ch</t>
        </is>
      </c>
      <c r="B58">
        <f>'PARAMÈTRES'!$C$129</f>
        <v>0.15</v>
      </c>
      <c r="G58" t="e">
        <f>NA()</f>
        <v>#N/A</v>
      </c>
      <c r="H58" t="e">
        <f>NA()</f>
        <v>#N/A</v>
      </c>
      <c r="K58" t="e">
        <f>NA()</f>
        <v>#N/A</v>
      </c>
      <c r="L58" t="e">
        <f>NA()</f>
        <v>#N/A</v>
      </c>
      <c r="M58" t="e">
        <f>IF(AND(17&lt;=$B$12,$B$45=1),$B$133+$B$132*($B$13*17),NA())</f>
        <v>#N/A</v>
      </c>
      <c r="N58" t="e">
        <f>IF(AND(17&lt;=$B$12,$B$45=1),$B$134+$B$132*($B$5/2),NA())</f>
        <v>#N/A</v>
      </c>
      <c r="EA58" t="e">
        <f>NA()</f>
        <v>#N/A</v>
      </c>
      <c r="EB58" t="e">
        <f>NA()</f>
        <v>#N/A</v>
      </c>
      <c r="EE58" t="e">
        <f>IF(26&lt;=$B$16-1,$B$139+$B$138*($B$5-26*($B$5/2)/MAX(1,$B$16-1)),NA())</f>
        <v>#N/A</v>
      </c>
      <c r="EF58" t="e">
        <f>IF(26&lt;=$B$16-1,$B$140+$B$138*($B$9+$B$8*26*($B$5/2)/MAX(1,$B$16-1)+1.2*$B$141),NA())</f>
        <v>#N/A</v>
      </c>
      <c r="FA58" t="e">
        <f>NA()</f>
        <v>#N/A</v>
      </c>
      <c r="FB58" t="e">
        <f>NA()</f>
        <v>#N/A</v>
      </c>
      <c r="FC58">
        <f>IF(AND(3&lt;$B$22,($B$19+3*$B$64)&gt;=$B$87),$B$145+$B$144*($B$89),NA())</f>
        <v>183.182</v>
      </c>
      <c r="FD58">
        <f>IF(AND(3&lt;$B$22,($B$19+3*$B$64)&gt;=$B$87),$B$146+$B$144*(($B$19+3*$B$64)),NA())</f>
        <v>60.79092</v>
      </c>
      <c r="FE58" t="e">
        <f>IF(AND(AND($B$21=1,(4*$B$66)&lt;$B$62),(4*$B$66)&gt;=$B$87),$B$145+$B$144*($B$89),NA())</f>
        <v>#N/A</v>
      </c>
      <c r="FF58" t="e">
        <f>IF(AND(AND($B$21=1,(4*$B$66)&lt;$B$62),(4*$B$66)&gt;=$B$87),$B$146+$B$144*((4*$B$66)),NA())</f>
        <v>#N/A</v>
      </c>
      <c r="FI58" t="e">
        <f>NA()</f>
        <v>#N/A</v>
      </c>
      <c r="FJ58" t="e">
        <f>NA()</f>
        <v>#N/A</v>
      </c>
      <c r="GG58">
        <f>IF(AND(AND($B$20=1,($B$19+3*$B$64)&lt;$B$10-0.3),($B$19+3*$B$64)&gt;=$B$118),$B$151+$B$150*(MAX(IF(($B$19+3*$B$64)&lt;=$B$9,0,(($B$19+3*$B$64)-$B$9)/$B$8),MIN(($B$5-IF(($B$19+3*$B$64)&lt;=$B$9,0,(($B$19+3*$B$64)-$B$9)/$B$8)),$B$120))),NA())</f>
        <v>173.182</v>
      </c>
      <c r="GH58">
        <f>IF(AND(AND($B$20=1,($B$19+3*$B$64)&lt;$B$10-0.3),($B$19+3*$B$64)&gt;=$B$118),$B$152+$B$150*(($B$19+3*$B$64)),NA())</f>
        <v>65.25456</v>
      </c>
      <c r="GI58" t="e">
        <f>IF(AND(AND($B$21=1,(4*$B$66)&lt;IF($B$63=1,$B$10-0.2,$B$62)),(4*$B$66)&gt;=$B$118),$B$151+$B$150*(MAX(IF((4*$B$66)&lt;=$B$9,0,((4*$B$66)-$B$9)/$B$8),MIN(($B$5-IF((4*$B$66)&lt;=$B$9,0,((4*$B$66)-$B$9)/$B$8)),$B$120))),NA())</f>
        <v>#N/A</v>
      </c>
      <c r="GJ58" t="e">
        <f>IF(AND(AND($B$21=1,(4*$B$66)&lt;IF($B$63=1,$B$10-0.2,$B$62)),(4*$B$66)&gt;=$B$118),$B$152+$B$150*((4*$B$66)),NA())</f>
        <v>#N/A</v>
      </c>
      <c r="HI58" t="e">
        <f>NA()</f>
        <v>#N/A</v>
      </c>
      <c r="HJ58" t="e">
        <f>NA()</f>
        <v>#N/A</v>
      </c>
      <c r="HK58" t="e">
        <f>NA()</f>
        <v>#N/A</v>
      </c>
      <c r="HL58" t="e">
        <f>NA()</f>
        <v>#N/A</v>
      </c>
      <c r="HM58" t="e">
        <f>NA()</f>
        <v>#N/A</v>
      </c>
      <c r="HN58" t="e">
        <f>NA()</f>
        <v>#N/A</v>
      </c>
      <c r="HQ58" t="e">
        <f>NA()</f>
        <v>#N/A</v>
      </c>
      <c r="HR58" t="e">
        <f>NA()</f>
        <v>#N/A</v>
      </c>
      <c r="HS58" t="e">
        <f>NA()</f>
        <v>#N/A</v>
      </c>
      <c r="HT58" t="e">
        <f>NA()</f>
        <v>#N/A</v>
      </c>
      <c r="HU58" t="e">
        <f>NA()</f>
        <v>#N/A</v>
      </c>
      <c r="HV58" t="e">
        <f>NA()</f>
        <v>#N/A</v>
      </c>
      <c r="IU58">
        <f>$B$174+$B$173*($B$169-$B$29/2-$B$42)</f>
        <v>89.46052</v>
      </c>
      <c r="IV58">
        <f>$B$175+$B$173*($B$165+$B$42)</f>
        <v>58.52698</v>
      </c>
      <c r="IW58" t="e">
        <f>IF(AND(0.2+16*$B$43&lt;$B$170,ABS(0.2+16*$B$43-$B$169)&gt;$B$29/2+0.03,$B$44=1),$B$174+$B$173*(0.2+16*$B$43),NA())</f>
        <v>#N/A</v>
      </c>
      <c r="IX58" t="e">
        <f>IF(AND(0.2+16*$B$43&lt;$B$170,ABS(0.2+16*$B$43-$B$169)&gt;$B$29/2+0.03,$B$44=1),$B$175+$B$173*($B$166-$B$42-0.015),NA())</f>
        <v>#N/A</v>
      </c>
      <c r="KI58" t="e">
        <f>NA()</f>
        <v>#N/A</v>
      </c>
      <c r="KJ58" t="e">
        <f>NA()</f>
        <v>#N/A</v>
      </c>
    </row>
    <row r="59">
      <c r="A59" t="inlineStr">
        <is>
          <t>h_ch</t>
        </is>
      </c>
      <c r="B59">
        <f>'PARAMÈTRES'!$C$130</f>
        <v>0.2</v>
      </c>
      <c r="G59" t="e">
        <f>IF(18&lt;=$B$12,$B$133+$B$132*($B$13*18),NA())</f>
        <v>#N/A</v>
      </c>
      <c r="H59" t="e">
        <f>IF(18&lt;=$B$12,$B$134+$B$132*(-4*$B$135),NA())</f>
        <v>#N/A</v>
      </c>
      <c r="K59">
        <f>IF(3&lt;=$B$12,$B$133+$B$132*($B$13*3-$B$27/2),NA())</f>
        <v>87.8367142857143</v>
      </c>
      <c r="L59">
        <f>IF(3&lt;=$B$12,$B$134+$B$132*(0-$B$27/2),NA())</f>
        <v>13.96</v>
      </c>
      <c r="M59" t="e">
        <f>IF(18&lt;=$B$12,$B$133+$B$132*($B$13*18),NA())</f>
        <v>#N/A</v>
      </c>
      <c r="N59" t="e">
        <f>IF(18&lt;=$B$12,$B$134+$B$132*(0),NA())</f>
        <v>#N/A</v>
      </c>
      <c r="EA59" t="e">
        <f>IF(AND($B$18=1,19&lt;=$B$26-1),$B$139+$B$138*(19*($B$5/MAX(1,$B$26))),NA())</f>
        <v>#N/A</v>
      </c>
      <c r="EB59" t="e">
        <f>IF(AND($B$18=1,19&lt;=$B$26-1),$B$140+$B$138*($B$7),NA())</f>
        <v>#N/A</v>
      </c>
      <c r="EE59" t="e">
        <f>IF(27&lt;=$B$16-1,$B$139+$B$138*(27*($B$5/2)/MAX(1,$B$16-1)),NA())</f>
        <v>#N/A</v>
      </c>
      <c r="EF59" t="e">
        <f>IF(27&lt;=$B$16-1,$B$140+$B$138*($B$9+$B$8*27*($B$5/2)/MAX(1,$B$16-1)+1.2*$B$141),NA())</f>
        <v>#N/A</v>
      </c>
      <c r="FA59" t="e">
        <f>IF(18&lt;=$B$12,$B$145+$B$144*($B$13*18),NA())</f>
        <v>#N/A</v>
      </c>
      <c r="FB59" t="e">
        <f>IF(18&lt;=$B$12,$B$146+$B$144*(0),NA())</f>
        <v>#N/A</v>
      </c>
      <c r="FC59">
        <f>IF(3&lt;$B$22,$B$145+$B$144*(IF(($B$19+3*$B$64)&lt;$B$87,$B$91,$B$89)),NA())</f>
        <v>183.182</v>
      </c>
      <c r="FD59">
        <f>IF(3&lt;$B$22,$B$146+$B$144*(($B$19+3*$B$64)),NA())</f>
        <v>60.79092</v>
      </c>
      <c r="FE59" t="e">
        <f>IF(AND($B$21=1,(4*$B$66)&lt;$B$62),$B$145+$B$144*(IF((4*$B$66)&lt;$B$87,$B$91,$B$89)),NA())</f>
        <v>#N/A</v>
      </c>
      <c r="FF59" t="e">
        <f>IF(AND($B$21=1,(4*$B$66)&lt;$B$62),$B$146+$B$144*((4*$B$66)),NA())</f>
        <v>#N/A</v>
      </c>
      <c r="FI59" t="e">
        <f>IF(10&lt;=$B$23,$B$145+$B$144*((IF(10=1,1,IF(10=$B$23,$B$12,5*(10-1)))-1)*$B$13),NA())</f>
        <v>#N/A</v>
      </c>
      <c r="FJ59" t="e">
        <f>IF(10&lt;=$B$23,$B$146+$B$144*(0),NA())</f>
        <v>#N/A</v>
      </c>
      <c r="GG59">
        <f>IF(AND($B$20=1,($B$19+3*$B$64)&lt;$B$10-0.3),$B$151+$B$150*(MAX(IF(($B$19+3*$B$64)&lt;=$B$9,0,(($B$19+3*$B$64)-$B$9)/$B$8),MIN(($B$5-IF(($B$19+3*$B$64)&lt;=$B$9,0,(($B$19+3*$B$64)-$B$9)/$B$8)),IF(($B$19+3*$B$64)&lt;$B$118,$B$122,$B$120)))),NA())</f>
        <v>173.182</v>
      </c>
      <c r="GH59">
        <f>IF(AND($B$20=1,($B$19+3*$B$64)&lt;$B$10-0.3),$B$152+$B$150*(($B$19+3*$B$64)),NA())</f>
        <v>65.25456</v>
      </c>
      <c r="GI59" t="e">
        <f>IF(AND($B$21=1,(4*$B$66)&lt;IF($B$63=1,$B$10-0.2,$B$62)),$B$151+$B$150*(MAX(IF((4*$B$66)&lt;=$B$9,0,((4*$B$66)-$B$9)/$B$8),MIN(($B$5-IF((4*$B$66)&lt;=$B$9,0,((4*$B$66)-$B$9)/$B$8)),IF((4*$B$66)&lt;$B$118,$B$122,$B$120)))),NA())</f>
        <v>#N/A</v>
      </c>
      <c r="GJ59" t="e">
        <f>IF(AND($B$21=1,(4*$B$66)&lt;IF($B$63=1,$B$10-0.2,$B$62)),$B$152+$B$150*((4*$B$66)),NA())</f>
        <v>#N/A</v>
      </c>
      <c r="HI59" t="e">
        <f>IF(9&lt;=$B$16-1,$B$157+$B$156*(-$B$46),NA())</f>
        <v>#N/A</v>
      </c>
      <c r="HJ59" t="e">
        <f>IF(9&lt;=$B$16-1,$B$158+$B$156*(9*($B$5/2)/MAX(1,$B$16-1)),NA())</f>
        <v>#N/A</v>
      </c>
      <c r="HK59" t="e">
        <f>IF(18&lt;=$B$12,$B$157+$B$156*($B$13*18),NA())</f>
        <v>#N/A</v>
      </c>
      <c r="HL59" t="e">
        <f>IF(18&lt;=$B$12,$B$158+$B$156*(0),NA())</f>
        <v>#N/A</v>
      </c>
      <c r="HM59" t="e">
        <f>IF(AND(10&lt;=$B$12,1&lt;=$B$25),$B$157+$B$156*((10-1)*$B$13+1*$B$13/($B$25+1)),NA())</f>
        <v>#N/A</v>
      </c>
      <c r="HN59" t="e">
        <f>IF(AND(10&lt;=$B$12,1&lt;=$B$25),$B$158+$B$156*(0),NA())</f>
        <v>#N/A</v>
      </c>
      <c r="HQ59" t="e">
        <f>IF(AND(1&lt;=$B$23,4&lt;=$B$24),$B$157+$B$156*((IF(1=1,1,IF(1=$B$23,$B$12,5*(1-1)))-1)*$B$13),NA())</f>
        <v>#N/A</v>
      </c>
      <c r="HR59" t="e">
        <f>IF(AND(1&lt;=$B$23,4&lt;=$B$24),$B$158+$B$156*((1*$B$5/2+(4-1)*($B$5/2)/$B$24)),NA())</f>
        <v>#N/A</v>
      </c>
      <c r="HS59">
        <f>IF(AND(3&lt;=$B$12,$B$51&gt;0),$B$157+$B$156*(((3-0.5)*$B$13)-($B$51*$B$13)/2),NA())</f>
        <v>75.791</v>
      </c>
      <c r="HT59">
        <f>IF(AND(3&lt;=$B$12,$B$51&gt;0),$B$158+$B$156*((0*$B$5/2+0.6*$B$159)),NA())</f>
        <v>14.6</v>
      </c>
      <c r="HU59" t="e">
        <f>IF(5&lt;=$B$47,$B$157+$B$156*(((MAX(1,MIN($B$12,ROUND(5*$B$12/($B$47+1),0)))-1)*$B$13+0.25*$B$13)-$B$48/2-0.2),NA())</f>
        <v>#N/A</v>
      </c>
      <c r="HV59" t="e">
        <f>IF(5&lt;=$B$47,$B$158+$B$156*(IF(MOD(5,2)=1,$B$5/4,3*$B$5/4)-$B$49/2-0.2),NA())</f>
        <v>#N/A</v>
      </c>
      <c r="IU59" t="e">
        <f>NA()</f>
        <v>#N/A</v>
      </c>
      <c r="IV59" t="e">
        <f>NA()</f>
        <v>#N/A</v>
      </c>
      <c r="IW59">
        <f>IF(AND(0.2+17*$B$43&lt;$B$170,ABS(0.2+17*$B$43-$B$169)&gt;$B$29/2+0.03),$B$174+$B$173*(0.2+17*$B$43),NA())</f>
        <v>123.5032</v>
      </c>
      <c r="IX59">
        <f>IF(AND(0.2+17*$B$43&lt;$B$170,ABS(0.2+17*$B$43-$B$169)&gt;$B$29/2+0.03),$B$175+$B$173*($B$165+$B$42+0.015),NA())</f>
        <v>58.91092</v>
      </c>
      <c r="KI59" t="e">
        <f>IF(AND($B$21=1,5*$B$67&gt;$B$59,5*$B$67&lt;$B$178-$B$59,OR($B$63=0,ABS(5*$B$67-$B$178/2)&gt;$B$59/2)),$B$182+$B$181*($B$177*2/4+$B$60/2),NA())</f>
        <v>#N/A</v>
      </c>
      <c r="KJ59" t="e">
        <f>IF(AND($B$21=1,5*$B$67&gt;$B$59,5*$B$67&lt;$B$178-$B$59,OR($B$63=0,ABS(5*$B$67-$B$178/2)&gt;$B$59/2)),$B$183+$B$181*(5*$B$67),NA())</f>
        <v>#N/A</v>
      </c>
    </row>
    <row r="60">
      <c r="A60" t="inlineStr">
        <is>
          <t>b_rd</t>
        </is>
      </c>
      <c r="B60">
        <f>'PARAMÈTRES'!$C$135</f>
        <v>0.15</v>
      </c>
      <c r="G60" t="e">
        <f>IF(18&lt;=$B$12,$B$133+$B$132*($B$13*18),NA())</f>
        <v>#N/A</v>
      </c>
      <c r="H60" t="e">
        <f>IF(18&lt;=$B$12,$B$134+$B$132*($B$5+4*$B$135),NA())</f>
        <v>#N/A</v>
      </c>
      <c r="K60">
        <f>IF(3&lt;=$B$12,$B$133+$B$132*($B$13*3+$B$27/2),NA())</f>
        <v>91.9167142857143</v>
      </c>
      <c r="L60">
        <f>IF(3&lt;=$B$12,$B$134+$B$132*(0-$B$27/2),NA())</f>
        <v>13.96</v>
      </c>
      <c r="M60" t="e">
        <f>IF(18&lt;=$B$12,$B$133+$B$132*($B$13*18),NA())</f>
        <v>#N/A</v>
      </c>
      <c r="N60" t="e">
        <f>IF(18&lt;=$B$12,$B$134+$B$132*($B$5),NA())</f>
        <v>#N/A</v>
      </c>
      <c r="EA60" t="e">
        <f>IF(AND($B$18=1,19&lt;=$B$26-1),$B$139+$B$138*(19*($B$5/MAX(1,$B$26))),NA())</f>
        <v>#N/A</v>
      </c>
      <c r="EB60" t="e">
        <f>IF(AND($B$18=1,19&lt;=$B$26-1),$B$140+$B$138*(($B$9+$B$8*MIN(19*($B$5/MAX(1,$B$26)),$B$5-(19*($B$5/MAX(1,$B$26)))))),NA())</f>
        <v>#N/A</v>
      </c>
      <c r="EE60" t="e">
        <f>IF(27&lt;=$B$16-1,$B$139+$B$138*($B$5-27*($B$5/2)/MAX(1,$B$16-1)),NA())</f>
        <v>#N/A</v>
      </c>
      <c r="EF60" t="e">
        <f>IF(27&lt;=$B$16-1,$B$140+$B$138*($B$9+$B$8*27*($B$5/2)/MAX(1,$B$16-1)+1.2*$B$141),NA())</f>
        <v>#N/A</v>
      </c>
      <c r="FA60" t="e">
        <f>IF(18&lt;=$B$12,$B$145+$B$144*($B$13*18),NA())</f>
        <v>#N/A</v>
      </c>
      <c r="FB60" t="e">
        <f>IF(18&lt;=$B$12,$B$146+$B$144*($B$9),NA())</f>
        <v>#N/A</v>
      </c>
      <c r="FC60">
        <f>IF(3&lt;$B$22,$B$145+$B$144*(IF(($B$19+3*$B$64)&lt;$B$94,$B$97,$B$96)),NA())</f>
        <v>183.182</v>
      </c>
      <c r="FD60">
        <f>IF(3&lt;$B$22,$B$146+$B$144*(($B$19+3*$B$64)),NA())</f>
        <v>60.79092</v>
      </c>
      <c r="FE60" t="e">
        <f>IF(AND($B$21=1,(4*$B$66)&lt;$B$62),$B$145+$B$144*(IF((4*$B$66)&lt;$B$94,$B$97,$B$96)),NA())</f>
        <v>#N/A</v>
      </c>
      <c r="FF60" t="e">
        <f>IF(AND($B$21=1,(4*$B$66)&lt;$B$62),$B$146+$B$144*((4*$B$66)),NA())</f>
        <v>#N/A</v>
      </c>
      <c r="FI60" t="e">
        <f>IF(10&lt;=$B$23,$B$145+$B$144*(IF(10=1,1,IF(10=$B$23,$B$12,5*(10-1)))*$B$13),NA())</f>
        <v>#N/A</v>
      </c>
      <c r="FJ60" t="e">
        <f>IF(10&lt;=$B$23,$B$146+$B$144*($B$9),NA())</f>
        <v>#N/A</v>
      </c>
      <c r="GG60">
        <f>IF(AND($B$20=1,($B$19+3*$B$64)&lt;$B$10-0.3),$B$151+$B$150*(MAX(IF(($B$19+3*$B$64)&lt;=$B$9,0,(($B$19+3*$B$64)-$B$9)/$B$8),MIN(($B$5-IF(($B$19+3*$B$64)&lt;=$B$9,0,(($B$19+3*$B$64)-$B$9)/$B$8)),IF(($B$19+3*$B$64)&lt;$B$125,$B$128,$B$127)))),NA())</f>
        <v>173.182</v>
      </c>
      <c r="GH60">
        <f>IF(AND($B$20=1,($B$19+3*$B$64)&lt;$B$10-0.3),$B$152+$B$150*(($B$19+3*$B$64)),NA())</f>
        <v>65.25456</v>
      </c>
      <c r="GI60" t="e">
        <f>IF(AND($B$21=1,(4*$B$66)&lt;IF($B$63=1,$B$10-0.2,$B$62)),$B$151+$B$150*(MAX(IF((4*$B$66)&lt;=$B$9,0,((4*$B$66)-$B$9)/$B$8),MIN(($B$5-IF((4*$B$66)&lt;=$B$9,0,((4*$B$66)-$B$9)/$B$8)),IF((4*$B$66)&lt;$B$125,$B$128,$B$127)))),NA())</f>
        <v>#N/A</v>
      </c>
      <c r="GJ60" t="e">
        <f>IF(AND($B$21=1,(4*$B$66)&lt;IF($B$63=1,$B$10-0.2,$B$62)),$B$152+$B$150*((4*$B$66)),NA())</f>
        <v>#N/A</v>
      </c>
      <c r="HI60" t="e">
        <f>IF(9&lt;=$B$16-1,$B$157+$B$156*($B$6+$B$46),NA())</f>
        <v>#N/A</v>
      </c>
      <c r="HJ60" t="e">
        <f>IF(9&lt;=$B$16-1,$B$158+$B$156*(9*($B$5/2)/MAX(1,$B$16-1)),NA())</f>
        <v>#N/A</v>
      </c>
      <c r="HK60" t="e">
        <f>IF(18&lt;=$B$12,$B$157+$B$156*($B$13*18),NA())</f>
        <v>#N/A</v>
      </c>
      <c r="HL60" t="e">
        <f>IF(18&lt;=$B$12,$B$158+$B$156*($B$5),NA())</f>
        <v>#N/A</v>
      </c>
      <c r="HM60" t="e">
        <f>IF(AND(10&lt;=$B$12,1&lt;=$B$25),$B$157+$B$156*((10-1)*$B$13+1*$B$13/($B$25+1)),NA())</f>
        <v>#N/A</v>
      </c>
      <c r="HN60" t="e">
        <f>IF(AND(10&lt;=$B$12,1&lt;=$B$25),$B$158+$B$156*($B$5),NA())</f>
        <v>#N/A</v>
      </c>
      <c r="HQ60" t="e">
        <f>IF(AND(1&lt;=$B$23,4&lt;=$B$24),$B$157+$B$156*(IF(1=1,1,IF(1=$B$23,$B$12,5*(1-1)))*$B$13),NA())</f>
        <v>#N/A</v>
      </c>
      <c r="HR60" t="e">
        <f>IF(AND(1&lt;=$B$23,4&lt;=$B$24),$B$158+$B$156*((1*$B$5/2+4*($B$5/2)/$B$24)),NA())</f>
        <v>#N/A</v>
      </c>
      <c r="HS60">
        <f>IF(AND(3&lt;=$B$12,$B$51&gt;0),$B$157+$B$156*(((3-0.5)*$B$13)+($B$51*$B$13)/2),NA())</f>
        <v>77.9624285714286</v>
      </c>
      <c r="HT60">
        <f>IF(AND(3&lt;=$B$12,$B$51&gt;0),$B$158+$B$156*((0*$B$5/2+0.6*$B$159)+(((0*$B$5/2+$B$5/2-0.6*$B$159))-((0*$B$5/2+0.6*$B$159)))/4),NA())</f>
        <v>23.8</v>
      </c>
      <c r="HU60" t="e">
        <f>IF(5&lt;=$B$47,$B$157+$B$156*(((MAX(1,MIN($B$12,ROUND(5*$B$12/($B$47+1),0)))-1)*$B$13+0.25*$B$13)+$B$48/2+0.2),NA())</f>
        <v>#N/A</v>
      </c>
      <c r="HV60" t="e">
        <f>IF(5&lt;=$B$47,$B$158+$B$156*(IF(MOD(5,2)=1,$B$5/4,3*$B$5/4)-$B$49/2-0.2),NA())</f>
        <v>#N/A</v>
      </c>
      <c r="IU60">
        <f>$B$174+$B$173*($B$169+$B$29/2+$B$42)</f>
        <v>101.23468</v>
      </c>
      <c r="IV60">
        <f>$B$175+$B$173*($B$165+$B$42)</f>
        <v>58.52698</v>
      </c>
      <c r="IW60" t="e">
        <f>IF(AND(0.2+17*$B$43&lt;$B$170,ABS(0.2+17*$B$43-$B$169)&gt;$B$29/2+0.03,$B$44=1),$B$174+$B$173*(0.2+17*$B$43),NA())</f>
        <v>#N/A</v>
      </c>
      <c r="IX60" t="e">
        <f>IF(AND(0.2+17*$B$43&lt;$B$170,ABS(0.2+17*$B$43-$B$169)&gt;$B$29/2+0.03,$B$44=1),$B$175+$B$173*($B$166-$B$42-0.015),NA())</f>
        <v>#N/A</v>
      </c>
      <c r="KI60" t="e">
        <f>IF(AND($B$21=1,5*$B$67&gt;$B$59,5*$B$67&lt;$B$178-$B$59,OR($B$63=0,ABS(5*$B$67-$B$178/2)&gt;$B$59/2)),$B$182+$B$181*($B$177*3/4-$B$60/2),NA())</f>
        <v>#N/A</v>
      </c>
      <c r="KJ60" t="e">
        <f>IF(AND($B$21=1,5*$B$67&gt;$B$59,5*$B$67&lt;$B$178-$B$59,OR($B$63=0,ABS(5*$B$67-$B$178/2)&gt;$B$59/2)),$B$183+$B$181*(5*$B$67),NA())</f>
        <v>#N/A</v>
      </c>
    </row>
    <row r="61">
      <c r="A61" t="inlineStr">
        <is>
          <t>nb_ch</t>
        </is>
      </c>
      <c r="B61">
        <f>'GROS_ŒUVRE'!$E$17</f>
        <v>0</v>
      </c>
      <c r="G61" t="e">
        <f>NA()</f>
        <v>#N/A</v>
      </c>
      <c r="H61" t="e">
        <f>NA()</f>
        <v>#N/A</v>
      </c>
      <c r="K61">
        <f>IF(3&lt;=$B$12,$B$133+$B$132*($B$13*3+$B$27/2),NA())</f>
        <v>91.9167142857143</v>
      </c>
      <c r="L61">
        <f>IF(3&lt;=$B$12,$B$134+$B$132*(0+$B$27/2),NA())</f>
        <v>18.04</v>
      </c>
      <c r="M61" t="e">
        <f>IF(AND(18&lt;=$B$12,$B$45=1),$B$133+$B$132*($B$13*18),NA())</f>
        <v>#N/A</v>
      </c>
      <c r="N61" t="e">
        <f>IF(AND(18&lt;=$B$12,$B$45=1),$B$134+$B$132*($B$5/2),NA())</f>
        <v>#N/A</v>
      </c>
      <c r="EA61" t="e">
        <f>NA()</f>
        <v>#N/A</v>
      </c>
      <c r="EB61" t="e">
        <f>NA()</f>
        <v>#N/A</v>
      </c>
      <c r="EE61" t="e">
        <f>IF(28&lt;=$B$16-1,$B$139+$B$138*(28*($B$5/2)/MAX(1,$B$16-1)),NA())</f>
        <v>#N/A</v>
      </c>
      <c r="EF61" t="e">
        <f>IF(28&lt;=$B$16-1,$B$140+$B$138*($B$9+$B$8*28*($B$5/2)/MAX(1,$B$16-1)+1.2*$B$141),NA())</f>
        <v>#N/A</v>
      </c>
      <c r="FA61" t="e">
        <f>NA()</f>
        <v>#N/A</v>
      </c>
      <c r="FB61" t="e">
        <f>NA()</f>
        <v>#N/A</v>
      </c>
      <c r="FC61">
        <f>IF(AND(3&lt;$B$22,($B$19+3*$B$64)&gt;=$B$94),$B$145+$B$144*($B$96),NA())</f>
        <v>183.182</v>
      </c>
      <c r="FD61">
        <f>IF(AND(3&lt;$B$22,($B$19+3*$B$64)&gt;=$B$94),$B$146+$B$144*(($B$19+3*$B$64)),NA())</f>
        <v>60.79092</v>
      </c>
      <c r="FE61" t="e">
        <f>IF(AND(AND($B$21=1,(4*$B$66)&lt;$B$62),(4*$B$66)&gt;=$B$94),$B$145+$B$144*($B$96),NA())</f>
        <v>#N/A</v>
      </c>
      <c r="FF61" t="e">
        <f>IF(AND(AND($B$21=1,(4*$B$66)&lt;$B$62),(4*$B$66)&gt;=$B$94),$B$146+$B$144*((4*$B$66)),NA())</f>
        <v>#N/A</v>
      </c>
      <c r="FI61" t="e">
        <f>NA()</f>
        <v>#N/A</v>
      </c>
      <c r="FJ61" t="e">
        <f>NA()</f>
        <v>#N/A</v>
      </c>
      <c r="GG61">
        <f>IF(AND(AND($B$20=1,($B$19+3*$B$64)&lt;$B$10-0.3),($B$19+3*$B$64)&gt;=$B$125),$B$151+$B$150*(MAX(IF(($B$19+3*$B$64)&lt;=$B$9,0,(($B$19+3*$B$64)-$B$9)/$B$8),MIN(($B$5-IF(($B$19+3*$B$64)&lt;=$B$9,0,(($B$19+3*$B$64)-$B$9)/$B$8)),$B$127))),NA())</f>
        <v>173.182</v>
      </c>
      <c r="GH61">
        <f>IF(AND(AND($B$20=1,($B$19+3*$B$64)&lt;$B$10-0.3),($B$19+3*$B$64)&gt;=$B$125),$B$152+$B$150*(($B$19+3*$B$64)),NA())</f>
        <v>65.25456</v>
      </c>
      <c r="GI61" t="e">
        <f>IF(AND(AND($B$21=1,(4*$B$66)&lt;IF($B$63=1,$B$10-0.2,$B$62)),(4*$B$66)&gt;=$B$125),$B$151+$B$150*(MAX(IF((4*$B$66)&lt;=$B$9,0,((4*$B$66)-$B$9)/$B$8),MIN(($B$5-IF((4*$B$66)&lt;=$B$9,0,((4*$B$66)-$B$9)/$B$8)),$B$127))),NA())</f>
        <v>#N/A</v>
      </c>
      <c r="GJ61" t="e">
        <f>IF(AND(AND($B$21=1,(4*$B$66)&lt;IF($B$63=1,$B$10-0.2,$B$62)),(4*$B$66)&gt;=$B$125),$B$152+$B$150*((4*$B$66)),NA())</f>
        <v>#N/A</v>
      </c>
      <c r="HI61" t="e">
        <f>NA()</f>
        <v>#N/A</v>
      </c>
      <c r="HJ61" t="e">
        <f>NA()</f>
        <v>#N/A</v>
      </c>
      <c r="HK61" t="e">
        <f>NA()</f>
        <v>#N/A</v>
      </c>
      <c r="HL61" t="e">
        <f>NA()</f>
        <v>#N/A</v>
      </c>
      <c r="HM61" t="e">
        <f>NA()</f>
        <v>#N/A</v>
      </c>
      <c r="HN61" t="e">
        <f>NA()</f>
        <v>#N/A</v>
      </c>
      <c r="HQ61" t="e">
        <f>NA()</f>
        <v>#N/A</v>
      </c>
      <c r="HR61" t="e">
        <f>NA()</f>
        <v>#N/A</v>
      </c>
      <c r="HS61">
        <f>IF(AND(3&lt;=$B$12,$B$51&gt;0),$B$157+$B$156*(((3-0.5)*$B$13)-($B$51*$B$13)/2),NA())</f>
        <v>75.791</v>
      </c>
      <c r="HT61">
        <f>IF(AND(3&lt;=$B$12,$B$51&gt;0),$B$158+$B$156*((0*$B$5/2+0.6*$B$159)+(((0*$B$5/2+$B$5/2-0.6*$B$159))-((0*$B$5/2+0.6*$B$159)))/2),NA())</f>
        <v>33</v>
      </c>
      <c r="HU61" t="e">
        <f>IF(5&lt;=$B$47,$B$157+$B$156*(((MAX(1,MIN($B$12,ROUND(5*$B$12/($B$47+1),0)))-1)*$B$13+0.25*$B$13)+$B$48/2+0.2),NA())</f>
        <v>#N/A</v>
      </c>
      <c r="HV61" t="e">
        <f>IF(5&lt;=$B$47,$B$158+$B$156*(IF(MOD(5,2)=1,$B$5/4,3*$B$5/4)+$B$49/2+0.2),NA())</f>
        <v>#N/A</v>
      </c>
      <c r="IU61">
        <f>$B$174+$B$173*($B$170)</f>
        <v>131.182</v>
      </c>
      <c r="IV61">
        <f>$B$175+$B$173*($B$165+$B$42)</f>
        <v>58.52698</v>
      </c>
      <c r="IW61">
        <f>IF(AND(0.2+18*$B$43&lt;$B$170,ABS(0.2+18*$B$43-$B$169)&gt;$B$29/2+0.03),$B$174+$B$173*(0.2+18*$B$43),NA())</f>
        <v>128.6224</v>
      </c>
      <c r="IX61">
        <f>IF(AND(0.2+18*$B$43&lt;$B$170,ABS(0.2+18*$B$43-$B$169)&gt;$B$29/2+0.03),$B$175+$B$173*($B$165+$B$42+0.015),NA())</f>
        <v>58.91092</v>
      </c>
      <c r="KI61" t="e">
        <f>NA()</f>
        <v>#N/A</v>
      </c>
      <c r="KJ61" t="e">
        <f>NA()</f>
        <v>#N/A</v>
      </c>
    </row>
    <row r="62">
      <c r="A62" t="inlineStr">
        <is>
          <t>h_ag</t>
        </is>
      </c>
      <c r="B62">
        <f>'GROS_ŒUVRE'!$E$16</f>
        <v>0</v>
      </c>
      <c r="G62" t="e">
        <f>IF(19&lt;=$B$12,$B$133+$B$132*($B$13*19),NA())</f>
        <v>#N/A</v>
      </c>
      <c r="H62" t="e">
        <f>IF(19&lt;=$B$12,$B$134+$B$132*(-4*$B$135),NA())</f>
        <v>#N/A</v>
      </c>
      <c r="K62">
        <f>IF(3&lt;=$B$12,$B$133+$B$132*($B$13*3-$B$27/2),NA())</f>
        <v>87.8367142857143</v>
      </c>
      <c r="L62">
        <f>IF(3&lt;=$B$12,$B$134+$B$132*(0+$B$27/2),NA())</f>
        <v>18.04</v>
      </c>
      <c r="M62" t="e">
        <f>IF(19&lt;=$B$12,$B$133+$B$132*($B$13*19),NA())</f>
        <v>#N/A</v>
      </c>
      <c r="N62" t="e">
        <f>IF(19&lt;=$B$12,$B$134+$B$132*(0),NA())</f>
        <v>#N/A</v>
      </c>
      <c r="EA62" t="e">
        <f>IF(AND($B$18=1,20&lt;=$B$26-1),$B$139+$B$138*(20*($B$5/MAX(1,$B$26))),NA())</f>
        <v>#N/A</v>
      </c>
      <c r="EB62" t="e">
        <f>IF(AND($B$18=1,20&lt;=$B$26-1),$B$140+$B$138*($B$7),NA())</f>
        <v>#N/A</v>
      </c>
      <c r="EE62" t="e">
        <f>IF(28&lt;=$B$16-1,$B$139+$B$138*($B$5-28*($B$5/2)/MAX(1,$B$16-1)),NA())</f>
        <v>#N/A</v>
      </c>
      <c r="EF62" t="e">
        <f>IF(28&lt;=$B$16-1,$B$140+$B$138*($B$9+$B$8*28*($B$5/2)/MAX(1,$B$16-1)+1.2*$B$141),NA())</f>
        <v>#N/A</v>
      </c>
      <c r="FA62" t="e">
        <f>IF(19&lt;=$B$12,$B$145+$B$144*($B$13*19),NA())</f>
        <v>#N/A</v>
      </c>
      <c r="FB62" t="e">
        <f>IF(19&lt;=$B$12,$B$146+$B$144*(0),NA())</f>
        <v>#N/A</v>
      </c>
      <c r="FC62">
        <f>IF(3&lt;$B$22,$B$145+$B$144*(IF(($B$19+3*$B$64)&lt;$B$94,$B$98,$B$96)),NA())</f>
        <v>183.182</v>
      </c>
      <c r="FD62">
        <f>IF(3&lt;$B$22,$B$146+$B$144*(($B$19+3*$B$64)),NA())</f>
        <v>60.79092</v>
      </c>
      <c r="FE62" t="e">
        <f>IF(AND($B$21=1,(4*$B$66)&lt;$B$62),$B$145+$B$144*(IF((4*$B$66)&lt;$B$94,$B$98,$B$96)),NA())</f>
        <v>#N/A</v>
      </c>
      <c r="FF62" t="e">
        <f>IF(AND($B$21=1,(4*$B$66)&lt;$B$62),$B$146+$B$144*((4*$B$66)),NA())</f>
        <v>#N/A</v>
      </c>
      <c r="FI62" t="e">
        <f>IF(10&lt;=$B$23,$B$145+$B$144*(IF(10=1,1,IF(10=$B$23,$B$12,5*(10-1)))*$B$13),NA())</f>
        <v>#N/A</v>
      </c>
      <c r="FJ62" t="e">
        <f>IF(10&lt;=$B$23,$B$146+$B$144*(0),NA())</f>
        <v>#N/A</v>
      </c>
      <c r="GG62">
        <f>IF(AND($B$20=1,($B$19+3*$B$64)&lt;$B$10-0.3),$B$151+$B$150*(MAX(IF(($B$19+3*$B$64)&lt;=$B$9,0,(($B$19+3*$B$64)-$B$9)/$B$8),MIN(($B$5-IF(($B$19+3*$B$64)&lt;=$B$9,0,(($B$19+3*$B$64)-$B$9)/$B$8)),IF(($B$19+3*$B$64)&lt;$B$125,$B$129,$B$127)))),NA())</f>
        <v>173.182</v>
      </c>
      <c r="GH62">
        <f>IF(AND($B$20=1,($B$19+3*$B$64)&lt;$B$10-0.3),$B$152+$B$150*(($B$19+3*$B$64)),NA())</f>
        <v>65.25456</v>
      </c>
      <c r="GI62" t="e">
        <f>IF(AND($B$21=1,(4*$B$66)&lt;IF($B$63=1,$B$10-0.2,$B$62)),$B$151+$B$150*(MAX(IF((4*$B$66)&lt;=$B$9,0,((4*$B$66)-$B$9)/$B$8),MIN(($B$5-IF((4*$B$66)&lt;=$B$9,0,((4*$B$66)-$B$9)/$B$8)),IF((4*$B$66)&lt;$B$125,$B$129,$B$127)))),NA())</f>
        <v>#N/A</v>
      </c>
      <c r="GJ62" t="e">
        <f>IF(AND($B$21=1,(4*$B$66)&lt;IF($B$63=1,$B$10-0.2,$B$62)),$B$152+$B$150*((4*$B$66)),NA())</f>
        <v>#N/A</v>
      </c>
      <c r="HI62" t="e">
        <f>IF(9&lt;=$B$16-1,$B$157+$B$156*(-$B$46),NA())</f>
        <v>#N/A</v>
      </c>
      <c r="HJ62" t="e">
        <f>IF(9&lt;=$B$16-1,$B$158+$B$156*($B$5-9*($B$5/2)/MAX(1,$B$16-1)),NA())</f>
        <v>#N/A</v>
      </c>
      <c r="HK62" t="e">
        <f>IF(19&lt;=$B$12,$B$157+$B$156*($B$13*19),NA())</f>
        <v>#N/A</v>
      </c>
      <c r="HL62" t="e">
        <f>IF(19&lt;=$B$12,$B$158+$B$156*(0),NA())</f>
        <v>#N/A</v>
      </c>
      <c r="HM62" t="e">
        <f>IF(AND(10&lt;=$B$12,2&lt;=$B$25),$B$157+$B$156*((10-1)*$B$13+2*$B$13/($B$25+1)),NA())</f>
        <v>#N/A</v>
      </c>
      <c r="HN62" t="e">
        <f>IF(AND(10&lt;=$B$12,2&lt;=$B$25),$B$158+$B$156*(0),NA())</f>
        <v>#N/A</v>
      </c>
      <c r="HQ62" t="e">
        <f>IF(AND(1&lt;=$B$23,4&lt;=$B$24),$B$157+$B$156*((IF(1=1,1,IF(1=$B$23,$B$12,5*(1-1)))-1)*$B$13),NA())</f>
        <v>#N/A</v>
      </c>
      <c r="HR62" t="e">
        <f>IF(AND(1&lt;=$B$23,4&lt;=$B$24),$B$158+$B$156*((1*$B$5/2+4*($B$5/2)/$B$24)),NA())</f>
        <v>#N/A</v>
      </c>
      <c r="HS62">
        <f>IF(AND(3&lt;=$B$12,$B$51&gt;0),$B$157+$B$156*(((3-0.5)*$B$13)+($B$51*$B$13)/2),NA())</f>
        <v>77.9624285714286</v>
      </c>
      <c r="HT62">
        <f>IF(AND(3&lt;=$B$12,$B$51&gt;0),$B$158+$B$156*((0*$B$5/2+0.6*$B$159)+3*(((0*$B$5/2+$B$5/2-0.6*$B$159))-((0*$B$5/2+0.6*$B$159)))/4),NA())</f>
        <v>42.2</v>
      </c>
      <c r="HU62" t="e">
        <f>IF(5&lt;=$B$47,$B$157+$B$156*(((MAX(1,MIN($B$12,ROUND(5*$B$12/($B$47+1),0)))-1)*$B$13+0.25*$B$13)-$B$48/2-0.2),NA())</f>
        <v>#N/A</v>
      </c>
      <c r="HV62" t="e">
        <f>IF(5&lt;=$B$47,$B$158+$B$156*(IF(MOD(5,2)=1,$B$5/4,3*$B$5/4)+$B$49/2+0.2),NA())</f>
        <v>#N/A</v>
      </c>
      <c r="IU62" t="e">
        <f>NA()</f>
        <v>#N/A</v>
      </c>
      <c r="IV62" t="e">
        <f>NA()</f>
        <v>#N/A</v>
      </c>
      <c r="IW62" t="e">
        <f>IF(AND(0.2+18*$B$43&lt;$B$170,ABS(0.2+18*$B$43-$B$169)&gt;$B$29/2+0.03,$B$44=1),$B$174+$B$173*(0.2+18*$B$43),NA())</f>
        <v>#N/A</v>
      </c>
      <c r="IX62" t="e">
        <f>IF(AND(0.2+18*$B$43&lt;$B$170,ABS(0.2+18*$B$43-$B$169)&gt;$B$29/2+0.03,$B$44=1),$B$175+$B$173*($B$166-$B$42-0.015),NA())</f>
        <v>#N/A</v>
      </c>
      <c r="KI62" t="e">
        <f>IF(AND($B$21=1,5*$B$67&gt;$B$59,5*$B$67&lt;$B$178-$B$59,OR($B$63=0,ABS(5*$B$67-$B$178/2)&gt;$B$59/2)),$B$182+$B$181*($B$177*3/4+$B$60/2),NA())</f>
        <v>#N/A</v>
      </c>
      <c r="KJ62" t="e">
        <f>IF(AND($B$21=1,5*$B$67&gt;$B$59,5*$B$67&lt;$B$178-$B$59,OR($B$63=0,ABS(5*$B$67-$B$178/2)&gt;$B$59/2)),$B$183+$B$181*(5*$B$67),NA())</f>
        <v>#N/A</v>
      </c>
    </row>
    <row r="63">
      <c r="A63" t="inlineStr">
        <is>
          <t>agglos_total</t>
        </is>
      </c>
      <c r="B63">
        <f>IF('PRÉDIMENSIONNEMENT'!$C$48="Agglos 15 creux",1,0)</f>
        <v>0</v>
      </c>
      <c r="G63" t="e">
        <f>IF(19&lt;=$B$12,$B$133+$B$132*($B$13*19),NA())</f>
        <v>#N/A</v>
      </c>
      <c r="H63" t="e">
        <f>IF(19&lt;=$B$12,$B$134+$B$132*($B$5+4*$B$135),NA())</f>
        <v>#N/A</v>
      </c>
      <c r="K63">
        <f>IF(3&lt;=$B$12,$B$133+$B$132*($B$13*3-$B$27/2),NA())</f>
        <v>87.8367142857143</v>
      </c>
      <c r="L63">
        <f>IF(3&lt;=$B$12,$B$134+$B$132*(0-$B$27/2),NA())</f>
        <v>13.96</v>
      </c>
      <c r="M63" t="e">
        <f>IF(19&lt;=$B$12,$B$133+$B$132*($B$13*19),NA())</f>
        <v>#N/A</v>
      </c>
      <c r="N63" t="e">
        <f>IF(19&lt;=$B$12,$B$134+$B$132*($B$5),NA())</f>
        <v>#N/A</v>
      </c>
      <c r="EA63" t="e">
        <f>IF(AND($B$18=1,20&lt;=$B$26-1),$B$139+$B$138*(20*($B$5/MAX(1,$B$26))),NA())</f>
        <v>#N/A</v>
      </c>
      <c r="EB63" t="e">
        <f>IF(AND($B$18=1,20&lt;=$B$26-1),$B$140+$B$138*(($B$9+$B$8*MIN(20*($B$5/MAX(1,$B$26)),$B$5-(20*($B$5/MAX(1,$B$26)))))),NA())</f>
        <v>#N/A</v>
      </c>
      <c r="EE63" t="e">
        <f>IF(29&lt;=$B$16-1,$B$139+$B$138*(29*($B$5/2)/MAX(1,$B$16-1)),NA())</f>
        <v>#N/A</v>
      </c>
      <c r="EF63" t="e">
        <f>IF(29&lt;=$B$16-1,$B$140+$B$138*($B$9+$B$8*29*($B$5/2)/MAX(1,$B$16-1)+1.2*$B$141),NA())</f>
        <v>#N/A</v>
      </c>
      <c r="FA63" t="e">
        <f>IF(19&lt;=$B$12,$B$145+$B$144*($B$13*19),NA())</f>
        <v>#N/A</v>
      </c>
      <c r="FB63" t="e">
        <f>IF(19&lt;=$B$12,$B$146+$B$144*($B$9),NA())</f>
        <v>#N/A</v>
      </c>
      <c r="FC63">
        <f>IF(3&lt;$B$22,$B$145+$B$144*($B$6),NA())</f>
        <v>183.182</v>
      </c>
      <c r="FD63">
        <f>IF(3&lt;$B$22,$B$146+$B$144*(($B$19+3*$B$64)),NA())</f>
        <v>60.79092</v>
      </c>
      <c r="FE63" t="e">
        <f>IF(AND($B$21=1,(4*$B$66)&lt;$B$62),$B$145+$B$144*($B$6),NA())</f>
        <v>#N/A</v>
      </c>
      <c r="FF63" t="e">
        <f>IF(AND($B$21=1,(4*$B$66)&lt;$B$62),$B$146+$B$144*((4*$B$66)),NA())</f>
        <v>#N/A</v>
      </c>
      <c r="FI63" t="e">
        <f>IF(10&lt;=$B$23,$B$145+$B$144*((IF(10=1,1,IF(10=$B$23,$B$12,5*(10-1)))-1)*$B$13),NA())</f>
        <v>#N/A</v>
      </c>
      <c r="FJ63" t="e">
        <f>IF(10&lt;=$B$23,$B$146+$B$144*($B$9),NA())</f>
        <v>#N/A</v>
      </c>
      <c r="GG63">
        <f>IF(AND($B$20=1,($B$19+3*$B$64)&lt;$B$10-0.3),$B$151+$B$150*(($B$5-IF(($B$19+3*$B$64)&lt;=$B$9,0,(($B$19+3*$B$64)-$B$9)/$B$8))),NA())</f>
        <v>173.182</v>
      </c>
      <c r="GH63">
        <f>IF(AND($B$20=1,($B$19+3*$B$64)&lt;$B$10-0.3),$B$152+$B$150*(($B$19+3*$B$64)),NA())</f>
        <v>65.25456</v>
      </c>
      <c r="GI63" t="e">
        <f>IF(AND($B$21=1,(4*$B$66)&lt;IF($B$63=1,$B$10-0.2,$B$62)),$B$151+$B$150*(($B$5-IF((4*$B$66)&lt;=$B$9,0,((4*$B$66)-$B$9)/$B$8))),NA())</f>
        <v>#N/A</v>
      </c>
      <c r="GJ63" t="e">
        <f>IF(AND($B$21=1,(4*$B$66)&lt;IF($B$63=1,$B$10-0.2,$B$62)),$B$152+$B$150*((4*$B$66)),NA())</f>
        <v>#N/A</v>
      </c>
      <c r="HI63" t="e">
        <f>IF(9&lt;=$B$16-1,$B$157+$B$156*($B$6+$B$46),NA())</f>
        <v>#N/A</v>
      </c>
      <c r="HJ63" t="e">
        <f>IF(9&lt;=$B$16-1,$B$158+$B$156*($B$5-9*($B$5/2)/MAX(1,$B$16-1)),NA())</f>
        <v>#N/A</v>
      </c>
      <c r="HK63" t="e">
        <f>IF(19&lt;=$B$12,$B$157+$B$156*($B$13*19),NA())</f>
        <v>#N/A</v>
      </c>
      <c r="HL63" t="e">
        <f>IF(19&lt;=$B$12,$B$158+$B$156*($B$5),NA())</f>
        <v>#N/A</v>
      </c>
      <c r="HM63" t="e">
        <f>IF(AND(10&lt;=$B$12,2&lt;=$B$25),$B$157+$B$156*((10-1)*$B$13+2*$B$13/($B$25+1)),NA())</f>
        <v>#N/A</v>
      </c>
      <c r="HN63" t="e">
        <f>IF(AND(10&lt;=$B$12,2&lt;=$B$25),$B$158+$B$156*($B$5),NA())</f>
        <v>#N/A</v>
      </c>
      <c r="HQ63" t="e">
        <f>IF(AND(1&lt;=$B$23,4&lt;=$B$24),$B$157+$B$156*(IF(1=1,1,IF(1=$B$23,$B$12,5*(1-1)))*$B$13),NA())</f>
        <v>#N/A</v>
      </c>
      <c r="HR63" t="e">
        <f>IF(AND(1&lt;=$B$23,4&lt;=$B$24),$B$158+$B$156*((1*$B$5/2+(4-1)*($B$5/2)/$B$24)),NA())</f>
        <v>#N/A</v>
      </c>
      <c r="HS63">
        <f>IF(AND(3&lt;=$B$12,$B$51&gt;0),$B$157+$B$156*(((3-0.5)*$B$13)-($B$51*$B$13)/2),NA())</f>
        <v>75.791</v>
      </c>
      <c r="HT63">
        <f>IF(AND(3&lt;=$B$12,$B$51&gt;0),$B$158+$B$156*((0*$B$5/2+$B$5/2-0.6*$B$159)),NA())</f>
        <v>51.4</v>
      </c>
      <c r="HU63" t="e">
        <f>IF(5&lt;=$B$47,$B$157+$B$156*(((MAX(1,MIN($B$12,ROUND(5*$B$12/($B$47+1),0)))-1)*$B$13+0.25*$B$13)-$B$48/2-0.2),NA())</f>
        <v>#N/A</v>
      </c>
      <c r="HV63" t="e">
        <f>IF(5&lt;=$B$47,$B$158+$B$156*(IF(MOD(5,2)=1,$B$5/4,3*$B$5/4)-$B$49/2-0.2),NA())</f>
        <v>#N/A</v>
      </c>
      <c r="IU63" t="e">
        <f>IF($B$44=1,$B$174+$B$173*(0.075+$B$42),NA())</f>
        <v>#N/A</v>
      </c>
      <c r="IV63" t="e">
        <f>IF($B$44=1,$B$175+$B$173*($B$166-$B$42),NA())</f>
        <v>#N/A</v>
      </c>
      <c r="IW63" t="e">
        <f>IF(AND(0.2+19*$B$43&lt;$B$170,ABS(0.2+19*$B$43-$B$169)&gt;$B$29/2+0.03),$B$174+$B$173*(0.2+19*$B$43),NA())</f>
        <v>#N/A</v>
      </c>
      <c r="IX63" t="e">
        <f>IF(AND(0.2+19*$B$43&lt;$B$170,ABS(0.2+19*$B$43-$B$169)&gt;$B$29/2+0.03),$B$175+$B$173*($B$165+$B$42+0.015),NA())</f>
        <v>#N/A</v>
      </c>
      <c r="KI63" t="e">
        <f>IF(AND($B$21=1,5*$B$67&gt;$B$59,5*$B$67&lt;$B$178-$B$59,OR($B$63=0,ABS(5*$B$67-$B$178/2)&gt;$B$59/2)),$B$182+$B$181*($B$177),NA())</f>
        <v>#N/A</v>
      </c>
      <c r="KJ63" t="e">
        <f>IF(AND($B$21=1,5*$B$67&gt;$B$59,5*$B$67&lt;$B$178-$B$59,OR($B$63=0,ABS(5*$B$67-$B$178/2)&gt;$B$59/2)),$B$183+$B$181*(5*$B$67),NA())</f>
        <v>#N/A</v>
      </c>
    </row>
    <row r="64">
      <c r="A64" t="inlineStr">
        <is>
          <t>e_lis</t>
        </is>
      </c>
      <c r="B64">
        <f>'PARAMÈTRES'!$C$17</f>
        <v>1.8</v>
      </c>
      <c r="G64" t="e">
        <f>NA()</f>
        <v>#N/A</v>
      </c>
      <c r="H64" t="e">
        <f>NA()</f>
        <v>#N/A</v>
      </c>
      <c r="K64" t="e">
        <f>NA()</f>
        <v>#N/A</v>
      </c>
      <c r="L64" t="e">
        <f>NA()</f>
        <v>#N/A</v>
      </c>
      <c r="M64" t="e">
        <f>IF(AND(19&lt;=$B$12,$B$45=1),$B$133+$B$132*($B$13*19),NA())</f>
        <v>#N/A</v>
      </c>
      <c r="N64" t="e">
        <f>IF(AND(19&lt;=$B$12,$B$45=1),$B$134+$B$132*($B$5/2),NA())</f>
        <v>#N/A</v>
      </c>
      <c r="EA64" t="e">
        <f>NA()</f>
        <v>#N/A</v>
      </c>
      <c r="EB64" t="e">
        <f>NA()</f>
        <v>#N/A</v>
      </c>
      <c r="EE64" t="e">
        <f>IF(29&lt;=$B$16-1,$B$139+$B$138*($B$5-29*($B$5/2)/MAX(1,$B$16-1)),NA())</f>
        <v>#N/A</v>
      </c>
      <c r="EF64" t="e">
        <f>IF(29&lt;=$B$16-1,$B$140+$B$138*($B$9+$B$8*29*($B$5/2)/MAX(1,$B$16-1)+1.2*$B$141),NA())</f>
        <v>#N/A</v>
      </c>
      <c r="FA64" t="e">
        <f>NA()</f>
        <v>#N/A</v>
      </c>
      <c r="FB64" t="e">
        <f>NA()</f>
        <v>#N/A</v>
      </c>
      <c r="FC64" t="e">
        <f>NA()</f>
        <v>#N/A</v>
      </c>
      <c r="FD64" t="e">
        <f>NA()</f>
        <v>#N/A</v>
      </c>
      <c r="FE64" t="e">
        <f>NA()</f>
        <v>#N/A</v>
      </c>
      <c r="FF64" t="e">
        <f>NA()</f>
        <v>#N/A</v>
      </c>
      <c r="FI64" t="e">
        <f>NA()</f>
        <v>#N/A</v>
      </c>
      <c r="FJ64" t="e">
        <f>NA()</f>
        <v>#N/A</v>
      </c>
      <c r="GG64" t="e">
        <f>NA()</f>
        <v>#N/A</v>
      </c>
      <c r="GH64" t="e">
        <f>NA()</f>
        <v>#N/A</v>
      </c>
      <c r="GI64" t="e">
        <f>NA()</f>
        <v>#N/A</v>
      </c>
      <c r="GJ64" t="e">
        <f>NA()</f>
        <v>#N/A</v>
      </c>
      <c r="HI64" t="e">
        <f>NA()</f>
        <v>#N/A</v>
      </c>
      <c r="HJ64" t="e">
        <f>NA()</f>
        <v>#N/A</v>
      </c>
      <c r="HK64" t="e">
        <f>NA()</f>
        <v>#N/A</v>
      </c>
      <c r="HL64" t="e">
        <f>NA()</f>
        <v>#N/A</v>
      </c>
      <c r="HM64" t="e">
        <f>NA()</f>
        <v>#N/A</v>
      </c>
      <c r="HN64" t="e">
        <f>NA()</f>
        <v>#N/A</v>
      </c>
      <c r="HQ64" t="e">
        <f>NA()</f>
        <v>#N/A</v>
      </c>
      <c r="HR64" t="e">
        <f>NA()</f>
        <v>#N/A</v>
      </c>
      <c r="HS64" t="e">
        <f>NA()</f>
        <v>#N/A</v>
      </c>
      <c r="HT64" t="e">
        <f>NA()</f>
        <v>#N/A</v>
      </c>
      <c r="HU64" t="e">
        <f>NA()</f>
        <v>#N/A</v>
      </c>
      <c r="HV64" t="e">
        <f>NA()</f>
        <v>#N/A</v>
      </c>
      <c r="IU64" t="e">
        <f>IF($B$44=1,$B$174+$B$173*($B$169-$B$29/2-$B$42),NA())</f>
        <v>#N/A</v>
      </c>
      <c r="IV64" t="e">
        <f>IF($B$44=1,$B$175+$B$173*($B$166-$B$42),NA())</f>
        <v>#N/A</v>
      </c>
      <c r="IW64" t="e">
        <f>IF(AND(0.2+19*$B$43&lt;$B$170,ABS(0.2+19*$B$43-$B$169)&gt;$B$29/2+0.03,$B$44=1),$B$174+$B$173*(0.2+19*$B$43),NA())</f>
        <v>#N/A</v>
      </c>
      <c r="IX64" t="e">
        <f>IF(AND(0.2+19*$B$43&lt;$B$170,ABS(0.2+19*$B$43-$B$169)&gt;$B$29/2+0.03,$B$44=1),$B$175+$B$173*($B$166-$B$42-0.015),NA())</f>
        <v>#N/A</v>
      </c>
      <c r="KI64" t="e">
        <f>NA()</f>
        <v>#N/A</v>
      </c>
      <c r="KJ64" t="e">
        <f>NA()</f>
        <v>#N/A</v>
      </c>
    </row>
    <row r="65">
      <c r="A65" t="inlineStr">
        <is>
          <t>e_panr</t>
        </is>
      </c>
      <c r="B65">
        <f>'PRÉDIMENSIONNEMENT'!$C$41</f>
        <v>1.26589889011722</v>
      </c>
      <c r="G65" t="e">
        <f>IF(20&lt;=$B$12,$B$133+$B$132*($B$13*20),NA())</f>
        <v>#N/A</v>
      </c>
      <c r="H65" t="e">
        <f>IF(20&lt;=$B$12,$B$134+$B$132*(-4*$B$135),NA())</f>
        <v>#N/A</v>
      </c>
      <c r="K65">
        <f>IF(3&lt;=$B$12,$B$133+$B$132*($B$13*3-$B$27/2),NA())</f>
        <v>87.8367142857143</v>
      </c>
      <c r="L65">
        <f>IF(3&lt;=$B$12,$B$134+$B$132*($B$5-$B$27/2),NA())</f>
        <v>81.96</v>
      </c>
      <c r="M65" t="e">
        <f>IF(20&lt;=$B$12,$B$133+$B$132*($B$13*20),NA())</f>
        <v>#N/A</v>
      </c>
      <c r="N65" t="e">
        <f>IF(20&lt;=$B$12,$B$134+$B$132*(0),NA())</f>
        <v>#N/A</v>
      </c>
      <c r="EA65" t="e">
        <f>IF(AND($B$18=1,21&lt;=$B$26-1),$B$139+$B$138*(21*($B$5/MAX(1,$B$26))),NA())</f>
        <v>#N/A</v>
      </c>
      <c r="EB65" t="e">
        <f>IF(AND($B$18=1,21&lt;=$B$26-1),$B$140+$B$138*($B$7),NA())</f>
        <v>#N/A</v>
      </c>
      <c r="FA65" t="e">
        <f>IF(20&lt;=$B$12,$B$145+$B$144*($B$13*20),NA())</f>
        <v>#N/A</v>
      </c>
      <c r="FB65" t="e">
        <f>IF(20&lt;=$B$12,$B$146+$B$144*(0),NA())</f>
        <v>#N/A</v>
      </c>
      <c r="FC65" t="e">
        <f>IF(4&lt;$B$22,$B$145+$B$144*(0),NA())</f>
        <v>#N/A</v>
      </c>
      <c r="FD65" t="e">
        <f>IF(4&lt;$B$22,$B$146+$B$144*(($B$19+4*$B$64)),NA())</f>
        <v>#N/A</v>
      </c>
      <c r="FE65" t="e">
        <f>IF(AND($B$21=1,(5*$B$66)&lt;$B$62),$B$145+$B$144*(0),NA())</f>
        <v>#N/A</v>
      </c>
      <c r="FF65" t="e">
        <f>IF(AND($B$21=1,(5*$B$66)&lt;$B$62),$B$146+$B$144*((5*$B$66)),NA())</f>
        <v>#N/A</v>
      </c>
      <c r="GG65">
        <f>IF(AND($B$20=1,($B$19+4*$B$64)&lt;$B$10-0.3),$B$151+$B$150*(IF(($B$19+4*$B$64)&lt;=$B$9,0,(($B$19+4*$B$64)-$B$9)/$B$8)),NA())</f>
        <v>77.44325</v>
      </c>
      <c r="GH65">
        <f>IF(AND($B$20=1,($B$19+4*$B$64)&lt;$B$10-0.3),$B$152+$B$150*(($B$19+4*$B$64)),NA())</f>
        <v>79.04094</v>
      </c>
      <c r="GI65" t="e">
        <f>IF(AND($B$21=1,(5*$B$66)&lt;IF($B$63=1,$B$10-0.2,$B$62)),$B$151+$B$150*(IF((5*$B$66)&lt;=$B$9,0,((5*$B$66)-$B$9)/$B$8)),NA())</f>
        <v>#N/A</v>
      </c>
      <c r="GJ65" t="e">
        <f>IF(AND($B$21=1,(5*$B$66)&lt;IF($B$63=1,$B$10-0.2,$B$62)),$B$152+$B$150*((5*$B$66)),NA())</f>
        <v>#N/A</v>
      </c>
      <c r="HI65" t="e">
        <f>IF(10&lt;=$B$16-1,$B$157+$B$156*(-$B$46),NA())</f>
        <v>#N/A</v>
      </c>
      <c r="HJ65" t="e">
        <f>IF(10&lt;=$B$16-1,$B$158+$B$156*(10*($B$5/2)/MAX(1,$B$16-1)),NA())</f>
        <v>#N/A</v>
      </c>
      <c r="HK65" t="e">
        <f>IF(20&lt;=$B$12,$B$157+$B$156*($B$13*20),NA())</f>
        <v>#N/A</v>
      </c>
      <c r="HL65" t="e">
        <f>IF(20&lt;=$B$12,$B$158+$B$156*(0),NA())</f>
        <v>#N/A</v>
      </c>
      <c r="HM65" t="e">
        <f>IF(AND(11&lt;=$B$12,1&lt;=$B$25),$B$157+$B$156*((11-1)*$B$13+1*$B$13/($B$25+1)),NA())</f>
        <v>#N/A</v>
      </c>
      <c r="HN65" t="e">
        <f>IF(AND(11&lt;=$B$12,1&lt;=$B$25),$B$158+$B$156*(0),NA())</f>
        <v>#N/A</v>
      </c>
      <c r="HQ65" t="e">
        <f>IF(AND(1&lt;=$B$23,5&lt;=$B$24),$B$157+$B$156*((IF(1=1,1,IF(1=$B$23,$B$12,5*(1-1)))-1)*$B$13),NA())</f>
        <v>#N/A</v>
      </c>
      <c r="HR65" t="e">
        <f>IF(AND(1&lt;=$B$23,5&lt;=$B$24),$B$158+$B$156*((1*$B$5/2+(5-1)*($B$5/2)/$B$24)),NA())</f>
        <v>#N/A</v>
      </c>
      <c r="HS65">
        <f>IF(AND(3&lt;=$B$12,$B$51&gt;0),$B$157+$B$156*(((3-0.5)*$B$13)-($B$51*$B$13)/2),NA())</f>
        <v>75.791</v>
      </c>
      <c r="HT65">
        <f>IF(AND(3&lt;=$B$12,$B$51&gt;0),$B$158+$B$156*((1*$B$5/2+0.6*$B$159)),NA())</f>
        <v>52.6</v>
      </c>
      <c r="HU65" t="e">
        <f>IF(6&lt;=$B$47,$B$157+$B$156*(((MAX(1,MIN($B$12,ROUND(6*$B$12/($B$47+1),0)))-1)*$B$13+0.25*$B$13)-$B$48/2),NA())</f>
        <v>#N/A</v>
      </c>
      <c r="HV65" t="e">
        <f>IF(6&lt;=$B$47,$B$158+$B$156*(IF(MOD(6,2)=1,$B$5/4,3*$B$5/4)-$B$49/2),NA())</f>
        <v>#N/A</v>
      </c>
      <c r="IU65" t="e">
        <f>NA()</f>
        <v>#N/A</v>
      </c>
      <c r="IV65" t="e">
        <f>NA()</f>
        <v>#N/A</v>
      </c>
      <c r="IW65" t="e">
        <f>IF(AND(0.2+20*$B$43&lt;$B$170,ABS(0.2+20*$B$43-$B$169)&gt;$B$29/2+0.03),$B$174+$B$173*(0.2+20*$B$43),NA())</f>
        <v>#N/A</v>
      </c>
      <c r="IX65" t="e">
        <f>IF(AND(0.2+20*$B$43&lt;$B$170,ABS(0.2+20*$B$43-$B$169)&gt;$B$29/2+0.03),$B$175+$B$173*($B$165+$B$42+0.015),NA())</f>
        <v>#N/A</v>
      </c>
      <c r="KI65" t="e">
        <f>IF(AND($B$21=1,6*$B$67&gt;$B$59,6*$B$67&lt;$B$178-$B$59,OR($B$63=0,ABS(6*$B$67-$B$178/2)&gt;$B$59/2)),$B$182+$B$181*(0),NA())</f>
        <v>#N/A</v>
      </c>
      <c r="KJ65" t="e">
        <f>IF(AND($B$21=1,6*$B$67&gt;$B$59,6*$B$67&lt;$B$178-$B$59,OR($B$63=0,ABS(6*$B$67-$B$178/2)&gt;$B$59/2)),$B$183+$B$181*(6*$B$67),NA())</f>
        <v>#N/A</v>
      </c>
    </row>
    <row r="66">
      <c r="A66" t="inlineStr">
        <is>
          <t>pas_assises</t>
        </is>
      </c>
      <c r="B66">
        <f>0.40</f>
        <v>0.4</v>
      </c>
      <c r="G66" t="e">
        <f>IF(20&lt;=$B$12,$B$133+$B$132*($B$13*20),NA())</f>
        <v>#N/A</v>
      </c>
      <c r="H66" t="e">
        <f>IF(20&lt;=$B$12,$B$134+$B$132*($B$5+4*$B$135),NA())</f>
        <v>#N/A</v>
      </c>
      <c r="K66">
        <f>IF(3&lt;=$B$12,$B$133+$B$132*($B$13*3+$B$27/2),NA())</f>
        <v>91.9167142857143</v>
      </c>
      <c r="L66">
        <f>IF(3&lt;=$B$12,$B$134+$B$132*($B$5-$B$27/2),NA())</f>
        <v>81.96</v>
      </c>
      <c r="M66" t="e">
        <f>IF(20&lt;=$B$12,$B$133+$B$132*($B$13*20),NA())</f>
        <v>#N/A</v>
      </c>
      <c r="N66" t="e">
        <f>IF(20&lt;=$B$12,$B$134+$B$132*($B$5),NA())</f>
        <v>#N/A</v>
      </c>
      <c r="EA66" t="e">
        <f>IF(AND($B$18=1,21&lt;=$B$26-1),$B$139+$B$138*(21*($B$5/MAX(1,$B$26))),NA())</f>
        <v>#N/A</v>
      </c>
      <c r="EB66" t="e">
        <f>IF(AND($B$18=1,21&lt;=$B$26-1),$B$140+$B$138*(($B$9+$B$8*MIN(21*($B$5/MAX(1,$B$26)),$B$5-(21*($B$5/MAX(1,$B$26)))))),NA())</f>
        <v>#N/A</v>
      </c>
      <c r="FA66" t="e">
        <f>IF(20&lt;=$B$12,$B$145+$B$144*($B$13*20),NA())</f>
        <v>#N/A</v>
      </c>
      <c r="FB66" t="e">
        <f>IF(20&lt;=$B$12,$B$146+$B$144*($B$9),NA())</f>
        <v>#N/A</v>
      </c>
      <c r="FC66" t="e">
        <f>IF(4&lt;$B$22,$B$145+$B$144*(IF(($B$19+4*$B$64)&lt;$B$73,$B$76,$B$75)),NA())</f>
        <v>#N/A</v>
      </c>
      <c r="FD66" t="e">
        <f>IF(4&lt;$B$22,$B$146+$B$144*(($B$19+4*$B$64)),NA())</f>
        <v>#N/A</v>
      </c>
      <c r="FE66" t="e">
        <f>IF(AND($B$21=1,(5*$B$66)&lt;$B$62),$B$145+$B$144*(IF((5*$B$66)&lt;$B$73,$B$76,$B$75)),NA())</f>
        <v>#N/A</v>
      </c>
      <c r="FF66" t="e">
        <f>IF(AND($B$21=1,(5*$B$66)&lt;$B$62),$B$146+$B$144*((5*$B$66)),NA())</f>
        <v>#N/A</v>
      </c>
      <c r="GG66">
        <f>IF(AND($B$20=1,($B$19+4*$B$64)&lt;$B$10-0.3),$B$151+$B$150*(MAX(IF(($B$19+4*$B$64)&lt;=$B$9,0,(($B$19+4*$B$64)-$B$9)/$B$8),MIN(($B$5-IF(($B$19+4*$B$64)&lt;=$B$9,0,(($B$19+4*$B$64)-$B$9)/$B$8)),IF(($B$19+4*$B$64)&lt;$B$104,$B$107,$B$106)))),NA())</f>
        <v>77.44325</v>
      </c>
      <c r="GH66">
        <f>IF(AND($B$20=1,($B$19+4*$B$64)&lt;$B$10-0.3),$B$152+$B$150*(($B$19+4*$B$64)),NA())</f>
        <v>79.04094</v>
      </c>
      <c r="GI66" t="e">
        <f>IF(AND($B$21=1,(5*$B$66)&lt;IF($B$63=1,$B$10-0.2,$B$62)),$B$151+$B$150*(MAX(IF((5*$B$66)&lt;=$B$9,0,((5*$B$66)-$B$9)/$B$8),MIN(($B$5-IF((5*$B$66)&lt;=$B$9,0,((5*$B$66)-$B$9)/$B$8)),IF((5*$B$66)&lt;$B$104,$B$107,$B$106)))),NA())</f>
        <v>#N/A</v>
      </c>
      <c r="GJ66" t="e">
        <f>IF(AND($B$21=1,(5*$B$66)&lt;IF($B$63=1,$B$10-0.2,$B$62)),$B$152+$B$150*((5*$B$66)),NA())</f>
        <v>#N/A</v>
      </c>
      <c r="HI66" t="e">
        <f>IF(10&lt;=$B$16-1,$B$157+$B$156*($B$6+$B$46),NA())</f>
        <v>#N/A</v>
      </c>
      <c r="HJ66" t="e">
        <f>IF(10&lt;=$B$16-1,$B$158+$B$156*(10*($B$5/2)/MAX(1,$B$16-1)),NA())</f>
        <v>#N/A</v>
      </c>
      <c r="HK66" t="e">
        <f>IF(20&lt;=$B$12,$B$157+$B$156*($B$13*20),NA())</f>
        <v>#N/A</v>
      </c>
      <c r="HL66" t="e">
        <f>IF(20&lt;=$B$12,$B$158+$B$156*($B$5),NA())</f>
        <v>#N/A</v>
      </c>
      <c r="HM66" t="e">
        <f>IF(AND(11&lt;=$B$12,1&lt;=$B$25),$B$157+$B$156*((11-1)*$B$13+1*$B$13/($B$25+1)),NA())</f>
        <v>#N/A</v>
      </c>
      <c r="HN66" t="e">
        <f>IF(AND(11&lt;=$B$12,1&lt;=$B$25),$B$158+$B$156*($B$5),NA())</f>
        <v>#N/A</v>
      </c>
      <c r="HQ66" t="e">
        <f>IF(AND(1&lt;=$B$23,5&lt;=$B$24),$B$157+$B$156*(IF(1=1,1,IF(1=$B$23,$B$12,5*(1-1)))*$B$13),NA())</f>
        <v>#N/A</v>
      </c>
      <c r="HR66" t="e">
        <f>IF(AND(1&lt;=$B$23,5&lt;=$B$24),$B$158+$B$156*((1*$B$5/2+5*($B$5/2)/$B$24)),NA())</f>
        <v>#N/A</v>
      </c>
      <c r="HS66">
        <f>IF(AND(3&lt;=$B$12,$B$51&gt;0),$B$157+$B$156*(((3-0.5)*$B$13)+($B$51*$B$13)/2),NA())</f>
        <v>77.9624285714286</v>
      </c>
      <c r="HT66">
        <f>IF(AND(3&lt;=$B$12,$B$51&gt;0),$B$158+$B$156*((1*$B$5/2+0.6*$B$159)),NA())</f>
        <v>52.6</v>
      </c>
      <c r="HU66" t="e">
        <f>IF(6&lt;=$B$47,$B$157+$B$156*(((MAX(1,MIN($B$12,ROUND(6*$B$12/($B$47+1),0)))-1)*$B$13+0.25*$B$13)+$B$48/2),NA())</f>
        <v>#N/A</v>
      </c>
      <c r="HV66" t="e">
        <f>IF(6&lt;=$B$47,$B$158+$B$156*(IF(MOD(6,2)=1,$B$5/4,3*$B$5/4)-$B$49/2),NA())</f>
        <v>#N/A</v>
      </c>
      <c r="IU66" t="e">
        <f>IF($B$44=1,$B$174+$B$173*($B$169+$B$29/2+$B$42),NA())</f>
        <v>#N/A</v>
      </c>
      <c r="IV66" t="e">
        <f>IF($B$44=1,$B$175+$B$173*($B$166-$B$42),NA())</f>
        <v>#N/A</v>
      </c>
      <c r="IW66" t="e">
        <f>IF(AND(0.2+20*$B$43&lt;$B$170,ABS(0.2+20*$B$43-$B$169)&gt;$B$29/2+0.03,$B$44=1),$B$174+$B$173*(0.2+20*$B$43),NA())</f>
        <v>#N/A</v>
      </c>
      <c r="IX66" t="e">
        <f>IF(AND(0.2+20*$B$43&lt;$B$170,ABS(0.2+20*$B$43-$B$169)&gt;$B$29/2+0.03,$B$44=1),$B$175+$B$173*($B$166-$B$42-0.015),NA())</f>
        <v>#N/A</v>
      </c>
      <c r="KI66" t="e">
        <f>IF(AND($B$21=1,6*$B$67&gt;$B$59,6*$B$67&lt;$B$178-$B$59,OR($B$63=0,ABS(6*$B$67-$B$178/2)&gt;$B$59/2)),$B$182+$B$181*($B$177*1/4-$B$60/2),NA())</f>
        <v>#N/A</v>
      </c>
      <c r="KJ66" t="e">
        <f>IF(AND($B$21=1,6*$B$67&gt;$B$59,6*$B$67&lt;$B$178-$B$59,OR($B$63=0,ABS(6*$B$67-$B$178/2)&gt;$B$59/2)),$B$183+$B$181*(6*$B$67),NA())</f>
        <v>#N/A</v>
      </c>
    </row>
    <row r="67">
      <c r="A67" t="inlineStr">
        <is>
          <t>pas_assises_P7</t>
        </is>
      </c>
      <c r="B67">
        <f>0.20</f>
        <v>0.2</v>
      </c>
      <c r="G67" t="e">
        <f>NA()</f>
        <v>#N/A</v>
      </c>
      <c r="H67" t="e">
        <f>NA()</f>
        <v>#N/A</v>
      </c>
      <c r="K67">
        <f>IF(3&lt;=$B$12,$B$133+$B$132*($B$13*3+$B$27/2),NA())</f>
        <v>91.9167142857143</v>
      </c>
      <c r="L67">
        <f>IF(3&lt;=$B$12,$B$134+$B$132*($B$5+$B$27/2),NA())</f>
        <v>86.04</v>
      </c>
      <c r="M67" t="e">
        <f>IF(AND(20&lt;=$B$12,$B$45=1),$B$133+$B$132*($B$13*20),NA())</f>
        <v>#N/A</v>
      </c>
      <c r="N67" t="e">
        <f>IF(AND(20&lt;=$B$12,$B$45=1),$B$134+$B$132*($B$5/2),NA())</f>
        <v>#N/A</v>
      </c>
      <c r="EA67" t="e">
        <f>NA()</f>
        <v>#N/A</v>
      </c>
      <c r="EB67" t="e">
        <f>NA()</f>
        <v>#N/A</v>
      </c>
      <c r="FA67" t="e">
        <f>NA()</f>
        <v>#N/A</v>
      </c>
      <c r="FB67" t="e">
        <f>NA()</f>
        <v>#N/A</v>
      </c>
      <c r="FC67" t="e">
        <f>IF(AND(4&lt;$B$22,($B$19+4*$B$64)&gt;=$B$73),$B$145+$B$144*($B$75),NA())</f>
        <v>#N/A</v>
      </c>
      <c r="FD67" t="e">
        <f>IF(AND(4&lt;$B$22,($B$19+4*$B$64)&gt;=$B$73),$B$146+$B$144*(($B$19+4*$B$64)),NA())</f>
        <v>#N/A</v>
      </c>
      <c r="FE67" t="e">
        <f>IF(AND(AND($B$21=1,(5*$B$66)&lt;$B$62),(5*$B$66)&gt;=$B$73),$B$145+$B$144*($B$75),NA())</f>
        <v>#N/A</v>
      </c>
      <c r="FF67" t="e">
        <f>IF(AND(AND($B$21=1,(5*$B$66)&lt;$B$62),(5*$B$66)&gt;=$B$73),$B$146+$B$144*((5*$B$66)),NA())</f>
        <v>#N/A</v>
      </c>
      <c r="GG67">
        <f>IF(AND(AND($B$20=1,($B$19+4*$B$64)&lt;$B$10-0.3),($B$19+4*$B$64)&gt;=$B$104),$B$151+$B$150*(MAX(IF(($B$19+4*$B$64)&lt;=$B$9,0,(($B$19+4*$B$64)-$B$9)/$B$8),MIN(($B$5-IF(($B$19+4*$B$64)&lt;=$B$9,0,(($B$19+4*$B$64)-$B$9)/$B$8)),$B$106))),NA())</f>
        <v>77.44325</v>
      </c>
      <c r="GH67">
        <f>IF(AND(AND($B$20=1,($B$19+4*$B$64)&lt;$B$10-0.3),($B$19+4*$B$64)&gt;=$B$104),$B$152+$B$150*(($B$19+4*$B$64)),NA())</f>
        <v>79.04094</v>
      </c>
      <c r="GI67" t="e">
        <f>IF(AND(AND($B$21=1,(5*$B$66)&lt;IF($B$63=1,$B$10-0.2,$B$62)),(5*$B$66)&gt;=$B$104),$B$151+$B$150*(MAX(IF((5*$B$66)&lt;=$B$9,0,((5*$B$66)-$B$9)/$B$8),MIN(($B$5-IF((5*$B$66)&lt;=$B$9,0,((5*$B$66)-$B$9)/$B$8)),$B$106))),NA())</f>
        <v>#N/A</v>
      </c>
      <c r="GJ67" t="e">
        <f>IF(AND(AND($B$21=1,(5*$B$66)&lt;IF($B$63=1,$B$10-0.2,$B$62)),(5*$B$66)&gt;=$B$104),$B$152+$B$150*((5*$B$66)),NA())</f>
        <v>#N/A</v>
      </c>
      <c r="HI67" t="e">
        <f>NA()</f>
        <v>#N/A</v>
      </c>
      <c r="HJ67" t="e">
        <f>NA()</f>
        <v>#N/A</v>
      </c>
      <c r="HK67" t="e">
        <f>NA()</f>
        <v>#N/A</v>
      </c>
      <c r="HL67" t="e">
        <f>NA()</f>
        <v>#N/A</v>
      </c>
      <c r="HM67" t="e">
        <f>NA()</f>
        <v>#N/A</v>
      </c>
      <c r="HN67" t="e">
        <f>NA()</f>
        <v>#N/A</v>
      </c>
      <c r="HQ67" t="e">
        <f>NA()</f>
        <v>#N/A</v>
      </c>
      <c r="HR67" t="e">
        <f>NA()</f>
        <v>#N/A</v>
      </c>
      <c r="HS67">
        <f>IF(AND(3&lt;=$B$12,$B$51&gt;0),$B$157+$B$156*(((3-0.5)*$B$13)+($B$51*$B$13)/2),NA())</f>
        <v>77.9624285714286</v>
      </c>
      <c r="HT67">
        <f>IF(AND(3&lt;=$B$12,$B$51&gt;0),$B$158+$B$156*((1*$B$5/2+$B$5/2-0.6*$B$159)),NA())</f>
        <v>89.4</v>
      </c>
      <c r="HU67" t="e">
        <f>IF(6&lt;=$B$47,$B$157+$B$156*(((MAX(1,MIN($B$12,ROUND(6*$B$12/($B$47+1),0)))-1)*$B$13+0.25*$B$13)+$B$48/2),NA())</f>
        <v>#N/A</v>
      </c>
      <c r="HV67" t="e">
        <f>IF(6&lt;=$B$47,$B$158+$B$156*(IF(MOD(6,2)=1,$B$5/4,3*$B$5/4)+$B$49/2),NA())</f>
        <v>#N/A</v>
      </c>
      <c r="IU67" t="e">
        <f>IF($B$44=1,$B$174+$B$173*($B$170),NA())</f>
        <v>#N/A</v>
      </c>
      <c r="IV67" t="e">
        <f>IF($B$44=1,$B$175+$B$173*($B$166-$B$42),NA())</f>
        <v>#N/A</v>
      </c>
      <c r="IW67" t="e">
        <f>IF(AND(0.2+21*$B$43&lt;$B$170,ABS(0.2+21*$B$43-$B$169)&gt;$B$29/2+0.03),$B$174+$B$173*(0.2+21*$B$43),NA())</f>
        <v>#N/A</v>
      </c>
      <c r="IX67" t="e">
        <f>IF(AND(0.2+21*$B$43&lt;$B$170,ABS(0.2+21*$B$43-$B$169)&gt;$B$29/2+0.03),$B$175+$B$173*($B$165+$B$42+0.015),NA())</f>
        <v>#N/A</v>
      </c>
      <c r="KI67" t="e">
        <f>NA()</f>
        <v>#N/A</v>
      </c>
      <c r="KJ67" t="e">
        <f>NA()</f>
        <v>#N/A</v>
      </c>
    </row>
    <row r="68">
      <c r="A68" t="inlineStr">
        <is>
          <t>LP_nC</t>
        </is>
      </c>
      <c r="B68">
        <f>IF('PARAMÈTRES'!$C$31="Long-pan",'PARAMÈTRES'!$C$28,0)</f>
        <v>0</v>
      </c>
      <c r="G68" t="e">
        <f>IF(21&lt;=$B$12,$B$133+$B$132*($B$13*21),NA())</f>
        <v>#N/A</v>
      </c>
      <c r="H68" t="e">
        <f>IF(21&lt;=$B$12,$B$134+$B$132*(-4*$B$135),NA())</f>
        <v>#N/A</v>
      </c>
      <c r="K68">
        <f>IF(3&lt;=$B$12,$B$133+$B$132*($B$13*3-$B$27/2),NA())</f>
        <v>87.8367142857143</v>
      </c>
      <c r="L68">
        <f>IF(3&lt;=$B$12,$B$134+$B$132*($B$5+$B$27/2),NA())</f>
        <v>86.04</v>
      </c>
      <c r="M68" t="e">
        <f>IF(21&lt;=$B$12,$B$133+$B$132*($B$13*21),NA())</f>
        <v>#N/A</v>
      </c>
      <c r="N68" t="e">
        <f>IF(21&lt;=$B$12,$B$134+$B$132*(0),NA())</f>
        <v>#N/A</v>
      </c>
      <c r="EA68" t="e">
        <f>IF(AND($B$18=1,22&lt;=$B$26-1),$B$139+$B$138*(22*($B$5/MAX(1,$B$26))),NA())</f>
        <v>#N/A</v>
      </c>
      <c r="EB68" t="e">
        <f>IF(AND($B$18=1,22&lt;=$B$26-1),$B$140+$B$138*($B$7),NA())</f>
        <v>#N/A</v>
      </c>
      <c r="FA68" t="e">
        <f>IF(21&lt;=$B$12,$B$145+$B$144*($B$13*21),NA())</f>
        <v>#N/A</v>
      </c>
      <c r="FB68" t="e">
        <f>IF(21&lt;=$B$12,$B$146+$B$144*(0),NA())</f>
        <v>#N/A</v>
      </c>
      <c r="FC68" t="e">
        <f>IF(4&lt;$B$22,$B$145+$B$144*(IF(($B$19+4*$B$64)&lt;$B$73,$B$77,$B$75)),NA())</f>
        <v>#N/A</v>
      </c>
      <c r="FD68" t="e">
        <f>IF(4&lt;$B$22,$B$146+$B$144*(($B$19+4*$B$64)),NA())</f>
        <v>#N/A</v>
      </c>
      <c r="FE68" t="e">
        <f>IF(AND($B$21=1,(5*$B$66)&lt;$B$62),$B$145+$B$144*(IF((5*$B$66)&lt;$B$73,$B$77,$B$75)),NA())</f>
        <v>#N/A</v>
      </c>
      <c r="FF68" t="e">
        <f>IF(AND($B$21=1,(5*$B$66)&lt;$B$62),$B$146+$B$144*((5*$B$66)),NA())</f>
        <v>#N/A</v>
      </c>
      <c r="GG68">
        <f>IF(AND($B$20=1,($B$19+4*$B$64)&lt;$B$10-0.3),$B$151+$B$150*(MAX(IF(($B$19+4*$B$64)&lt;=$B$9,0,(($B$19+4*$B$64)-$B$9)/$B$8),MIN(($B$5-IF(($B$19+4*$B$64)&lt;=$B$9,0,(($B$19+4*$B$64)-$B$9)/$B$8)),IF(($B$19+4*$B$64)&lt;$B$104,$B$108,$B$106)))),NA())</f>
        <v>77.44325</v>
      </c>
      <c r="GH68">
        <f>IF(AND($B$20=1,($B$19+4*$B$64)&lt;$B$10-0.3),$B$152+$B$150*(($B$19+4*$B$64)),NA())</f>
        <v>79.04094</v>
      </c>
      <c r="GI68" t="e">
        <f>IF(AND($B$21=1,(5*$B$66)&lt;IF($B$63=1,$B$10-0.2,$B$62)),$B$151+$B$150*(MAX(IF((5*$B$66)&lt;=$B$9,0,((5*$B$66)-$B$9)/$B$8),MIN(($B$5-IF((5*$B$66)&lt;=$B$9,0,((5*$B$66)-$B$9)/$B$8)),IF((5*$B$66)&lt;$B$104,$B$108,$B$106)))),NA())</f>
        <v>#N/A</v>
      </c>
      <c r="GJ68" t="e">
        <f>IF(AND($B$21=1,(5*$B$66)&lt;IF($B$63=1,$B$10-0.2,$B$62)),$B$152+$B$150*((5*$B$66)),NA())</f>
        <v>#N/A</v>
      </c>
      <c r="HI68" t="e">
        <f>IF(10&lt;=$B$16-1,$B$157+$B$156*(-$B$46),NA())</f>
        <v>#N/A</v>
      </c>
      <c r="HJ68" t="e">
        <f>IF(10&lt;=$B$16-1,$B$158+$B$156*($B$5-10*($B$5/2)/MAX(1,$B$16-1)),NA())</f>
        <v>#N/A</v>
      </c>
      <c r="HK68" t="e">
        <f>IF(21&lt;=$B$12,$B$157+$B$156*($B$13*21),NA())</f>
        <v>#N/A</v>
      </c>
      <c r="HL68" t="e">
        <f>IF(21&lt;=$B$12,$B$158+$B$156*(0),NA())</f>
        <v>#N/A</v>
      </c>
      <c r="HM68" t="e">
        <f>IF(AND(11&lt;=$B$12,2&lt;=$B$25),$B$157+$B$156*((11-1)*$B$13+2*$B$13/($B$25+1)),NA())</f>
        <v>#N/A</v>
      </c>
      <c r="HN68" t="e">
        <f>IF(AND(11&lt;=$B$12,2&lt;=$B$25),$B$158+$B$156*(0),NA())</f>
        <v>#N/A</v>
      </c>
      <c r="HQ68" t="e">
        <f>IF(AND(1&lt;=$B$23,5&lt;=$B$24),$B$157+$B$156*((IF(1=1,1,IF(1=$B$23,$B$12,5*(1-1)))-1)*$B$13),NA())</f>
        <v>#N/A</v>
      </c>
      <c r="HR68" t="e">
        <f>IF(AND(1&lt;=$B$23,5&lt;=$B$24),$B$158+$B$156*((1*$B$5/2+5*($B$5/2)/$B$24)),NA())</f>
        <v>#N/A</v>
      </c>
      <c r="HS68">
        <f>IF(AND(3&lt;=$B$12,$B$51&gt;0),$B$157+$B$156*(((3-0.5)*$B$13)-($B$51*$B$13)/2),NA())</f>
        <v>75.791</v>
      </c>
      <c r="HT68">
        <f>IF(AND(3&lt;=$B$12,$B$51&gt;0),$B$158+$B$156*((1*$B$5/2+$B$5/2-0.6*$B$159)),NA())</f>
        <v>89.4</v>
      </c>
      <c r="HU68" t="e">
        <f>IF(6&lt;=$B$47,$B$157+$B$156*(((MAX(1,MIN($B$12,ROUND(6*$B$12/($B$47+1),0)))-1)*$B$13+0.25*$B$13)-$B$48/2),NA())</f>
        <v>#N/A</v>
      </c>
      <c r="HV68" t="e">
        <f>IF(6&lt;=$B$47,$B$158+$B$156*(IF(MOD(6,2)=1,$B$5/4,3*$B$5/4)+$B$49/2),NA())</f>
        <v>#N/A</v>
      </c>
      <c r="IU68" t="e">
        <f>NA()</f>
        <v>#N/A</v>
      </c>
      <c r="IV68" t="e">
        <f>NA()</f>
        <v>#N/A</v>
      </c>
      <c r="IW68" t="e">
        <f>IF(AND(0.2+21*$B$43&lt;$B$170,ABS(0.2+21*$B$43-$B$169)&gt;$B$29/2+0.03,$B$44=1),$B$174+$B$173*(0.2+21*$B$43),NA())</f>
        <v>#N/A</v>
      </c>
      <c r="IX68" t="e">
        <f>IF(AND(0.2+21*$B$43&lt;$B$170,ABS(0.2+21*$B$43-$B$169)&gt;$B$29/2+0.03,$B$44=1),$B$175+$B$173*($B$166-$B$42-0.015),NA())</f>
        <v>#N/A</v>
      </c>
      <c r="KI68" t="e">
        <f>IF(AND($B$21=1,6*$B$67&gt;$B$59,6*$B$67&lt;$B$178-$B$59,OR($B$63=0,ABS(6*$B$67-$B$178/2)&gt;$B$59/2)),$B$182+$B$181*($B$177*1/4+$B$60/2),NA())</f>
        <v>#N/A</v>
      </c>
      <c r="KJ68" t="e">
        <f>IF(AND($B$21=1,6*$B$67&gt;$B$59,6*$B$67&lt;$B$178-$B$59,OR($B$63=0,ABS(6*$B$67-$B$178/2)&gt;$B$59/2)),$B$183+$B$181*(6*$B$67),NA())</f>
        <v>#N/A</v>
      </c>
    </row>
    <row r="69">
      <c r="A69" t="inlineStr">
        <is>
          <t>LP_nQ</t>
        </is>
      </c>
      <c r="B69">
        <f>IF('PARAMÈTRES'!$C$35="Long-pan",'PARAMÈTRES'!$C$32,0)</f>
        <v>1</v>
      </c>
      <c r="G69" t="e">
        <f>IF(21&lt;=$B$12,$B$133+$B$132*($B$13*21),NA())</f>
        <v>#N/A</v>
      </c>
      <c r="H69" t="e">
        <f>IF(21&lt;=$B$12,$B$134+$B$132*($B$5+4*$B$135),NA())</f>
        <v>#N/A</v>
      </c>
      <c r="K69">
        <f>IF(3&lt;=$B$12,$B$133+$B$132*($B$13*3-$B$27/2),NA())</f>
        <v>87.8367142857143</v>
      </c>
      <c r="L69">
        <f>IF(3&lt;=$B$12,$B$134+$B$132*($B$5-$B$27/2),NA())</f>
        <v>81.96</v>
      </c>
      <c r="M69" t="e">
        <f>IF(21&lt;=$B$12,$B$133+$B$132*($B$13*21),NA())</f>
        <v>#N/A</v>
      </c>
      <c r="N69" t="e">
        <f>IF(21&lt;=$B$12,$B$134+$B$132*($B$5),NA())</f>
        <v>#N/A</v>
      </c>
      <c r="EA69" t="e">
        <f>IF(AND($B$18=1,22&lt;=$B$26-1),$B$139+$B$138*(22*($B$5/MAX(1,$B$26))),NA())</f>
        <v>#N/A</v>
      </c>
      <c r="EB69" t="e">
        <f>IF(AND($B$18=1,22&lt;=$B$26-1),$B$140+$B$138*(($B$9+$B$8*MIN(22*($B$5/MAX(1,$B$26)),$B$5-(22*($B$5/MAX(1,$B$26)))))),NA())</f>
        <v>#N/A</v>
      </c>
      <c r="FA69" t="e">
        <f>IF(21&lt;=$B$12,$B$145+$B$144*($B$13*21),NA())</f>
        <v>#N/A</v>
      </c>
      <c r="FB69" t="e">
        <f>IF(21&lt;=$B$12,$B$146+$B$144*($B$9),NA())</f>
        <v>#N/A</v>
      </c>
      <c r="FC69" t="e">
        <f>IF(4&lt;$B$22,$B$145+$B$144*(IF(($B$19+4*$B$64)&lt;$B$80,$B$83,$B$82)),NA())</f>
        <v>#N/A</v>
      </c>
      <c r="FD69" t="e">
        <f>IF(4&lt;$B$22,$B$146+$B$144*(($B$19+4*$B$64)),NA())</f>
        <v>#N/A</v>
      </c>
      <c r="FE69" t="e">
        <f>IF(AND($B$21=1,(5*$B$66)&lt;$B$62),$B$145+$B$144*(IF((5*$B$66)&lt;$B$80,$B$83,$B$82)),NA())</f>
        <v>#N/A</v>
      </c>
      <c r="FF69" t="e">
        <f>IF(AND($B$21=1,(5*$B$66)&lt;$B$62),$B$146+$B$144*((5*$B$66)),NA())</f>
        <v>#N/A</v>
      </c>
      <c r="GG69">
        <f>IF(AND($B$20=1,($B$19+4*$B$64)&lt;$B$10-0.3),$B$151+$B$150*(MAX(IF(($B$19+4*$B$64)&lt;=$B$9,0,(($B$19+4*$B$64)-$B$9)/$B$8),MIN(($B$5-IF(($B$19+4*$B$64)&lt;=$B$9,0,(($B$19+4*$B$64)-$B$9)/$B$8)),IF(($B$19+4*$B$64)&lt;$B$111,$B$114,$B$113)))),NA())</f>
        <v>115.73875</v>
      </c>
      <c r="GH69">
        <f>IF(AND($B$20=1,($B$19+4*$B$64)&lt;$B$10-0.3),$B$152+$B$150*(($B$19+4*$B$64)),NA())</f>
        <v>79.04094</v>
      </c>
      <c r="GI69" t="e">
        <f>IF(AND($B$21=1,(5*$B$66)&lt;IF($B$63=1,$B$10-0.2,$B$62)),$B$151+$B$150*(MAX(IF((5*$B$66)&lt;=$B$9,0,((5*$B$66)-$B$9)/$B$8),MIN(($B$5-IF((5*$B$66)&lt;=$B$9,0,((5*$B$66)-$B$9)/$B$8)),IF((5*$B$66)&lt;$B$111,$B$114,$B$113)))),NA())</f>
        <v>#N/A</v>
      </c>
      <c r="GJ69" t="e">
        <f>IF(AND($B$21=1,(5*$B$66)&lt;IF($B$63=1,$B$10-0.2,$B$62)),$B$152+$B$150*((5*$B$66)),NA())</f>
        <v>#N/A</v>
      </c>
      <c r="HI69" t="e">
        <f>IF(10&lt;=$B$16-1,$B$157+$B$156*($B$6+$B$46),NA())</f>
        <v>#N/A</v>
      </c>
      <c r="HJ69" t="e">
        <f>IF(10&lt;=$B$16-1,$B$158+$B$156*($B$5-10*($B$5/2)/MAX(1,$B$16-1)),NA())</f>
        <v>#N/A</v>
      </c>
      <c r="HK69" t="e">
        <f>IF(21&lt;=$B$12,$B$157+$B$156*($B$13*21),NA())</f>
        <v>#N/A</v>
      </c>
      <c r="HL69" t="e">
        <f>IF(21&lt;=$B$12,$B$158+$B$156*($B$5),NA())</f>
        <v>#N/A</v>
      </c>
      <c r="HM69" t="e">
        <f>IF(AND(11&lt;=$B$12,2&lt;=$B$25),$B$157+$B$156*((11-1)*$B$13+2*$B$13/($B$25+1)),NA())</f>
        <v>#N/A</v>
      </c>
      <c r="HN69" t="e">
        <f>IF(AND(11&lt;=$B$12,2&lt;=$B$25),$B$158+$B$156*($B$5),NA())</f>
        <v>#N/A</v>
      </c>
      <c r="HQ69" t="e">
        <f>IF(AND(1&lt;=$B$23,5&lt;=$B$24),$B$157+$B$156*(IF(1=1,1,IF(1=$B$23,$B$12,5*(1-1)))*$B$13),NA())</f>
        <v>#N/A</v>
      </c>
      <c r="HR69" t="e">
        <f>IF(AND(1&lt;=$B$23,5&lt;=$B$24),$B$158+$B$156*((1*$B$5/2+(5-1)*($B$5/2)/$B$24)),NA())</f>
        <v>#N/A</v>
      </c>
      <c r="HS69">
        <f>IF(AND(3&lt;=$B$12,$B$51&gt;0),$B$157+$B$156*(((3-0.5)*$B$13)-($B$51*$B$13)/2),NA())</f>
        <v>75.791</v>
      </c>
      <c r="HT69">
        <f>IF(AND(3&lt;=$B$12,$B$51&gt;0),$B$158+$B$156*((1*$B$5/2+0.6*$B$159)),NA())</f>
        <v>52.6</v>
      </c>
      <c r="HU69" t="e">
        <f>IF(6&lt;=$B$47,$B$157+$B$156*(((MAX(1,MIN($B$12,ROUND(6*$B$12/($B$47+1),0)))-1)*$B$13+0.25*$B$13)-$B$48/2),NA())</f>
        <v>#N/A</v>
      </c>
      <c r="HV69" t="e">
        <f>IF(6&lt;=$B$47,$B$158+$B$156*(IF(MOD(6,2)=1,$B$5/4,3*$B$5/4)-$B$49/2),NA())</f>
        <v>#N/A</v>
      </c>
      <c r="IU69">
        <f>$B$174+$B$173*($B$169-($B$29/2-0.10))</f>
        <v>92.788</v>
      </c>
      <c r="IV69">
        <f>$B$175+$B$173*($B$168+0.06)</f>
        <v>64.41406</v>
      </c>
      <c r="IW69" t="e">
        <f>IF(AND(0.2+22*$B$43&lt;$B$170,ABS(0.2+22*$B$43-$B$169)&gt;$B$29/2+0.03),$B$174+$B$173*(0.2+22*$B$43),NA())</f>
        <v>#N/A</v>
      </c>
      <c r="IX69" t="e">
        <f>IF(AND(0.2+22*$B$43&lt;$B$170,ABS(0.2+22*$B$43-$B$169)&gt;$B$29/2+0.03),$B$175+$B$173*($B$165+$B$42+0.015),NA())</f>
        <v>#N/A</v>
      </c>
      <c r="KI69" t="e">
        <f>IF(AND($B$21=1,6*$B$67&gt;$B$59,6*$B$67&lt;$B$178-$B$59,OR($B$63=0,ABS(6*$B$67-$B$178/2)&gt;$B$59/2)),$B$182+$B$181*($B$177*2/4-$B$60/2),NA())</f>
        <v>#N/A</v>
      </c>
      <c r="KJ69" t="e">
        <f>IF(AND($B$21=1,6*$B$67&gt;$B$59,6*$B$67&lt;$B$178-$B$59,OR($B$63=0,ABS(6*$B$67-$B$178/2)&gt;$B$59/2)),$B$183+$B$181*(6*$B$67),NA())</f>
        <v>#N/A</v>
      </c>
    </row>
    <row r="70">
      <c r="A70" t="inlineStr">
        <is>
          <t>LP_nd</t>
        </is>
      </c>
      <c r="B70">
        <f>MIN(4,$B$68+$B$69)</f>
        <v>1</v>
      </c>
      <c r="G70" t="e">
        <f>NA()</f>
        <v>#N/A</v>
      </c>
      <c r="H70" t="e">
        <f>NA()</f>
        <v>#N/A</v>
      </c>
      <c r="K70" t="e">
        <f>NA()</f>
        <v>#N/A</v>
      </c>
      <c r="L70" t="e">
        <f>NA()</f>
        <v>#N/A</v>
      </c>
      <c r="M70" t="e">
        <f>IF(AND(21&lt;=$B$12,$B$45=1),$B$133+$B$132*($B$13*21),NA())</f>
        <v>#N/A</v>
      </c>
      <c r="N70" t="e">
        <f>IF(AND(21&lt;=$B$12,$B$45=1),$B$134+$B$132*($B$5/2),NA())</f>
        <v>#N/A</v>
      </c>
      <c r="EA70" t="e">
        <f>NA()</f>
        <v>#N/A</v>
      </c>
      <c r="EB70" t="e">
        <f>NA()</f>
        <v>#N/A</v>
      </c>
      <c r="FA70" t="e">
        <f>NA()</f>
        <v>#N/A</v>
      </c>
      <c r="FB70" t="e">
        <f>NA()</f>
        <v>#N/A</v>
      </c>
      <c r="FC70" t="e">
        <f>IF(AND(4&lt;$B$22,($B$19+4*$B$64)&gt;=$B$80),$B$145+$B$144*($B$82),NA())</f>
        <v>#N/A</v>
      </c>
      <c r="FD70" t="e">
        <f>IF(AND(4&lt;$B$22,($B$19+4*$B$64)&gt;=$B$80),$B$146+$B$144*(($B$19+4*$B$64)),NA())</f>
        <v>#N/A</v>
      </c>
      <c r="FE70" t="e">
        <f>IF(AND(AND($B$21=1,(5*$B$66)&lt;$B$62),(5*$B$66)&gt;=$B$80),$B$145+$B$144*($B$82),NA())</f>
        <v>#N/A</v>
      </c>
      <c r="FF70" t="e">
        <f>IF(AND(AND($B$21=1,(5*$B$66)&lt;$B$62),(5*$B$66)&gt;=$B$80),$B$146+$B$144*((5*$B$66)),NA())</f>
        <v>#N/A</v>
      </c>
      <c r="GG70">
        <f>IF(AND(AND($B$20=1,($B$19+4*$B$64)&lt;$B$10-0.3),($B$19+4*$B$64)&gt;=$B$111),$B$151+$B$150*(MAX(IF(($B$19+4*$B$64)&lt;=$B$9,0,(($B$19+4*$B$64)-$B$9)/$B$8),MIN(($B$5-IF(($B$19+4*$B$64)&lt;=$B$9,0,(($B$19+4*$B$64)-$B$9)/$B$8)),$B$113))),NA())</f>
        <v>115.73875</v>
      </c>
      <c r="GH70">
        <f>IF(AND(AND($B$20=1,($B$19+4*$B$64)&lt;$B$10-0.3),($B$19+4*$B$64)&gt;=$B$111),$B$152+$B$150*(($B$19+4*$B$64)),NA())</f>
        <v>79.04094</v>
      </c>
      <c r="GI70" t="e">
        <f>IF(AND(AND($B$21=1,(5*$B$66)&lt;IF($B$63=1,$B$10-0.2,$B$62)),(5*$B$66)&gt;=$B$111),$B$151+$B$150*(MAX(IF((5*$B$66)&lt;=$B$9,0,((5*$B$66)-$B$9)/$B$8),MIN(($B$5-IF((5*$B$66)&lt;=$B$9,0,((5*$B$66)-$B$9)/$B$8)),$B$113))),NA())</f>
        <v>#N/A</v>
      </c>
      <c r="GJ70" t="e">
        <f>IF(AND(AND($B$21=1,(5*$B$66)&lt;IF($B$63=1,$B$10-0.2,$B$62)),(5*$B$66)&gt;=$B$111),$B$152+$B$150*((5*$B$66)),NA())</f>
        <v>#N/A</v>
      </c>
      <c r="HI70" t="e">
        <f>NA()</f>
        <v>#N/A</v>
      </c>
      <c r="HJ70" t="e">
        <f>NA()</f>
        <v>#N/A</v>
      </c>
      <c r="HK70" t="e">
        <f>NA()</f>
        <v>#N/A</v>
      </c>
      <c r="HL70" t="e">
        <f>NA()</f>
        <v>#N/A</v>
      </c>
      <c r="HM70" t="e">
        <f>NA()</f>
        <v>#N/A</v>
      </c>
      <c r="HN70" t="e">
        <f>NA()</f>
        <v>#N/A</v>
      </c>
      <c r="HQ70" t="e">
        <f>NA()</f>
        <v>#N/A</v>
      </c>
      <c r="HR70" t="e">
        <f>NA()</f>
        <v>#N/A</v>
      </c>
      <c r="HS70" t="e">
        <f>NA()</f>
        <v>#N/A</v>
      </c>
      <c r="HT70" t="e">
        <f>NA()</f>
        <v>#N/A</v>
      </c>
      <c r="HU70" t="e">
        <f>NA()</f>
        <v>#N/A</v>
      </c>
      <c r="HV70" t="e">
        <f>NA()</f>
        <v>#N/A</v>
      </c>
      <c r="IU70">
        <f>$B$174+$B$173*($B$169-($B$29/2-0.10))</f>
        <v>92.788</v>
      </c>
      <c r="IV70">
        <f>$B$175+$B$173*($B$168-$B$57+0.06)</f>
        <v>49.05646</v>
      </c>
      <c r="IW70" t="e">
        <f>IF(AND(0.2+22*$B$43&lt;$B$170,ABS(0.2+22*$B$43-$B$169)&gt;$B$29/2+0.03,$B$44=1),$B$174+$B$173*(0.2+22*$B$43),NA())</f>
        <v>#N/A</v>
      </c>
      <c r="IX70" t="e">
        <f>IF(AND(0.2+22*$B$43&lt;$B$170,ABS(0.2+22*$B$43-$B$169)&gt;$B$29/2+0.03,$B$44=1),$B$175+$B$173*($B$166-$B$42-0.015),NA())</f>
        <v>#N/A</v>
      </c>
      <c r="KI70" t="e">
        <f>NA()</f>
        <v>#N/A</v>
      </c>
      <c r="KJ70" t="e">
        <f>NA()</f>
        <v>#N/A</v>
      </c>
    </row>
    <row r="71">
      <c r="A71" t="inlineStr">
        <is>
          <t>LP_ex1</t>
        </is>
      </c>
      <c r="B71">
        <f>IF(1&lt;=$B$70,1,0)</f>
        <v>1</v>
      </c>
      <c r="G71" t="e">
        <f>IF(22&lt;=$B$12,$B$133+$B$132*($B$13*22),NA())</f>
        <v>#N/A</v>
      </c>
      <c r="H71" t="e">
        <f>IF(22&lt;=$B$12,$B$134+$B$132*(-4*$B$135),NA())</f>
        <v>#N/A</v>
      </c>
      <c r="K71" t="e">
        <f>IF(AND(3&lt;=$B$12,$B$45=1),$B$133+$B$132*($B$13*3-$B$27/2),NA())</f>
        <v>#N/A</v>
      </c>
      <c r="L71" t="e">
        <f>IF(AND(3&lt;=$B$12,$B$45=1),$B$134+$B$132*($B$5/2-$B$27/2),NA())</f>
        <v>#N/A</v>
      </c>
      <c r="M71" t="e">
        <f>IF(22&lt;=$B$12,$B$133+$B$132*($B$13*22),NA())</f>
        <v>#N/A</v>
      </c>
      <c r="N71" t="e">
        <f>IF(22&lt;=$B$12,$B$134+$B$132*(0),NA())</f>
        <v>#N/A</v>
      </c>
      <c r="EA71" t="e">
        <f>IF(AND($B$18=1,23&lt;=$B$26-1),$B$139+$B$138*(23*($B$5/MAX(1,$B$26))),NA())</f>
        <v>#N/A</v>
      </c>
      <c r="EB71" t="e">
        <f>IF(AND($B$18=1,23&lt;=$B$26-1),$B$140+$B$138*($B$7),NA())</f>
        <v>#N/A</v>
      </c>
      <c r="FA71" t="e">
        <f>IF(22&lt;=$B$12,$B$145+$B$144*($B$13*22),NA())</f>
        <v>#N/A</v>
      </c>
      <c r="FB71" t="e">
        <f>IF(22&lt;=$B$12,$B$146+$B$144*(0),NA())</f>
        <v>#N/A</v>
      </c>
      <c r="FC71" t="e">
        <f>IF(4&lt;$B$22,$B$145+$B$144*(IF(($B$19+4*$B$64)&lt;$B$80,$B$84,$B$82)),NA())</f>
        <v>#N/A</v>
      </c>
      <c r="FD71" t="e">
        <f>IF(4&lt;$B$22,$B$146+$B$144*(($B$19+4*$B$64)),NA())</f>
        <v>#N/A</v>
      </c>
      <c r="FE71" t="e">
        <f>IF(AND($B$21=1,(5*$B$66)&lt;$B$62),$B$145+$B$144*(IF((5*$B$66)&lt;$B$80,$B$84,$B$82)),NA())</f>
        <v>#N/A</v>
      </c>
      <c r="FF71" t="e">
        <f>IF(AND($B$21=1,(5*$B$66)&lt;$B$62),$B$146+$B$144*((5*$B$66)),NA())</f>
        <v>#N/A</v>
      </c>
      <c r="GG71">
        <f>IF(AND($B$20=1,($B$19+4*$B$64)&lt;$B$10-0.3),$B$151+$B$150*(MAX(IF(($B$19+4*$B$64)&lt;=$B$9,0,(($B$19+4*$B$64)-$B$9)/$B$8),MIN(($B$5-IF(($B$19+4*$B$64)&lt;=$B$9,0,(($B$19+4*$B$64)-$B$9)/$B$8)),IF(($B$19+4*$B$64)&lt;$B$111,$B$115,$B$113)))),NA())</f>
        <v>115.73875</v>
      </c>
      <c r="GH71">
        <f>IF(AND($B$20=1,($B$19+4*$B$64)&lt;$B$10-0.3),$B$152+$B$150*(($B$19+4*$B$64)),NA())</f>
        <v>79.04094</v>
      </c>
      <c r="GI71" t="e">
        <f>IF(AND($B$21=1,(5*$B$66)&lt;IF($B$63=1,$B$10-0.2,$B$62)),$B$151+$B$150*(MAX(IF((5*$B$66)&lt;=$B$9,0,((5*$B$66)-$B$9)/$B$8),MIN(($B$5-IF((5*$B$66)&lt;=$B$9,0,((5*$B$66)-$B$9)/$B$8)),IF((5*$B$66)&lt;$B$111,$B$115,$B$113)))),NA())</f>
        <v>#N/A</v>
      </c>
      <c r="GJ71" t="e">
        <f>IF(AND($B$21=1,(5*$B$66)&lt;IF($B$63=1,$B$10-0.2,$B$62)),$B$152+$B$150*((5*$B$66)),NA())</f>
        <v>#N/A</v>
      </c>
      <c r="HI71" t="e">
        <f>IF(11&lt;=$B$16-1,$B$157+$B$156*(-$B$46),NA())</f>
        <v>#N/A</v>
      </c>
      <c r="HJ71" t="e">
        <f>IF(11&lt;=$B$16-1,$B$158+$B$156*(11*($B$5/2)/MAX(1,$B$16-1)),NA())</f>
        <v>#N/A</v>
      </c>
      <c r="HK71" t="e">
        <f>IF(22&lt;=$B$12,$B$157+$B$156*($B$13*22),NA())</f>
        <v>#N/A</v>
      </c>
      <c r="HL71" t="e">
        <f>IF(22&lt;=$B$12,$B$158+$B$156*(0),NA())</f>
        <v>#N/A</v>
      </c>
      <c r="HM71" t="e">
        <f>IF(AND(12&lt;=$B$12,1&lt;=$B$25),$B$157+$B$156*((12-1)*$B$13+1*$B$13/($B$25+1)),NA())</f>
        <v>#N/A</v>
      </c>
      <c r="HN71" t="e">
        <f>IF(AND(12&lt;=$B$12,1&lt;=$B$25),$B$158+$B$156*(0),NA())</f>
        <v>#N/A</v>
      </c>
      <c r="HQ71" t="e">
        <f>IF(AND(1&lt;=$B$23,6&lt;=$B$24),$B$157+$B$156*((IF(1=1,1,IF(1=$B$23,$B$12,5*(1-1)))-1)*$B$13),NA())</f>
        <v>#N/A</v>
      </c>
      <c r="HR71" t="e">
        <f>IF(AND(1&lt;=$B$23,6&lt;=$B$24),$B$158+$B$156*((1*$B$5/2+(6-1)*($B$5/2)/$B$24)),NA())</f>
        <v>#N/A</v>
      </c>
      <c r="HS71">
        <f>IF(AND(3&lt;=$B$12,$B$51&gt;0),$B$157+$B$156*(((3-0.5)*$B$13)-($B$51*$B$13)/2),NA())</f>
        <v>75.791</v>
      </c>
      <c r="HT71">
        <f>IF(AND(3&lt;=$B$12,$B$51&gt;0),$B$158+$B$156*((1*$B$5/2+0.6*$B$159)),NA())</f>
        <v>52.6</v>
      </c>
      <c r="HU71" t="e">
        <f>IF(6&lt;=$B$47,$B$157+$B$156*(((MAX(1,MIN($B$12,ROUND(6*$B$12/($B$47+1),0)))-1)*$B$13+0.25*$B$13)-$B$48/2-0.2),NA())</f>
        <v>#N/A</v>
      </c>
      <c r="HV71" t="e">
        <f>IF(6&lt;=$B$47,$B$158+$B$156*(IF(MOD(6,2)=1,$B$5/4,3*$B$5/4)-$B$49/2-0.2),NA())</f>
        <v>#N/A</v>
      </c>
      <c r="IU71" t="e">
        <f>NA()</f>
        <v>#N/A</v>
      </c>
      <c r="IV71" t="e">
        <f>NA()</f>
        <v>#N/A</v>
      </c>
      <c r="IW71" t="e">
        <f>IF(AND(0.2+23*$B$43&lt;$B$170,ABS(0.2+23*$B$43-$B$169)&gt;$B$29/2+0.03),$B$174+$B$173*(0.2+23*$B$43),NA())</f>
        <v>#N/A</v>
      </c>
      <c r="IX71" t="e">
        <f>IF(AND(0.2+23*$B$43&lt;$B$170,ABS(0.2+23*$B$43-$B$169)&gt;$B$29/2+0.03),$B$175+$B$173*($B$165+$B$42+0.015),NA())</f>
        <v>#N/A</v>
      </c>
      <c r="KI71" t="e">
        <f>IF(AND($B$21=1,6*$B$67&gt;$B$59,6*$B$67&lt;$B$178-$B$59,OR($B$63=0,ABS(6*$B$67-$B$178/2)&gt;$B$59/2)),$B$182+$B$181*($B$177*2/4+$B$60/2),NA())</f>
        <v>#N/A</v>
      </c>
      <c r="KJ71" t="e">
        <f>IF(AND($B$21=1,6*$B$67&gt;$B$59,6*$B$67&lt;$B$178-$B$59,OR($B$63=0,ABS(6*$B$67-$B$178/2)&gt;$B$59/2)),$B$183+$B$181*(6*$B$67),NA())</f>
        <v>#N/A</v>
      </c>
    </row>
    <row r="72">
      <c r="A72" t="inlineStr">
        <is>
          <t>LP_w1</t>
        </is>
      </c>
      <c r="B72">
        <f>IF(1&lt;=$B$68,'PARAMÈTRES'!$C$29,'PARAMÈTRES'!$C$33)</f>
        <v>5.5</v>
      </c>
      <c r="G72" t="e">
        <f>IF(22&lt;=$B$12,$B$133+$B$132*($B$13*22),NA())</f>
        <v>#N/A</v>
      </c>
      <c r="H72" t="e">
        <f>IF(22&lt;=$B$12,$B$134+$B$132*($B$5+4*$B$135),NA())</f>
        <v>#N/A</v>
      </c>
      <c r="K72" t="e">
        <f>IF(AND(3&lt;=$B$12,$B$45=1),$B$133+$B$132*($B$13*3+$B$27/2),NA())</f>
        <v>#N/A</v>
      </c>
      <c r="L72" t="e">
        <f>IF(AND(3&lt;=$B$12,$B$45=1),$B$134+$B$132*($B$5/2-$B$27/2),NA())</f>
        <v>#N/A</v>
      </c>
      <c r="M72" t="e">
        <f>IF(22&lt;=$B$12,$B$133+$B$132*($B$13*22),NA())</f>
        <v>#N/A</v>
      </c>
      <c r="N72" t="e">
        <f>IF(22&lt;=$B$12,$B$134+$B$132*($B$5),NA())</f>
        <v>#N/A</v>
      </c>
      <c r="EA72" t="e">
        <f>IF(AND($B$18=1,23&lt;=$B$26-1),$B$139+$B$138*(23*($B$5/MAX(1,$B$26))),NA())</f>
        <v>#N/A</v>
      </c>
      <c r="EB72" t="e">
        <f>IF(AND($B$18=1,23&lt;=$B$26-1),$B$140+$B$138*(($B$9+$B$8*MIN(23*($B$5/MAX(1,$B$26)),$B$5-(23*($B$5/MAX(1,$B$26)))))),NA())</f>
        <v>#N/A</v>
      </c>
      <c r="FA72" t="e">
        <f>IF(22&lt;=$B$12,$B$145+$B$144*($B$13*22),NA())</f>
        <v>#N/A</v>
      </c>
      <c r="FB72" t="e">
        <f>IF(22&lt;=$B$12,$B$146+$B$144*($B$9),NA())</f>
        <v>#N/A</v>
      </c>
      <c r="FC72" t="e">
        <f>IF(4&lt;$B$22,$B$145+$B$144*(IF(($B$19+4*$B$64)&lt;$B$87,$B$90,$B$89)),NA())</f>
        <v>#N/A</v>
      </c>
      <c r="FD72" t="e">
        <f>IF(4&lt;$B$22,$B$146+$B$144*(($B$19+4*$B$64)),NA())</f>
        <v>#N/A</v>
      </c>
      <c r="FE72" t="e">
        <f>IF(AND($B$21=1,(5*$B$66)&lt;$B$62),$B$145+$B$144*(IF((5*$B$66)&lt;$B$87,$B$90,$B$89)),NA())</f>
        <v>#N/A</v>
      </c>
      <c r="FF72" t="e">
        <f>IF(AND($B$21=1,(5*$B$66)&lt;$B$62),$B$146+$B$144*((5*$B$66)),NA())</f>
        <v>#N/A</v>
      </c>
      <c r="GG72">
        <f>IF(AND($B$20=1,($B$19+4*$B$64)&lt;$B$10-0.3),$B$151+$B$150*(MAX(IF(($B$19+4*$B$64)&lt;=$B$9,0,(($B$19+4*$B$64)-$B$9)/$B$8),MIN(($B$5-IF(($B$19+4*$B$64)&lt;=$B$9,0,(($B$19+4*$B$64)-$B$9)/$B$8)),IF(($B$19+4*$B$64)&lt;$B$118,$B$121,$B$120)))),NA())</f>
        <v>115.73875</v>
      </c>
      <c r="GH72">
        <f>IF(AND($B$20=1,($B$19+4*$B$64)&lt;$B$10-0.3),$B$152+$B$150*(($B$19+4*$B$64)),NA())</f>
        <v>79.04094</v>
      </c>
      <c r="GI72" t="e">
        <f>IF(AND($B$21=1,(5*$B$66)&lt;IF($B$63=1,$B$10-0.2,$B$62)),$B$151+$B$150*(MAX(IF((5*$B$66)&lt;=$B$9,0,((5*$B$66)-$B$9)/$B$8),MIN(($B$5-IF((5*$B$66)&lt;=$B$9,0,((5*$B$66)-$B$9)/$B$8)),IF((5*$B$66)&lt;$B$118,$B$121,$B$120)))),NA())</f>
        <v>#N/A</v>
      </c>
      <c r="GJ72" t="e">
        <f>IF(AND($B$21=1,(5*$B$66)&lt;IF($B$63=1,$B$10-0.2,$B$62)),$B$152+$B$150*((5*$B$66)),NA())</f>
        <v>#N/A</v>
      </c>
      <c r="HI72" t="e">
        <f>IF(11&lt;=$B$16-1,$B$157+$B$156*($B$6+$B$46),NA())</f>
        <v>#N/A</v>
      </c>
      <c r="HJ72" t="e">
        <f>IF(11&lt;=$B$16-1,$B$158+$B$156*(11*($B$5/2)/MAX(1,$B$16-1)),NA())</f>
        <v>#N/A</v>
      </c>
      <c r="HK72" t="e">
        <f>IF(22&lt;=$B$12,$B$157+$B$156*($B$13*22),NA())</f>
        <v>#N/A</v>
      </c>
      <c r="HL72" t="e">
        <f>IF(22&lt;=$B$12,$B$158+$B$156*($B$5),NA())</f>
        <v>#N/A</v>
      </c>
      <c r="HM72" t="e">
        <f>IF(AND(12&lt;=$B$12,1&lt;=$B$25),$B$157+$B$156*((12-1)*$B$13+1*$B$13/($B$25+1)),NA())</f>
        <v>#N/A</v>
      </c>
      <c r="HN72" t="e">
        <f>IF(AND(12&lt;=$B$12,1&lt;=$B$25),$B$158+$B$156*($B$5),NA())</f>
        <v>#N/A</v>
      </c>
      <c r="HQ72" t="e">
        <f>IF(AND(1&lt;=$B$23,6&lt;=$B$24),$B$157+$B$156*(IF(1=1,1,IF(1=$B$23,$B$12,5*(1-1)))*$B$13),NA())</f>
        <v>#N/A</v>
      </c>
      <c r="HR72" t="e">
        <f>IF(AND(1&lt;=$B$23,6&lt;=$B$24),$B$158+$B$156*((1*$B$5/2+6*($B$5/2)/$B$24)),NA())</f>
        <v>#N/A</v>
      </c>
      <c r="HS72">
        <f>IF(AND(3&lt;=$B$12,$B$51&gt;0),$B$157+$B$156*(((3-0.5)*$B$13)+($B$51*$B$13)/2),NA())</f>
        <v>77.9624285714286</v>
      </c>
      <c r="HT72">
        <f>IF(AND(3&lt;=$B$12,$B$51&gt;0),$B$158+$B$156*((1*$B$5/2+0.6*$B$159)+(((1*$B$5/2+$B$5/2-0.6*$B$159))-((1*$B$5/2+0.6*$B$159)))/4),NA())</f>
        <v>61.8</v>
      </c>
      <c r="HU72" t="e">
        <f>IF(6&lt;=$B$47,$B$157+$B$156*(((MAX(1,MIN($B$12,ROUND(6*$B$12/($B$47+1),0)))-1)*$B$13+0.25*$B$13)+$B$48/2+0.2),NA())</f>
        <v>#N/A</v>
      </c>
      <c r="HV72" t="e">
        <f>IF(6&lt;=$B$47,$B$158+$B$156*(IF(MOD(6,2)=1,$B$5/4,3*$B$5/4)-$B$49/2-0.2),NA())</f>
        <v>#N/A</v>
      </c>
      <c r="IU72">
        <f>$B$174+$B$173*($B$169+($B$29/2-0.10))</f>
        <v>97.9072</v>
      </c>
      <c r="IV72">
        <f>$B$175+$B$173*($B$168+0.06)</f>
        <v>64.41406</v>
      </c>
      <c r="IW72" t="e">
        <f>IF(AND(0.2+23*$B$43&lt;$B$170,ABS(0.2+23*$B$43-$B$169)&gt;$B$29/2+0.03,$B$44=1),$B$174+$B$173*(0.2+23*$B$43),NA())</f>
        <v>#N/A</v>
      </c>
      <c r="IX72" t="e">
        <f>IF(AND(0.2+23*$B$43&lt;$B$170,ABS(0.2+23*$B$43-$B$169)&gt;$B$29/2+0.03,$B$44=1),$B$175+$B$173*($B$166-$B$42-0.015),NA())</f>
        <v>#N/A</v>
      </c>
      <c r="KI72" t="e">
        <f>IF(AND($B$21=1,6*$B$67&gt;$B$59,6*$B$67&lt;$B$178-$B$59,OR($B$63=0,ABS(6*$B$67-$B$178/2)&gt;$B$59/2)),$B$182+$B$181*($B$177*3/4-$B$60/2),NA())</f>
        <v>#N/A</v>
      </c>
      <c r="KJ72" t="e">
        <f>IF(AND($B$21=1,6*$B$67&gt;$B$59,6*$B$67&lt;$B$178-$B$59,OR($B$63=0,ABS(6*$B$67-$B$178/2)&gt;$B$59/2)),$B$183+$B$181*(6*$B$67),NA())</f>
        <v>#N/A</v>
      </c>
    </row>
    <row r="73">
      <c r="A73" t="inlineStr">
        <is>
          <t>LP_h1</t>
        </is>
      </c>
      <c r="B73">
        <f>IF(1&lt;=$B$68,'PARAMÈTRES'!$C$30,'PARAMÈTRES'!$C$34)*$B$71</f>
        <v>4</v>
      </c>
      <c r="G73" t="e">
        <f>NA()</f>
        <v>#N/A</v>
      </c>
      <c r="H73" t="e">
        <f>NA()</f>
        <v>#N/A</v>
      </c>
      <c r="K73" t="e">
        <f>IF(AND(3&lt;=$B$12,$B$45=1),$B$133+$B$132*($B$13*3+$B$27/2),NA())</f>
        <v>#N/A</v>
      </c>
      <c r="L73" t="e">
        <f>IF(AND(3&lt;=$B$12,$B$45=1),$B$134+$B$132*($B$5/2+$B$27/2),NA())</f>
        <v>#N/A</v>
      </c>
      <c r="M73" t="e">
        <f>IF(AND(22&lt;=$B$12,$B$45=1),$B$133+$B$132*($B$13*22),NA())</f>
        <v>#N/A</v>
      </c>
      <c r="N73" t="e">
        <f>IF(AND(22&lt;=$B$12,$B$45=1),$B$134+$B$132*($B$5/2),NA())</f>
        <v>#N/A</v>
      </c>
      <c r="EA73" t="e">
        <f>NA()</f>
        <v>#N/A</v>
      </c>
      <c r="EB73" t="e">
        <f>NA()</f>
        <v>#N/A</v>
      </c>
      <c r="FA73" t="e">
        <f>NA()</f>
        <v>#N/A</v>
      </c>
      <c r="FB73" t="e">
        <f>NA()</f>
        <v>#N/A</v>
      </c>
      <c r="FC73" t="e">
        <f>IF(AND(4&lt;$B$22,($B$19+4*$B$64)&gt;=$B$87),$B$145+$B$144*($B$89),NA())</f>
        <v>#N/A</v>
      </c>
      <c r="FD73" t="e">
        <f>IF(AND(4&lt;$B$22,($B$19+4*$B$64)&gt;=$B$87),$B$146+$B$144*(($B$19+4*$B$64)),NA())</f>
        <v>#N/A</v>
      </c>
      <c r="FE73" t="e">
        <f>IF(AND(AND($B$21=1,(5*$B$66)&lt;$B$62),(5*$B$66)&gt;=$B$87),$B$145+$B$144*($B$89),NA())</f>
        <v>#N/A</v>
      </c>
      <c r="FF73" t="e">
        <f>IF(AND(AND($B$21=1,(5*$B$66)&lt;$B$62),(5*$B$66)&gt;=$B$87),$B$146+$B$144*((5*$B$66)),NA())</f>
        <v>#N/A</v>
      </c>
      <c r="GG73">
        <f>IF(AND(AND($B$20=1,($B$19+4*$B$64)&lt;$B$10-0.3),($B$19+4*$B$64)&gt;=$B$118),$B$151+$B$150*(MAX(IF(($B$19+4*$B$64)&lt;=$B$9,0,(($B$19+4*$B$64)-$B$9)/$B$8),MIN(($B$5-IF(($B$19+4*$B$64)&lt;=$B$9,0,(($B$19+4*$B$64)-$B$9)/$B$8)),$B$120))),NA())</f>
        <v>115.73875</v>
      </c>
      <c r="GH73">
        <f>IF(AND(AND($B$20=1,($B$19+4*$B$64)&lt;$B$10-0.3),($B$19+4*$B$64)&gt;=$B$118),$B$152+$B$150*(($B$19+4*$B$64)),NA())</f>
        <v>79.04094</v>
      </c>
      <c r="GI73" t="e">
        <f>IF(AND(AND($B$21=1,(5*$B$66)&lt;IF($B$63=1,$B$10-0.2,$B$62)),(5*$B$66)&gt;=$B$118),$B$151+$B$150*(MAX(IF((5*$B$66)&lt;=$B$9,0,((5*$B$66)-$B$9)/$B$8),MIN(($B$5-IF((5*$B$66)&lt;=$B$9,0,((5*$B$66)-$B$9)/$B$8)),$B$120))),NA())</f>
        <v>#N/A</v>
      </c>
      <c r="GJ73" t="e">
        <f>IF(AND(AND($B$21=1,(5*$B$66)&lt;IF($B$63=1,$B$10-0.2,$B$62)),(5*$B$66)&gt;=$B$118),$B$152+$B$150*((5*$B$66)),NA())</f>
        <v>#N/A</v>
      </c>
      <c r="HI73" t="e">
        <f>NA()</f>
        <v>#N/A</v>
      </c>
      <c r="HJ73" t="e">
        <f>NA()</f>
        <v>#N/A</v>
      </c>
      <c r="HK73" t="e">
        <f>NA()</f>
        <v>#N/A</v>
      </c>
      <c r="HL73" t="e">
        <f>NA()</f>
        <v>#N/A</v>
      </c>
      <c r="HM73" t="e">
        <f>NA()</f>
        <v>#N/A</v>
      </c>
      <c r="HN73" t="e">
        <f>NA()</f>
        <v>#N/A</v>
      </c>
      <c r="HQ73" t="e">
        <f>NA()</f>
        <v>#N/A</v>
      </c>
      <c r="HR73" t="e">
        <f>NA()</f>
        <v>#N/A</v>
      </c>
      <c r="HS73">
        <f>IF(AND(3&lt;=$B$12,$B$51&gt;0),$B$157+$B$156*(((3-0.5)*$B$13)-($B$51*$B$13)/2),NA())</f>
        <v>75.791</v>
      </c>
      <c r="HT73">
        <f>IF(AND(3&lt;=$B$12,$B$51&gt;0),$B$158+$B$156*((1*$B$5/2+0.6*$B$159)+(((1*$B$5/2+$B$5/2-0.6*$B$159))-((1*$B$5/2+0.6*$B$159)))/2),NA())</f>
        <v>71</v>
      </c>
      <c r="HU73" t="e">
        <f>IF(6&lt;=$B$47,$B$157+$B$156*(((MAX(1,MIN($B$12,ROUND(6*$B$12/($B$47+1),0)))-1)*$B$13+0.25*$B$13)+$B$48/2+0.2),NA())</f>
        <v>#N/A</v>
      </c>
      <c r="HV73" t="e">
        <f>IF(6&lt;=$B$47,$B$158+$B$156*(IF(MOD(6,2)=1,$B$5/4,3*$B$5/4)+$B$49/2+0.2),NA())</f>
        <v>#N/A</v>
      </c>
      <c r="IU73">
        <f>$B$174+$B$173*($B$169+($B$29/2-0.10))</f>
        <v>97.9072</v>
      </c>
      <c r="IV73">
        <f>$B$175+$B$173*($B$168-$B$57+0.06)</f>
        <v>49.05646</v>
      </c>
      <c r="IW73" t="e">
        <f>IF(AND(0.2+24*$B$43&lt;$B$170,ABS(0.2+24*$B$43-$B$169)&gt;$B$29/2+0.03),$B$174+$B$173*(0.2+24*$B$43),NA())</f>
        <v>#N/A</v>
      </c>
      <c r="IX73" t="e">
        <f>IF(AND(0.2+24*$B$43&lt;$B$170,ABS(0.2+24*$B$43-$B$169)&gt;$B$29/2+0.03),$B$175+$B$173*($B$165+$B$42+0.015),NA())</f>
        <v>#N/A</v>
      </c>
      <c r="KI73" t="e">
        <f>NA()</f>
        <v>#N/A</v>
      </c>
      <c r="KJ73" t="e">
        <f>NA()</f>
        <v>#N/A</v>
      </c>
    </row>
    <row r="74">
      <c r="A74" t="inlineStr">
        <is>
          <t>LP_pos1</t>
        </is>
      </c>
      <c r="B74">
        <f>MAX(IF($B$12&gt;=3,2,1),MIN(IF($B$12&gt;=3,$B$12-1,$B$12),ROUND(1*$B$12/($B$70+1),0)))</f>
        <v>4</v>
      </c>
      <c r="G74" t="e">
        <f>IF(23&lt;=$B$12,$B$133+$B$132*($B$13*23),NA())</f>
        <v>#N/A</v>
      </c>
      <c r="H74" t="e">
        <f>IF(23&lt;=$B$12,$B$134+$B$132*(-4*$B$135),NA())</f>
        <v>#N/A</v>
      </c>
      <c r="K74" t="e">
        <f>IF(AND(3&lt;=$B$12,$B$45=1),$B$133+$B$132*($B$13*3-$B$27/2),NA())</f>
        <v>#N/A</v>
      </c>
      <c r="L74" t="e">
        <f>IF(AND(3&lt;=$B$12,$B$45=1),$B$134+$B$132*($B$5/2+$B$27/2),NA())</f>
        <v>#N/A</v>
      </c>
      <c r="M74" t="e">
        <f>IF(23&lt;=$B$12,$B$133+$B$132*($B$13*23),NA())</f>
        <v>#N/A</v>
      </c>
      <c r="N74" t="e">
        <f>IF(23&lt;=$B$12,$B$134+$B$132*(0),NA())</f>
        <v>#N/A</v>
      </c>
      <c r="EA74" t="e">
        <f>IF(AND($B$18=1,24&lt;=$B$26-1),$B$139+$B$138*(24*($B$5/MAX(1,$B$26))),NA())</f>
        <v>#N/A</v>
      </c>
      <c r="EB74" t="e">
        <f>IF(AND($B$18=1,24&lt;=$B$26-1),$B$140+$B$138*($B$7),NA())</f>
        <v>#N/A</v>
      </c>
      <c r="FA74" t="e">
        <f>IF(23&lt;=$B$12,$B$145+$B$144*($B$13*23),NA())</f>
        <v>#N/A</v>
      </c>
      <c r="FB74" t="e">
        <f>IF(23&lt;=$B$12,$B$146+$B$144*(0),NA())</f>
        <v>#N/A</v>
      </c>
      <c r="FC74" t="e">
        <f>IF(4&lt;$B$22,$B$145+$B$144*(IF(($B$19+4*$B$64)&lt;$B$87,$B$91,$B$89)),NA())</f>
        <v>#N/A</v>
      </c>
      <c r="FD74" t="e">
        <f>IF(4&lt;$B$22,$B$146+$B$144*(($B$19+4*$B$64)),NA())</f>
        <v>#N/A</v>
      </c>
      <c r="FE74" t="e">
        <f>IF(AND($B$21=1,(5*$B$66)&lt;$B$62),$B$145+$B$144*(IF((5*$B$66)&lt;$B$87,$B$91,$B$89)),NA())</f>
        <v>#N/A</v>
      </c>
      <c r="FF74" t="e">
        <f>IF(AND($B$21=1,(5*$B$66)&lt;$B$62),$B$146+$B$144*((5*$B$66)),NA())</f>
        <v>#N/A</v>
      </c>
      <c r="GG74">
        <f>IF(AND($B$20=1,($B$19+4*$B$64)&lt;$B$10-0.3),$B$151+$B$150*(MAX(IF(($B$19+4*$B$64)&lt;=$B$9,0,(($B$19+4*$B$64)-$B$9)/$B$8),MIN(($B$5-IF(($B$19+4*$B$64)&lt;=$B$9,0,(($B$19+4*$B$64)-$B$9)/$B$8)),IF(($B$19+4*$B$64)&lt;$B$118,$B$122,$B$120)))),NA())</f>
        <v>115.73875</v>
      </c>
      <c r="GH74">
        <f>IF(AND($B$20=1,($B$19+4*$B$64)&lt;$B$10-0.3),$B$152+$B$150*(($B$19+4*$B$64)),NA())</f>
        <v>79.04094</v>
      </c>
      <c r="GI74" t="e">
        <f>IF(AND($B$21=1,(5*$B$66)&lt;IF($B$63=1,$B$10-0.2,$B$62)),$B$151+$B$150*(MAX(IF((5*$B$66)&lt;=$B$9,0,((5*$B$66)-$B$9)/$B$8),MIN(($B$5-IF((5*$B$66)&lt;=$B$9,0,((5*$B$66)-$B$9)/$B$8)),IF((5*$B$66)&lt;$B$118,$B$122,$B$120)))),NA())</f>
        <v>#N/A</v>
      </c>
      <c r="GJ74" t="e">
        <f>IF(AND($B$21=1,(5*$B$66)&lt;IF($B$63=1,$B$10-0.2,$B$62)),$B$152+$B$150*((5*$B$66)),NA())</f>
        <v>#N/A</v>
      </c>
      <c r="HI74" t="e">
        <f>IF(11&lt;=$B$16-1,$B$157+$B$156*(-$B$46),NA())</f>
        <v>#N/A</v>
      </c>
      <c r="HJ74" t="e">
        <f>IF(11&lt;=$B$16-1,$B$158+$B$156*($B$5-11*($B$5/2)/MAX(1,$B$16-1)),NA())</f>
        <v>#N/A</v>
      </c>
      <c r="HK74" t="e">
        <f>IF(23&lt;=$B$12,$B$157+$B$156*($B$13*23),NA())</f>
        <v>#N/A</v>
      </c>
      <c r="HL74" t="e">
        <f>IF(23&lt;=$B$12,$B$158+$B$156*(0),NA())</f>
        <v>#N/A</v>
      </c>
      <c r="HM74" t="e">
        <f>IF(AND(12&lt;=$B$12,2&lt;=$B$25),$B$157+$B$156*((12-1)*$B$13+2*$B$13/($B$25+1)),NA())</f>
        <v>#N/A</v>
      </c>
      <c r="HN74" t="e">
        <f>IF(AND(12&lt;=$B$12,2&lt;=$B$25),$B$158+$B$156*(0),NA())</f>
        <v>#N/A</v>
      </c>
      <c r="HQ74" t="e">
        <f>IF(AND(1&lt;=$B$23,6&lt;=$B$24),$B$157+$B$156*((IF(1=1,1,IF(1=$B$23,$B$12,5*(1-1)))-1)*$B$13),NA())</f>
        <v>#N/A</v>
      </c>
      <c r="HR74" t="e">
        <f>IF(AND(1&lt;=$B$23,6&lt;=$B$24),$B$158+$B$156*((1*$B$5/2+6*($B$5/2)/$B$24)),NA())</f>
        <v>#N/A</v>
      </c>
      <c r="HS74">
        <f>IF(AND(3&lt;=$B$12,$B$51&gt;0),$B$157+$B$156*(((3-0.5)*$B$13)+($B$51*$B$13)/2),NA())</f>
        <v>77.9624285714286</v>
      </c>
      <c r="HT74">
        <f>IF(AND(3&lt;=$B$12,$B$51&gt;0),$B$158+$B$156*((1*$B$5/2+0.6*$B$159)+3*(((1*$B$5/2+$B$5/2-0.6*$B$159))-((1*$B$5/2+0.6*$B$159)))/4),NA())</f>
        <v>80.2</v>
      </c>
      <c r="HU74" t="e">
        <f>IF(6&lt;=$B$47,$B$157+$B$156*(((MAX(1,MIN($B$12,ROUND(6*$B$12/($B$47+1),0)))-1)*$B$13+0.25*$B$13)-$B$48/2-0.2),NA())</f>
        <v>#N/A</v>
      </c>
      <c r="HV74" t="e">
        <f>IF(6&lt;=$B$47,$B$158+$B$156*(IF(MOD(6,2)=1,$B$5/4,3*$B$5/4)+$B$49/2+0.2),NA())</f>
        <v>#N/A</v>
      </c>
      <c r="IU74" t="e">
        <f>NA()</f>
        <v>#N/A</v>
      </c>
      <c r="IV74" t="e">
        <f>NA()</f>
        <v>#N/A</v>
      </c>
      <c r="IW74" t="e">
        <f>IF(AND(0.2+24*$B$43&lt;$B$170,ABS(0.2+24*$B$43-$B$169)&gt;$B$29/2+0.03,$B$44=1),$B$174+$B$173*(0.2+24*$B$43),NA())</f>
        <v>#N/A</v>
      </c>
      <c r="IX74" t="e">
        <f>IF(AND(0.2+24*$B$43&lt;$B$170,ABS(0.2+24*$B$43-$B$169)&gt;$B$29/2+0.03,$B$44=1),$B$175+$B$173*($B$166-$B$42-0.015),NA())</f>
        <v>#N/A</v>
      </c>
      <c r="KI74" t="e">
        <f>IF(AND($B$21=1,6*$B$67&gt;$B$59,6*$B$67&lt;$B$178-$B$59,OR($B$63=0,ABS(6*$B$67-$B$178/2)&gt;$B$59/2)),$B$182+$B$181*($B$177*3/4+$B$60/2),NA())</f>
        <v>#N/A</v>
      </c>
      <c r="KJ74" t="e">
        <f>IF(AND($B$21=1,6*$B$67&gt;$B$59,6*$B$67&lt;$B$178-$B$59,OR($B$63=0,ABS(6*$B$67-$B$178/2)&gt;$B$59/2)),$B$183+$B$181*(6*$B$67),NA())</f>
        <v>#N/A</v>
      </c>
    </row>
    <row r="75">
      <c r="A75" t="inlineStr">
        <is>
          <t>LP_xc1</t>
        </is>
      </c>
      <c r="B75">
        <f>IF($B$71=1,($B$74-0.5)*$B$13,$B$6)</f>
        <v>20</v>
      </c>
      <c r="G75" t="e">
        <f>IF(23&lt;=$B$12,$B$133+$B$132*($B$13*23),NA())</f>
        <v>#N/A</v>
      </c>
      <c r="H75" t="e">
        <f>IF(23&lt;=$B$12,$B$134+$B$132*($B$5+4*$B$135),NA())</f>
        <v>#N/A</v>
      </c>
      <c r="K75" t="e">
        <f>IF(AND(3&lt;=$B$12,$B$45=1),$B$133+$B$132*($B$13*3-$B$27/2),NA())</f>
        <v>#N/A</v>
      </c>
      <c r="L75" t="e">
        <f>IF(AND(3&lt;=$B$12,$B$45=1),$B$134+$B$132*($B$5/2-$B$27/2),NA())</f>
        <v>#N/A</v>
      </c>
      <c r="M75" t="e">
        <f>IF(23&lt;=$B$12,$B$133+$B$132*($B$13*23),NA())</f>
        <v>#N/A</v>
      </c>
      <c r="N75" t="e">
        <f>IF(23&lt;=$B$12,$B$134+$B$132*($B$5),NA())</f>
        <v>#N/A</v>
      </c>
      <c r="EA75" t="e">
        <f>IF(AND($B$18=1,24&lt;=$B$26-1),$B$139+$B$138*(24*($B$5/MAX(1,$B$26))),NA())</f>
        <v>#N/A</v>
      </c>
      <c r="EB75" t="e">
        <f>IF(AND($B$18=1,24&lt;=$B$26-1),$B$140+$B$138*(($B$9+$B$8*MIN(24*($B$5/MAX(1,$B$26)),$B$5-(24*($B$5/MAX(1,$B$26)))))),NA())</f>
        <v>#N/A</v>
      </c>
      <c r="FA75" t="e">
        <f>IF(23&lt;=$B$12,$B$145+$B$144*($B$13*23),NA())</f>
        <v>#N/A</v>
      </c>
      <c r="FB75" t="e">
        <f>IF(23&lt;=$B$12,$B$146+$B$144*($B$9),NA())</f>
        <v>#N/A</v>
      </c>
      <c r="FC75" t="e">
        <f>IF(4&lt;$B$22,$B$145+$B$144*(IF(($B$19+4*$B$64)&lt;$B$94,$B$97,$B$96)),NA())</f>
        <v>#N/A</v>
      </c>
      <c r="FD75" t="e">
        <f>IF(4&lt;$B$22,$B$146+$B$144*(($B$19+4*$B$64)),NA())</f>
        <v>#N/A</v>
      </c>
      <c r="FE75" t="e">
        <f>IF(AND($B$21=1,(5*$B$66)&lt;$B$62),$B$145+$B$144*(IF((5*$B$66)&lt;$B$94,$B$97,$B$96)),NA())</f>
        <v>#N/A</v>
      </c>
      <c r="FF75" t="e">
        <f>IF(AND($B$21=1,(5*$B$66)&lt;$B$62),$B$146+$B$144*((5*$B$66)),NA())</f>
        <v>#N/A</v>
      </c>
      <c r="GG75">
        <f>IF(AND($B$20=1,($B$19+4*$B$64)&lt;$B$10-0.3),$B$151+$B$150*(MAX(IF(($B$19+4*$B$64)&lt;=$B$9,0,(($B$19+4*$B$64)-$B$9)/$B$8),MIN(($B$5-IF(($B$19+4*$B$64)&lt;=$B$9,0,(($B$19+4*$B$64)-$B$9)/$B$8)),IF(($B$19+4*$B$64)&lt;$B$125,$B$128,$B$127)))),NA())</f>
        <v>115.73875</v>
      </c>
      <c r="GH75">
        <f>IF(AND($B$20=1,($B$19+4*$B$64)&lt;$B$10-0.3),$B$152+$B$150*(($B$19+4*$B$64)),NA())</f>
        <v>79.04094</v>
      </c>
      <c r="GI75" t="e">
        <f>IF(AND($B$21=1,(5*$B$66)&lt;IF($B$63=1,$B$10-0.2,$B$62)),$B$151+$B$150*(MAX(IF((5*$B$66)&lt;=$B$9,0,((5*$B$66)-$B$9)/$B$8),MIN(($B$5-IF((5*$B$66)&lt;=$B$9,0,((5*$B$66)-$B$9)/$B$8)),IF((5*$B$66)&lt;$B$125,$B$128,$B$127)))),NA())</f>
        <v>#N/A</v>
      </c>
      <c r="GJ75" t="e">
        <f>IF(AND($B$21=1,(5*$B$66)&lt;IF($B$63=1,$B$10-0.2,$B$62)),$B$152+$B$150*((5*$B$66)),NA())</f>
        <v>#N/A</v>
      </c>
      <c r="HI75" t="e">
        <f>IF(11&lt;=$B$16-1,$B$157+$B$156*($B$6+$B$46),NA())</f>
        <v>#N/A</v>
      </c>
      <c r="HJ75" t="e">
        <f>IF(11&lt;=$B$16-1,$B$158+$B$156*($B$5-11*($B$5/2)/MAX(1,$B$16-1)),NA())</f>
        <v>#N/A</v>
      </c>
      <c r="HK75" t="e">
        <f>IF(23&lt;=$B$12,$B$157+$B$156*($B$13*23),NA())</f>
        <v>#N/A</v>
      </c>
      <c r="HL75" t="e">
        <f>IF(23&lt;=$B$12,$B$158+$B$156*($B$5),NA())</f>
        <v>#N/A</v>
      </c>
      <c r="HM75" t="e">
        <f>IF(AND(12&lt;=$B$12,2&lt;=$B$25),$B$157+$B$156*((12-1)*$B$13+2*$B$13/($B$25+1)),NA())</f>
        <v>#N/A</v>
      </c>
      <c r="HN75" t="e">
        <f>IF(AND(12&lt;=$B$12,2&lt;=$B$25),$B$158+$B$156*($B$5),NA())</f>
        <v>#N/A</v>
      </c>
      <c r="HQ75" t="e">
        <f>IF(AND(1&lt;=$B$23,6&lt;=$B$24),$B$157+$B$156*(IF(1=1,1,IF(1=$B$23,$B$12,5*(1-1)))*$B$13),NA())</f>
        <v>#N/A</v>
      </c>
      <c r="HR75" t="e">
        <f>IF(AND(1&lt;=$B$23,6&lt;=$B$24),$B$158+$B$156*((1*$B$5/2+(6-1)*($B$5/2)/$B$24)),NA())</f>
        <v>#N/A</v>
      </c>
      <c r="HS75">
        <f>IF(AND(3&lt;=$B$12,$B$51&gt;0),$B$157+$B$156*(((3-0.5)*$B$13)-($B$51*$B$13)/2),NA())</f>
        <v>75.791</v>
      </c>
      <c r="HT75">
        <f>IF(AND(3&lt;=$B$12,$B$51&gt;0),$B$158+$B$156*((1*$B$5/2+$B$5/2-0.6*$B$159)),NA())</f>
        <v>89.4</v>
      </c>
      <c r="HU75" t="e">
        <f>IF(6&lt;=$B$47,$B$157+$B$156*(((MAX(1,MIN($B$12,ROUND(6*$B$12/($B$47+1),0)))-1)*$B$13+0.25*$B$13)-$B$48/2-0.2),NA())</f>
        <v>#N/A</v>
      </c>
      <c r="HV75" t="e">
        <f>IF(6&lt;=$B$47,$B$158+$B$156*(IF(MOD(6,2)=1,$B$5/4,3*$B$5/4)-$B$49/2-0.2),NA())</f>
        <v>#N/A</v>
      </c>
      <c r="IW75" t="e">
        <f>IF(AND(0.2+25*$B$43&lt;$B$170,ABS(0.2+25*$B$43-$B$169)&gt;$B$29/2+0.03),$B$174+$B$173*(0.2+25*$B$43),NA())</f>
        <v>#N/A</v>
      </c>
      <c r="IX75" t="e">
        <f>IF(AND(0.2+25*$B$43&lt;$B$170,ABS(0.2+25*$B$43-$B$169)&gt;$B$29/2+0.03),$B$175+$B$173*($B$165+$B$42+0.015),NA())</f>
        <v>#N/A</v>
      </c>
      <c r="KI75" t="e">
        <f>IF(AND($B$21=1,6*$B$67&gt;$B$59,6*$B$67&lt;$B$178-$B$59,OR($B$63=0,ABS(6*$B$67-$B$178/2)&gt;$B$59/2)),$B$182+$B$181*($B$177),NA())</f>
        <v>#N/A</v>
      </c>
      <c r="KJ75" t="e">
        <f>IF(AND($B$21=1,6*$B$67&gt;$B$59,6*$B$67&lt;$B$178-$B$59,OR($B$63=0,ABS(6*$B$67-$B$178/2)&gt;$B$59/2)),$B$183+$B$181*(6*$B$67),NA())</f>
        <v>#N/A</v>
      </c>
    </row>
    <row r="76">
      <c r="A76" t="inlineStr">
        <is>
          <t>LP_xl1</t>
        </is>
      </c>
      <c r="B76">
        <f>IF($B$71=1,$B$75-$B$72/2,$B$6)</f>
        <v>17.25</v>
      </c>
      <c r="G76" t="e">
        <f>NA()</f>
        <v>#N/A</v>
      </c>
      <c r="H76" t="e">
        <f>NA()</f>
        <v>#N/A</v>
      </c>
      <c r="K76" t="e">
        <f>NA()</f>
        <v>#N/A</v>
      </c>
      <c r="L76" t="e">
        <f>NA()</f>
        <v>#N/A</v>
      </c>
      <c r="M76" t="e">
        <f>IF(AND(23&lt;=$B$12,$B$45=1),$B$133+$B$132*($B$13*23),NA())</f>
        <v>#N/A</v>
      </c>
      <c r="N76" t="e">
        <f>IF(AND(23&lt;=$B$12,$B$45=1),$B$134+$B$132*($B$5/2),NA())</f>
        <v>#N/A</v>
      </c>
      <c r="EA76" t="e">
        <f>NA()</f>
        <v>#N/A</v>
      </c>
      <c r="EB76" t="e">
        <f>NA()</f>
        <v>#N/A</v>
      </c>
      <c r="FA76" t="e">
        <f>NA()</f>
        <v>#N/A</v>
      </c>
      <c r="FB76" t="e">
        <f>NA()</f>
        <v>#N/A</v>
      </c>
      <c r="FC76" t="e">
        <f>IF(AND(4&lt;$B$22,($B$19+4*$B$64)&gt;=$B$94),$B$145+$B$144*($B$96),NA())</f>
        <v>#N/A</v>
      </c>
      <c r="FD76" t="e">
        <f>IF(AND(4&lt;$B$22,($B$19+4*$B$64)&gt;=$B$94),$B$146+$B$144*(($B$19+4*$B$64)),NA())</f>
        <v>#N/A</v>
      </c>
      <c r="FE76" t="e">
        <f>IF(AND(AND($B$21=1,(5*$B$66)&lt;$B$62),(5*$B$66)&gt;=$B$94),$B$145+$B$144*($B$96),NA())</f>
        <v>#N/A</v>
      </c>
      <c r="FF76" t="e">
        <f>IF(AND(AND($B$21=1,(5*$B$66)&lt;$B$62),(5*$B$66)&gt;=$B$94),$B$146+$B$144*((5*$B$66)),NA())</f>
        <v>#N/A</v>
      </c>
      <c r="GG76">
        <f>IF(AND(AND($B$20=1,($B$19+4*$B$64)&lt;$B$10-0.3),($B$19+4*$B$64)&gt;=$B$125),$B$151+$B$150*(MAX(IF(($B$19+4*$B$64)&lt;=$B$9,0,(($B$19+4*$B$64)-$B$9)/$B$8),MIN(($B$5-IF(($B$19+4*$B$64)&lt;=$B$9,0,(($B$19+4*$B$64)-$B$9)/$B$8)),$B$127))),NA())</f>
        <v>115.73875</v>
      </c>
      <c r="GH76">
        <f>IF(AND(AND($B$20=1,($B$19+4*$B$64)&lt;$B$10-0.3),($B$19+4*$B$64)&gt;=$B$125),$B$152+$B$150*(($B$19+4*$B$64)),NA())</f>
        <v>79.04094</v>
      </c>
      <c r="GI76" t="e">
        <f>IF(AND(AND($B$21=1,(5*$B$66)&lt;IF($B$63=1,$B$10-0.2,$B$62)),(5*$B$66)&gt;=$B$125),$B$151+$B$150*(MAX(IF((5*$B$66)&lt;=$B$9,0,((5*$B$66)-$B$9)/$B$8),MIN(($B$5-IF((5*$B$66)&lt;=$B$9,0,((5*$B$66)-$B$9)/$B$8)),$B$127))),NA())</f>
        <v>#N/A</v>
      </c>
      <c r="GJ76" t="e">
        <f>IF(AND(AND($B$21=1,(5*$B$66)&lt;IF($B$63=1,$B$10-0.2,$B$62)),(5*$B$66)&gt;=$B$125),$B$152+$B$150*((5*$B$66)),NA())</f>
        <v>#N/A</v>
      </c>
      <c r="HI76" t="e">
        <f>NA()</f>
        <v>#N/A</v>
      </c>
      <c r="HJ76" t="e">
        <f>NA()</f>
        <v>#N/A</v>
      </c>
      <c r="HK76" t="e">
        <f>NA()</f>
        <v>#N/A</v>
      </c>
      <c r="HL76" t="e">
        <f>NA()</f>
        <v>#N/A</v>
      </c>
      <c r="HM76" t="e">
        <f>NA()</f>
        <v>#N/A</v>
      </c>
      <c r="HN76" t="e">
        <f>NA()</f>
        <v>#N/A</v>
      </c>
      <c r="HQ76" t="e">
        <f>NA()</f>
        <v>#N/A</v>
      </c>
      <c r="HR76" t="e">
        <f>NA()</f>
        <v>#N/A</v>
      </c>
      <c r="HS76" t="e">
        <f>NA()</f>
        <v>#N/A</v>
      </c>
      <c r="HT76" t="e">
        <f>NA()</f>
        <v>#N/A</v>
      </c>
      <c r="HU76" t="e">
        <f>NA()</f>
        <v>#N/A</v>
      </c>
      <c r="HV76" t="e">
        <f>NA()</f>
        <v>#N/A</v>
      </c>
      <c r="IW76" t="e">
        <f>IF(AND(0.2+25*$B$43&lt;$B$170,ABS(0.2+25*$B$43-$B$169)&gt;$B$29/2+0.03,$B$44=1),$B$174+$B$173*(0.2+25*$B$43),NA())</f>
        <v>#N/A</v>
      </c>
      <c r="IX76" t="e">
        <f>IF(AND(0.2+25*$B$43&lt;$B$170,ABS(0.2+25*$B$43-$B$169)&gt;$B$29/2+0.03,$B$44=1),$B$175+$B$173*($B$166-$B$42-0.015),NA())</f>
        <v>#N/A</v>
      </c>
      <c r="KI76" t="e">
        <f>NA()</f>
        <v>#N/A</v>
      </c>
      <c r="KJ76" t="e">
        <f>NA()</f>
        <v>#N/A</v>
      </c>
    </row>
    <row r="77">
      <c r="A77" t="inlineStr">
        <is>
          <t>LP_xr1</t>
        </is>
      </c>
      <c r="B77">
        <f>IF($B$71=1,$B$75+$B$72/2,$B$6)</f>
        <v>22.75</v>
      </c>
      <c r="G77" t="e">
        <f>IF(24&lt;=$B$12,$B$133+$B$132*($B$13*24),NA())</f>
        <v>#N/A</v>
      </c>
      <c r="H77" t="e">
        <f>IF(24&lt;=$B$12,$B$134+$B$132*(-4*$B$135),NA())</f>
        <v>#N/A</v>
      </c>
      <c r="K77">
        <f>IF(4&lt;=$B$12,$B$133+$B$132*($B$13*4-$B$27/2),NA())</f>
        <v>107.265285714286</v>
      </c>
      <c r="L77">
        <f>IF(4&lt;=$B$12,$B$134+$B$132*(0-$B$27/2),NA())</f>
        <v>13.96</v>
      </c>
      <c r="M77" t="e">
        <f>IF(24&lt;=$B$12,$B$133+$B$132*($B$13*24),NA())</f>
        <v>#N/A</v>
      </c>
      <c r="N77" t="e">
        <f>IF(24&lt;=$B$12,$B$134+$B$132*(0),NA())</f>
        <v>#N/A</v>
      </c>
      <c r="EA77" t="e">
        <f>IF(AND($B$18=1,25&lt;=$B$26-1),$B$139+$B$138*(25*($B$5/MAX(1,$B$26))),NA())</f>
        <v>#N/A</v>
      </c>
      <c r="EB77" t="e">
        <f>IF(AND($B$18=1,25&lt;=$B$26-1),$B$140+$B$138*($B$7),NA())</f>
        <v>#N/A</v>
      </c>
      <c r="FA77" t="e">
        <f>IF(24&lt;=$B$12,$B$145+$B$144*($B$13*24),NA())</f>
        <v>#N/A</v>
      </c>
      <c r="FB77" t="e">
        <f>IF(24&lt;=$B$12,$B$146+$B$144*(0),NA())</f>
        <v>#N/A</v>
      </c>
      <c r="FC77" t="e">
        <f>IF(4&lt;$B$22,$B$145+$B$144*(IF(($B$19+4*$B$64)&lt;$B$94,$B$98,$B$96)),NA())</f>
        <v>#N/A</v>
      </c>
      <c r="FD77" t="e">
        <f>IF(4&lt;$B$22,$B$146+$B$144*(($B$19+4*$B$64)),NA())</f>
        <v>#N/A</v>
      </c>
      <c r="FE77" t="e">
        <f>IF(AND($B$21=1,(5*$B$66)&lt;$B$62),$B$145+$B$144*(IF((5*$B$66)&lt;$B$94,$B$98,$B$96)),NA())</f>
        <v>#N/A</v>
      </c>
      <c r="FF77" t="e">
        <f>IF(AND($B$21=1,(5*$B$66)&lt;$B$62),$B$146+$B$144*((5*$B$66)),NA())</f>
        <v>#N/A</v>
      </c>
      <c r="GG77">
        <f>IF(AND($B$20=1,($B$19+4*$B$64)&lt;$B$10-0.3),$B$151+$B$150*(MAX(IF(($B$19+4*$B$64)&lt;=$B$9,0,(($B$19+4*$B$64)-$B$9)/$B$8),MIN(($B$5-IF(($B$19+4*$B$64)&lt;=$B$9,0,(($B$19+4*$B$64)-$B$9)/$B$8)),IF(($B$19+4*$B$64)&lt;$B$125,$B$129,$B$127)))),NA())</f>
        <v>115.73875</v>
      </c>
      <c r="GH77">
        <f>IF(AND($B$20=1,($B$19+4*$B$64)&lt;$B$10-0.3),$B$152+$B$150*(($B$19+4*$B$64)),NA())</f>
        <v>79.04094</v>
      </c>
      <c r="GI77" t="e">
        <f>IF(AND($B$21=1,(5*$B$66)&lt;IF($B$63=1,$B$10-0.2,$B$62)),$B$151+$B$150*(MAX(IF((5*$B$66)&lt;=$B$9,0,((5*$B$66)-$B$9)/$B$8),MIN(($B$5-IF((5*$B$66)&lt;=$B$9,0,((5*$B$66)-$B$9)/$B$8)),IF((5*$B$66)&lt;$B$125,$B$129,$B$127)))),NA())</f>
        <v>#N/A</v>
      </c>
      <c r="GJ77" t="e">
        <f>IF(AND($B$21=1,(5*$B$66)&lt;IF($B$63=1,$B$10-0.2,$B$62)),$B$152+$B$150*((5*$B$66)),NA())</f>
        <v>#N/A</v>
      </c>
      <c r="HI77" t="e">
        <f>IF(12&lt;=$B$16-1,$B$157+$B$156*(-$B$46),NA())</f>
        <v>#N/A</v>
      </c>
      <c r="HJ77" t="e">
        <f>IF(12&lt;=$B$16-1,$B$158+$B$156*(12*($B$5/2)/MAX(1,$B$16-1)),NA())</f>
        <v>#N/A</v>
      </c>
      <c r="HK77" t="e">
        <f>IF(24&lt;=$B$12,$B$157+$B$156*($B$13*24),NA())</f>
        <v>#N/A</v>
      </c>
      <c r="HL77" t="e">
        <f>IF(24&lt;=$B$12,$B$158+$B$156*(0),NA())</f>
        <v>#N/A</v>
      </c>
      <c r="HM77" t="e">
        <f>IF(AND(13&lt;=$B$12,1&lt;=$B$25),$B$157+$B$156*((13-1)*$B$13+1*$B$13/($B$25+1)),NA())</f>
        <v>#N/A</v>
      </c>
      <c r="HN77" t="e">
        <f>IF(AND(13&lt;=$B$12,1&lt;=$B$25),$B$158+$B$156*(0),NA())</f>
        <v>#N/A</v>
      </c>
      <c r="HQ77">
        <f>IF(AND(2&lt;=$B$23,1&lt;=$B$24),$B$157+$B$156*((IF(2=1,1,IF(2=$B$23,$B$12,5*(2-1)))-1)*$B$13),NA())</f>
        <v>109.448142857143</v>
      </c>
      <c r="HR77">
        <f>IF(AND(2&lt;=$B$23,1&lt;=$B$24),$B$158+$B$156*((0*$B$5/2+(1-1)*($B$5/2)/$B$24)),NA())</f>
        <v>14</v>
      </c>
      <c r="HS77">
        <f>IF(AND(4&lt;=$B$12,$B$51&gt;0),$B$157+$B$156*(((4-0.5)*$B$13)-($B$51*$B$13)/2),NA())</f>
        <v>97.5052857142857</v>
      </c>
      <c r="HT77">
        <f>IF(AND(4&lt;=$B$12,$B$51&gt;0),$B$158+$B$156*((0*$B$5/2+0.6*$B$159)),NA())</f>
        <v>14.6</v>
      </c>
      <c r="HU77" t="e">
        <f>IF(7&lt;=$B$47,$B$157+$B$156*(((MAX(1,MIN($B$12,ROUND(7*$B$12/($B$47+1),0)))-1)*$B$13+0.25*$B$13)-$B$48/2),NA())</f>
        <v>#N/A</v>
      </c>
      <c r="HV77" t="e">
        <f>IF(7&lt;=$B$47,$B$158+$B$156*(IF(MOD(7,2)=1,$B$5/4,3*$B$5/4)-$B$49/2),NA())</f>
        <v>#N/A</v>
      </c>
      <c r="IW77" t="e">
        <f>IF(AND(0.2+26*$B$43&lt;$B$170,ABS(0.2+26*$B$43-$B$169)&gt;$B$29/2+0.03),$B$174+$B$173*(0.2+26*$B$43),NA())</f>
        <v>#N/A</v>
      </c>
      <c r="IX77" t="e">
        <f>IF(AND(0.2+26*$B$43&lt;$B$170,ABS(0.2+26*$B$43-$B$169)&gt;$B$29/2+0.03),$B$175+$B$173*($B$165+$B$42+0.015),NA())</f>
        <v>#N/A</v>
      </c>
      <c r="KI77" t="e">
        <f>IF(AND($B$21=1,7*$B$67&gt;$B$59,7*$B$67&lt;$B$178-$B$59,OR($B$63=0,ABS(7*$B$67-$B$178/2)&gt;$B$59/2)),$B$182+$B$181*(0),NA())</f>
        <v>#N/A</v>
      </c>
      <c r="KJ77" t="e">
        <f>IF(AND($B$21=1,7*$B$67&gt;$B$59,7*$B$67&lt;$B$178-$B$59,OR($B$63=0,ABS(7*$B$67-$B$178/2)&gt;$B$59/2)),$B$183+$B$181*(7*$B$67),NA())</f>
        <v>#N/A</v>
      </c>
    </row>
    <row r="78">
      <c r="A78" t="inlineStr">
        <is>
          <t>LP_ex2</t>
        </is>
      </c>
      <c r="B78">
        <f>IF(2&lt;=$B$70,1,0)</f>
        <v>0</v>
      </c>
      <c r="G78" t="e">
        <f>IF(24&lt;=$B$12,$B$133+$B$132*($B$13*24),NA())</f>
        <v>#N/A</v>
      </c>
      <c r="H78" t="e">
        <f>IF(24&lt;=$B$12,$B$134+$B$132*($B$5+4*$B$135),NA())</f>
        <v>#N/A</v>
      </c>
      <c r="K78">
        <f>IF(4&lt;=$B$12,$B$133+$B$132*($B$13*4+$B$27/2),NA())</f>
        <v>111.345285714286</v>
      </c>
      <c r="L78">
        <f>IF(4&lt;=$B$12,$B$134+$B$132*(0-$B$27/2),NA())</f>
        <v>13.96</v>
      </c>
      <c r="M78" t="e">
        <f>IF(24&lt;=$B$12,$B$133+$B$132*($B$13*24),NA())</f>
        <v>#N/A</v>
      </c>
      <c r="N78" t="e">
        <f>IF(24&lt;=$B$12,$B$134+$B$132*($B$5),NA())</f>
        <v>#N/A</v>
      </c>
      <c r="EA78" t="e">
        <f>IF(AND($B$18=1,25&lt;=$B$26-1),$B$139+$B$138*(25*($B$5/MAX(1,$B$26))),NA())</f>
        <v>#N/A</v>
      </c>
      <c r="EB78" t="e">
        <f>IF(AND($B$18=1,25&lt;=$B$26-1),$B$140+$B$138*(($B$9+$B$8*MIN(25*($B$5/MAX(1,$B$26)),$B$5-(25*($B$5/MAX(1,$B$26)))))),NA())</f>
        <v>#N/A</v>
      </c>
      <c r="FA78" t="e">
        <f>IF(24&lt;=$B$12,$B$145+$B$144*($B$13*24),NA())</f>
        <v>#N/A</v>
      </c>
      <c r="FB78" t="e">
        <f>IF(24&lt;=$B$12,$B$146+$B$144*($B$9),NA())</f>
        <v>#N/A</v>
      </c>
      <c r="FC78" t="e">
        <f>IF(4&lt;$B$22,$B$145+$B$144*($B$6),NA())</f>
        <v>#N/A</v>
      </c>
      <c r="FD78" t="e">
        <f>IF(4&lt;$B$22,$B$146+$B$144*(($B$19+4*$B$64)),NA())</f>
        <v>#N/A</v>
      </c>
      <c r="FE78" t="e">
        <f>IF(AND($B$21=1,(5*$B$66)&lt;$B$62),$B$145+$B$144*($B$6),NA())</f>
        <v>#N/A</v>
      </c>
      <c r="FF78" t="e">
        <f>IF(AND($B$21=1,(5*$B$66)&lt;$B$62),$B$146+$B$144*((5*$B$66)),NA())</f>
        <v>#N/A</v>
      </c>
      <c r="GG78">
        <f>IF(AND($B$20=1,($B$19+4*$B$64)&lt;$B$10-0.3),$B$151+$B$150*(($B$5-IF(($B$19+4*$B$64)&lt;=$B$9,0,(($B$19+4*$B$64)-$B$9)/$B$8))),NA())</f>
        <v>115.73875</v>
      </c>
      <c r="GH78">
        <f>IF(AND($B$20=1,($B$19+4*$B$64)&lt;$B$10-0.3),$B$152+$B$150*(($B$19+4*$B$64)),NA())</f>
        <v>79.04094</v>
      </c>
      <c r="GI78" t="e">
        <f>IF(AND($B$21=1,(5*$B$66)&lt;IF($B$63=1,$B$10-0.2,$B$62)),$B$151+$B$150*(($B$5-IF((5*$B$66)&lt;=$B$9,0,((5*$B$66)-$B$9)/$B$8))),NA())</f>
        <v>#N/A</v>
      </c>
      <c r="GJ78" t="e">
        <f>IF(AND($B$21=1,(5*$B$66)&lt;IF($B$63=1,$B$10-0.2,$B$62)),$B$152+$B$150*((5*$B$66)),NA())</f>
        <v>#N/A</v>
      </c>
      <c r="HI78" t="e">
        <f>IF(12&lt;=$B$16-1,$B$157+$B$156*($B$6+$B$46),NA())</f>
        <v>#N/A</v>
      </c>
      <c r="HJ78" t="e">
        <f>IF(12&lt;=$B$16-1,$B$158+$B$156*(12*($B$5/2)/MAX(1,$B$16-1)),NA())</f>
        <v>#N/A</v>
      </c>
      <c r="HK78" t="e">
        <f>IF(24&lt;=$B$12,$B$157+$B$156*($B$13*24),NA())</f>
        <v>#N/A</v>
      </c>
      <c r="HL78" t="e">
        <f>IF(24&lt;=$B$12,$B$158+$B$156*($B$5),NA())</f>
        <v>#N/A</v>
      </c>
      <c r="HM78" t="e">
        <f>IF(AND(13&lt;=$B$12,1&lt;=$B$25),$B$157+$B$156*((13-1)*$B$13+1*$B$13/($B$25+1)),NA())</f>
        <v>#N/A</v>
      </c>
      <c r="HN78" t="e">
        <f>IF(AND(13&lt;=$B$12,1&lt;=$B$25),$B$158+$B$156*($B$5),NA())</f>
        <v>#N/A</v>
      </c>
      <c r="HQ78">
        <f>IF(AND(2&lt;=$B$23,1&lt;=$B$24),$B$157+$B$156*(IF(2=1,1,IF(2=$B$23,$B$12,5*(2-1)))*$B$13),NA())</f>
        <v>131.162428571429</v>
      </c>
      <c r="HR78">
        <f>IF(AND(2&lt;=$B$23,1&lt;=$B$24),$B$158+$B$156*((0*$B$5/2+1*($B$5/2)/$B$24)),NA())</f>
        <v>33</v>
      </c>
      <c r="HS78">
        <f>IF(AND(4&lt;=$B$12,$B$51&gt;0),$B$157+$B$156*(((4-0.5)*$B$13)+($B$51*$B$13)/2),NA())</f>
        <v>99.6767142857143</v>
      </c>
      <c r="HT78">
        <f>IF(AND(4&lt;=$B$12,$B$51&gt;0),$B$158+$B$156*((0*$B$5/2+0.6*$B$159)),NA())</f>
        <v>14.6</v>
      </c>
      <c r="HU78" t="e">
        <f>IF(7&lt;=$B$47,$B$157+$B$156*(((MAX(1,MIN($B$12,ROUND(7*$B$12/($B$47+1),0)))-1)*$B$13+0.25*$B$13)+$B$48/2),NA())</f>
        <v>#N/A</v>
      </c>
      <c r="HV78" t="e">
        <f>IF(7&lt;=$B$47,$B$158+$B$156*(IF(MOD(7,2)=1,$B$5/4,3*$B$5/4)-$B$49/2),NA())</f>
        <v>#N/A</v>
      </c>
      <c r="IW78" t="e">
        <f>IF(AND(0.2+26*$B$43&lt;$B$170,ABS(0.2+26*$B$43-$B$169)&gt;$B$29/2+0.03,$B$44=1),$B$174+$B$173*(0.2+26*$B$43),NA())</f>
        <v>#N/A</v>
      </c>
      <c r="IX78" t="e">
        <f>IF(AND(0.2+26*$B$43&lt;$B$170,ABS(0.2+26*$B$43-$B$169)&gt;$B$29/2+0.03,$B$44=1),$B$175+$B$173*($B$166-$B$42-0.015),NA())</f>
        <v>#N/A</v>
      </c>
      <c r="KI78" t="e">
        <f>IF(AND($B$21=1,7*$B$67&gt;$B$59,7*$B$67&lt;$B$178-$B$59,OR($B$63=0,ABS(7*$B$67-$B$178/2)&gt;$B$59/2)),$B$182+$B$181*($B$177*1/4-$B$60/2),NA())</f>
        <v>#N/A</v>
      </c>
      <c r="KJ78" t="e">
        <f>IF(AND($B$21=1,7*$B$67&gt;$B$59,7*$B$67&lt;$B$178-$B$59,OR($B$63=0,ABS(7*$B$67-$B$178/2)&gt;$B$59/2)),$B$183+$B$181*(7*$B$67),NA())</f>
        <v>#N/A</v>
      </c>
    </row>
    <row r="79">
      <c r="A79" t="inlineStr">
        <is>
          <t>LP_w2</t>
        </is>
      </c>
      <c r="B79">
        <f>IF(2&lt;=$B$68,'PARAMÈTRES'!$C$29,'PARAMÈTRES'!$C$33)</f>
        <v>5.5</v>
      </c>
      <c r="G79" t="e">
        <f>NA()</f>
        <v>#N/A</v>
      </c>
      <c r="H79" t="e">
        <f>NA()</f>
        <v>#N/A</v>
      </c>
      <c r="K79">
        <f>IF(4&lt;=$B$12,$B$133+$B$132*($B$13*4+$B$27/2),NA())</f>
        <v>111.345285714286</v>
      </c>
      <c r="L79">
        <f>IF(4&lt;=$B$12,$B$134+$B$132*(0+$B$27/2),NA())</f>
        <v>18.04</v>
      </c>
      <c r="M79" t="e">
        <f>IF(AND(24&lt;=$B$12,$B$45=1),$B$133+$B$132*($B$13*24),NA())</f>
        <v>#N/A</v>
      </c>
      <c r="N79" t="e">
        <f>IF(AND(24&lt;=$B$12,$B$45=1),$B$134+$B$132*($B$5/2),NA())</f>
        <v>#N/A</v>
      </c>
      <c r="EA79" t="e">
        <f>NA()</f>
        <v>#N/A</v>
      </c>
      <c r="EB79" t="e">
        <f>NA()</f>
        <v>#N/A</v>
      </c>
      <c r="FA79" t="e">
        <f>NA()</f>
        <v>#N/A</v>
      </c>
      <c r="FB79" t="e">
        <f>NA()</f>
        <v>#N/A</v>
      </c>
      <c r="FC79" t="e">
        <f>NA()</f>
        <v>#N/A</v>
      </c>
      <c r="FD79" t="e">
        <f>NA()</f>
        <v>#N/A</v>
      </c>
      <c r="FE79" t="e">
        <f>NA()</f>
        <v>#N/A</v>
      </c>
      <c r="FF79" t="e">
        <f>NA()</f>
        <v>#N/A</v>
      </c>
      <c r="GG79" t="e">
        <f>NA()</f>
        <v>#N/A</v>
      </c>
      <c r="GH79" t="e">
        <f>NA()</f>
        <v>#N/A</v>
      </c>
      <c r="GI79" t="e">
        <f>NA()</f>
        <v>#N/A</v>
      </c>
      <c r="GJ79" t="e">
        <f>NA()</f>
        <v>#N/A</v>
      </c>
      <c r="HI79" t="e">
        <f>NA()</f>
        <v>#N/A</v>
      </c>
      <c r="HJ79" t="e">
        <f>NA()</f>
        <v>#N/A</v>
      </c>
      <c r="HK79" t="e">
        <f>NA()</f>
        <v>#N/A</v>
      </c>
      <c r="HL79" t="e">
        <f>NA()</f>
        <v>#N/A</v>
      </c>
      <c r="HM79" t="e">
        <f>NA()</f>
        <v>#N/A</v>
      </c>
      <c r="HN79" t="e">
        <f>NA()</f>
        <v>#N/A</v>
      </c>
      <c r="HQ79" t="e">
        <f>NA()</f>
        <v>#N/A</v>
      </c>
      <c r="HR79" t="e">
        <f>NA()</f>
        <v>#N/A</v>
      </c>
      <c r="HS79">
        <f>IF(AND(4&lt;=$B$12,$B$51&gt;0),$B$157+$B$156*(((4-0.5)*$B$13)+($B$51*$B$13)/2),NA())</f>
        <v>99.6767142857143</v>
      </c>
      <c r="HT79">
        <f>IF(AND(4&lt;=$B$12,$B$51&gt;0),$B$158+$B$156*((0*$B$5/2+$B$5/2-0.6*$B$159)),NA())</f>
        <v>51.4</v>
      </c>
      <c r="HU79" t="e">
        <f>IF(7&lt;=$B$47,$B$157+$B$156*(((MAX(1,MIN($B$12,ROUND(7*$B$12/($B$47+1),0)))-1)*$B$13+0.25*$B$13)+$B$48/2),NA())</f>
        <v>#N/A</v>
      </c>
      <c r="HV79" t="e">
        <f>IF(7&lt;=$B$47,$B$158+$B$156*(IF(MOD(7,2)=1,$B$5/4,3*$B$5/4)+$B$49/2),NA())</f>
        <v>#N/A</v>
      </c>
      <c r="IW79" t="e">
        <f>IF(AND(0.2+27*$B$43&lt;$B$170,ABS(0.2+27*$B$43-$B$169)&gt;$B$29/2+0.03),$B$174+$B$173*(0.2+27*$B$43),NA())</f>
        <v>#N/A</v>
      </c>
      <c r="IX79" t="e">
        <f>IF(AND(0.2+27*$B$43&lt;$B$170,ABS(0.2+27*$B$43-$B$169)&gt;$B$29/2+0.03),$B$175+$B$173*($B$165+$B$42+0.015),NA())</f>
        <v>#N/A</v>
      </c>
      <c r="KI79" t="e">
        <f>NA()</f>
        <v>#N/A</v>
      </c>
      <c r="KJ79" t="e">
        <f>NA()</f>
        <v>#N/A</v>
      </c>
    </row>
    <row r="80">
      <c r="A80" t="inlineStr">
        <is>
          <t>LP_h2</t>
        </is>
      </c>
      <c r="B80">
        <f>IF(2&lt;=$B$68,'PARAMÈTRES'!$C$30,'PARAMÈTRES'!$C$34)*$B$78</f>
        <v>0</v>
      </c>
      <c r="G80" t="e">
        <f>IF(25&lt;=$B$12,$B$133+$B$132*($B$13*25),NA())</f>
        <v>#N/A</v>
      </c>
      <c r="H80" t="e">
        <f>IF(25&lt;=$B$12,$B$134+$B$132*(-4*$B$135),NA())</f>
        <v>#N/A</v>
      </c>
      <c r="K80">
        <f>IF(4&lt;=$B$12,$B$133+$B$132*($B$13*4-$B$27/2),NA())</f>
        <v>107.265285714286</v>
      </c>
      <c r="L80">
        <f>IF(4&lt;=$B$12,$B$134+$B$132*(0+$B$27/2),NA())</f>
        <v>18.04</v>
      </c>
      <c r="M80" t="e">
        <f>IF(25&lt;=$B$12,$B$133+$B$132*($B$13*25),NA())</f>
        <v>#N/A</v>
      </c>
      <c r="N80" t="e">
        <f>IF(25&lt;=$B$12,$B$134+$B$132*(0),NA())</f>
        <v>#N/A</v>
      </c>
      <c r="EA80" t="e">
        <f>IF(AND($B$18=1,26&lt;=$B$26-1),$B$139+$B$138*(26*($B$5/MAX(1,$B$26))),NA())</f>
        <v>#N/A</v>
      </c>
      <c r="EB80" t="e">
        <f>IF(AND($B$18=1,26&lt;=$B$26-1),$B$140+$B$138*($B$7),NA())</f>
        <v>#N/A</v>
      </c>
      <c r="FA80" t="e">
        <f>IF(25&lt;=$B$12,$B$145+$B$144*($B$13*25),NA())</f>
        <v>#N/A</v>
      </c>
      <c r="FB80" t="e">
        <f>IF(25&lt;=$B$12,$B$146+$B$144*(0),NA())</f>
        <v>#N/A</v>
      </c>
      <c r="FC80" t="e">
        <f>IF(5&lt;$B$22,$B$145+$B$144*(0),NA())</f>
        <v>#N/A</v>
      </c>
      <c r="FD80" t="e">
        <f>IF(5&lt;$B$22,$B$146+$B$144*(($B$19+5*$B$64)),NA())</f>
        <v>#N/A</v>
      </c>
      <c r="FE80" t="e">
        <f>IF(AND($B$21=1,(6*$B$66)&lt;$B$62),$B$145+$B$144*(0),NA())</f>
        <v>#N/A</v>
      </c>
      <c r="FF80" t="e">
        <f>IF(AND($B$21=1,(6*$B$66)&lt;$B$62),$B$146+$B$144*((6*$B$66)),NA())</f>
        <v>#N/A</v>
      </c>
      <c r="GG80" t="e">
        <f>IF(AND($B$20=1,($B$19+5*$B$64)&lt;$B$10-0.3),$B$151+$B$150*(IF(($B$19+5*$B$64)&lt;=$B$9,0,(($B$19+5*$B$64)-$B$9)/$B$8)),NA())</f>
        <v>#N/A</v>
      </c>
      <c r="GH80" t="e">
        <f>IF(AND($B$20=1,($B$19+5*$B$64)&lt;$B$10-0.3),$B$152+$B$150*(($B$19+5*$B$64)),NA())</f>
        <v>#N/A</v>
      </c>
      <c r="GI80" t="e">
        <f>IF(AND($B$21=1,(6*$B$66)&lt;IF($B$63=1,$B$10-0.2,$B$62)),$B$151+$B$150*(IF((6*$B$66)&lt;=$B$9,0,((6*$B$66)-$B$9)/$B$8)),NA())</f>
        <v>#N/A</v>
      </c>
      <c r="GJ80" t="e">
        <f>IF(AND($B$21=1,(6*$B$66)&lt;IF($B$63=1,$B$10-0.2,$B$62)),$B$152+$B$150*((6*$B$66)),NA())</f>
        <v>#N/A</v>
      </c>
      <c r="HI80" t="e">
        <f>IF(12&lt;=$B$16-1,$B$157+$B$156*(-$B$46),NA())</f>
        <v>#N/A</v>
      </c>
      <c r="HJ80" t="e">
        <f>IF(12&lt;=$B$16-1,$B$158+$B$156*($B$5-12*($B$5/2)/MAX(1,$B$16-1)),NA())</f>
        <v>#N/A</v>
      </c>
      <c r="HK80" t="e">
        <f>IF(25&lt;=$B$12,$B$157+$B$156*($B$13*25),NA())</f>
        <v>#N/A</v>
      </c>
      <c r="HL80" t="e">
        <f>IF(25&lt;=$B$12,$B$158+$B$156*(0),NA())</f>
        <v>#N/A</v>
      </c>
      <c r="HM80" t="e">
        <f>IF(AND(13&lt;=$B$12,2&lt;=$B$25),$B$157+$B$156*((13-1)*$B$13+2*$B$13/($B$25+1)),NA())</f>
        <v>#N/A</v>
      </c>
      <c r="HN80" t="e">
        <f>IF(AND(13&lt;=$B$12,2&lt;=$B$25),$B$158+$B$156*(0),NA())</f>
        <v>#N/A</v>
      </c>
      <c r="HQ80">
        <f>IF(AND(2&lt;=$B$23,1&lt;=$B$24),$B$157+$B$156*((IF(2=1,1,IF(2=$B$23,$B$12,5*(2-1)))-1)*$B$13),NA())</f>
        <v>109.448142857143</v>
      </c>
      <c r="HR80">
        <f>IF(AND(2&lt;=$B$23,1&lt;=$B$24),$B$158+$B$156*((0*$B$5/2+1*($B$5/2)/$B$24)),NA())</f>
        <v>33</v>
      </c>
      <c r="HS80">
        <f>IF(AND(4&lt;=$B$12,$B$51&gt;0),$B$157+$B$156*(((4-0.5)*$B$13)-($B$51*$B$13)/2),NA())</f>
        <v>97.5052857142857</v>
      </c>
      <c r="HT80">
        <f>IF(AND(4&lt;=$B$12,$B$51&gt;0),$B$158+$B$156*((0*$B$5/2+$B$5/2-0.6*$B$159)),NA())</f>
        <v>51.4</v>
      </c>
      <c r="HU80" t="e">
        <f>IF(7&lt;=$B$47,$B$157+$B$156*(((MAX(1,MIN($B$12,ROUND(7*$B$12/($B$47+1),0)))-1)*$B$13+0.25*$B$13)-$B$48/2),NA())</f>
        <v>#N/A</v>
      </c>
      <c r="HV80" t="e">
        <f>IF(7&lt;=$B$47,$B$158+$B$156*(IF(MOD(7,2)=1,$B$5/4,3*$B$5/4)+$B$49/2),NA())</f>
        <v>#N/A</v>
      </c>
      <c r="IW80" t="e">
        <f>IF(AND(0.2+27*$B$43&lt;$B$170,ABS(0.2+27*$B$43-$B$169)&gt;$B$29/2+0.03,$B$44=1),$B$174+$B$173*(0.2+27*$B$43),NA())</f>
        <v>#N/A</v>
      </c>
      <c r="IX80" t="e">
        <f>IF(AND(0.2+27*$B$43&lt;$B$170,ABS(0.2+27*$B$43-$B$169)&gt;$B$29/2+0.03,$B$44=1),$B$175+$B$173*($B$166-$B$42-0.015),NA())</f>
        <v>#N/A</v>
      </c>
      <c r="KI80" t="e">
        <f>IF(AND($B$21=1,7*$B$67&gt;$B$59,7*$B$67&lt;$B$178-$B$59,OR($B$63=0,ABS(7*$B$67-$B$178/2)&gt;$B$59/2)),$B$182+$B$181*($B$177*1/4+$B$60/2),NA())</f>
        <v>#N/A</v>
      </c>
      <c r="KJ80" t="e">
        <f>IF(AND($B$21=1,7*$B$67&gt;$B$59,7*$B$67&lt;$B$178-$B$59,OR($B$63=0,ABS(7*$B$67-$B$178/2)&gt;$B$59/2)),$B$183+$B$181*(7*$B$67),NA())</f>
        <v>#N/A</v>
      </c>
    </row>
    <row r="81">
      <c r="A81" t="inlineStr">
        <is>
          <t>LP_pos2</t>
        </is>
      </c>
      <c r="B81">
        <f>MAX(IF($B$12&gt;=3,2,1),MIN(IF($B$12&gt;=3,$B$12-1,$B$12),ROUND(2*$B$12/($B$70+1),0)))</f>
        <v>6</v>
      </c>
      <c r="G81" t="e">
        <f>IF(25&lt;=$B$12,$B$133+$B$132*($B$13*25),NA())</f>
        <v>#N/A</v>
      </c>
      <c r="H81" t="e">
        <f>IF(25&lt;=$B$12,$B$134+$B$132*($B$5+4*$B$135),NA())</f>
        <v>#N/A</v>
      </c>
      <c r="K81">
        <f>IF(4&lt;=$B$12,$B$133+$B$132*($B$13*4-$B$27/2),NA())</f>
        <v>107.265285714286</v>
      </c>
      <c r="L81">
        <f>IF(4&lt;=$B$12,$B$134+$B$132*(0-$B$27/2),NA())</f>
        <v>13.96</v>
      </c>
      <c r="M81" t="e">
        <f>IF(25&lt;=$B$12,$B$133+$B$132*($B$13*25),NA())</f>
        <v>#N/A</v>
      </c>
      <c r="N81" t="e">
        <f>IF(25&lt;=$B$12,$B$134+$B$132*($B$5),NA())</f>
        <v>#N/A</v>
      </c>
      <c r="EA81" t="e">
        <f>IF(AND($B$18=1,26&lt;=$B$26-1),$B$139+$B$138*(26*($B$5/MAX(1,$B$26))),NA())</f>
        <v>#N/A</v>
      </c>
      <c r="EB81" t="e">
        <f>IF(AND($B$18=1,26&lt;=$B$26-1),$B$140+$B$138*(($B$9+$B$8*MIN(26*($B$5/MAX(1,$B$26)),$B$5-(26*($B$5/MAX(1,$B$26)))))),NA())</f>
        <v>#N/A</v>
      </c>
      <c r="FA81" t="e">
        <f>IF(25&lt;=$B$12,$B$145+$B$144*($B$13*25),NA())</f>
        <v>#N/A</v>
      </c>
      <c r="FB81" t="e">
        <f>IF(25&lt;=$B$12,$B$146+$B$144*($B$9),NA())</f>
        <v>#N/A</v>
      </c>
      <c r="FC81" t="e">
        <f>IF(5&lt;$B$22,$B$145+$B$144*(IF(($B$19+5*$B$64)&lt;$B$73,$B$76,$B$75)),NA())</f>
        <v>#N/A</v>
      </c>
      <c r="FD81" t="e">
        <f>IF(5&lt;$B$22,$B$146+$B$144*(($B$19+5*$B$64)),NA())</f>
        <v>#N/A</v>
      </c>
      <c r="FE81" t="e">
        <f>IF(AND($B$21=1,(6*$B$66)&lt;$B$62),$B$145+$B$144*(IF((6*$B$66)&lt;$B$73,$B$76,$B$75)),NA())</f>
        <v>#N/A</v>
      </c>
      <c r="FF81" t="e">
        <f>IF(AND($B$21=1,(6*$B$66)&lt;$B$62),$B$146+$B$144*((6*$B$66)),NA())</f>
        <v>#N/A</v>
      </c>
      <c r="GG81" t="e">
        <f>IF(AND($B$20=1,($B$19+5*$B$64)&lt;$B$10-0.3),$B$151+$B$150*(MAX(IF(($B$19+5*$B$64)&lt;=$B$9,0,(($B$19+5*$B$64)-$B$9)/$B$8),MIN(($B$5-IF(($B$19+5*$B$64)&lt;=$B$9,0,(($B$19+5*$B$64)-$B$9)/$B$8)),IF(($B$19+5*$B$64)&lt;$B$104,$B$107,$B$106)))),NA())</f>
        <v>#N/A</v>
      </c>
      <c r="GH81" t="e">
        <f>IF(AND($B$20=1,($B$19+5*$B$64)&lt;$B$10-0.3),$B$152+$B$150*(($B$19+5*$B$64)),NA())</f>
        <v>#N/A</v>
      </c>
      <c r="GI81" t="e">
        <f>IF(AND($B$21=1,(6*$B$66)&lt;IF($B$63=1,$B$10-0.2,$B$62)),$B$151+$B$150*(MAX(IF((6*$B$66)&lt;=$B$9,0,((6*$B$66)-$B$9)/$B$8),MIN(($B$5-IF((6*$B$66)&lt;=$B$9,0,((6*$B$66)-$B$9)/$B$8)),IF((6*$B$66)&lt;$B$104,$B$107,$B$106)))),NA())</f>
        <v>#N/A</v>
      </c>
      <c r="GJ81" t="e">
        <f>IF(AND($B$21=1,(6*$B$66)&lt;IF($B$63=1,$B$10-0.2,$B$62)),$B$152+$B$150*((6*$B$66)),NA())</f>
        <v>#N/A</v>
      </c>
      <c r="HI81" t="e">
        <f>IF(12&lt;=$B$16-1,$B$157+$B$156*($B$6+$B$46),NA())</f>
        <v>#N/A</v>
      </c>
      <c r="HJ81" t="e">
        <f>IF(12&lt;=$B$16-1,$B$158+$B$156*($B$5-12*($B$5/2)/MAX(1,$B$16-1)),NA())</f>
        <v>#N/A</v>
      </c>
      <c r="HK81" t="e">
        <f>IF(25&lt;=$B$12,$B$157+$B$156*($B$13*25),NA())</f>
        <v>#N/A</v>
      </c>
      <c r="HL81" t="e">
        <f>IF(25&lt;=$B$12,$B$158+$B$156*($B$5),NA())</f>
        <v>#N/A</v>
      </c>
      <c r="HM81" t="e">
        <f>IF(AND(13&lt;=$B$12,2&lt;=$B$25),$B$157+$B$156*((13-1)*$B$13+2*$B$13/($B$25+1)),NA())</f>
        <v>#N/A</v>
      </c>
      <c r="HN81" t="e">
        <f>IF(AND(13&lt;=$B$12,2&lt;=$B$25),$B$158+$B$156*($B$5),NA())</f>
        <v>#N/A</v>
      </c>
      <c r="HQ81">
        <f>IF(AND(2&lt;=$B$23,1&lt;=$B$24),$B$157+$B$156*(IF(2=1,1,IF(2=$B$23,$B$12,5*(2-1)))*$B$13),NA())</f>
        <v>131.162428571429</v>
      </c>
      <c r="HR81">
        <f>IF(AND(2&lt;=$B$23,1&lt;=$B$24),$B$158+$B$156*((0*$B$5/2+(1-1)*($B$5/2)/$B$24)),NA())</f>
        <v>14</v>
      </c>
      <c r="HS81">
        <f>IF(AND(4&lt;=$B$12,$B$51&gt;0),$B$157+$B$156*(((4-0.5)*$B$13)-($B$51*$B$13)/2),NA())</f>
        <v>97.5052857142857</v>
      </c>
      <c r="HT81">
        <f>IF(AND(4&lt;=$B$12,$B$51&gt;0),$B$158+$B$156*((0*$B$5/2+0.6*$B$159)),NA())</f>
        <v>14.6</v>
      </c>
      <c r="HU81" t="e">
        <f>IF(7&lt;=$B$47,$B$157+$B$156*(((MAX(1,MIN($B$12,ROUND(7*$B$12/($B$47+1),0)))-1)*$B$13+0.25*$B$13)-$B$48/2),NA())</f>
        <v>#N/A</v>
      </c>
      <c r="HV81" t="e">
        <f>IF(7&lt;=$B$47,$B$158+$B$156*(IF(MOD(7,2)=1,$B$5/4,3*$B$5/4)-$B$49/2),NA())</f>
        <v>#N/A</v>
      </c>
      <c r="IW81" t="e">
        <f>IF(AND(0.2+28*$B$43&lt;$B$170,ABS(0.2+28*$B$43-$B$169)&gt;$B$29/2+0.03),$B$174+$B$173*(0.2+28*$B$43),NA())</f>
        <v>#N/A</v>
      </c>
      <c r="IX81" t="e">
        <f>IF(AND(0.2+28*$B$43&lt;$B$170,ABS(0.2+28*$B$43-$B$169)&gt;$B$29/2+0.03),$B$175+$B$173*($B$165+$B$42+0.015),NA())</f>
        <v>#N/A</v>
      </c>
      <c r="KI81" t="e">
        <f>IF(AND($B$21=1,7*$B$67&gt;$B$59,7*$B$67&lt;$B$178-$B$59,OR($B$63=0,ABS(7*$B$67-$B$178/2)&gt;$B$59/2)),$B$182+$B$181*($B$177*2/4-$B$60/2),NA())</f>
        <v>#N/A</v>
      </c>
      <c r="KJ81" t="e">
        <f>IF(AND($B$21=1,7*$B$67&gt;$B$59,7*$B$67&lt;$B$178-$B$59,OR($B$63=0,ABS(7*$B$67-$B$178/2)&gt;$B$59/2)),$B$183+$B$181*(7*$B$67),NA())</f>
        <v>#N/A</v>
      </c>
    </row>
    <row r="82">
      <c r="A82" t="inlineStr">
        <is>
          <t>LP_xc2</t>
        </is>
      </c>
      <c r="B82">
        <f>IF($B$78=1,($B$81-0.5)*$B$13,$B$6)</f>
        <v>40</v>
      </c>
      <c r="G82" t="e">
        <f>NA()</f>
        <v>#N/A</v>
      </c>
      <c r="H82" t="e">
        <f>NA()</f>
        <v>#N/A</v>
      </c>
      <c r="K82" t="e">
        <f>NA()</f>
        <v>#N/A</v>
      </c>
      <c r="L82" t="e">
        <f>NA()</f>
        <v>#N/A</v>
      </c>
      <c r="M82" t="e">
        <f>IF(AND(25&lt;=$B$12,$B$45=1),$B$133+$B$132*($B$13*25),NA())</f>
        <v>#N/A</v>
      </c>
      <c r="N82" t="e">
        <f>IF(AND(25&lt;=$B$12,$B$45=1),$B$134+$B$132*($B$5/2),NA())</f>
        <v>#N/A</v>
      </c>
      <c r="EA82" t="e">
        <f>NA()</f>
        <v>#N/A</v>
      </c>
      <c r="EB82" t="e">
        <f>NA()</f>
        <v>#N/A</v>
      </c>
      <c r="FA82" t="e">
        <f>NA()</f>
        <v>#N/A</v>
      </c>
      <c r="FB82" t="e">
        <f>NA()</f>
        <v>#N/A</v>
      </c>
      <c r="FC82" t="e">
        <f>IF(AND(5&lt;$B$22,($B$19+5*$B$64)&gt;=$B$73),$B$145+$B$144*($B$75),NA())</f>
        <v>#N/A</v>
      </c>
      <c r="FD82" t="e">
        <f>IF(AND(5&lt;$B$22,($B$19+5*$B$64)&gt;=$B$73),$B$146+$B$144*(($B$19+5*$B$64)),NA())</f>
        <v>#N/A</v>
      </c>
      <c r="FE82" t="e">
        <f>IF(AND(AND($B$21=1,(6*$B$66)&lt;$B$62),(6*$B$66)&gt;=$B$73),$B$145+$B$144*($B$75),NA())</f>
        <v>#N/A</v>
      </c>
      <c r="FF82" t="e">
        <f>IF(AND(AND($B$21=1,(6*$B$66)&lt;$B$62),(6*$B$66)&gt;=$B$73),$B$146+$B$144*((6*$B$66)),NA())</f>
        <v>#N/A</v>
      </c>
      <c r="GG82" t="e">
        <f>IF(AND(AND($B$20=1,($B$19+5*$B$64)&lt;$B$10-0.3),($B$19+5*$B$64)&gt;=$B$104),$B$151+$B$150*(MAX(IF(($B$19+5*$B$64)&lt;=$B$9,0,(($B$19+5*$B$64)-$B$9)/$B$8),MIN(($B$5-IF(($B$19+5*$B$64)&lt;=$B$9,0,(($B$19+5*$B$64)-$B$9)/$B$8)),$B$106))),NA())</f>
        <v>#N/A</v>
      </c>
      <c r="GH82" t="e">
        <f>IF(AND(AND($B$20=1,($B$19+5*$B$64)&lt;$B$10-0.3),($B$19+5*$B$64)&gt;=$B$104),$B$152+$B$150*(($B$19+5*$B$64)),NA())</f>
        <v>#N/A</v>
      </c>
      <c r="GI82" t="e">
        <f>IF(AND(AND($B$21=1,(6*$B$66)&lt;IF($B$63=1,$B$10-0.2,$B$62)),(6*$B$66)&gt;=$B$104),$B$151+$B$150*(MAX(IF((6*$B$66)&lt;=$B$9,0,((6*$B$66)-$B$9)/$B$8),MIN(($B$5-IF((6*$B$66)&lt;=$B$9,0,((6*$B$66)-$B$9)/$B$8)),$B$106))),NA())</f>
        <v>#N/A</v>
      </c>
      <c r="GJ82" t="e">
        <f>IF(AND(AND($B$21=1,(6*$B$66)&lt;IF($B$63=1,$B$10-0.2,$B$62)),(6*$B$66)&gt;=$B$104),$B$152+$B$150*((6*$B$66)),NA())</f>
        <v>#N/A</v>
      </c>
      <c r="HI82" t="e">
        <f>NA()</f>
        <v>#N/A</v>
      </c>
      <c r="HJ82" t="e">
        <f>NA()</f>
        <v>#N/A</v>
      </c>
      <c r="HK82" t="e">
        <f>NA()</f>
        <v>#N/A</v>
      </c>
      <c r="HL82" t="e">
        <f>NA()</f>
        <v>#N/A</v>
      </c>
      <c r="HM82" t="e">
        <f>NA()</f>
        <v>#N/A</v>
      </c>
      <c r="HN82" t="e">
        <f>NA()</f>
        <v>#N/A</v>
      </c>
      <c r="HQ82" t="e">
        <f>NA()</f>
        <v>#N/A</v>
      </c>
      <c r="HR82" t="e">
        <f>NA()</f>
        <v>#N/A</v>
      </c>
      <c r="HS82" t="e">
        <f>NA()</f>
        <v>#N/A</v>
      </c>
      <c r="HT82" t="e">
        <f>NA()</f>
        <v>#N/A</v>
      </c>
      <c r="HU82" t="e">
        <f>NA()</f>
        <v>#N/A</v>
      </c>
      <c r="HV82" t="e">
        <f>NA()</f>
        <v>#N/A</v>
      </c>
      <c r="IW82" t="e">
        <f>IF(AND(0.2+28*$B$43&lt;$B$170,ABS(0.2+28*$B$43-$B$169)&gt;$B$29/2+0.03,$B$44=1),$B$174+$B$173*(0.2+28*$B$43),NA())</f>
        <v>#N/A</v>
      </c>
      <c r="IX82" t="e">
        <f>IF(AND(0.2+28*$B$43&lt;$B$170,ABS(0.2+28*$B$43-$B$169)&gt;$B$29/2+0.03,$B$44=1),$B$175+$B$173*($B$166-$B$42-0.015),NA())</f>
        <v>#N/A</v>
      </c>
      <c r="KI82" t="e">
        <f>NA()</f>
        <v>#N/A</v>
      </c>
      <c r="KJ82" t="e">
        <f>NA()</f>
        <v>#N/A</v>
      </c>
    </row>
    <row r="83">
      <c r="A83" t="inlineStr">
        <is>
          <t>LP_xl2</t>
        </is>
      </c>
      <c r="B83">
        <f>IF($B$78=1,$B$82-$B$79/2,$B$6)</f>
        <v>40</v>
      </c>
      <c r="G83" t="e">
        <f>IF(26&lt;=$B$12,$B$133+$B$132*($B$13*26),NA())</f>
        <v>#N/A</v>
      </c>
      <c r="H83" t="e">
        <f>IF(26&lt;=$B$12,$B$134+$B$132*(-4*$B$135),NA())</f>
        <v>#N/A</v>
      </c>
      <c r="K83">
        <f>IF(4&lt;=$B$12,$B$133+$B$132*($B$13*4-$B$27/2),NA())</f>
        <v>107.265285714286</v>
      </c>
      <c r="L83">
        <f>IF(4&lt;=$B$12,$B$134+$B$132*($B$5-$B$27/2),NA())</f>
        <v>81.96</v>
      </c>
      <c r="M83" t="e">
        <f>IF(26&lt;=$B$12,$B$133+$B$132*($B$13*26),NA())</f>
        <v>#N/A</v>
      </c>
      <c r="N83" t="e">
        <f>IF(26&lt;=$B$12,$B$134+$B$132*(0),NA())</f>
        <v>#N/A</v>
      </c>
      <c r="EA83" t="e">
        <f>IF(AND($B$18=1,27&lt;=$B$26-1),$B$139+$B$138*(27*($B$5/MAX(1,$B$26))),NA())</f>
        <v>#N/A</v>
      </c>
      <c r="EB83" t="e">
        <f>IF(AND($B$18=1,27&lt;=$B$26-1),$B$140+$B$138*($B$7),NA())</f>
        <v>#N/A</v>
      </c>
      <c r="FA83" t="e">
        <f>IF(26&lt;=$B$12,$B$145+$B$144*($B$13*26),NA())</f>
        <v>#N/A</v>
      </c>
      <c r="FB83" t="e">
        <f>IF(26&lt;=$B$12,$B$146+$B$144*(0),NA())</f>
        <v>#N/A</v>
      </c>
      <c r="FC83" t="e">
        <f>IF(5&lt;$B$22,$B$145+$B$144*(IF(($B$19+5*$B$64)&lt;$B$73,$B$77,$B$75)),NA())</f>
        <v>#N/A</v>
      </c>
      <c r="FD83" t="e">
        <f>IF(5&lt;$B$22,$B$146+$B$144*(($B$19+5*$B$64)),NA())</f>
        <v>#N/A</v>
      </c>
      <c r="FE83" t="e">
        <f>IF(AND($B$21=1,(6*$B$66)&lt;$B$62),$B$145+$B$144*(IF((6*$B$66)&lt;$B$73,$B$77,$B$75)),NA())</f>
        <v>#N/A</v>
      </c>
      <c r="FF83" t="e">
        <f>IF(AND($B$21=1,(6*$B$66)&lt;$B$62),$B$146+$B$144*((6*$B$66)),NA())</f>
        <v>#N/A</v>
      </c>
      <c r="GG83" t="e">
        <f>IF(AND($B$20=1,($B$19+5*$B$64)&lt;$B$10-0.3),$B$151+$B$150*(MAX(IF(($B$19+5*$B$64)&lt;=$B$9,0,(($B$19+5*$B$64)-$B$9)/$B$8),MIN(($B$5-IF(($B$19+5*$B$64)&lt;=$B$9,0,(($B$19+5*$B$64)-$B$9)/$B$8)),IF(($B$19+5*$B$64)&lt;$B$104,$B$108,$B$106)))),NA())</f>
        <v>#N/A</v>
      </c>
      <c r="GH83" t="e">
        <f>IF(AND($B$20=1,($B$19+5*$B$64)&lt;$B$10-0.3),$B$152+$B$150*(($B$19+5*$B$64)),NA())</f>
        <v>#N/A</v>
      </c>
      <c r="GI83" t="e">
        <f>IF(AND($B$21=1,(6*$B$66)&lt;IF($B$63=1,$B$10-0.2,$B$62)),$B$151+$B$150*(MAX(IF((6*$B$66)&lt;=$B$9,0,((6*$B$66)-$B$9)/$B$8),MIN(($B$5-IF((6*$B$66)&lt;=$B$9,0,((6*$B$66)-$B$9)/$B$8)),IF((6*$B$66)&lt;$B$104,$B$108,$B$106)))),NA())</f>
        <v>#N/A</v>
      </c>
      <c r="GJ83" t="e">
        <f>IF(AND($B$21=1,(6*$B$66)&lt;IF($B$63=1,$B$10-0.2,$B$62)),$B$152+$B$150*((6*$B$66)),NA())</f>
        <v>#N/A</v>
      </c>
      <c r="HI83" t="e">
        <f>IF(13&lt;=$B$16-1,$B$157+$B$156*(-$B$46),NA())</f>
        <v>#N/A</v>
      </c>
      <c r="HJ83" t="e">
        <f>IF(13&lt;=$B$16-1,$B$158+$B$156*(13*($B$5/2)/MAX(1,$B$16-1)),NA())</f>
        <v>#N/A</v>
      </c>
      <c r="HK83" t="e">
        <f>IF(26&lt;=$B$12,$B$157+$B$156*($B$13*26),NA())</f>
        <v>#N/A</v>
      </c>
      <c r="HL83" t="e">
        <f>IF(26&lt;=$B$12,$B$158+$B$156*(0),NA())</f>
        <v>#N/A</v>
      </c>
      <c r="HM83" t="e">
        <f>IF(AND(14&lt;=$B$12,1&lt;=$B$25),$B$157+$B$156*((14-1)*$B$13+1*$B$13/($B$25+1)),NA())</f>
        <v>#N/A</v>
      </c>
      <c r="HN83" t="e">
        <f>IF(AND(14&lt;=$B$12,1&lt;=$B$25),$B$158+$B$156*(0),NA())</f>
        <v>#N/A</v>
      </c>
      <c r="HQ83">
        <f>IF(AND(2&lt;=$B$23,2&lt;=$B$24),$B$157+$B$156*((IF(2=1,1,IF(2=$B$23,$B$12,5*(2-1)))-1)*$B$13),NA())</f>
        <v>109.448142857143</v>
      </c>
      <c r="HR83">
        <f>IF(AND(2&lt;=$B$23,2&lt;=$B$24),$B$158+$B$156*((0*$B$5/2+(2-1)*($B$5/2)/$B$24)),NA())</f>
        <v>33</v>
      </c>
      <c r="HS83">
        <f>IF(AND(4&lt;=$B$12,$B$51&gt;0),$B$157+$B$156*(((4-0.5)*$B$13)-($B$51*$B$13)/2),NA())</f>
        <v>97.5052857142857</v>
      </c>
      <c r="HT83">
        <f>IF(AND(4&lt;=$B$12,$B$51&gt;0),$B$158+$B$156*((0*$B$5/2+0.6*$B$159)),NA())</f>
        <v>14.6</v>
      </c>
      <c r="HU83" t="e">
        <f>IF(7&lt;=$B$47,$B$157+$B$156*(((MAX(1,MIN($B$12,ROUND(7*$B$12/($B$47+1),0)))-1)*$B$13+0.25*$B$13)-$B$48/2-0.2),NA())</f>
        <v>#N/A</v>
      </c>
      <c r="HV83" t="e">
        <f>IF(7&lt;=$B$47,$B$158+$B$156*(IF(MOD(7,2)=1,$B$5/4,3*$B$5/4)-$B$49/2-0.2),NA())</f>
        <v>#N/A</v>
      </c>
      <c r="IW83" t="e">
        <f>IF(AND(0.2+29*$B$43&lt;$B$170,ABS(0.2+29*$B$43-$B$169)&gt;$B$29/2+0.03),$B$174+$B$173*(0.2+29*$B$43),NA())</f>
        <v>#N/A</v>
      </c>
      <c r="IX83" t="e">
        <f>IF(AND(0.2+29*$B$43&lt;$B$170,ABS(0.2+29*$B$43-$B$169)&gt;$B$29/2+0.03),$B$175+$B$173*($B$165+$B$42+0.015),NA())</f>
        <v>#N/A</v>
      </c>
      <c r="KI83" t="e">
        <f>IF(AND($B$21=1,7*$B$67&gt;$B$59,7*$B$67&lt;$B$178-$B$59,OR($B$63=0,ABS(7*$B$67-$B$178/2)&gt;$B$59/2)),$B$182+$B$181*($B$177*2/4+$B$60/2),NA())</f>
        <v>#N/A</v>
      </c>
      <c r="KJ83" t="e">
        <f>IF(AND($B$21=1,7*$B$67&gt;$B$59,7*$B$67&lt;$B$178-$B$59,OR($B$63=0,ABS(7*$B$67-$B$178/2)&gt;$B$59/2)),$B$183+$B$181*(7*$B$67),NA())</f>
        <v>#N/A</v>
      </c>
    </row>
    <row r="84">
      <c r="A84" t="inlineStr">
        <is>
          <t>LP_xr2</t>
        </is>
      </c>
      <c r="B84">
        <f>IF($B$78=1,$B$82+$B$79/2,$B$6)</f>
        <v>40</v>
      </c>
      <c r="G84" t="e">
        <f>IF(26&lt;=$B$12,$B$133+$B$132*($B$13*26),NA())</f>
        <v>#N/A</v>
      </c>
      <c r="H84" t="e">
        <f>IF(26&lt;=$B$12,$B$134+$B$132*($B$5+4*$B$135),NA())</f>
        <v>#N/A</v>
      </c>
      <c r="K84">
        <f>IF(4&lt;=$B$12,$B$133+$B$132*($B$13*4+$B$27/2),NA())</f>
        <v>111.345285714286</v>
      </c>
      <c r="L84">
        <f>IF(4&lt;=$B$12,$B$134+$B$132*($B$5-$B$27/2),NA())</f>
        <v>81.96</v>
      </c>
      <c r="M84" t="e">
        <f>IF(26&lt;=$B$12,$B$133+$B$132*($B$13*26),NA())</f>
        <v>#N/A</v>
      </c>
      <c r="N84" t="e">
        <f>IF(26&lt;=$B$12,$B$134+$B$132*($B$5),NA())</f>
        <v>#N/A</v>
      </c>
      <c r="EA84" t="e">
        <f>IF(AND($B$18=1,27&lt;=$B$26-1),$B$139+$B$138*(27*($B$5/MAX(1,$B$26))),NA())</f>
        <v>#N/A</v>
      </c>
      <c r="EB84" t="e">
        <f>IF(AND($B$18=1,27&lt;=$B$26-1),$B$140+$B$138*(($B$9+$B$8*MIN(27*($B$5/MAX(1,$B$26)),$B$5-(27*($B$5/MAX(1,$B$26)))))),NA())</f>
        <v>#N/A</v>
      </c>
      <c r="FA84" t="e">
        <f>IF(26&lt;=$B$12,$B$145+$B$144*($B$13*26),NA())</f>
        <v>#N/A</v>
      </c>
      <c r="FB84" t="e">
        <f>IF(26&lt;=$B$12,$B$146+$B$144*($B$9),NA())</f>
        <v>#N/A</v>
      </c>
      <c r="FC84" t="e">
        <f>IF(5&lt;$B$22,$B$145+$B$144*(IF(($B$19+5*$B$64)&lt;$B$80,$B$83,$B$82)),NA())</f>
        <v>#N/A</v>
      </c>
      <c r="FD84" t="e">
        <f>IF(5&lt;$B$22,$B$146+$B$144*(($B$19+5*$B$64)),NA())</f>
        <v>#N/A</v>
      </c>
      <c r="FE84" t="e">
        <f>IF(AND($B$21=1,(6*$B$66)&lt;$B$62),$B$145+$B$144*(IF((6*$B$66)&lt;$B$80,$B$83,$B$82)),NA())</f>
        <v>#N/A</v>
      </c>
      <c r="FF84" t="e">
        <f>IF(AND($B$21=1,(6*$B$66)&lt;$B$62),$B$146+$B$144*((6*$B$66)),NA())</f>
        <v>#N/A</v>
      </c>
      <c r="GG84" t="e">
        <f>IF(AND($B$20=1,($B$19+5*$B$64)&lt;$B$10-0.3),$B$151+$B$150*(MAX(IF(($B$19+5*$B$64)&lt;=$B$9,0,(($B$19+5*$B$64)-$B$9)/$B$8),MIN(($B$5-IF(($B$19+5*$B$64)&lt;=$B$9,0,(($B$19+5*$B$64)-$B$9)/$B$8)),IF(($B$19+5*$B$64)&lt;$B$111,$B$114,$B$113)))),NA())</f>
        <v>#N/A</v>
      </c>
      <c r="GH84" t="e">
        <f>IF(AND($B$20=1,($B$19+5*$B$64)&lt;$B$10-0.3),$B$152+$B$150*(($B$19+5*$B$64)),NA())</f>
        <v>#N/A</v>
      </c>
      <c r="GI84" t="e">
        <f>IF(AND($B$21=1,(6*$B$66)&lt;IF($B$63=1,$B$10-0.2,$B$62)),$B$151+$B$150*(MAX(IF((6*$B$66)&lt;=$B$9,0,((6*$B$66)-$B$9)/$B$8),MIN(($B$5-IF((6*$B$66)&lt;=$B$9,0,((6*$B$66)-$B$9)/$B$8)),IF((6*$B$66)&lt;$B$111,$B$114,$B$113)))),NA())</f>
        <v>#N/A</v>
      </c>
      <c r="GJ84" t="e">
        <f>IF(AND($B$21=1,(6*$B$66)&lt;IF($B$63=1,$B$10-0.2,$B$62)),$B$152+$B$150*((6*$B$66)),NA())</f>
        <v>#N/A</v>
      </c>
      <c r="HI84" t="e">
        <f>IF(13&lt;=$B$16-1,$B$157+$B$156*($B$6+$B$46),NA())</f>
        <v>#N/A</v>
      </c>
      <c r="HJ84" t="e">
        <f>IF(13&lt;=$B$16-1,$B$158+$B$156*(13*($B$5/2)/MAX(1,$B$16-1)),NA())</f>
        <v>#N/A</v>
      </c>
      <c r="HK84" t="e">
        <f>IF(26&lt;=$B$12,$B$157+$B$156*($B$13*26),NA())</f>
        <v>#N/A</v>
      </c>
      <c r="HL84" t="e">
        <f>IF(26&lt;=$B$12,$B$158+$B$156*($B$5),NA())</f>
        <v>#N/A</v>
      </c>
      <c r="HM84" t="e">
        <f>IF(AND(14&lt;=$B$12,1&lt;=$B$25),$B$157+$B$156*((14-1)*$B$13+1*$B$13/($B$25+1)),NA())</f>
        <v>#N/A</v>
      </c>
      <c r="HN84" t="e">
        <f>IF(AND(14&lt;=$B$12,1&lt;=$B$25),$B$158+$B$156*($B$5),NA())</f>
        <v>#N/A</v>
      </c>
      <c r="HQ84">
        <f>IF(AND(2&lt;=$B$23,2&lt;=$B$24),$B$157+$B$156*(IF(2=1,1,IF(2=$B$23,$B$12,5*(2-1)))*$B$13),NA())</f>
        <v>131.162428571429</v>
      </c>
      <c r="HR84">
        <f>IF(AND(2&lt;=$B$23,2&lt;=$B$24),$B$158+$B$156*((0*$B$5/2+2*($B$5/2)/$B$24)),NA())</f>
        <v>52</v>
      </c>
      <c r="HS84">
        <f>IF(AND(4&lt;=$B$12,$B$51&gt;0),$B$157+$B$156*(((4-0.5)*$B$13)+($B$51*$B$13)/2),NA())</f>
        <v>99.6767142857143</v>
      </c>
      <c r="HT84">
        <f>IF(AND(4&lt;=$B$12,$B$51&gt;0),$B$158+$B$156*((0*$B$5/2+0.6*$B$159)+(((0*$B$5/2+$B$5/2-0.6*$B$159))-((0*$B$5/2+0.6*$B$159)))/4),NA())</f>
        <v>23.8</v>
      </c>
      <c r="HU84" t="e">
        <f>IF(7&lt;=$B$47,$B$157+$B$156*(((MAX(1,MIN($B$12,ROUND(7*$B$12/($B$47+1),0)))-1)*$B$13+0.25*$B$13)+$B$48/2+0.2),NA())</f>
        <v>#N/A</v>
      </c>
      <c r="HV84" t="e">
        <f>IF(7&lt;=$B$47,$B$158+$B$156*(IF(MOD(7,2)=1,$B$5/4,3*$B$5/4)-$B$49/2-0.2),NA())</f>
        <v>#N/A</v>
      </c>
      <c r="IW84" t="e">
        <f>IF(AND(0.2+29*$B$43&lt;$B$170,ABS(0.2+29*$B$43-$B$169)&gt;$B$29/2+0.03,$B$44=1),$B$174+$B$173*(0.2+29*$B$43),NA())</f>
        <v>#N/A</v>
      </c>
      <c r="IX84" t="e">
        <f>IF(AND(0.2+29*$B$43&lt;$B$170,ABS(0.2+29*$B$43-$B$169)&gt;$B$29/2+0.03,$B$44=1),$B$175+$B$173*($B$166-$B$42-0.015),NA())</f>
        <v>#N/A</v>
      </c>
      <c r="KI84" t="e">
        <f>IF(AND($B$21=1,7*$B$67&gt;$B$59,7*$B$67&lt;$B$178-$B$59,OR($B$63=0,ABS(7*$B$67-$B$178/2)&gt;$B$59/2)),$B$182+$B$181*($B$177*3/4-$B$60/2),NA())</f>
        <v>#N/A</v>
      </c>
      <c r="KJ84" t="e">
        <f>IF(AND($B$21=1,7*$B$67&gt;$B$59,7*$B$67&lt;$B$178-$B$59,OR($B$63=0,ABS(7*$B$67-$B$178/2)&gt;$B$59/2)),$B$183+$B$181*(7*$B$67),NA())</f>
        <v>#N/A</v>
      </c>
    </row>
    <row r="85">
      <c r="A85" t="inlineStr">
        <is>
          <t>LP_ex3</t>
        </is>
      </c>
      <c r="B85">
        <f>IF(3&lt;=$B$70,1,0)</f>
        <v>0</v>
      </c>
      <c r="G85" t="e">
        <f>NA()</f>
        <v>#N/A</v>
      </c>
      <c r="H85" t="e">
        <f>NA()</f>
        <v>#N/A</v>
      </c>
      <c r="K85">
        <f>IF(4&lt;=$B$12,$B$133+$B$132*($B$13*4+$B$27/2),NA())</f>
        <v>111.345285714286</v>
      </c>
      <c r="L85">
        <f>IF(4&lt;=$B$12,$B$134+$B$132*($B$5+$B$27/2),NA())</f>
        <v>86.04</v>
      </c>
      <c r="M85" t="e">
        <f>IF(AND(26&lt;=$B$12,$B$45=1),$B$133+$B$132*($B$13*26),NA())</f>
        <v>#N/A</v>
      </c>
      <c r="N85" t="e">
        <f>IF(AND(26&lt;=$B$12,$B$45=1),$B$134+$B$132*($B$5/2),NA())</f>
        <v>#N/A</v>
      </c>
      <c r="EA85" t="e">
        <f>NA()</f>
        <v>#N/A</v>
      </c>
      <c r="EB85" t="e">
        <f>NA()</f>
        <v>#N/A</v>
      </c>
      <c r="FA85" t="e">
        <f>NA()</f>
        <v>#N/A</v>
      </c>
      <c r="FB85" t="e">
        <f>NA()</f>
        <v>#N/A</v>
      </c>
      <c r="FC85" t="e">
        <f>IF(AND(5&lt;$B$22,($B$19+5*$B$64)&gt;=$B$80),$B$145+$B$144*($B$82),NA())</f>
        <v>#N/A</v>
      </c>
      <c r="FD85" t="e">
        <f>IF(AND(5&lt;$B$22,($B$19+5*$B$64)&gt;=$B$80),$B$146+$B$144*(($B$19+5*$B$64)),NA())</f>
        <v>#N/A</v>
      </c>
      <c r="FE85" t="e">
        <f>IF(AND(AND($B$21=1,(6*$B$66)&lt;$B$62),(6*$B$66)&gt;=$B$80),$B$145+$B$144*($B$82),NA())</f>
        <v>#N/A</v>
      </c>
      <c r="FF85" t="e">
        <f>IF(AND(AND($B$21=1,(6*$B$66)&lt;$B$62),(6*$B$66)&gt;=$B$80),$B$146+$B$144*((6*$B$66)),NA())</f>
        <v>#N/A</v>
      </c>
      <c r="GG85" t="e">
        <f>IF(AND(AND($B$20=1,($B$19+5*$B$64)&lt;$B$10-0.3),($B$19+5*$B$64)&gt;=$B$111),$B$151+$B$150*(MAX(IF(($B$19+5*$B$64)&lt;=$B$9,0,(($B$19+5*$B$64)-$B$9)/$B$8),MIN(($B$5-IF(($B$19+5*$B$64)&lt;=$B$9,0,(($B$19+5*$B$64)-$B$9)/$B$8)),$B$113))),NA())</f>
        <v>#N/A</v>
      </c>
      <c r="GH85" t="e">
        <f>IF(AND(AND($B$20=1,($B$19+5*$B$64)&lt;$B$10-0.3),($B$19+5*$B$64)&gt;=$B$111),$B$152+$B$150*(($B$19+5*$B$64)),NA())</f>
        <v>#N/A</v>
      </c>
      <c r="GI85" t="e">
        <f>IF(AND(AND($B$21=1,(6*$B$66)&lt;IF($B$63=1,$B$10-0.2,$B$62)),(6*$B$66)&gt;=$B$111),$B$151+$B$150*(MAX(IF((6*$B$66)&lt;=$B$9,0,((6*$B$66)-$B$9)/$B$8),MIN(($B$5-IF((6*$B$66)&lt;=$B$9,0,((6*$B$66)-$B$9)/$B$8)),$B$113))),NA())</f>
        <v>#N/A</v>
      </c>
      <c r="GJ85" t="e">
        <f>IF(AND(AND($B$21=1,(6*$B$66)&lt;IF($B$63=1,$B$10-0.2,$B$62)),(6*$B$66)&gt;=$B$111),$B$152+$B$150*((6*$B$66)),NA())</f>
        <v>#N/A</v>
      </c>
      <c r="HI85" t="e">
        <f>NA()</f>
        <v>#N/A</v>
      </c>
      <c r="HJ85" t="e">
        <f>NA()</f>
        <v>#N/A</v>
      </c>
      <c r="HK85" t="e">
        <f>NA()</f>
        <v>#N/A</v>
      </c>
      <c r="HL85" t="e">
        <f>NA()</f>
        <v>#N/A</v>
      </c>
      <c r="HM85" t="e">
        <f>NA()</f>
        <v>#N/A</v>
      </c>
      <c r="HN85" t="e">
        <f>NA()</f>
        <v>#N/A</v>
      </c>
      <c r="HQ85" t="e">
        <f>NA()</f>
        <v>#N/A</v>
      </c>
      <c r="HR85" t="e">
        <f>NA()</f>
        <v>#N/A</v>
      </c>
      <c r="HS85">
        <f>IF(AND(4&lt;=$B$12,$B$51&gt;0),$B$157+$B$156*(((4-0.5)*$B$13)-($B$51*$B$13)/2),NA())</f>
        <v>97.5052857142857</v>
      </c>
      <c r="HT85">
        <f>IF(AND(4&lt;=$B$12,$B$51&gt;0),$B$158+$B$156*((0*$B$5/2+0.6*$B$159)+(((0*$B$5/2+$B$5/2-0.6*$B$159))-((0*$B$5/2+0.6*$B$159)))/2),NA())</f>
        <v>33</v>
      </c>
      <c r="HU85" t="e">
        <f>IF(7&lt;=$B$47,$B$157+$B$156*(((MAX(1,MIN($B$12,ROUND(7*$B$12/($B$47+1),0)))-1)*$B$13+0.25*$B$13)+$B$48/2+0.2),NA())</f>
        <v>#N/A</v>
      </c>
      <c r="HV85" t="e">
        <f>IF(7&lt;=$B$47,$B$158+$B$156*(IF(MOD(7,2)=1,$B$5/4,3*$B$5/4)+$B$49/2+0.2),NA())</f>
        <v>#N/A</v>
      </c>
      <c r="IW85" t="e">
        <f>IF(AND(0.2+30*$B$43&lt;$B$170,ABS(0.2+30*$B$43-$B$169)&gt;$B$29/2+0.03),$B$174+$B$173*(0.2+30*$B$43),NA())</f>
        <v>#N/A</v>
      </c>
      <c r="IX85" t="e">
        <f>IF(AND(0.2+30*$B$43&lt;$B$170,ABS(0.2+30*$B$43-$B$169)&gt;$B$29/2+0.03),$B$175+$B$173*($B$165+$B$42+0.015),NA())</f>
        <v>#N/A</v>
      </c>
      <c r="KI85" t="e">
        <f>NA()</f>
        <v>#N/A</v>
      </c>
      <c r="KJ85" t="e">
        <f>NA()</f>
        <v>#N/A</v>
      </c>
    </row>
    <row r="86">
      <c r="A86" t="inlineStr">
        <is>
          <t>LP_w3</t>
        </is>
      </c>
      <c r="B86">
        <f>IF(3&lt;=$B$68,'PARAMÈTRES'!$C$29,'PARAMÈTRES'!$C$33)</f>
        <v>5.5</v>
      </c>
      <c r="G86" t="e">
        <f>IF(27&lt;=$B$12,$B$133+$B$132*($B$13*27),NA())</f>
        <v>#N/A</v>
      </c>
      <c r="H86" t="e">
        <f>IF(27&lt;=$B$12,$B$134+$B$132*(-4*$B$135),NA())</f>
        <v>#N/A</v>
      </c>
      <c r="K86">
        <f>IF(4&lt;=$B$12,$B$133+$B$132*($B$13*4-$B$27/2),NA())</f>
        <v>107.265285714286</v>
      </c>
      <c r="L86">
        <f>IF(4&lt;=$B$12,$B$134+$B$132*($B$5+$B$27/2),NA())</f>
        <v>86.04</v>
      </c>
      <c r="M86" t="e">
        <f>IF(27&lt;=$B$12,$B$133+$B$132*($B$13*27),NA())</f>
        <v>#N/A</v>
      </c>
      <c r="N86" t="e">
        <f>IF(27&lt;=$B$12,$B$134+$B$132*(0),NA())</f>
        <v>#N/A</v>
      </c>
      <c r="EA86" t="e">
        <f>IF(AND($B$18=1,28&lt;=$B$26-1),$B$139+$B$138*(28*($B$5/MAX(1,$B$26))),NA())</f>
        <v>#N/A</v>
      </c>
      <c r="EB86" t="e">
        <f>IF(AND($B$18=1,28&lt;=$B$26-1),$B$140+$B$138*($B$7),NA())</f>
        <v>#N/A</v>
      </c>
      <c r="FA86" t="e">
        <f>IF(27&lt;=$B$12,$B$145+$B$144*($B$13*27),NA())</f>
        <v>#N/A</v>
      </c>
      <c r="FB86" t="e">
        <f>IF(27&lt;=$B$12,$B$146+$B$144*(0),NA())</f>
        <v>#N/A</v>
      </c>
      <c r="FC86" t="e">
        <f>IF(5&lt;$B$22,$B$145+$B$144*(IF(($B$19+5*$B$64)&lt;$B$80,$B$84,$B$82)),NA())</f>
        <v>#N/A</v>
      </c>
      <c r="FD86" t="e">
        <f>IF(5&lt;$B$22,$B$146+$B$144*(($B$19+5*$B$64)),NA())</f>
        <v>#N/A</v>
      </c>
      <c r="FE86" t="e">
        <f>IF(AND($B$21=1,(6*$B$66)&lt;$B$62),$B$145+$B$144*(IF((6*$B$66)&lt;$B$80,$B$84,$B$82)),NA())</f>
        <v>#N/A</v>
      </c>
      <c r="FF86" t="e">
        <f>IF(AND($B$21=1,(6*$B$66)&lt;$B$62),$B$146+$B$144*((6*$B$66)),NA())</f>
        <v>#N/A</v>
      </c>
      <c r="GG86" t="e">
        <f>IF(AND($B$20=1,($B$19+5*$B$64)&lt;$B$10-0.3),$B$151+$B$150*(MAX(IF(($B$19+5*$B$64)&lt;=$B$9,0,(($B$19+5*$B$64)-$B$9)/$B$8),MIN(($B$5-IF(($B$19+5*$B$64)&lt;=$B$9,0,(($B$19+5*$B$64)-$B$9)/$B$8)),IF(($B$19+5*$B$64)&lt;$B$111,$B$115,$B$113)))),NA())</f>
        <v>#N/A</v>
      </c>
      <c r="GH86" t="e">
        <f>IF(AND($B$20=1,($B$19+5*$B$64)&lt;$B$10-0.3),$B$152+$B$150*(($B$19+5*$B$64)),NA())</f>
        <v>#N/A</v>
      </c>
      <c r="GI86" t="e">
        <f>IF(AND($B$21=1,(6*$B$66)&lt;IF($B$63=1,$B$10-0.2,$B$62)),$B$151+$B$150*(MAX(IF((6*$B$66)&lt;=$B$9,0,((6*$B$66)-$B$9)/$B$8),MIN(($B$5-IF((6*$B$66)&lt;=$B$9,0,((6*$B$66)-$B$9)/$B$8)),IF((6*$B$66)&lt;$B$111,$B$115,$B$113)))),NA())</f>
        <v>#N/A</v>
      </c>
      <c r="GJ86" t="e">
        <f>IF(AND($B$21=1,(6*$B$66)&lt;IF($B$63=1,$B$10-0.2,$B$62)),$B$152+$B$150*((6*$B$66)),NA())</f>
        <v>#N/A</v>
      </c>
      <c r="HI86" t="e">
        <f>IF(13&lt;=$B$16-1,$B$157+$B$156*(-$B$46),NA())</f>
        <v>#N/A</v>
      </c>
      <c r="HJ86" t="e">
        <f>IF(13&lt;=$B$16-1,$B$158+$B$156*($B$5-13*($B$5/2)/MAX(1,$B$16-1)),NA())</f>
        <v>#N/A</v>
      </c>
      <c r="HK86" t="e">
        <f>IF(27&lt;=$B$12,$B$157+$B$156*($B$13*27),NA())</f>
        <v>#N/A</v>
      </c>
      <c r="HL86" t="e">
        <f>IF(27&lt;=$B$12,$B$158+$B$156*(0),NA())</f>
        <v>#N/A</v>
      </c>
      <c r="HM86" t="e">
        <f>IF(AND(14&lt;=$B$12,2&lt;=$B$25),$B$157+$B$156*((14-1)*$B$13+2*$B$13/($B$25+1)),NA())</f>
        <v>#N/A</v>
      </c>
      <c r="HN86" t="e">
        <f>IF(AND(14&lt;=$B$12,2&lt;=$B$25),$B$158+$B$156*(0),NA())</f>
        <v>#N/A</v>
      </c>
      <c r="HQ86">
        <f>IF(AND(2&lt;=$B$23,2&lt;=$B$24),$B$157+$B$156*((IF(2=1,1,IF(2=$B$23,$B$12,5*(2-1)))-1)*$B$13),NA())</f>
        <v>109.448142857143</v>
      </c>
      <c r="HR86">
        <f>IF(AND(2&lt;=$B$23,2&lt;=$B$24),$B$158+$B$156*((0*$B$5/2+2*($B$5/2)/$B$24)),NA())</f>
        <v>52</v>
      </c>
      <c r="HS86">
        <f>IF(AND(4&lt;=$B$12,$B$51&gt;0),$B$157+$B$156*(((4-0.5)*$B$13)+($B$51*$B$13)/2),NA())</f>
        <v>99.6767142857143</v>
      </c>
      <c r="HT86">
        <f>IF(AND(4&lt;=$B$12,$B$51&gt;0),$B$158+$B$156*((0*$B$5/2+0.6*$B$159)+3*(((0*$B$5/2+$B$5/2-0.6*$B$159))-((0*$B$5/2+0.6*$B$159)))/4),NA())</f>
        <v>42.2</v>
      </c>
      <c r="HU86" t="e">
        <f>IF(7&lt;=$B$47,$B$157+$B$156*(((MAX(1,MIN($B$12,ROUND(7*$B$12/($B$47+1),0)))-1)*$B$13+0.25*$B$13)-$B$48/2-0.2),NA())</f>
        <v>#N/A</v>
      </c>
      <c r="HV86" t="e">
        <f>IF(7&lt;=$B$47,$B$158+$B$156*(IF(MOD(7,2)=1,$B$5/4,3*$B$5/4)+$B$49/2+0.2),NA())</f>
        <v>#N/A</v>
      </c>
      <c r="IW86" t="e">
        <f>IF(AND(0.2+30*$B$43&lt;$B$170,ABS(0.2+30*$B$43-$B$169)&gt;$B$29/2+0.03,$B$44=1),$B$174+$B$173*(0.2+30*$B$43),NA())</f>
        <v>#N/A</v>
      </c>
      <c r="IX86" t="e">
        <f>IF(AND(0.2+30*$B$43&lt;$B$170,ABS(0.2+30*$B$43-$B$169)&gt;$B$29/2+0.03,$B$44=1),$B$175+$B$173*($B$166-$B$42-0.015),NA())</f>
        <v>#N/A</v>
      </c>
      <c r="KI86" t="e">
        <f>IF(AND($B$21=1,7*$B$67&gt;$B$59,7*$B$67&lt;$B$178-$B$59,OR($B$63=0,ABS(7*$B$67-$B$178/2)&gt;$B$59/2)),$B$182+$B$181*($B$177*3/4+$B$60/2),NA())</f>
        <v>#N/A</v>
      </c>
      <c r="KJ86" t="e">
        <f>IF(AND($B$21=1,7*$B$67&gt;$B$59,7*$B$67&lt;$B$178-$B$59,OR($B$63=0,ABS(7*$B$67-$B$178/2)&gt;$B$59/2)),$B$183+$B$181*(7*$B$67),NA())</f>
        <v>#N/A</v>
      </c>
    </row>
    <row r="87">
      <c r="A87" t="inlineStr">
        <is>
          <t>LP_h3</t>
        </is>
      </c>
      <c r="B87">
        <f>IF(3&lt;=$B$68,'PARAMÈTRES'!$C$30,'PARAMÈTRES'!$C$34)*$B$85</f>
        <v>0</v>
      </c>
      <c r="G87" t="e">
        <f>IF(27&lt;=$B$12,$B$133+$B$132*($B$13*27),NA())</f>
        <v>#N/A</v>
      </c>
      <c r="H87" t="e">
        <f>IF(27&lt;=$B$12,$B$134+$B$132*($B$5+4*$B$135),NA())</f>
        <v>#N/A</v>
      </c>
      <c r="K87">
        <f>IF(4&lt;=$B$12,$B$133+$B$132*($B$13*4-$B$27/2),NA())</f>
        <v>107.265285714286</v>
      </c>
      <c r="L87">
        <f>IF(4&lt;=$B$12,$B$134+$B$132*($B$5-$B$27/2),NA())</f>
        <v>81.96</v>
      </c>
      <c r="M87" t="e">
        <f>IF(27&lt;=$B$12,$B$133+$B$132*($B$13*27),NA())</f>
        <v>#N/A</v>
      </c>
      <c r="N87" t="e">
        <f>IF(27&lt;=$B$12,$B$134+$B$132*($B$5),NA())</f>
        <v>#N/A</v>
      </c>
      <c r="EA87" t="e">
        <f>IF(AND($B$18=1,28&lt;=$B$26-1),$B$139+$B$138*(28*($B$5/MAX(1,$B$26))),NA())</f>
        <v>#N/A</v>
      </c>
      <c r="EB87" t="e">
        <f>IF(AND($B$18=1,28&lt;=$B$26-1),$B$140+$B$138*(($B$9+$B$8*MIN(28*($B$5/MAX(1,$B$26)),$B$5-(28*($B$5/MAX(1,$B$26)))))),NA())</f>
        <v>#N/A</v>
      </c>
      <c r="FA87" t="e">
        <f>IF(27&lt;=$B$12,$B$145+$B$144*($B$13*27),NA())</f>
        <v>#N/A</v>
      </c>
      <c r="FB87" t="e">
        <f>IF(27&lt;=$B$12,$B$146+$B$144*($B$9),NA())</f>
        <v>#N/A</v>
      </c>
      <c r="FC87" t="e">
        <f>IF(5&lt;$B$22,$B$145+$B$144*(IF(($B$19+5*$B$64)&lt;$B$87,$B$90,$B$89)),NA())</f>
        <v>#N/A</v>
      </c>
      <c r="FD87" t="e">
        <f>IF(5&lt;$B$22,$B$146+$B$144*(($B$19+5*$B$64)),NA())</f>
        <v>#N/A</v>
      </c>
      <c r="FE87" t="e">
        <f>IF(AND($B$21=1,(6*$B$66)&lt;$B$62),$B$145+$B$144*(IF((6*$B$66)&lt;$B$87,$B$90,$B$89)),NA())</f>
        <v>#N/A</v>
      </c>
      <c r="FF87" t="e">
        <f>IF(AND($B$21=1,(6*$B$66)&lt;$B$62),$B$146+$B$144*((6*$B$66)),NA())</f>
        <v>#N/A</v>
      </c>
      <c r="GG87" t="e">
        <f>IF(AND($B$20=1,($B$19+5*$B$64)&lt;$B$10-0.3),$B$151+$B$150*(MAX(IF(($B$19+5*$B$64)&lt;=$B$9,0,(($B$19+5*$B$64)-$B$9)/$B$8),MIN(($B$5-IF(($B$19+5*$B$64)&lt;=$B$9,0,(($B$19+5*$B$64)-$B$9)/$B$8)),IF(($B$19+5*$B$64)&lt;$B$118,$B$121,$B$120)))),NA())</f>
        <v>#N/A</v>
      </c>
      <c r="GH87" t="e">
        <f>IF(AND($B$20=1,($B$19+5*$B$64)&lt;$B$10-0.3),$B$152+$B$150*(($B$19+5*$B$64)),NA())</f>
        <v>#N/A</v>
      </c>
      <c r="GI87" t="e">
        <f>IF(AND($B$21=1,(6*$B$66)&lt;IF($B$63=1,$B$10-0.2,$B$62)),$B$151+$B$150*(MAX(IF((6*$B$66)&lt;=$B$9,0,((6*$B$66)-$B$9)/$B$8),MIN(($B$5-IF((6*$B$66)&lt;=$B$9,0,((6*$B$66)-$B$9)/$B$8)),IF((6*$B$66)&lt;$B$118,$B$121,$B$120)))),NA())</f>
        <v>#N/A</v>
      </c>
      <c r="GJ87" t="e">
        <f>IF(AND($B$21=1,(6*$B$66)&lt;IF($B$63=1,$B$10-0.2,$B$62)),$B$152+$B$150*((6*$B$66)),NA())</f>
        <v>#N/A</v>
      </c>
      <c r="HI87" t="e">
        <f>IF(13&lt;=$B$16-1,$B$157+$B$156*($B$6+$B$46),NA())</f>
        <v>#N/A</v>
      </c>
      <c r="HJ87" t="e">
        <f>IF(13&lt;=$B$16-1,$B$158+$B$156*($B$5-13*($B$5/2)/MAX(1,$B$16-1)),NA())</f>
        <v>#N/A</v>
      </c>
      <c r="HK87" t="e">
        <f>IF(27&lt;=$B$12,$B$157+$B$156*($B$13*27),NA())</f>
        <v>#N/A</v>
      </c>
      <c r="HL87" t="e">
        <f>IF(27&lt;=$B$12,$B$158+$B$156*($B$5),NA())</f>
        <v>#N/A</v>
      </c>
      <c r="HM87" t="e">
        <f>IF(AND(14&lt;=$B$12,2&lt;=$B$25),$B$157+$B$156*((14-1)*$B$13+2*$B$13/($B$25+1)),NA())</f>
        <v>#N/A</v>
      </c>
      <c r="HN87" t="e">
        <f>IF(AND(14&lt;=$B$12,2&lt;=$B$25),$B$158+$B$156*($B$5),NA())</f>
        <v>#N/A</v>
      </c>
      <c r="HQ87">
        <f>IF(AND(2&lt;=$B$23,2&lt;=$B$24),$B$157+$B$156*(IF(2=1,1,IF(2=$B$23,$B$12,5*(2-1)))*$B$13),NA())</f>
        <v>131.162428571429</v>
      </c>
      <c r="HR87">
        <f>IF(AND(2&lt;=$B$23,2&lt;=$B$24),$B$158+$B$156*((0*$B$5/2+(2-1)*($B$5/2)/$B$24)),NA())</f>
        <v>33</v>
      </c>
      <c r="HS87">
        <f>IF(AND(4&lt;=$B$12,$B$51&gt;0),$B$157+$B$156*(((4-0.5)*$B$13)-($B$51*$B$13)/2),NA())</f>
        <v>97.5052857142857</v>
      </c>
      <c r="HT87">
        <f>IF(AND(4&lt;=$B$12,$B$51&gt;0),$B$158+$B$156*((0*$B$5/2+$B$5/2-0.6*$B$159)),NA())</f>
        <v>51.4</v>
      </c>
      <c r="HU87" t="e">
        <f>IF(7&lt;=$B$47,$B$157+$B$156*(((MAX(1,MIN($B$12,ROUND(7*$B$12/($B$47+1),0)))-1)*$B$13+0.25*$B$13)-$B$48/2-0.2),NA())</f>
        <v>#N/A</v>
      </c>
      <c r="HV87" t="e">
        <f>IF(7&lt;=$B$47,$B$158+$B$156*(IF(MOD(7,2)=1,$B$5/4,3*$B$5/4)-$B$49/2-0.2),NA())</f>
        <v>#N/A</v>
      </c>
      <c r="IW87" t="e">
        <f>IF(AND(0.2+31*$B$43&lt;$B$170,ABS(0.2+31*$B$43-$B$169)&gt;$B$29/2+0.03),$B$174+$B$173*(0.2+31*$B$43),NA())</f>
        <v>#N/A</v>
      </c>
      <c r="IX87" t="e">
        <f>IF(AND(0.2+31*$B$43&lt;$B$170,ABS(0.2+31*$B$43-$B$169)&gt;$B$29/2+0.03),$B$175+$B$173*($B$165+$B$42+0.015),NA())</f>
        <v>#N/A</v>
      </c>
      <c r="KI87" t="e">
        <f>IF(AND($B$21=1,7*$B$67&gt;$B$59,7*$B$67&lt;$B$178-$B$59,OR($B$63=0,ABS(7*$B$67-$B$178/2)&gt;$B$59/2)),$B$182+$B$181*($B$177),NA())</f>
        <v>#N/A</v>
      </c>
      <c r="KJ87" t="e">
        <f>IF(AND($B$21=1,7*$B$67&gt;$B$59,7*$B$67&lt;$B$178-$B$59,OR($B$63=0,ABS(7*$B$67-$B$178/2)&gt;$B$59/2)),$B$183+$B$181*(7*$B$67),NA())</f>
        <v>#N/A</v>
      </c>
    </row>
    <row r="88">
      <c r="A88" t="inlineStr">
        <is>
          <t>LP_pos3</t>
        </is>
      </c>
      <c r="B88">
        <f>MAX(IF($B$12&gt;=3,2,1),MIN(IF($B$12&gt;=3,$B$12-1,$B$12),ROUND(3*$B$12/($B$70+1),0)))</f>
        <v>6</v>
      </c>
      <c r="G88" t="e">
        <f>NA()</f>
        <v>#N/A</v>
      </c>
      <c r="H88" t="e">
        <f>NA()</f>
        <v>#N/A</v>
      </c>
      <c r="K88" t="e">
        <f>NA()</f>
        <v>#N/A</v>
      </c>
      <c r="L88" t="e">
        <f>NA()</f>
        <v>#N/A</v>
      </c>
      <c r="M88" t="e">
        <f>IF(AND(27&lt;=$B$12,$B$45=1),$B$133+$B$132*($B$13*27),NA())</f>
        <v>#N/A</v>
      </c>
      <c r="N88" t="e">
        <f>IF(AND(27&lt;=$B$12,$B$45=1),$B$134+$B$132*($B$5/2),NA())</f>
        <v>#N/A</v>
      </c>
      <c r="EA88" t="e">
        <f>NA()</f>
        <v>#N/A</v>
      </c>
      <c r="EB88" t="e">
        <f>NA()</f>
        <v>#N/A</v>
      </c>
      <c r="FA88" t="e">
        <f>NA()</f>
        <v>#N/A</v>
      </c>
      <c r="FB88" t="e">
        <f>NA()</f>
        <v>#N/A</v>
      </c>
      <c r="FC88" t="e">
        <f>IF(AND(5&lt;$B$22,($B$19+5*$B$64)&gt;=$B$87),$B$145+$B$144*($B$89),NA())</f>
        <v>#N/A</v>
      </c>
      <c r="FD88" t="e">
        <f>IF(AND(5&lt;$B$22,($B$19+5*$B$64)&gt;=$B$87),$B$146+$B$144*(($B$19+5*$B$64)),NA())</f>
        <v>#N/A</v>
      </c>
      <c r="FE88" t="e">
        <f>IF(AND(AND($B$21=1,(6*$B$66)&lt;$B$62),(6*$B$66)&gt;=$B$87),$B$145+$B$144*($B$89),NA())</f>
        <v>#N/A</v>
      </c>
      <c r="FF88" t="e">
        <f>IF(AND(AND($B$21=1,(6*$B$66)&lt;$B$62),(6*$B$66)&gt;=$B$87),$B$146+$B$144*((6*$B$66)),NA())</f>
        <v>#N/A</v>
      </c>
      <c r="GG88" t="e">
        <f>IF(AND(AND($B$20=1,($B$19+5*$B$64)&lt;$B$10-0.3),($B$19+5*$B$64)&gt;=$B$118),$B$151+$B$150*(MAX(IF(($B$19+5*$B$64)&lt;=$B$9,0,(($B$19+5*$B$64)-$B$9)/$B$8),MIN(($B$5-IF(($B$19+5*$B$64)&lt;=$B$9,0,(($B$19+5*$B$64)-$B$9)/$B$8)),$B$120))),NA())</f>
        <v>#N/A</v>
      </c>
      <c r="GH88" t="e">
        <f>IF(AND(AND($B$20=1,($B$19+5*$B$64)&lt;$B$10-0.3),($B$19+5*$B$64)&gt;=$B$118),$B$152+$B$150*(($B$19+5*$B$64)),NA())</f>
        <v>#N/A</v>
      </c>
      <c r="GI88" t="e">
        <f>IF(AND(AND($B$21=1,(6*$B$66)&lt;IF($B$63=1,$B$10-0.2,$B$62)),(6*$B$66)&gt;=$B$118),$B$151+$B$150*(MAX(IF((6*$B$66)&lt;=$B$9,0,((6*$B$66)-$B$9)/$B$8),MIN(($B$5-IF((6*$B$66)&lt;=$B$9,0,((6*$B$66)-$B$9)/$B$8)),$B$120))),NA())</f>
        <v>#N/A</v>
      </c>
      <c r="GJ88" t="e">
        <f>IF(AND(AND($B$21=1,(6*$B$66)&lt;IF($B$63=1,$B$10-0.2,$B$62)),(6*$B$66)&gt;=$B$118),$B$152+$B$150*((6*$B$66)),NA())</f>
        <v>#N/A</v>
      </c>
      <c r="HI88" t="e">
        <f>NA()</f>
        <v>#N/A</v>
      </c>
      <c r="HJ88" t="e">
        <f>NA()</f>
        <v>#N/A</v>
      </c>
      <c r="HK88" t="e">
        <f>NA()</f>
        <v>#N/A</v>
      </c>
      <c r="HL88" t="e">
        <f>NA()</f>
        <v>#N/A</v>
      </c>
      <c r="HM88" t="e">
        <f>NA()</f>
        <v>#N/A</v>
      </c>
      <c r="HN88" t="e">
        <f>NA()</f>
        <v>#N/A</v>
      </c>
      <c r="HQ88" t="e">
        <f>NA()</f>
        <v>#N/A</v>
      </c>
      <c r="HR88" t="e">
        <f>NA()</f>
        <v>#N/A</v>
      </c>
      <c r="HS88" t="e">
        <f>NA()</f>
        <v>#N/A</v>
      </c>
      <c r="HT88" t="e">
        <f>NA()</f>
        <v>#N/A</v>
      </c>
      <c r="HU88" t="e">
        <f>NA()</f>
        <v>#N/A</v>
      </c>
      <c r="HV88" t="e">
        <f>NA()</f>
        <v>#N/A</v>
      </c>
      <c r="IW88" t="e">
        <f>IF(AND(0.2+31*$B$43&lt;$B$170,ABS(0.2+31*$B$43-$B$169)&gt;$B$29/2+0.03,$B$44=1),$B$174+$B$173*(0.2+31*$B$43),NA())</f>
        <v>#N/A</v>
      </c>
      <c r="IX88" t="e">
        <f>IF(AND(0.2+31*$B$43&lt;$B$170,ABS(0.2+31*$B$43-$B$169)&gt;$B$29/2+0.03,$B$44=1),$B$175+$B$173*($B$166-$B$42-0.015),NA())</f>
        <v>#N/A</v>
      </c>
      <c r="KI88" t="e">
        <f>NA()</f>
        <v>#N/A</v>
      </c>
      <c r="KJ88" t="e">
        <f>NA()</f>
        <v>#N/A</v>
      </c>
    </row>
    <row r="89">
      <c r="A89" t="inlineStr">
        <is>
          <t>LP_xc3</t>
        </is>
      </c>
      <c r="B89">
        <f>IF($B$85=1,($B$88-0.5)*$B$13,$B$6)</f>
        <v>40</v>
      </c>
      <c r="G89" t="e">
        <f>IF(28&lt;=$B$12,$B$133+$B$132*($B$13*28),NA())</f>
        <v>#N/A</v>
      </c>
      <c r="H89" t="e">
        <f>IF(28&lt;=$B$12,$B$134+$B$132*(-4*$B$135),NA())</f>
        <v>#N/A</v>
      </c>
      <c r="K89" t="e">
        <f>IF(AND(4&lt;=$B$12,$B$45=1),$B$133+$B$132*($B$13*4-$B$27/2),NA())</f>
        <v>#N/A</v>
      </c>
      <c r="L89" t="e">
        <f>IF(AND(4&lt;=$B$12,$B$45=1),$B$134+$B$132*($B$5/2-$B$27/2),NA())</f>
        <v>#N/A</v>
      </c>
      <c r="M89" t="e">
        <f>IF(28&lt;=$B$12,$B$133+$B$132*($B$13*28),NA())</f>
        <v>#N/A</v>
      </c>
      <c r="N89" t="e">
        <f>IF(28&lt;=$B$12,$B$134+$B$132*(0),NA())</f>
        <v>#N/A</v>
      </c>
      <c r="EA89" t="e">
        <f>IF(AND($B$18=1,29&lt;=$B$26-1),$B$139+$B$138*(29*($B$5/MAX(1,$B$26))),NA())</f>
        <v>#N/A</v>
      </c>
      <c r="EB89" t="e">
        <f>IF(AND($B$18=1,29&lt;=$B$26-1),$B$140+$B$138*($B$7),NA())</f>
        <v>#N/A</v>
      </c>
      <c r="FA89" t="e">
        <f>IF(28&lt;=$B$12,$B$145+$B$144*($B$13*28),NA())</f>
        <v>#N/A</v>
      </c>
      <c r="FB89" t="e">
        <f>IF(28&lt;=$B$12,$B$146+$B$144*(0),NA())</f>
        <v>#N/A</v>
      </c>
      <c r="FC89" t="e">
        <f>IF(5&lt;$B$22,$B$145+$B$144*(IF(($B$19+5*$B$64)&lt;$B$87,$B$91,$B$89)),NA())</f>
        <v>#N/A</v>
      </c>
      <c r="FD89" t="e">
        <f>IF(5&lt;$B$22,$B$146+$B$144*(($B$19+5*$B$64)),NA())</f>
        <v>#N/A</v>
      </c>
      <c r="FE89" t="e">
        <f>IF(AND($B$21=1,(6*$B$66)&lt;$B$62),$B$145+$B$144*(IF((6*$B$66)&lt;$B$87,$B$91,$B$89)),NA())</f>
        <v>#N/A</v>
      </c>
      <c r="FF89" t="e">
        <f>IF(AND($B$21=1,(6*$B$66)&lt;$B$62),$B$146+$B$144*((6*$B$66)),NA())</f>
        <v>#N/A</v>
      </c>
      <c r="GG89" t="e">
        <f>IF(AND($B$20=1,($B$19+5*$B$64)&lt;$B$10-0.3),$B$151+$B$150*(MAX(IF(($B$19+5*$B$64)&lt;=$B$9,0,(($B$19+5*$B$64)-$B$9)/$B$8),MIN(($B$5-IF(($B$19+5*$B$64)&lt;=$B$9,0,(($B$19+5*$B$64)-$B$9)/$B$8)),IF(($B$19+5*$B$64)&lt;$B$118,$B$122,$B$120)))),NA())</f>
        <v>#N/A</v>
      </c>
      <c r="GH89" t="e">
        <f>IF(AND($B$20=1,($B$19+5*$B$64)&lt;$B$10-0.3),$B$152+$B$150*(($B$19+5*$B$64)),NA())</f>
        <v>#N/A</v>
      </c>
      <c r="GI89" t="e">
        <f>IF(AND($B$21=1,(6*$B$66)&lt;IF($B$63=1,$B$10-0.2,$B$62)),$B$151+$B$150*(MAX(IF((6*$B$66)&lt;=$B$9,0,((6*$B$66)-$B$9)/$B$8),MIN(($B$5-IF((6*$B$66)&lt;=$B$9,0,((6*$B$66)-$B$9)/$B$8)),IF((6*$B$66)&lt;$B$118,$B$122,$B$120)))),NA())</f>
        <v>#N/A</v>
      </c>
      <c r="GJ89" t="e">
        <f>IF(AND($B$21=1,(6*$B$66)&lt;IF($B$63=1,$B$10-0.2,$B$62)),$B$152+$B$150*((6*$B$66)),NA())</f>
        <v>#N/A</v>
      </c>
      <c r="HI89" t="e">
        <f>IF(14&lt;=$B$16-1,$B$157+$B$156*(-$B$46),NA())</f>
        <v>#N/A</v>
      </c>
      <c r="HJ89" t="e">
        <f>IF(14&lt;=$B$16-1,$B$158+$B$156*(14*($B$5/2)/MAX(1,$B$16-1)),NA())</f>
        <v>#N/A</v>
      </c>
      <c r="HK89" t="e">
        <f>IF(28&lt;=$B$12,$B$157+$B$156*($B$13*28),NA())</f>
        <v>#N/A</v>
      </c>
      <c r="HL89" t="e">
        <f>IF(28&lt;=$B$12,$B$158+$B$156*(0),NA())</f>
        <v>#N/A</v>
      </c>
      <c r="HM89" t="e">
        <f>IF(AND(15&lt;=$B$12,1&lt;=$B$25),$B$157+$B$156*((15-1)*$B$13+1*$B$13/($B$25+1)),NA())</f>
        <v>#N/A</v>
      </c>
      <c r="HN89" t="e">
        <f>IF(AND(15&lt;=$B$12,1&lt;=$B$25),$B$158+$B$156*(0),NA())</f>
        <v>#N/A</v>
      </c>
      <c r="HQ89" t="e">
        <f>IF(AND(2&lt;=$B$23,3&lt;=$B$24),$B$157+$B$156*((IF(2=1,1,IF(2=$B$23,$B$12,5*(2-1)))-1)*$B$13),NA())</f>
        <v>#N/A</v>
      </c>
      <c r="HR89" t="e">
        <f>IF(AND(2&lt;=$B$23,3&lt;=$B$24),$B$158+$B$156*((0*$B$5/2+(3-1)*($B$5/2)/$B$24)),NA())</f>
        <v>#N/A</v>
      </c>
      <c r="HS89">
        <f>IF(AND(4&lt;=$B$12,$B$51&gt;0),$B$157+$B$156*(((4-0.5)*$B$13)-($B$51*$B$13)/2),NA())</f>
        <v>97.5052857142857</v>
      </c>
      <c r="HT89">
        <f>IF(AND(4&lt;=$B$12,$B$51&gt;0),$B$158+$B$156*((1*$B$5/2+0.6*$B$159)),NA())</f>
        <v>52.6</v>
      </c>
      <c r="HU89" t="e">
        <f>IF(8&lt;=$B$47,$B$157+$B$156*(((MAX(1,MIN($B$12,ROUND(8*$B$12/($B$47+1),0)))-1)*$B$13+0.25*$B$13)-$B$48/2),NA())</f>
        <v>#N/A</v>
      </c>
      <c r="HV89" t="e">
        <f>IF(8&lt;=$B$47,$B$158+$B$156*(IF(MOD(8,2)=1,$B$5/4,3*$B$5/4)-$B$49/2),NA())</f>
        <v>#N/A</v>
      </c>
      <c r="IW89" t="e">
        <f>IF(AND(0.2+32*$B$43&lt;$B$170,ABS(0.2+32*$B$43-$B$169)&gt;$B$29/2+0.03),$B$174+$B$173*(0.2+32*$B$43),NA())</f>
        <v>#N/A</v>
      </c>
      <c r="IX89" t="e">
        <f>IF(AND(0.2+32*$B$43&lt;$B$170,ABS(0.2+32*$B$43-$B$169)&gt;$B$29/2+0.03),$B$175+$B$173*($B$165+$B$42+0.015),NA())</f>
        <v>#N/A</v>
      </c>
      <c r="KI89" t="e">
        <f>IF(AND($B$21=1,8*$B$67&gt;$B$59,8*$B$67&lt;$B$178-$B$59,OR($B$63=0,ABS(8*$B$67-$B$178/2)&gt;$B$59/2)),$B$182+$B$181*(0),NA())</f>
        <v>#N/A</v>
      </c>
      <c r="KJ89" t="e">
        <f>IF(AND($B$21=1,8*$B$67&gt;$B$59,8*$B$67&lt;$B$178-$B$59,OR($B$63=0,ABS(8*$B$67-$B$178/2)&gt;$B$59/2)),$B$183+$B$181*(8*$B$67),NA())</f>
        <v>#N/A</v>
      </c>
    </row>
    <row r="90">
      <c r="A90" t="inlineStr">
        <is>
          <t>LP_xl3</t>
        </is>
      </c>
      <c r="B90">
        <f>IF($B$85=1,$B$89-$B$86/2,$B$6)</f>
        <v>40</v>
      </c>
      <c r="G90" t="e">
        <f>IF(28&lt;=$B$12,$B$133+$B$132*($B$13*28),NA())</f>
        <v>#N/A</v>
      </c>
      <c r="H90" t="e">
        <f>IF(28&lt;=$B$12,$B$134+$B$132*($B$5+4*$B$135),NA())</f>
        <v>#N/A</v>
      </c>
      <c r="K90" t="e">
        <f>IF(AND(4&lt;=$B$12,$B$45=1),$B$133+$B$132*($B$13*4+$B$27/2),NA())</f>
        <v>#N/A</v>
      </c>
      <c r="L90" t="e">
        <f>IF(AND(4&lt;=$B$12,$B$45=1),$B$134+$B$132*($B$5/2-$B$27/2),NA())</f>
        <v>#N/A</v>
      </c>
      <c r="M90" t="e">
        <f>IF(28&lt;=$B$12,$B$133+$B$132*($B$13*28),NA())</f>
        <v>#N/A</v>
      </c>
      <c r="N90" t="e">
        <f>IF(28&lt;=$B$12,$B$134+$B$132*($B$5),NA())</f>
        <v>#N/A</v>
      </c>
      <c r="EA90" t="e">
        <f>IF(AND($B$18=1,29&lt;=$B$26-1),$B$139+$B$138*(29*($B$5/MAX(1,$B$26))),NA())</f>
        <v>#N/A</v>
      </c>
      <c r="EB90" t="e">
        <f>IF(AND($B$18=1,29&lt;=$B$26-1),$B$140+$B$138*(($B$9+$B$8*MIN(29*($B$5/MAX(1,$B$26)),$B$5-(29*($B$5/MAX(1,$B$26)))))),NA())</f>
        <v>#N/A</v>
      </c>
      <c r="FA90" t="e">
        <f>IF(28&lt;=$B$12,$B$145+$B$144*($B$13*28),NA())</f>
        <v>#N/A</v>
      </c>
      <c r="FB90" t="e">
        <f>IF(28&lt;=$B$12,$B$146+$B$144*($B$9),NA())</f>
        <v>#N/A</v>
      </c>
      <c r="FC90" t="e">
        <f>IF(5&lt;$B$22,$B$145+$B$144*(IF(($B$19+5*$B$64)&lt;$B$94,$B$97,$B$96)),NA())</f>
        <v>#N/A</v>
      </c>
      <c r="FD90" t="e">
        <f>IF(5&lt;$B$22,$B$146+$B$144*(($B$19+5*$B$64)),NA())</f>
        <v>#N/A</v>
      </c>
      <c r="FE90" t="e">
        <f>IF(AND($B$21=1,(6*$B$66)&lt;$B$62),$B$145+$B$144*(IF((6*$B$66)&lt;$B$94,$B$97,$B$96)),NA())</f>
        <v>#N/A</v>
      </c>
      <c r="FF90" t="e">
        <f>IF(AND($B$21=1,(6*$B$66)&lt;$B$62),$B$146+$B$144*((6*$B$66)),NA())</f>
        <v>#N/A</v>
      </c>
      <c r="GG90" t="e">
        <f>IF(AND($B$20=1,($B$19+5*$B$64)&lt;$B$10-0.3),$B$151+$B$150*(MAX(IF(($B$19+5*$B$64)&lt;=$B$9,0,(($B$19+5*$B$64)-$B$9)/$B$8),MIN(($B$5-IF(($B$19+5*$B$64)&lt;=$B$9,0,(($B$19+5*$B$64)-$B$9)/$B$8)),IF(($B$19+5*$B$64)&lt;$B$125,$B$128,$B$127)))),NA())</f>
        <v>#N/A</v>
      </c>
      <c r="GH90" t="e">
        <f>IF(AND($B$20=1,($B$19+5*$B$64)&lt;$B$10-0.3),$B$152+$B$150*(($B$19+5*$B$64)),NA())</f>
        <v>#N/A</v>
      </c>
      <c r="GI90" t="e">
        <f>IF(AND($B$21=1,(6*$B$66)&lt;IF($B$63=1,$B$10-0.2,$B$62)),$B$151+$B$150*(MAX(IF((6*$B$66)&lt;=$B$9,0,((6*$B$66)-$B$9)/$B$8),MIN(($B$5-IF((6*$B$66)&lt;=$B$9,0,((6*$B$66)-$B$9)/$B$8)),IF((6*$B$66)&lt;$B$125,$B$128,$B$127)))),NA())</f>
        <v>#N/A</v>
      </c>
      <c r="GJ90" t="e">
        <f>IF(AND($B$21=1,(6*$B$66)&lt;IF($B$63=1,$B$10-0.2,$B$62)),$B$152+$B$150*((6*$B$66)),NA())</f>
        <v>#N/A</v>
      </c>
      <c r="HI90" t="e">
        <f>IF(14&lt;=$B$16-1,$B$157+$B$156*($B$6+$B$46),NA())</f>
        <v>#N/A</v>
      </c>
      <c r="HJ90" t="e">
        <f>IF(14&lt;=$B$16-1,$B$158+$B$156*(14*($B$5/2)/MAX(1,$B$16-1)),NA())</f>
        <v>#N/A</v>
      </c>
      <c r="HK90" t="e">
        <f>IF(28&lt;=$B$12,$B$157+$B$156*($B$13*28),NA())</f>
        <v>#N/A</v>
      </c>
      <c r="HL90" t="e">
        <f>IF(28&lt;=$B$12,$B$158+$B$156*($B$5),NA())</f>
        <v>#N/A</v>
      </c>
      <c r="HM90" t="e">
        <f>IF(AND(15&lt;=$B$12,1&lt;=$B$25),$B$157+$B$156*((15-1)*$B$13+1*$B$13/($B$25+1)),NA())</f>
        <v>#N/A</v>
      </c>
      <c r="HN90" t="e">
        <f>IF(AND(15&lt;=$B$12,1&lt;=$B$25),$B$158+$B$156*($B$5),NA())</f>
        <v>#N/A</v>
      </c>
      <c r="HQ90" t="e">
        <f>IF(AND(2&lt;=$B$23,3&lt;=$B$24),$B$157+$B$156*(IF(2=1,1,IF(2=$B$23,$B$12,5*(2-1)))*$B$13),NA())</f>
        <v>#N/A</v>
      </c>
      <c r="HR90" t="e">
        <f>IF(AND(2&lt;=$B$23,3&lt;=$B$24),$B$158+$B$156*((0*$B$5/2+3*($B$5/2)/$B$24)),NA())</f>
        <v>#N/A</v>
      </c>
      <c r="HS90">
        <f>IF(AND(4&lt;=$B$12,$B$51&gt;0),$B$157+$B$156*(((4-0.5)*$B$13)+($B$51*$B$13)/2),NA())</f>
        <v>99.6767142857143</v>
      </c>
      <c r="HT90">
        <f>IF(AND(4&lt;=$B$12,$B$51&gt;0),$B$158+$B$156*((1*$B$5/2+0.6*$B$159)),NA())</f>
        <v>52.6</v>
      </c>
      <c r="HU90" t="e">
        <f>IF(8&lt;=$B$47,$B$157+$B$156*(((MAX(1,MIN($B$12,ROUND(8*$B$12/($B$47+1),0)))-1)*$B$13+0.25*$B$13)+$B$48/2),NA())</f>
        <v>#N/A</v>
      </c>
      <c r="HV90" t="e">
        <f>IF(8&lt;=$B$47,$B$158+$B$156*(IF(MOD(8,2)=1,$B$5/4,3*$B$5/4)-$B$49/2),NA())</f>
        <v>#N/A</v>
      </c>
      <c r="IW90" t="e">
        <f>IF(AND(0.2+32*$B$43&lt;$B$170,ABS(0.2+32*$B$43-$B$169)&gt;$B$29/2+0.03,$B$44=1),$B$174+$B$173*(0.2+32*$B$43),NA())</f>
        <v>#N/A</v>
      </c>
      <c r="IX90" t="e">
        <f>IF(AND(0.2+32*$B$43&lt;$B$170,ABS(0.2+32*$B$43-$B$169)&gt;$B$29/2+0.03,$B$44=1),$B$175+$B$173*($B$166-$B$42-0.015),NA())</f>
        <v>#N/A</v>
      </c>
      <c r="KI90" t="e">
        <f>IF(AND($B$21=1,8*$B$67&gt;$B$59,8*$B$67&lt;$B$178-$B$59,OR($B$63=0,ABS(8*$B$67-$B$178/2)&gt;$B$59/2)),$B$182+$B$181*($B$177*1/4-$B$60/2),NA())</f>
        <v>#N/A</v>
      </c>
      <c r="KJ90" t="e">
        <f>IF(AND($B$21=1,8*$B$67&gt;$B$59,8*$B$67&lt;$B$178-$B$59,OR($B$63=0,ABS(8*$B$67-$B$178/2)&gt;$B$59/2)),$B$183+$B$181*(8*$B$67),NA())</f>
        <v>#N/A</v>
      </c>
    </row>
    <row r="91">
      <c r="A91" t="inlineStr">
        <is>
          <t>LP_xr3</t>
        </is>
      </c>
      <c r="B91">
        <f>IF($B$85=1,$B$89+$B$86/2,$B$6)</f>
        <v>40</v>
      </c>
      <c r="G91" t="e">
        <f>NA()</f>
        <v>#N/A</v>
      </c>
      <c r="H91" t="e">
        <f>NA()</f>
        <v>#N/A</v>
      </c>
      <c r="K91" t="e">
        <f>IF(AND(4&lt;=$B$12,$B$45=1),$B$133+$B$132*($B$13*4+$B$27/2),NA())</f>
        <v>#N/A</v>
      </c>
      <c r="L91" t="e">
        <f>IF(AND(4&lt;=$B$12,$B$45=1),$B$134+$B$132*($B$5/2+$B$27/2),NA())</f>
        <v>#N/A</v>
      </c>
      <c r="M91" t="e">
        <f>IF(AND(28&lt;=$B$12,$B$45=1),$B$133+$B$132*($B$13*28),NA())</f>
        <v>#N/A</v>
      </c>
      <c r="N91" t="e">
        <f>IF(AND(28&lt;=$B$12,$B$45=1),$B$134+$B$132*($B$5/2),NA())</f>
        <v>#N/A</v>
      </c>
      <c r="EA91" t="e">
        <f>NA()</f>
        <v>#N/A</v>
      </c>
      <c r="EB91" t="e">
        <f>NA()</f>
        <v>#N/A</v>
      </c>
      <c r="FA91" t="e">
        <f>NA()</f>
        <v>#N/A</v>
      </c>
      <c r="FB91" t="e">
        <f>NA()</f>
        <v>#N/A</v>
      </c>
      <c r="FC91" t="e">
        <f>IF(AND(5&lt;$B$22,($B$19+5*$B$64)&gt;=$B$94),$B$145+$B$144*($B$96),NA())</f>
        <v>#N/A</v>
      </c>
      <c r="FD91" t="e">
        <f>IF(AND(5&lt;$B$22,($B$19+5*$B$64)&gt;=$B$94),$B$146+$B$144*(($B$19+5*$B$64)),NA())</f>
        <v>#N/A</v>
      </c>
      <c r="FE91" t="e">
        <f>IF(AND(AND($B$21=1,(6*$B$66)&lt;$B$62),(6*$B$66)&gt;=$B$94),$B$145+$B$144*($B$96),NA())</f>
        <v>#N/A</v>
      </c>
      <c r="FF91" t="e">
        <f>IF(AND(AND($B$21=1,(6*$B$66)&lt;$B$62),(6*$B$66)&gt;=$B$94),$B$146+$B$144*((6*$B$66)),NA())</f>
        <v>#N/A</v>
      </c>
      <c r="GG91" t="e">
        <f>IF(AND(AND($B$20=1,($B$19+5*$B$64)&lt;$B$10-0.3),($B$19+5*$B$64)&gt;=$B$125),$B$151+$B$150*(MAX(IF(($B$19+5*$B$64)&lt;=$B$9,0,(($B$19+5*$B$64)-$B$9)/$B$8),MIN(($B$5-IF(($B$19+5*$B$64)&lt;=$B$9,0,(($B$19+5*$B$64)-$B$9)/$B$8)),$B$127))),NA())</f>
        <v>#N/A</v>
      </c>
      <c r="GH91" t="e">
        <f>IF(AND(AND($B$20=1,($B$19+5*$B$64)&lt;$B$10-0.3),($B$19+5*$B$64)&gt;=$B$125),$B$152+$B$150*(($B$19+5*$B$64)),NA())</f>
        <v>#N/A</v>
      </c>
      <c r="GI91" t="e">
        <f>IF(AND(AND($B$21=1,(6*$B$66)&lt;IF($B$63=1,$B$10-0.2,$B$62)),(6*$B$66)&gt;=$B$125),$B$151+$B$150*(MAX(IF((6*$B$66)&lt;=$B$9,0,((6*$B$66)-$B$9)/$B$8),MIN(($B$5-IF((6*$B$66)&lt;=$B$9,0,((6*$B$66)-$B$9)/$B$8)),$B$127))),NA())</f>
        <v>#N/A</v>
      </c>
      <c r="GJ91" t="e">
        <f>IF(AND(AND($B$21=1,(6*$B$66)&lt;IF($B$63=1,$B$10-0.2,$B$62)),(6*$B$66)&gt;=$B$125),$B$152+$B$150*((6*$B$66)),NA())</f>
        <v>#N/A</v>
      </c>
      <c r="HI91" t="e">
        <f>NA()</f>
        <v>#N/A</v>
      </c>
      <c r="HJ91" t="e">
        <f>NA()</f>
        <v>#N/A</v>
      </c>
      <c r="HK91" t="e">
        <f>NA()</f>
        <v>#N/A</v>
      </c>
      <c r="HL91" t="e">
        <f>NA()</f>
        <v>#N/A</v>
      </c>
      <c r="HM91" t="e">
        <f>NA()</f>
        <v>#N/A</v>
      </c>
      <c r="HN91" t="e">
        <f>NA()</f>
        <v>#N/A</v>
      </c>
      <c r="HQ91" t="e">
        <f>NA()</f>
        <v>#N/A</v>
      </c>
      <c r="HR91" t="e">
        <f>NA()</f>
        <v>#N/A</v>
      </c>
      <c r="HS91">
        <f>IF(AND(4&lt;=$B$12,$B$51&gt;0),$B$157+$B$156*(((4-0.5)*$B$13)+($B$51*$B$13)/2),NA())</f>
        <v>99.6767142857143</v>
      </c>
      <c r="HT91">
        <f>IF(AND(4&lt;=$B$12,$B$51&gt;0),$B$158+$B$156*((1*$B$5/2+$B$5/2-0.6*$B$159)),NA())</f>
        <v>89.4</v>
      </c>
      <c r="HU91" t="e">
        <f>IF(8&lt;=$B$47,$B$157+$B$156*(((MAX(1,MIN($B$12,ROUND(8*$B$12/($B$47+1),0)))-1)*$B$13+0.25*$B$13)+$B$48/2),NA())</f>
        <v>#N/A</v>
      </c>
      <c r="HV91" t="e">
        <f>IF(8&lt;=$B$47,$B$158+$B$156*(IF(MOD(8,2)=1,$B$5/4,3*$B$5/4)+$B$49/2),NA())</f>
        <v>#N/A</v>
      </c>
      <c r="IW91" t="e">
        <f>IF(AND(0.2+33*$B$43&lt;$B$170,ABS(0.2+33*$B$43-$B$169)&gt;$B$29/2+0.03),$B$174+$B$173*(0.2+33*$B$43),NA())</f>
        <v>#N/A</v>
      </c>
      <c r="IX91" t="e">
        <f>IF(AND(0.2+33*$B$43&lt;$B$170,ABS(0.2+33*$B$43-$B$169)&gt;$B$29/2+0.03),$B$175+$B$173*($B$165+$B$42+0.015),NA())</f>
        <v>#N/A</v>
      </c>
      <c r="KI91" t="e">
        <f>NA()</f>
        <v>#N/A</v>
      </c>
      <c r="KJ91" t="e">
        <f>NA()</f>
        <v>#N/A</v>
      </c>
    </row>
    <row r="92">
      <c r="A92" t="inlineStr">
        <is>
          <t>LP_ex4</t>
        </is>
      </c>
      <c r="B92">
        <f>IF(4&lt;=$B$70,1,0)</f>
        <v>0</v>
      </c>
      <c r="G92" t="e">
        <f>IF(29&lt;=$B$12,$B$133+$B$132*($B$13*29),NA())</f>
        <v>#N/A</v>
      </c>
      <c r="H92" t="e">
        <f>IF(29&lt;=$B$12,$B$134+$B$132*(-4*$B$135),NA())</f>
        <v>#N/A</v>
      </c>
      <c r="K92" t="e">
        <f>IF(AND(4&lt;=$B$12,$B$45=1),$B$133+$B$132*($B$13*4-$B$27/2),NA())</f>
        <v>#N/A</v>
      </c>
      <c r="L92" t="e">
        <f>IF(AND(4&lt;=$B$12,$B$45=1),$B$134+$B$132*($B$5/2+$B$27/2),NA())</f>
        <v>#N/A</v>
      </c>
      <c r="M92" t="e">
        <f>IF(29&lt;=$B$12,$B$133+$B$132*($B$13*29),NA())</f>
        <v>#N/A</v>
      </c>
      <c r="N92" t="e">
        <f>IF(29&lt;=$B$12,$B$134+$B$132*(0),NA())</f>
        <v>#N/A</v>
      </c>
      <c r="EA92" t="e">
        <f>IF(AND($B$18=1,1&lt;=$B$26),$B$139+$B$138*(0*($B$5/MAX(1,$B$26))),NA())</f>
        <v>#N/A</v>
      </c>
      <c r="EB92" t="e">
        <f>IF(AND($B$18=1,1&lt;=$B$26),$B$140+$B$138*(IF(1&lt;=$B$26/2,($B$9+$B$8*MIN(0*($B$5/MAX(1,$B$26)),$B$5-(0*($B$5/MAX(1,$B$26))))),$B$7)),NA())</f>
        <v>#N/A</v>
      </c>
      <c r="FA92" t="e">
        <f>IF(29&lt;=$B$12,$B$145+$B$144*($B$13*29),NA())</f>
        <v>#N/A</v>
      </c>
      <c r="FB92" t="e">
        <f>IF(29&lt;=$B$12,$B$146+$B$144*(0),NA())</f>
        <v>#N/A</v>
      </c>
      <c r="FC92" t="e">
        <f>IF(5&lt;$B$22,$B$145+$B$144*(IF(($B$19+5*$B$64)&lt;$B$94,$B$98,$B$96)),NA())</f>
        <v>#N/A</v>
      </c>
      <c r="FD92" t="e">
        <f>IF(5&lt;$B$22,$B$146+$B$144*(($B$19+5*$B$64)),NA())</f>
        <v>#N/A</v>
      </c>
      <c r="FE92" t="e">
        <f>IF(AND($B$21=1,(6*$B$66)&lt;$B$62),$B$145+$B$144*(IF((6*$B$66)&lt;$B$94,$B$98,$B$96)),NA())</f>
        <v>#N/A</v>
      </c>
      <c r="FF92" t="e">
        <f>IF(AND($B$21=1,(6*$B$66)&lt;$B$62),$B$146+$B$144*((6*$B$66)),NA())</f>
        <v>#N/A</v>
      </c>
      <c r="GG92" t="e">
        <f>IF(AND($B$20=1,($B$19+5*$B$64)&lt;$B$10-0.3),$B$151+$B$150*(MAX(IF(($B$19+5*$B$64)&lt;=$B$9,0,(($B$19+5*$B$64)-$B$9)/$B$8),MIN(($B$5-IF(($B$19+5*$B$64)&lt;=$B$9,0,(($B$19+5*$B$64)-$B$9)/$B$8)),IF(($B$19+5*$B$64)&lt;$B$125,$B$129,$B$127)))),NA())</f>
        <v>#N/A</v>
      </c>
      <c r="GH92" t="e">
        <f>IF(AND($B$20=1,($B$19+5*$B$64)&lt;$B$10-0.3),$B$152+$B$150*(($B$19+5*$B$64)),NA())</f>
        <v>#N/A</v>
      </c>
      <c r="GI92" t="e">
        <f>IF(AND($B$21=1,(6*$B$66)&lt;IF($B$63=1,$B$10-0.2,$B$62)),$B$151+$B$150*(MAX(IF((6*$B$66)&lt;=$B$9,0,((6*$B$66)-$B$9)/$B$8),MIN(($B$5-IF((6*$B$66)&lt;=$B$9,0,((6*$B$66)-$B$9)/$B$8)),IF((6*$B$66)&lt;$B$125,$B$129,$B$127)))),NA())</f>
        <v>#N/A</v>
      </c>
      <c r="GJ92" t="e">
        <f>IF(AND($B$21=1,(6*$B$66)&lt;IF($B$63=1,$B$10-0.2,$B$62)),$B$152+$B$150*((6*$B$66)),NA())</f>
        <v>#N/A</v>
      </c>
      <c r="HI92" t="e">
        <f>IF(14&lt;=$B$16-1,$B$157+$B$156*(-$B$46),NA())</f>
        <v>#N/A</v>
      </c>
      <c r="HJ92" t="e">
        <f>IF(14&lt;=$B$16-1,$B$158+$B$156*($B$5-14*($B$5/2)/MAX(1,$B$16-1)),NA())</f>
        <v>#N/A</v>
      </c>
      <c r="HK92" t="e">
        <f>IF(29&lt;=$B$12,$B$157+$B$156*($B$13*29),NA())</f>
        <v>#N/A</v>
      </c>
      <c r="HL92" t="e">
        <f>IF(29&lt;=$B$12,$B$158+$B$156*(0),NA())</f>
        <v>#N/A</v>
      </c>
      <c r="HM92" t="e">
        <f>IF(AND(15&lt;=$B$12,2&lt;=$B$25),$B$157+$B$156*((15-1)*$B$13+2*$B$13/($B$25+1)),NA())</f>
        <v>#N/A</v>
      </c>
      <c r="HN92" t="e">
        <f>IF(AND(15&lt;=$B$12,2&lt;=$B$25),$B$158+$B$156*(0),NA())</f>
        <v>#N/A</v>
      </c>
      <c r="HQ92" t="e">
        <f>IF(AND(2&lt;=$B$23,3&lt;=$B$24),$B$157+$B$156*((IF(2=1,1,IF(2=$B$23,$B$12,5*(2-1)))-1)*$B$13),NA())</f>
        <v>#N/A</v>
      </c>
      <c r="HR92" t="e">
        <f>IF(AND(2&lt;=$B$23,3&lt;=$B$24),$B$158+$B$156*((0*$B$5/2+3*($B$5/2)/$B$24)),NA())</f>
        <v>#N/A</v>
      </c>
      <c r="HS92">
        <f>IF(AND(4&lt;=$B$12,$B$51&gt;0),$B$157+$B$156*(((4-0.5)*$B$13)-($B$51*$B$13)/2),NA())</f>
        <v>97.5052857142857</v>
      </c>
      <c r="HT92">
        <f>IF(AND(4&lt;=$B$12,$B$51&gt;0),$B$158+$B$156*((1*$B$5/2+$B$5/2-0.6*$B$159)),NA())</f>
        <v>89.4</v>
      </c>
      <c r="HU92" t="e">
        <f>IF(8&lt;=$B$47,$B$157+$B$156*(((MAX(1,MIN($B$12,ROUND(8*$B$12/($B$47+1),0)))-1)*$B$13+0.25*$B$13)-$B$48/2),NA())</f>
        <v>#N/A</v>
      </c>
      <c r="HV92" t="e">
        <f>IF(8&lt;=$B$47,$B$158+$B$156*(IF(MOD(8,2)=1,$B$5/4,3*$B$5/4)+$B$49/2),NA())</f>
        <v>#N/A</v>
      </c>
      <c r="IW92" t="e">
        <f>IF(AND(0.2+33*$B$43&lt;$B$170,ABS(0.2+33*$B$43-$B$169)&gt;$B$29/2+0.03,$B$44=1),$B$174+$B$173*(0.2+33*$B$43),NA())</f>
        <v>#N/A</v>
      </c>
      <c r="IX92" t="e">
        <f>IF(AND(0.2+33*$B$43&lt;$B$170,ABS(0.2+33*$B$43-$B$169)&gt;$B$29/2+0.03,$B$44=1),$B$175+$B$173*($B$166-$B$42-0.015),NA())</f>
        <v>#N/A</v>
      </c>
      <c r="KI92" t="e">
        <f>IF(AND($B$21=1,8*$B$67&gt;$B$59,8*$B$67&lt;$B$178-$B$59,OR($B$63=0,ABS(8*$B$67-$B$178/2)&gt;$B$59/2)),$B$182+$B$181*($B$177*1/4+$B$60/2),NA())</f>
        <v>#N/A</v>
      </c>
      <c r="KJ92" t="e">
        <f>IF(AND($B$21=1,8*$B$67&gt;$B$59,8*$B$67&lt;$B$178-$B$59,OR($B$63=0,ABS(8*$B$67-$B$178/2)&gt;$B$59/2)),$B$183+$B$181*(8*$B$67),NA())</f>
        <v>#N/A</v>
      </c>
    </row>
    <row r="93">
      <c r="A93" t="inlineStr">
        <is>
          <t>LP_w4</t>
        </is>
      </c>
      <c r="B93">
        <f>IF(4&lt;=$B$68,'PARAMÈTRES'!$C$29,'PARAMÈTRES'!$C$33)</f>
        <v>5.5</v>
      </c>
      <c r="G93" t="e">
        <f>IF(29&lt;=$B$12,$B$133+$B$132*($B$13*29),NA())</f>
        <v>#N/A</v>
      </c>
      <c r="H93" t="e">
        <f>IF(29&lt;=$B$12,$B$134+$B$132*($B$5+4*$B$135),NA())</f>
        <v>#N/A</v>
      </c>
      <c r="K93" t="e">
        <f>IF(AND(4&lt;=$B$12,$B$45=1),$B$133+$B$132*($B$13*4-$B$27/2),NA())</f>
        <v>#N/A</v>
      </c>
      <c r="L93" t="e">
        <f>IF(AND(4&lt;=$B$12,$B$45=1),$B$134+$B$132*($B$5/2-$B$27/2),NA())</f>
        <v>#N/A</v>
      </c>
      <c r="M93" t="e">
        <f>IF(29&lt;=$B$12,$B$133+$B$132*($B$13*29),NA())</f>
        <v>#N/A</v>
      </c>
      <c r="N93" t="e">
        <f>IF(29&lt;=$B$12,$B$134+$B$132*($B$5),NA())</f>
        <v>#N/A</v>
      </c>
      <c r="EA93" t="e">
        <f>IF(AND($B$18=1,1&lt;=$B$26),$B$139+$B$138*(1*($B$5/MAX(1,$B$26))),NA())</f>
        <v>#N/A</v>
      </c>
      <c r="EB93" t="e">
        <f>IF(AND($B$18=1,1&lt;=$B$26),$B$140+$B$138*(IF(1&lt;=$B$26/2,$B$7,($B$9+$B$8*MIN(1*($B$5/MAX(1,$B$26)),$B$5-(1*($B$5/MAX(1,$B$26))))))),NA())</f>
        <v>#N/A</v>
      </c>
      <c r="FA93" t="e">
        <f>IF(29&lt;=$B$12,$B$145+$B$144*($B$13*29),NA())</f>
        <v>#N/A</v>
      </c>
      <c r="FB93" t="e">
        <f>IF(29&lt;=$B$12,$B$146+$B$144*($B$9),NA())</f>
        <v>#N/A</v>
      </c>
      <c r="FC93" t="e">
        <f>IF(5&lt;$B$22,$B$145+$B$144*($B$6),NA())</f>
        <v>#N/A</v>
      </c>
      <c r="FD93" t="e">
        <f>IF(5&lt;$B$22,$B$146+$B$144*(($B$19+5*$B$64)),NA())</f>
        <v>#N/A</v>
      </c>
      <c r="FE93" t="e">
        <f>IF(AND($B$21=1,(6*$B$66)&lt;$B$62),$B$145+$B$144*($B$6),NA())</f>
        <v>#N/A</v>
      </c>
      <c r="FF93" t="e">
        <f>IF(AND($B$21=1,(6*$B$66)&lt;$B$62),$B$146+$B$144*((6*$B$66)),NA())</f>
        <v>#N/A</v>
      </c>
      <c r="GG93" t="e">
        <f>IF(AND($B$20=1,($B$19+5*$B$64)&lt;$B$10-0.3),$B$151+$B$150*(($B$5-IF(($B$19+5*$B$64)&lt;=$B$9,0,(($B$19+5*$B$64)-$B$9)/$B$8))),NA())</f>
        <v>#N/A</v>
      </c>
      <c r="GH93" t="e">
        <f>IF(AND($B$20=1,($B$19+5*$B$64)&lt;$B$10-0.3),$B$152+$B$150*(($B$19+5*$B$64)),NA())</f>
        <v>#N/A</v>
      </c>
      <c r="GI93" t="e">
        <f>IF(AND($B$21=1,(6*$B$66)&lt;IF($B$63=1,$B$10-0.2,$B$62)),$B$151+$B$150*(($B$5-IF((6*$B$66)&lt;=$B$9,0,((6*$B$66)-$B$9)/$B$8))),NA())</f>
        <v>#N/A</v>
      </c>
      <c r="GJ93" t="e">
        <f>IF(AND($B$21=1,(6*$B$66)&lt;IF($B$63=1,$B$10-0.2,$B$62)),$B$152+$B$150*((6*$B$66)),NA())</f>
        <v>#N/A</v>
      </c>
      <c r="HI93" t="e">
        <f>IF(14&lt;=$B$16-1,$B$157+$B$156*($B$6+$B$46),NA())</f>
        <v>#N/A</v>
      </c>
      <c r="HJ93" t="e">
        <f>IF(14&lt;=$B$16-1,$B$158+$B$156*($B$5-14*($B$5/2)/MAX(1,$B$16-1)),NA())</f>
        <v>#N/A</v>
      </c>
      <c r="HK93" t="e">
        <f>IF(29&lt;=$B$12,$B$157+$B$156*($B$13*29),NA())</f>
        <v>#N/A</v>
      </c>
      <c r="HL93" t="e">
        <f>IF(29&lt;=$B$12,$B$158+$B$156*($B$5),NA())</f>
        <v>#N/A</v>
      </c>
      <c r="HM93" t="e">
        <f>IF(AND(15&lt;=$B$12,2&lt;=$B$25),$B$157+$B$156*((15-1)*$B$13+2*$B$13/($B$25+1)),NA())</f>
        <v>#N/A</v>
      </c>
      <c r="HN93" t="e">
        <f>IF(AND(15&lt;=$B$12,2&lt;=$B$25),$B$158+$B$156*($B$5),NA())</f>
        <v>#N/A</v>
      </c>
      <c r="HQ93" t="e">
        <f>IF(AND(2&lt;=$B$23,3&lt;=$B$24),$B$157+$B$156*(IF(2=1,1,IF(2=$B$23,$B$12,5*(2-1)))*$B$13),NA())</f>
        <v>#N/A</v>
      </c>
      <c r="HR93" t="e">
        <f>IF(AND(2&lt;=$B$23,3&lt;=$B$24),$B$158+$B$156*((0*$B$5/2+(3-1)*($B$5/2)/$B$24)),NA())</f>
        <v>#N/A</v>
      </c>
      <c r="HS93">
        <f>IF(AND(4&lt;=$B$12,$B$51&gt;0),$B$157+$B$156*(((4-0.5)*$B$13)-($B$51*$B$13)/2),NA())</f>
        <v>97.5052857142857</v>
      </c>
      <c r="HT93">
        <f>IF(AND(4&lt;=$B$12,$B$51&gt;0),$B$158+$B$156*((1*$B$5/2+0.6*$B$159)),NA())</f>
        <v>52.6</v>
      </c>
      <c r="HU93" t="e">
        <f>IF(8&lt;=$B$47,$B$157+$B$156*(((MAX(1,MIN($B$12,ROUND(8*$B$12/($B$47+1),0)))-1)*$B$13+0.25*$B$13)-$B$48/2),NA())</f>
        <v>#N/A</v>
      </c>
      <c r="HV93" t="e">
        <f>IF(8&lt;=$B$47,$B$158+$B$156*(IF(MOD(8,2)=1,$B$5/4,3*$B$5/4)-$B$49/2),NA())</f>
        <v>#N/A</v>
      </c>
      <c r="IW93" t="e">
        <f>IF(AND(0.2+34*$B$43&lt;$B$170,ABS(0.2+34*$B$43-$B$169)&gt;$B$29/2+0.03),$B$174+$B$173*(0.2+34*$B$43),NA())</f>
        <v>#N/A</v>
      </c>
      <c r="IX93" t="e">
        <f>IF(AND(0.2+34*$B$43&lt;$B$170,ABS(0.2+34*$B$43-$B$169)&gt;$B$29/2+0.03),$B$175+$B$173*($B$165+$B$42+0.015),NA())</f>
        <v>#N/A</v>
      </c>
      <c r="KI93" t="e">
        <f>IF(AND($B$21=1,8*$B$67&gt;$B$59,8*$B$67&lt;$B$178-$B$59,OR($B$63=0,ABS(8*$B$67-$B$178/2)&gt;$B$59/2)),$B$182+$B$181*($B$177*2/4-$B$60/2),NA())</f>
        <v>#N/A</v>
      </c>
      <c r="KJ93" t="e">
        <f>IF(AND($B$21=1,8*$B$67&gt;$B$59,8*$B$67&lt;$B$178-$B$59,OR($B$63=0,ABS(8*$B$67-$B$178/2)&gt;$B$59/2)),$B$183+$B$181*(8*$B$67),NA())</f>
        <v>#N/A</v>
      </c>
    </row>
    <row r="94">
      <c r="A94" t="inlineStr">
        <is>
          <t>LP_h4</t>
        </is>
      </c>
      <c r="B94">
        <f>IF(4&lt;=$B$68,'PARAMÈTRES'!$C$30,'PARAMÈTRES'!$C$34)*$B$92</f>
        <v>0</v>
      </c>
      <c r="G94" t="e">
        <f>NA()</f>
        <v>#N/A</v>
      </c>
      <c r="H94" t="e">
        <f>NA()</f>
        <v>#N/A</v>
      </c>
      <c r="K94" t="e">
        <f>NA()</f>
        <v>#N/A</v>
      </c>
      <c r="L94" t="e">
        <f>NA()</f>
        <v>#N/A</v>
      </c>
      <c r="M94" t="e">
        <f>IF(AND(29&lt;=$B$12,$B$45=1),$B$133+$B$132*($B$13*29),NA())</f>
        <v>#N/A</v>
      </c>
      <c r="N94" t="e">
        <f>IF(AND(29&lt;=$B$12,$B$45=1),$B$134+$B$132*($B$5/2),NA())</f>
        <v>#N/A</v>
      </c>
      <c r="EA94" t="e">
        <f>NA()</f>
        <v>#N/A</v>
      </c>
      <c r="EB94" t="e">
        <f>NA()</f>
        <v>#N/A</v>
      </c>
      <c r="FA94" t="e">
        <f>NA()</f>
        <v>#N/A</v>
      </c>
      <c r="FB94" t="e">
        <f>NA()</f>
        <v>#N/A</v>
      </c>
      <c r="FC94" t="e">
        <f>NA()</f>
        <v>#N/A</v>
      </c>
      <c r="FD94" t="e">
        <f>NA()</f>
        <v>#N/A</v>
      </c>
      <c r="FE94" t="e">
        <f>NA()</f>
        <v>#N/A</v>
      </c>
      <c r="FF94" t="e">
        <f>NA()</f>
        <v>#N/A</v>
      </c>
      <c r="GG94" t="e">
        <f>NA()</f>
        <v>#N/A</v>
      </c>
      <c r="GH94" t="e">
        <f>NA()</f>
        <v>#N/A</v>
      </c>
      <c r="GI94" t="e">
        <f>NA()</f>
        <v>#N/A</v>
      </c>
      <c r="GJ94" t="e">
        <f>NA()</f>
        <v>#N/A</v>
      </c>
      <c r="HI94" t="e">
        <f>NA()</f>
        <v>#N/A</v>
      </c>
      <c r="HJ94" t="e">
        <f>NA()</f>
        <v>#N/A</v>
      </c>
      <c r="HK94" t="e">
        <f>NA()</f>
        <v>#N/A</v>
      </c>
      <c r="HL94" t="e">
        <f>NA()</f>
        <v>#N/A</v>
      </c>
      <c r="HM94" t="e">
        <f>NA()</f>
        <v>#N/A</v>
      </c>
      <c r="HN94" t="e">
        <f>NA()</f>
        <v>#N/A</v>
      </c>
      <c r="HQ94" t="e">
        <f>NA()</f>
        <v>#N/A</v>
      </c>
      <c r="HR94" t="e">
        <f>NA()</f>
        <v>#N/A</v>
      </c>
      <c r="HS94" t="e">
        <f>NA()</f>
        <v>#N/A</v>
      </c>
      <c r="HT94" t="e">
        <f>NA()</f>
        <v>#N/A</v>
      </c>
      <c r="HU94" t="e">
        <f>NA()</f>
        <v>#N/A</v>
      </c>
      <c r="HV94" t="e">
        <f>NA()</f>
        <v>#N/A</v>
      </c>
      <c r="IW94" t="e">
        <f>IF(AND(0.2+34*$B$43&lt;$B$170,ABS(0.2+34*$B$43-$B$169)&gt;$B$29/2+0.03,$B$44=1),$B$174+$B$173*(0.2+34*$B$43),NA())</f>
        <v>#N/A</v>
      </c>
      <c r="IX94" t="e">
        <f>IF(AND(0.2+34*$B$43&lt;$B$170,ABS(0.2+34*$B$43-$B$169)&gt;$B$29/2+0.03,$B$44=1),$B$175+$B$173*($B$166-$B$42-0.015),NA())</f>
        <v>#N/A</v>
      </c>
      <c r="KI94" t="e">
        <f>NA()</f>
        <v>#N/A</v>
      </c>
      <c r="KJ94" t="e">
        <f>NA()</f>
        <v>#N/A</v>
      </c>
    </row>
    <row r="95">
      <c r="A95" t="inlineStr">
        <is>
          <t>LP_pos4</t>
        </is>
      </c>
      <c r="B95">
        <f>MAX(IF($B$12&gt;=3,2,1),MIN(IF($B$12&gt;=3,$B$12-1,$B$12),ROUND(4*$B$12/($B$70+1),0)))</f>
        <v>6</v>
      </c>
      <c r="G95" t="e">
        <f>IF(30&lt;=$B$12,$B$133+$B$132*($B$13*30),NA())</f>
        <v>#N/A</v>
      </c>
      <c r="H95" t="e">
        <f>IF(30&lt;=$B$12,$B$134+$B$132*(-4*$B$135),NA())</f>
        <v>#N/A</v>
      </c>
      <c r="K95">
        <f>IF(5&lt;=$B$12,$B$133+$B$132*($B$13*5-$B$27/2),NA())</f>
        <v>126.693857142857</v>
      </c>
      <c r="L95">
        <f>IF(5&lt;=$B$12,$B$134+$B$132*(0-$B$27/2),NA())</f>
        <v>13.96</v>
      </c>
      <c r="M95" t="e">
        <f>IF(30&lt;=$B$12,$B$133+$B$132*($B$13*30),NA())</f>
        <v>#N/A</v>
      </c>
      <c r="N95" t="e">
        <f>IF(30&lt;=$B$12,$B$134+$B$132*(0),NA())</f>
        <v>#N/A</v>
      </c>
      <c r="EA95" t="e">
        <f>IF(AND($B$18=1,2&lt;=$B$26),$B$139+$B$138*(1*($B$5/MAX(1,$B$26))),NA())</f>
        <v>#N/A</v>
      </c>
      <c r="EB95" t="e">
        <f>IF(AND($B$18=1,2&lt;=$B$26),$B$140+$B$138*(IF(2&lt;=$B$26/2,($B$9+$B$8*MIN(1*($B$5/MAX(1,$B$26)),$B$5-(1*($B$5/MAX(1,$B$26))))),$B$7)),NA())</f>
        <v>#N/A</v>
      </c>
      <c r="FA95" t="e">
        <f>IF(30&lt;=$B$12,$B$145+$B$144*($B$13*30),NA())</f>
        <v>#N/A</v>
      </c>
      <c r="FB95" t="e">
        <f>IF(30&lt;=$B$12,$B$146+$B$144*(0),NA())</f>
        <v>#N/A</v>
      </c>
      <c r="FC95" t="e">
        <f>IF(6&lt;$B$22,$B$145+$B$144*(0),NA())</f>
        <v>#N/A</v>
      </c>
      <c r="FD95" t="e">
        <f>IF(6&lt;$B$22,$B$146+$B$144*(($B$19+6*$B$64)),NA())</f>
        <v>#N/A</v>
      </c>
      <c r="FE95" t="e">
        <f>IF(AND($B$21=1,(7*$B$66)&lt;$B$62),$B$145+$B$144*(0),NA())</f>
        <v>#N/A</v>
      </c>
      <c r="FF95" t="e">
        <f>IF(AND($B$21=1,(7*$B$66)&lt;$B$62),$B$146+$B$144*((7*$B$66)),NA())</f>
        <v>#N/A</v>
      </c>
      <c r="GG95" t="e">
        <f>IF(AND($B$20=1,($B$19+6*$B$64)&lt;$B$10-0.3),$B$151+$B$150*(IF(($B$19+6*$B$64)&lt;=$B$9,0,(($B$19+6*$B$64)-$B$9)/$B$8)),NA())</f>
        <v>#N/A</v>
      </c>
      <c r="GH95" t="e">
        <f>IF(AND($B$20=1,($B$19+6*$B$64)&lt;$B$10-0.3),$B$152+$B$150*(($B$19+6*$B$64)),NA())</f>
        <v>#N/A</v>
      </c>
      <c r="GI95" t="e">
        <f>IF(AND($B$21=1,(7*$B$66)&lt;IF($B$63=1,$B$10-0.2,$B$62)),$B$151+$B$150*(IF((7*$B$66)&lt;=$B$9,0,((7*$B$66)-$B$9)/$B$8)),NA())</f>
        <v>#N/A</v>
      </c>
      <c r="GJ95" t="e">
        <f>IF(AND($B$21=1,(7*$B$66)&lt;IF($B$63=1,$B$10-0.2,$B$62)),$B$152+$B$150*((7*$B$66)),NA())</f>
        <v>#N/A</v>
      </c>
      <c r="HI95" t="e">
        <f>IF(15&lt;=$B$16-1,$B$157+$B$156*(-$B$46),NA())</f>
        <v>#N/A</v>
      </c>
      <c r="HJ95" t="e">
        <f>IF(15&lt;=$B$16-1,$B$158+$B$156*(15*($B$5/2)/MAX(1,$B$16-1)),NA())</f>
        <v>#N/A</v>
      </c>
      <c r="HK95" t="e">
        <f>IF(30&lt;=$B$12,$B$157+$B$156*($B$13*30),NA())</f>
        <v>#N/A</v>
      </c>
      <c r="HL95" t="e">
        <f>IF(30&lt;=$B$12,$B$158+$B$156*(0),NA())</f>
        <v>#N/A</v>
      </c>
      <c r="HM95" t="e">
        <f>IF(AND(16&lt;=$B$12,1&lt;=$B$25),$B$157+$B$156*((16-1)*$B$13+1*$B$13/($B$25+1)),NA())</f>
        <v>#N/A</v>
      </c>
      <c r="HN95" t="e">
        <f>IF(AND(16&lt;=$B$12,1&lt;=$B$25),$B$158+$B$156*(0),NA())</f>
        <v>#N/A</v>
      </c>
      <c r="HQ95" t="e">
        <f>IF(AND(2&lt;=$B$23,4&lt;=$B$24),$B$157+$B$156*((IF(2=1,1,IF(2=$B$23,$B$12,5*(2-1)))-1)*$B$13),NA())</f>
        <v>#N/A</v>
      </c>
      <c r="HR95" t="e">
        <f>IF(AND(2&lt;=$B$23,4&lt;=$B$24),$B$158+$B$156*((0*$B$5/2+(4-1)*($B$5/2)/$B$24)),NA())</f>
        <v>#N/A</v>
      </c>
      <c r="HS95">
        <f>IF(AND(4&lt;=$B$12,$B$51&gt;0),$B$157+$B$156*(((4-0.5)*$B$13)-($B$51*$B$13)/2),NA())</f>
        <v>97.5052857142857</v>
      </c>
      <c r="HT95">
        <f>IF(AND(4&lt;=$B$12,$B$51&gt;0),$B$158+$B$156*((1*$B$5/2+0.6*$B$159)),NA())</f>
        <v>52.6</v>
      </c>
      <c r="HU95" t="e">
        <f>IF(8&lt;=$B$47,$B$157+$B$156*(((MAX(1,MIN($B$12,ROUND(8*$B$12/($B$47+1),0)))-1)*$B$13+0.25*$B$13)-$B$48/2-0.2),NA())</f>
        <v>#N/A</v>
      </c>
      <c r="HV95" t="e">
        <f>IF(8&lt;=$B$47,$B$158+$B$156*(IF(MOD(8,2)=1,$B$5/4,3*$B$5/4)-$B$49/2-0.2),NA())</f>
        <v>#N/A</v>
      </c>
      <c r="IW95" t="e">
        <f>IF(AND(0.2+35*$B$43&lt;$B$170,ABS(0.2+35*$B$43-$B$169)&gt;$B$29/2+0.03),$B$174+$B$173*(0.2+35*$B$43),NA())</f>
        <v>#N/A</v>
      </c>
      <c r="IX95" t="e">
        <f>IF(AND(0.2+35*$B$43&lt;$B$170,ABS(0.2+35*$B$43-$B$169)&gt;$B$29/2+0.03),$B$175+$B$173*($B$165+$B$42+0.015),NA())</f>
        <v>#N/A</v>
      </c>
      <c r="KI95" t="e">
        <f>IF(AND($B$21=1,8*$B$67&gt;$B$59,8*$B$67&lt;$B$178-$B$59,OR($B$63=0,ABS(8*$B$67-$B$178/2)&gt;$B$59/2)),$B$182+$B$181*($B$177*2/4+$B$60/2),NA())</f>
        <v>#N/A</v>
      </c>
      <c r="KJ95" t="e">
        <f>IF(AND($B$21=1,8*$B$67&gt;$B$59,8*$B$67&lt;$B$178-$B$59,OR($B$63=0,ABS(8*$B$67-$B$178/2)&gt;$B$59/2)),$B$183+$B$181*(8*$B$67),NA())</f>
        <v>#N/A</v>
      </c>
    </row>
    <row r="96">
      <c r="A96" t="inlineStr">
        <is>
          <t>LP_xc4</t>
        </is>
      </c>
      <c r="B96">
        <f>IF($B$92=1,($B$95-0.5)*$B$13,$B$6)</f>
        <v>40</v>
      </c>
      <c r="G96" t="e">
        <f>IF(30&lt;=$B$12,$B$133+$B$132*($B$13*30),NA())</f>
        <v>#N/A</v>
      </c>
      <c r="H96" t="e">
        <f>IF(30&lt;=$B$12,$B$134+$B$132*($B$5+4*$B$135),NA())</f>
        <v>#N/A</v>
      </c>
      <c r="K96">
        <f>IF(5&lt;=$B$12,$B$133+$B$132*($B$13*5+$B$27/2),NA())</f>
        <v>130.773857142857</v>
      </c>
      <c r="L96">
        <f>IF(5&lt;=$B$12,$B$134+$B$132*(0-$B$27/2),NA())</f>
        <v>13.96</v>
      </c>
      <c r="M96" t="e">
        <f>IF(30&lt;=$B$12,$B$133+$B$132*($B$13*30),NA())</f>
        <v>#N/A</v>
      </c>
      <c r="N96" t="e">
        <f>IF(30&lt;=$B$12,$B$134+$B$132*($B$5),NA())</f>
        <v>#N/A</v>
      </c>
      <c r="EA96" t="e">
        <f>IF(AND($B$18=1,2&lt;=$B$26),$B$139+$B$138*(2*($B$5/MAX(1,$B$26))),NA())</f>
        <v>#N/A</v>
      </c>
      <c r="EB96" t="e">
        <f>IF(AND($B$18=1,2&lt;=$B$26),$B$140+$B$138*(IF(2&lt;=$B$26/2,$B$7,($B$9+$B$8*MIN(2*($B$5/MAX(1,$B$26)),$B$5-(2*($B$5/MAX(1,$B$26))))))),NA())</f>
        <v>#N/A</v>
      </c>
      <c r="FA96" t="e">
        <f>IF(30&lt;=$B$12,$B$145+$B$144*($B$13*30),NA())</f>
        <v>#N/A</v>
      </c>
      <c r="FB96" t="e">
        <f>IF(30&lt;=$B$12,$B$146+$B$144*($B$9),NA())</f>
        <v>#N/A</v>
      </c>
      <c r="FC96" t="e">
        <f>IF(6&lt;$B$22,$B$145+$B$144*(IF(($B$19+6*$B$64)&lt;$B$73,$B$76,$B$75)),NA())</f>
        <v>#N/A</v>
      </c>
      <c r="FD96" t="e">
        <f>IF(6&lt;$B$22,$B$146+$B$144*(($B$19+6*$B$64)),NA())</f>
        <v>#N/A</v>
      </c>
      <c r="FE96" t="e">
        <f>IF(AND($B$21=1,(7*$B$66)&lt;$B$62),$B$145+$B$144*(IF((7*$B$66)&lt;$B$73,$B$76,$B$75)),NA())</f>
        <v>#N/A</v>
      </c>
      <c r="FF96" t="e">
        <f>IF(AND($B$21=1,(7*$B$66)&lt;$B$62),$B$146+$B$144*((7*$B$66)),NA())</f>
        <v>#N/A</v>
      </c>
      <c r="GG96" t="e">
        <f>IF(AND($B$20=1,($B$19+6*$B$64)&lt;$B$10-0.3),$B$151+$B$150*(MAX(IF(($B$19+6*$B$64)&lt;=$B$9,0,(($B$19+6*$B$64)-$B$9)/$B$8),MIN(($B$5-IF(($B$19+6*$B$64)&lt;=$B$9,0,(($B$19+6*$B$64)-$B$9)/$B$8)),IF(($B$19+6*$B$64)&lt;$B$104,$B$107,$B$106)))),NA())</f>
        <v>#N/A</v>
      </c>
      <c r="GH96" t="e">
        <f>IF(AND($B$20=1,($B$19+6*$B$64)&lt;$B$10-0.3),$B$152+$B$150*(($B$19+6*$B$64)),NA())</f>
        <v>#N/A</v>
      </c>
      <c r="GI96" t="e">
        <f>IF(AND($B$21=1,(7*$B$66)&lt;IF($B$63=1,$B$10-0.2,$B$62)),$B$151+$B$150*(MAX(IF((7*$B$66)&lt;=$B$9,0,((7*$B$66)-$B$9)/$B$8),MIN(($B$5-IF((7*$B$66)&lt;=$B$9,0,((7*$B$66)-$B$9)/$B$8)),IF((7*$B$66)&lt;$B$104,$B$107,$B$106)))),NA())</f>
        <v>#N/A</v>
      </c>
      <c r="GJ96" t="e">
        <f>IF(AND($B$21=1,(7*$B$66)&lt;IF($B$63=1,$B$10-0.2,$B$62)),$B$152+$B$150*((7*$B$66)),NA())</f>
        <v>#N/A</v>
      </c>
      <c r="HI96" t="e">
        <f>IF(15&lt;=$B$16-1,$B$157+$B$156*($B$6+$B$46),NA())</f>
        <v>#N/A</v>
      </c>
      <c r="HJ96" t="e">
        <f>IF(15&lt;=$B$16-1,$B$158+$B$156*(15*($B$5/2)/MAX(1,$B$16-1)),NA())</f>
        <v>#N/A</v>
      </c>
      <c r="HK96" t="e">
        <f>IF(30&lt;=$B$12,$B$157+$B$156*($B$13*30),NA())</f>
        <v>#N/A</v>
      </c>
      <c r="HL96" t="e">
        <f>IF(30&lt;=$B$12,$B$158+$B$156*($B$5),NA())</f>
        <v>#N/A</v>
      </c>
      <c r="HM96" t="e">
        <f>IF(AND(16&lt;=$B$12,1&lt;=$B$25),$B$157+$B$156*((16-1)*$B$13+1*$B$13/($B$25+1)),NA())</f>
        <v>#N/A</v>
      </c>
      <c r="HN96" t="e">
        <f>IF(AND(16&lt;=$B$12,1&lt;=$B$25),$B$158+$B$156*($B$5),NA())</f>
        <v>#N/A</v>
      </c>
      <c r="HQ96" t="e">
        <f>IF(AND(2&lt;=$B$23,4&lt;=$B$24),$B$157+$B$156*(IF(2=1,1,IF(2=$B$23,$B$12,5*(2-1)))*$B$13),NA())</f>
        <v>#N/A</v>
      </c>
      <c r="HR96" t="e">
        <f>IF(AND(2&lt;=$B$23,4&lt;=$B$24),$B$158+$B$156*((0*$B$5/2+4*($B$5/2)/$B$24)),NA())</f>
        <v>#N/A</v>
      </c>
      <c r="HS96">
        <f>IF(AND(4&lt;=$B$12,$B$51&gt;0),$B$157+$B$156*(((4-0.5)*$B$13)+($B$51*$B$13)/2),NA())</f>
        <v>99.6767142857143</v>
      </c>
      <c r="HT96">
        <f>IF(AND(4&lt;=$B$12,$B$51&gt;0),$B$158+$B$156*((1*$B$5/2+0.6*$B$159)+(((1*$B$5/2+$B$5/2-0.6*$B$159))-((1*$B$5/2+0.6*$B$159)))/4),NA())</f>
        <v>61.8</v>
      </c>
      <c r="HU96" t="e">
        <f>IF(8&lt;=$B$47,$B$157+$B$156*(((MAX(1,MIN($B$12,ROUND(8*$B$12/($B$47+1),0)))-1)*$B$13+0.25*$B$13)+$B$48/2+0.2),NA())</f>
        <v>#N/A</v>
      </c>
      <c r="HV96" t="e">
        <f>IF(8&lt;=$B$47,$B$158+$B$156*(IF(MOD(8,2)=1,$B$5/4,3*$B$5/4)-$B$49/2-0.2),NA())</f>
        <v>#N/A</v>
      </c>
      <c r="IW96" t="e">
        <f>IF(AND(0.2+35*$B$43&lt;$B$170,ABS(0.2+35*$B$43-$B$169)&gt;$B$29/2+0.03,$B$44=1),$B$174+$B$173*(0.2+35*$B$43),NA())</f>
        <v>#N/A</v>
      </c>
      <c r="IX96" t="e">
        <f>IF(AND(0.2+35*$B$43&lt;$B$170,ABS(0.2+35*$B$43-$B$169)&gt;$B$29/2+0.03,$B$44=1),$B$175+$B$173*($B$166-$B$42-0.015),NA())</f>
        <v>#N/A</v>
      </c>
      <c r="KI96" t="e">
        <f>IF(AND($B$21=1,8*$B$67&gt;$B$59,8*$B$67&lt;$B$178-$B$59,OR($B$63=0,ABS(8*$B$67-$B$178/2)&gt;$B$59/2)),$B$182+$B$181*($B$177*3/4-$B$60/2),NA())</f>
        <v>#N/A</v>
      </c>
      <c r="KJ96" t="e">
        <f>IF(AND($B$21=1,8*$B$67&gt;$B$59,8*$B$67&lt;$B$178-$B$59,OR($B$63=0,ABS(8*$B$67-$B$178/2)&gt;$B$59/2)),$B$183+$B$181*(8*$B$67),NA())</f>
        <v>#N/A</v>
      </c>
    </row>
    <row r="97">
      <c r="A97" t="inlineStr">
        <is>
          <t>LP_xl4</t>
        </is>
      </c>
      <c r="B97">
        <f>IF($B$92=1,$B$96-$B$93/2,$B$6)</f>
        <v>40</v>
      </c>
      <c r="G97" t="e">
        <f>NA()</f>
        <v>#N/A</v>
      </c>
      <c r="H97" t="e">
        <f>NA()</f>
        <v>#N/A</v>
      </c>
      <c r="K97">
        <f>IF(5&lt;=$B$12,$B$133+$B$132*($B$13*5+$B$27/2),NA())</f>
        <v>130.773857142857</v>
      </c>
      <c r="L97">
        <f>IF(5&lt;=$B$12,$B$134+$B$132*(0+$B$27/2),NA())</f>
        <v>18.04</v>
      </c>
      <c r="M97" t="e">
        <f>IF(AND(30&lt;=$B$12,$B$45=1),$B$133+$B$132*($B$13*30),NA())</f>
        <v>#N/A</v>
      </c>
      <c r="N97" t="e">
        <f>IF(AND(30&lt;=$B$12,$B$45=1),$B$134+$B$132*($B$5/2),NA())</f>
        <v>#N/A</v>
      </c>
      <c r="EA97" t="e">
        <f>NA()</f>
        <v>#N/A</v>
      </c>
      <c r="EB97" t="e">
        <f>NA()</f>
        <v>#N/A</v>
      </c>
      <c r="FA97" t="e">
        <f>NA()</f>
        <v>#N/A</v>
      </c>
      <c r="FB97" t="e">
        <f>NA()</f>
        <v>#N/A</v>
      </c>
      <c r="FC97" t="e">
        <f>IF(AND(6&lt;$B$22,($B$19+6*$B$64)&gt;=$B$73),$B$145+$B$144*($B$75),NA())</f>
        <v>#N/A</v>
      </c>
      <c r="FD97" t="e">
        <f>IF(AND(6&lt;$B$22,($B$19+6*$B$64)&gt;=$B$73),$B$146+$B$144*(($B$19+6*$B$64)),NA())</f>
        <v>#N/A</v>
      </c>
      <c r="FE97" t="e">
        <f>IF(AND(AND($B$21=1,(7*$B$66)&lt;$B$62),(7*$B$66)&gt;=$B$73),$B$145+$B$144*($B$75),NA())</f>
        <v>#N/A</v>
      </c>
      <c r="FF97" t="e">
        <f>IF(AND(AND($B$21=1,(7*$B$66)&lt;$B$62),(7*$B$66)&gt;=$B$73),$B$146+$B$144*((7*$B$66)),NA())</f>
        <v>#N/A</v>
      </c>
      <c r="GG97" t="e">
        <f>IF(AND(AND($B$20=1,($B$19+6*$B$64)&lt;$B$10-0.3),($B$19+6*$B$64)&gt;=$B$104),$B$151+$B$150*(MAX(IF(($B$19+6*$B$64)&lt;=$B$9,0,(($B$19+6*$B$64)-$B$9)/$B$8),MIN(($B$5-IF(($B$19+6*$B$64)&lt;=$B$9,0,(($B$19+6*$B$64)-$B$9)/$B$8)),$B$106))),NA())</f>
        <v>#N/A</v>
      </c>
      <c r="GH97" t="e">
        <f>IF(AND(AND($B$20=1,($B$19+6*$B$64)&lt;$B$10-0.3),($B$19+6*$B$64)&gt;=$B$104),$B$152+$B$150*(($B$19+6*$B$64)),NA())</f>
        <v>#N/A</v>
      </c>
      <c r="GI97" t="e">
        <f>IF(AND(AND($B$21=1,(7*$B$66)&lt;IF($B$63=1,$B$10-0.2,$B$62)),(7*$B$66)&gt;=$B$104),$B$151+$B$150*(MAX(IF((7*$B$66)&lt;=$B$9,0,((7*$B$66)-$B$9)/$B$8),MIN(($B$5-IF((7*$B$66)&lt;=$B$9,0,((7*$B$66)-$B$9)/$B$8)),$B$106))),NA())</f>
        <v>#N/A</v>
      </c>
      <c r="GJ97" t="e">
        <f>IF(AND(AND($B$21=1,(7*$B$66)&lt;IF($B$63=1,$B$10-0.2,$B$62)),(7*$B$66)&gt;=$B$104),$B$152+$B$150*((7*$B$66)),NA())</f>
        <v>#N/A</v>
      </c>
      <c r="HI97" t="e">
        <f>NA()</f>
        <v>#N/A</v>
      </c>
      <c r="HJ97" t="e">
        <f>NA()</f>
        <v>#N/A</v>
      </c>
      <c r="HK97" t="e">
        <f>NA()</f>
        <v>#N/A</v>
      </c>
      <c r="HL97" t="e">
        <f>NA()</f>
        <v>#N/A</v>
      </c>
      <c r="HM97" t="e">
        <f>NA()</f>
        <v>#N/A</v>
      </c>
      <c r="HN97" t="e">
        <f>NA()</f>
        <v>#N/A</v>
      </c>
      <c r="HQ97" t="e">
        <f>NA()</f>
        <v>#N/A</v>
      </c>
      <c r="HR97" t="e">
        <f>NA()</f>
        <v>#N/A</v>
      </c>
      <c r="HS97">
        <f>IF(AND(4&lt;=$B$12,$B$51&gt;0),$B$157+$B$156*(((4-0.5)*$B$13)-($B$51*$B$13)/2),NA())</f>
        <v>97.5052857142857</v>
      </c>
      <c r="HT97">
        <f>IF(AND(4&lt;=$B$12,$B$51&gt;0),$B$158+$B$156*((1*$B$5/2+0.6*$B$159)+(((1*$B$5/2+$B$5/2-0.6*$B$159))-((1*$B$5/2+0.6*$B$159)))/2),NA())</f>
        <v>71</v>
      </c>
      <c r="HU97" t="e">
        <f>IF(8&lt;=$B$47,$B$157+$B$156*(((MAX(1,MIN($B$12,ROUND(8*$B$12/($B$47+1),0)))-1)*$B$13+0.25*$B$13)+$B$48/2+0.2),NA())</f>
        <v>#N/A</v>
      </c>
      <c r="HV97" t="e">
        <f>IF(8&lt;=$B$47,$B$158+$B$156*(IF(MOD(8,2)=1,$B$5/4,3*$B$5/4)+$B$49/2+0.2),NA())</f>
        <v>#N/A</v>
      </c>
      <c r="IW97" t="e">
        <f>IF(AND(0.2+36*$B$43&lt;$B$170,ABS(0.2+36*$B$43-$B$169)&gt;$B$29/2+0.03),$B$174+$B$173*(0.2+36*$B$43),NA())</f>
        <v>#N/A</v>
      </c>
      <c r="IX97" t="e">
        <f>IF(AND(0.2+36*$B$43&lt;$B$170,ABS(0.2+36*$B$43-$B$169)&gt;$B$29/2+0.03),$B$175+$B$173*($B$165+$B$42+0.015),NA())</f>
        <v>#N/A</v>
      </c>
      <c r="KI97" t="e">
        <f>NA()</f>
        <v>#N/A</v>
      </c>
      <c r="KJ97" t="e">
        <f>NA()</f>
        <v>#N/A</v>
      </c>
    </row>
    <row r="98">
      <c r="A98" t="inlineStr">
        <is>
          <t>LP_xr4</t>
        </is>
      </c>
      <c r="B98">
        <f>IF($B$92=1,$B$96+$B$93/2,$B$6)</f>
        <v>40</v>
      </c>
      <c r="G98" t="e">
        <f>IF(31&lt;=$B$12,$B$133+$B$132*($B$13*31),NA())</f>
        <v>#N/A</v>
      </c>
      <c r="H98" t="e">
        <f>IF(31&lt;=$B$12,$B$134+$B$132*(-4*$B$135),NA())</f>
        <v>#N/A</v>
      </c>
      <c r="K98">
        <f>IF(5&lt;=$B$12,$B$133+$B$132*($B$13*5-$B$27/2),NA())</f>
        <v>126.693857142857</v>
      </c>
      <c r="L98">
        <f>IF(5&lt;=$B$12,$B$134+$B$132*(0+$B$27/2),NA())</f>
        <v>18.04</v>
      </c>
      <c r="M98" t="e">
        <f>IF(31&lt;=$B$12,$B$133+$B$132*($B$13*31),NA())</f>
        <v>#N/A</v>
      </c>
      <c r="N98" t="e">
        <f>IF(31&lt;=$B$12,$B$134+$B$132*(0),NA())</f>
        <v>#N/A</v>
      </c>
      <c r="EA98" t="e">
        <f>IF(AND($B$18=1,3&lt;=$B$26),$B$139+$B$138*(2*($B$5/MAX(1,$B$26))),NA())</f>
        <v>#N/A</v>
      </c>
      <c r="EB98" t="e">
        <f>IF(AND($B$18=1,3&lt;=$B$26),$B$140+$B$138*(IF(3&lt;=$B$26/2,($B$9+$B$8*MIN(2*($B$5/MAX(1,$B$26)),$B$5-(2*($B$5/MAX(1,$B$26))))),$B$7)),NA())</f>
        <v>#N/A</v>
      </c>
      <c r="FA98" t="e">
        <f>IF(31&lt;=$B$12,$B$145+$B$144*($B$13*31),NA())</f>
        <v>#N/A</v>
      </c>
      <c r="FB98" t="e">
        <f>IF(31&lt;=$B$12,$B$146+$B$144*(0),NA())</f>
        <v>#N/A</v>
      </c>
      <c r="FC98" t="e">
        <f>IF(6&lt;$B$22,$B$145+$B$144*(IF(($B$19+6*$B$64)&lt;$B$73,$B$77,$B$75)),NA())</f>
        <v>#N/A</v>
      </c>
      <c r="FD98" t="e">
        <f>IF(6&lt;$B$22,$B$146+$B$144*(($B$19+6*$B$64)),NA())</f>
        <v>#N/A</v>
      </c>
      <c r="FE98" t="e">
        <f>IF(AND($B$21=1,(7*$B$66)&lt;$B$62),$B$145+$B$144*(IF((7*$B$66)&lt;$B$73,$B$77,$B$75)),NA())</f>
        <v>#N/A</v>
      </c>
      <c r="FF98" t="e">
        <f>IF(AND($B$21=1,(7*$B$66)&lt;$B$62),$B$146+$B$144*((7*$B$66)),NA())</f>
        <v>#N/A</v>
      </c>
      <c r="GG98" t="e">
        <f>IF(AND($B$20=1,($B$19+6*$B$64)&lt;$B$10-0.3),$B$151+$B$150*(MAX(IF(($B$19+6*$B$64)&lt;=$B$9,0,(($B$19+6*$B$64)-$B$9)/$B$8),MIN(($B$5-IF(($B$19+6*$B$64)&lt;=$B$9,0,(($B$19+6*$B$64)-$B$9)/$B$8)),IF(($B$19+6*$B$64)&lt;$B$104,$B$108,$B$106)))),NA())</f>
        <v>#N/A</v>
      </c>
      <c r="GH98" t="e">
        <f>IF(AND($B$20=1,($B$19+6*$B$64)&lt;$B$10-0.3),$B$152+$B$150*(($B$19+6*$B$64)),NA())</f>
        <v>#N/A</v>
      </c>
      <c r="GI98" t="e">
        <f>IF(AND($B$21=1,(7*$B$66)&lt;IF($B$63=1,$B$10-0.2,$B$62)),$B$151+$B$150*(MAX(IF((7*$B$66)&lt;=$B$9,0,((7*$B$66)-$B$9)/$B$8),MIN(($B$5-IF((7*$B$66)&lt;=$B$9,0,((7*$B$66)-$B$9)/$B$8)),IF((7*$B$66)&lt;$B$104,$B$108,$B$106)))),NA())</f>
        <v>#N/A</v>
      </c>
      <c r="GJ98" t="e">
        <f>IF(AND($B$21=1,(7*$B$66)&lt;IF($B$63=1,$B$10-0.2,$B$62)),$B$152+$B$150*((7*$B$66)),NA())</f>
        <v>#N/A</v>
      </c>
      <c r="HI98" t="e">
        <f>IF(15&lt;=$B$16-1,$B$157+$B$156*(-$B$46),NA())</f>
        <v>#N/A</v>
      </c>
      <c r="HJ98" t="e">
        <f>IF(15&lt;=$B$16-1,$B$158+$B$156*($B$5-15*($B$5/2)/MAX(1,$B$16-1)),NA())</f>
        <v>#N/A</v>
      </c>
      <c r="HK98" t="e">
        <f>IF(31&lt;=$B$12,$B$157+$B$156*($B$13*31),NA())</f>
        <v>#N/A</v>
      </c>
      <c r="HL98" t="e">
        <f>IF(31&lt;=$B$12,$B$158+$B$156*(0),NA())</f>
        <v>#N/A</v>
      </c>
      <c r="HM98" t="e">
        <f>IF(AND(16&lt;=$B$12,2&lt;=$B$25),$B$157+$B$156*((16-1)*$B$13+2*$B$13/($B$25+1)),NA())</f>
        <v>#N/A</v>
      </c>
      <c r="HN98" t="e">
        <f>IF(AND(16&lt;=$B$12,2&lt;=$B$25),$B$158+$B$156*(0),NA())</f>
        <v>#N/A</v>
      </c>
      <c r="HQ98" t="e">
        <f>IF(AND(2&lt;=$B$23,4&lt;=$B$24),$B$157+$B$156*((IF(2=1,1,IF(2=$B$23,$B$12,5*(2-1)))-1)*$B$13),NA())</f>
        <v>#N/A</v>
      </c>
      <c r="HR98" t="e">
        <f>IF(AND(2&lt;=$B$23,4&lt;=$B$24),$B$158+$B$156*((0*$B$5/2+4*($B$5/2)/$B$24)),NA())</f>
        <v>#N/A</v>
      </c>
      <c r="HS98">
        <f>IF(AND(4&lt;=$B$12,$B$51&gt;0),$B$157+$B$156*(((4-0.5)*$B$13)+($B$51*$B$13)/2),NA())</f>
        <v>99.6767142857143</v>
      </c>
      <c r="HT98">
        <f>IF(AND(4&lt;=$B$12,$B$51&gt;0),$B$158+$B$156*((1*$B$5/2+0.6*$B$159)+3*(((1*$B$5/2+$B$5/2-0.6*$B$159))-((1*$B$5/2+0.6*$B$159)))/4),NA())</f>
        <v>80.2</v>
      </c>
      <c r="HU98" t="e">
        <f>IF(8&lt;=$B$47,$B$157+$B$156*(((MAX(1,MIN($B$12,ROUND(8*$B$12/($B$47+1),0)))-1)*$B$13+0.25*$B$13)-$B$48/2-0.2),NA())</f>
        <v>#N/A</v>
      </c>
      <c r="HV98" t="e">
        <f>IF(8&lt;=$B$47,$B$158+$B$156*(IF(MOD(8,2)=1,$B$5/4,3*$B$5/4)+$B$49/2+0.2),NA())</f>
        <v>#N/A</v>
      </c>
      <c r="IW98" t="e">
        <f>IF(AND(0.2+36*$B$43&lt;$B$170,ABS(0.2+36*$B$43-$B$169)&gt;$B$29/2+0.03,$B$44=1),$B$174+$B$173*(0.2+36*$B$43),NA())</f>
        <v>#N/A</v>
      </c>
      <c r="IX98" t="e">
        <f>IF(AND(0.2+36*$B$43&lt;$B$170,ABS(0.2+36*$B$43-$B$169)&gt;$B$29/2+0.03,$B$44=1),$B$175+$B$173*($B$166-$B$42-0.015),NA())</f>
        <v>#N/A</v>
      </c>
      <c r="KI98" t="e">
        <f>IF(AND($B$21=1,8*$B$67&gt;$B$59,8*$B$67&lt;$B$178-$B$59,OR($B$63=0,ABS(8*$B$67-$B$178/2)&gt;$B$59/2)),$B$182+$B$181*($B$177*3/4+$B$60/2),NA())</f>
        <v>#N/A</v>
      </c>
      <c r="KJ98" t="e">
        <f>IF(AND($B$21=1,8*$B$67&gt;$B$59,8*$B$67&lt;$B$178-$B$59,OR($B$63=0,ABS(8*$B$67-$B$178/2)&gt;$B$59/2)),$B$183+$B$181*(8*$B$67),NA())</f>
        <v>#N/A</v>
      </c>
    </row>
    <row r="99">
      <c r="A99" t="inlineStr">
        <is>
          <t>PG_nC</t>
        </is>
      </c>
      <c r="B99">
        <f>IF('PARAMÈTRES'!$C$31="Pignon",'PARAMÈTRES'!$C$28,0)</f>
        <v>1</v>
      </c>
      <c r="G99" t="e">
        <f>IF(31&lt;=$B$12,$B$133+$B$132*($B$13*31),NA())</f>
        <v>#N/A</v>
      </c>
      <c r="H99" t="e">
        <f>IF(31&lt;=$B$12,$B$134+$B$132*($B$5+4*$B$135),NA())</f>
        <v>#N/A</v>
      </c>
      <c r="K99">
        <f>IF(5&lt;=$B$12,$B$133+$B$132*($B$13*5-$B$27/2),NA())</f>
        <v>126.693857142857</v>
      </c>
      <c r="L99">
        <f>IF(5&lt;=$B$12,$B$134+$B$132*(0-$B$27/2),NA())</f>
        <v>13.96</v>
      </c>
      <c r="M99" t="e">
        <f>IF(31&lt;=$B$12,$B$133+$B$132*($B$13*31),NA())</f>
        <v>#N/A</v>
      </c>
      <c r="N99" t="e">
        <f>IF(31&lt;=$B$12,$B$134+$B$132*($B$5),NA())</f>
        <v>#N/A</v>
      </c>
      <c r="EA99" t="e">
        <f>IF(AND($B$18=1,3&lt;=$B$26),$B$139+$B$138*(3*($B$5/MAX(1,$B$26))),NA())</f>
        <v>#N/A</v>
      </c>
      <c r="EB99" t="e">
        <f>IF(AND($B$18=1,3&lt;=$B$26),$B$140+$B$138*(IF(3&lt;=$B$26/2,$B$7,($B$9+$B$8*MIN(3*($B$5/MAX(1,$B$26)),$B$5-(3*($B$5/MAX(1,$B$26))))))),NA())</f>
        <v>#N/A</v>
      </c>
      <c r="FA99" t="e">
        <f>IF(31&lt;=$B$12,$B$145+$B$144*($B$13*31),NA())</f>
        <v>#N/A</v>
      </c>
      <c r="FB99" t="e">
        <f>IF(31&lt;=$B$12,$B$146+$B$144*($B$9),NA())</f>
        <v>#N/A</v>
      </c>
      <c r="FC99" t="e">
        <f>IF(6&lt;$B$22,$B$145+$B$144*(IF(($B$19+6*$B$64)&lt;$B$80,$B$83,$B$82)),NA())</f>
        <v>#N/A</v>
      </c>
      <c r="FD99" t="e">
        <f>IF(6&lt;$B$22,$B$146+$B$144*(($B$19+6*$B$64)),NA())</f>
        <v>#N/A</v>
      </c>
      <c r="FE99" t="e">
        <f>IF(AND($B$21=1,(7*$B$66)&lt;$B$62),$B$145+$B$144*(IF((7*$B$66)&lt;$B$80,$B$83,$B$82)),NA())</f>
        <v>#N/A</v>
      </c>
      <c r="FF99" t="e">
        <f>IF(AND($B$21=1,(7*$B$66)&lt;$B$62),$B$146+$B$144*((7*$B$66)),NA())</f>
        <v>#N/A</v>
      </c>
      <c r="GG99" t="e">
        <f>IF(AND($B$20=1,($B$19+6*$B$64)&lt;$B$10-0.3),$B$151+$B$150*(MAX(IF(($B$19+6*$B$64)&lt;=$B$9,0,(($B$19+6*$B$64)-$B$9)/$B$8),MIN(($B$5-IF(($B$19+6*$B$64)&lt;=$B$9,0,(($B$19+6*$B$64)-$B$9)/$B$8)),IF(($B$19+6*$B$64)&lt;$B$111,$B$114,$B$113)))),NA())</f>
        <v>#N/A</v>
      </c>
      <c r="GH99" t="e">
        <f>IF(AND($B$20=1,($B$19+6*$B$64)&lt;$B$10-0.3),$B$152+$B$150*(($B$19+6*$B$64)),NA())</f>
        <v>#N/A</v>
      </c>
      <c r="GI99" t="e">
        <f>IF(AND($B$21=1,(7*$B$66)&lt;IF($B$63=1,$B$10-0.2,$B$62)),$B$151+$B$150*(MAX(IF((7*$B$66)&lt;=$B$9,0,((7*$B$66)-$B$9)/$B$8),MIN(($B$5-IF((7*$B$66)&lt;=$B$9,0,((7*$B$66)-$B$9)/$B$8)),IF((7*$B$66)&lt;$B$111,$B$114,$B$113)))),NA())</f>
        <v>#N/A</v>
      </c>
      <c r="GJ99" t="e">
        <f>IF(AND($B$21=1,(7*$B$66)&lt;IF($B$63=1,$B$10-0.2,$B$62)),$B$152+$B$150*((7*$B$66)),NA())</f>
        <v>#N/A</v>
      </c>
      <c r="HI99" t="e">
        <f>IF(15&lt;=$B$16-1,$B$157+$B$156*($B$6+$B$46),NA())</f>
        <v>#N/A</v>
      </c>
      <c r="HJ99" t="e">
        <f>IF(15&lt;=$B$16-1,$B$158+$B$156*($B$5-15*($B$5/2)/MAX(1,$B$16-1)),NA())</f>
        <v>#N/A</v>
      </c>
      <c r="HK99" t="e">
        <f>IF(31&lt;=$B$12,$B$157+$B$156*($B$13*31),NA())</f>
        <v>#N/A</v>
      </c>
      <c r="HL99" t="e">
        <f>IF(31&lt;=$B$12,$B$158+$B$156*($B$5),NA())</f>
        <v>#N/A</v>
      </c>
      <c r="HM99" t="e">
        <f>IF(AND(16&lt;=$B$12,2&lt;=$B$25),$B$157+$B$156*((16-1)*$B$13+2*$B$13/($B$25+1)),NA())</f>
        <v>#N/A</v>
      </c>
      <c r="HN99" t="e">
        <f>IF(AND(16&lt;=$B$12,2&lt;=$B$25),$B$158+$B$156*($B$5),NA())</f>
        <v>#N/A</v>
      </c>
      <c r="HQ99" t="e">
        <f>IF(AND(2&lt;=$B$23,4&lt;=$B$24),$B$157+$B$156*(IF(2=1,1,IF(2=$B$23,$B$12,5*(2-1)))*$B$13),NA())</f>
        <v>#N/A</v>
      </c>
      <c r="HR99" t="e">
        <f>IF(AND(2&lt;=$B$23,4&lt;=$B$24),$B$158+$B$156*((0*$B$5/2+(4-1)*($B$5/2)/$B$24)),NA())</f>
        <v>#N/A</v>
      </c>
      <c r="HS99">
        <f>IF(AND(4&lt;=$B$12,$B$51&gt;0),$B$157+$B$156*(((4-0.5)*$B$13)-($B$51*$B$13)/2),NA())</f>
        <v>97.5052857142857</v>
      </c>
      <c r="HT99">
        <f>IF(AND(4&lt;=$B$12,$B$51&gt;0),$B$158+$B$156*((1*$B$5/2+$B$5/2-0.6*$B$159)),NA())</f>
        <v>89.4</v>
      </c>
      <c r="HU99" t="e">
        <f>IF(8&lt;=$B$47,$B$157+$B$156*(((MAX(1,MIN($B$12,ROUND(8*$B$12/($B$47+1),0)))-1)*$B$13+0.25*$B$13)-$B$48/2-0.2),NA())</f>
        <v>#N/A</v>
      </c>
      <c r="HV99" t="e">
        <f>IF(8&lt;=$B$47,$B$158+$B$156*(IF(MOD(8,2)=1,$B$5/4,3*$B$5/4)-$B$49/2-0.2),NA())</f>
        <v>#N/A</v>
      </c>
      <c r="IW99" t="e">
        <f>IF(AND(0.2+37*$B$43&lt;$B$170,ABS(0.2+37*$B$43-$B$169)&gt;$B$29/2+0.03),$B$174+$B$173*(0.2+37*$B$43),NA())</f>
        <v>#N/A</v>
      </c>
      <c r="IX99" t="e">
        <f>IF(AND(0.2+37*$B$43&lt;$B$170,ABS(0.2+37*$B$43-$B$169)&gt;$B$29/2+0.03),$B$175+$B$173*($B$165+$B$42+0.015),NA())</f>
        <v>#N/A</v>
      </c>
      <c r="KI99" t="e">
        <f>IF(AND($B$21=1,8*$B$67&gt;$B$59,8*$B$67&lt;$B$178-$B$59,OR($B$63=0,ABS(8*$B$67-$B$178/2)&gt;$B$59/2)),$B$182+$B$181*($B$177),NA())</f>
        <v>#N/A</v>
      </c>
      <c r="KJ99" t="e">
        <f>IF(AND($B$21=1,8*$B$67&gt;$B$59,8*$B$67&lt;$B$178-$B$59,OR($B$63=0,ABS(8*$B$67-$B$178/2)&gt;$B$59/2)),$B$183+$B$181*(8*$B$67),NA())</f>
        <v>#N/A</v>
      </c>
    </row>
    <row r="100">
      <c r="A100" t="inlineStr">
        <is>
          <t>PG_nQ</t>
        </is>
      </c>
      <c r="B100">
        <f>IF('PARAMÈTRES'!$C$35="Pignon",'PARAMÈTRES'!$C$32,0)</f>
        <v>0</v>
      </c>
      <c r="G100" t="e">
        <f>NA()</f>
        <v>#N/A</v>
      </c>
      <c r="H100" t="e">
        <f>NA()</f>
        <v>#N/A</v>
      </c>
      <c r="K100" t="e">
        <f>NA()</f>
        <v>#N/A</v>
      </c>
      <c r="L100" t="e">
        <f>NA()</f>
        <v>#N/A</v>
      </c>
      <c r="M100" t="e">
        <f>IF(AND(31&lt;=$B$12,$B$45=1),$B$133+$B$132*($B$13*31),NA())</f>
        <v>#N/A</v>
      </c>
      <c r="N100" t="e">
        <f>IF(AND(31&lt;=$B$12,$B$45=1),$B$134+$B$132*($B$5/2),NA())</f>
        <v>#N/A</v>
      </c>
      <c r="EA100" t="e">
        <f>NA()</f>
        <v>#N/A</v>
      </c>
      <c r="EB100" t="e">
        <f>NA()</f>
        <v>#N/A</v>
      </c>
      <c r="FA100" t="e">
        <f>NA()</f>
        <v>#N/A</v>
      </c>
      <c r="FB100" t="e">
        <f>NA()</f>
        <v>#N/A</v>
      </c>
      <c r="FC100" t="e">
        <f>IF(AND(6&lt;$B$22,($B$19+6*$B$64)&gt;=$B$80),$B$145+$B$144*($B$82),NA())</f>
        <v>#N/A</v>
      </c>
      <c r="FD100" t="e">
        <f>IF(AND(6&lt;$B$22,($B$19+6*$B$64)&gt;=$B$80),$B$146+$B$144*(($B$19+6*$B$64)),NA())</f>
        <v>#N/A</v>
      </c>
      <c r="FE100" t="e">
        <f>IF(AND(AND($B$21=1,(7*$B$66)&lt;$B$62),(7*$B$66)&gt;=$B$80),$B$145+$B$144*($B$82),NA())</f>
        <v>#N/A</v>
      </c>
      <c r="FF100" t="e">
        <f>IF(AND(AND($B$21=1,(7*$B$66)&lt;$B$62),(7*$B$66)&gt;=$B$80),$B$146+$B$144*((7*$B$66)),NA())</f>
        <v>#N/A</v>
      </c>
      <c r="GG100" t="e">
        <f>IF(AND(AND($B$20=1,($B$19+6*$B$64)&lt;$B$10-0.3),($B$19+6*$B$64)&gt;=$B$111),$B$151+$B$150*(MAX(IF(($B$19+6*$B$64)&lt;=$B$9,0,(($B$19+6*$B$64)-$B$9)/$B$8),MIN(($B$5-IF(($B$19+6*$B$64)&lt;=$B$9,0,(($B$19+6*$B$64)-$B$9)/$B$8)),$B$113))),NA())</f>
        <v>#N/A</v>
      </c>
      <c r="GH100" t="e">
        <f>IF(AND(AND($B$20=1,($B$19+6*$B$64)&lt;$B$10-0.3),($B$19+6*$B$64)&gt;=$B$111),$B$152+$B$150*(($B$19+6*$B$64)),NA())</f>
        <v>#N/A</v>
      </c>
      <c r="GI100" t="e">
        <f>IF(AND(AND($B$21=1,(7*$B$66)&lt;IF($B$63=1,$B$10-0.2,$B$62)),(7*$B$66)&gt;=$B$111),$B$151+$B$150*(MAX(IF((7*$B$66)&lt;=$B$9,0,((7*$B$66)-$B$9)/$B$8),MIN(($B$5-IF((7*$B$66)&lt;=$B$9,0,((7*$B$66)-$B$9)/$B$8)),$B$113))),NA())</f>
        <v>#N/A</v>
      </c>
      <c r="GJ100" t="e">
        <f>IF(AND(AND($B$21=1,(7*$B$66)&lt;IF($B$63=1,$B$10-0.2,$B$62)),(7*$B$66)&gt;=$B$111),$B$152+$B$150*((7*$B$66)),NA())</f>
        <v>#N/A</v>
      </c>
      <c r="HI100" t="e">
        <f>NA()</f>
        <v>#N/A</v>
      </c>
      <c r="HJ100" t="e">
        <f>NA()</f>
        <v>#N/A</v>
      </c>
      <c r="HK100" t="e">
        <f>NA()</f>
        <v>#N/A</v>
      </c>
      <c r="HL100" t="e">
        <f>NA()</f>
        <v>#N/A</v>
      </c>
      <c r="HM100" t="e">
        <f>NA()</f>
        <v>#N/A</v>
      </c>
      <c r="HN100" t="e">
        <f>NA()</f>
        <v>#N/A</v>
      </c>
      <c r="HQ100" t="e">
        <f>NA()</f>
        <v>#N/A</v>
      </c>
      <c r="HR100" t="e">
        <f>NA()</f>
        <v>#N/A</v>
      </c>
      <c r="HS100" t="e">
        <f>NA()</f>
        <v>#N/A</v>
      </c>
      <c r="HT100" t="e">
        <f>NA()</f>
        <v>#N/A</v>
      </c>
      <c r="HU100" t="e">
        <f>NA()</f>
        <v>#N/A</v>
      </c>
      <c r="HV100" t="e">
        <f>NA()</f>
        <v>#N/A</v>
      </c>
      <c r="IW100" t="e">
        <f>IF(AND(0.2+37*$B$43&lt;$B$170,ABS(0.2+37*$B$43-$B$169)&gt;$B$29/2+0.03,$B$44=1),$B$174+$B$173*(0.2+37*$B$43),NA())</f>
        <v>#N/A</v>
      </c>
      <c r="IX100" t="e">
        <f>IF(AND(0.2+37*$B$43&lt;$B$170,ABS(0.2+37*$B$43-$B$169)&gt;$B$29/2+0.03,$B$44=1),$B$175+$B$173*($B$166-$B$42-0.015),NA())</f>
        <v>#N/A</v>
      </c>
      <c r="KI100" t="e">
        <f>NA()</f>
        <v>#N/A</v>
      </c>
      <c r="KJ100" t="e">
        <f>NA()</f>
        <v>#N/A</v>
      </c>
    </row>
    <row r="101">
      <c r="A101" t="inlineStr">
        <is>
          <t>PG_nd</t>
        </is>
      </c>
      <c r="B101">
        <f>MIN(4,$B$99+$B$100)</f>
        <v>1</v>
      </c>
      <c r="G101" t="e">
        <f>IF(32&lt;=$B$12,$B$133+$B$132*($B$13*32),NA())</f>
        <v>#N/A</v>
      </c>
      <c r="H101" t="e">
        <f>IF(32&lt;=$B$12,$B$134+$B$132*(-4*$B$135),NA())</f>
        <v>#N/A</v>
      </c>
      <c r="K101">
        <f>IF(5&lt;=$B$12,$B$133+$B$132*($B$13*5-$B$27/2),NA())</f>
        <v>126.693857142857</v>
      </c>
      <c r="L101">
        <f>IF(5&lt;=$B$12,$B$134+$B$132*($B$5-$B$27/2),NA())</f>
        <v>81.96</v>
      </c>
      <c r="M101" t="e">
        <f>IF(32&lt;=$B$12,$B$133+$B$132*($B$13*32),NA())</f>
        <v>#N/A</v>
      </c>
      <c r="N101" t="e">
        <f>IF(32&lt;=$B$12,$B$134+$B$132*(0),NA())</f>
        <v>#N/A</v>
      </c>
      <c r="EA101" t="e">
        <f>IF(AND($B$18=1,4&lt;=$B$26),$B$139+$B$138*(3*($B$5/MAX(1,$B$26))),NA())</f>
        <v>#N/A</v>
      </c>
      <c r="EB101" t="e">
        <f>IF(AND($B$18=1,4&lt;=$B$26),$B$140+$B$138*(IF(4&lt;=$B$26/2,($B$9+$B$8*MIN(3*($B$5/MAX(1,$B$26)),$B$5-(3*($B$5/MAX(1,$B$26))))),$B$7)),NA())</f>
        <v>#N/A</v>
      </c>
      <c r="FA101" t="e">
        <f>IF(32&lt;=$B$12,$B$145+$B$144*($B$13*32),NA())</f>
        <v>#N/A</v>
      </c>
      <c r="FB101" t="e">
        <f>IF(32&lt;=$B$12,$B$146+$B$144*(0),NA())</f>
        <v>#N/A</v>
      </c>
      <c r="FC101" t="e">
        <f>IF(6&lt;$B$22,$B$145+$B$144*(IF(($B$19+6*$B$64)&lt;$B$80,$B$84,$B$82)),NA())</f>
        <v>#N/A</v>
      </c>
      <c r="FD101" t="e">
        <f>IF(6&lt;$B$22,$B$146+$B$144*(($B$19+6*$B$64)),NA())</f>
        <v>#N/A</v>
      </c>
      <c r="FE101" t="e">
        <f>IF(AND($B$21=1,(7*$B$66)&lt;$B$62),$B$145+$B$144*(IF((7*$B$66)&lt;$B$80,$B$84,$B$82)),NA())</f>
        <v>#N/A</v>
      </c>
      <c r="FF101" t="e">
        <f>IF(AND($B$21=1,(7*$B$66)&lt;$B$62),$B$146+$B$144*((7*$B$66)),NA())</f>
        <v>#N/A</v>
      </c>
      <c r="GG101" t="e">
        <f>IF(AND($B$20=1,($B$19+6*$B$64)&lt;$B$10-0.3),$B$151+$B$150*(MAX(IF(($B$19+6*$B$64)&lt;=$B$9,0,(($B$19+6*$B$64)-$B$9)/$B$8),MIN(($B$5-IF(($B$19+6*$B$64)&lt;=$B$9,0,(($B$19+6*$B$64)-$B$9)/$B$8)),IF(($B$19+6*$B$64)&lt;$B$111,$B$115,$B$113)))),NA())</f>
        <v>#N/A</v>
      </c>
      <c r="GH101" t="e">
        <f>IF(AND($B$20=1,($B$19+6*$B$64)&lt;$B$10-0.3),$B$152+$B$150*(($B$19+6*$B$64)),NA())</f>
        <v>#N/A</v>
      </c>
      <c r="GI101" t="e">
        <f>IF(AND($B$21=1,(7*$B$66)&lt;IF($B$63=1,$B$10-0.2,$B$62)),$B$151+$B$150*(MAX(IF((7*$B$66)&lt;=$B$9,0,((7*$B$66)-$B$9)/$B$8),MIN(($B$5-IF((7*$B$66)&lt;=$B$9,0,((7*$B$66)-$B$9)/$B$8)),IF((7*$B$66)&lt;$B$111,$B$115,$B$113)))),NA())</f>
        <v>#N/A</v>
      </c>
      <c r="GJ101" t="e">
        <f>IF(AND($B$21=1,(7*$B$66)&lt;IF($B$63=1,$B$10-0.2,$B$62)),$B$152+$B$150*((7*$B$66)),NA())</f>
        <v>#N/A</v>
      </c>
      <c r="HI101" t="e">
        <f>IF(16&lt;=$B$16-1,$B$157+$B$156*(-$B$46),NA())</f>
        <v>#N/A</v>
      </c>
      <c r="HJ101" t="e">
        <f>IF(16&lt;=$B$16-1,$B$158+$B$156*(16*($B$5/2)/MAX(1,$B$16-1)),NA())</f>
        <v>#N/A</v>
      </c>
      <c r="HK101" t="e">
        <f>IF(32&lt;=$B$12,$B$157+$B$156*($B$13*32),NA())</f>
        <v>#N/A</v>
      </c>
      <c r="HL101" t="e">
        <f>IF(32&lt;=$B$12,$B$158+$B$156*(0),NA())</f>
        <v>#N/A</v>
      </c>
      <c r="HM101" t="e">
        <f>IF(AND(17&lt;=$B$12,1&lt;=$B$25),$B$157+$B$156*((17-1)*$B$13+1*$B$13/($B$25+1)),NA())</f>
        <v>#N/A</v>
      </c>
      <c r="HN101" t="e">
        <f>IF(AND(17&lt;=$B$12,1&lt;=$B$25),$B$158+$B$156*(0),NA())</f>
        <v>#N/A</v>
      </c>
      <c r="HQ101" t="e">
        <f>IF(AND(2&lt;=$B$23,5&lt;=$B$24),$B$157+$B$156*((IF(2=1,1,IF(2=$B$23,$B$12,5*(2-1)))-1)*$B$13),NA())</f>
        <v>#N/A</v>
      </c>
      <c r="HR101" t="e">
        <f>IF(AND(2&lt;=$B$23,5&lt;=$B$24),$B$158+$B$156*((0*$B$5/2+(5-1)*($B$5/2)/$B$24)),NA())</f>
        <v>#N/A</v>
      </c>
      <c r="HS101">
        <f>IF(AND(5&lt;=$B$12,$B$51&gt;0),$B$157+$B$156*(((5-0.5)*$B$13)-($B$51*$B$13)/2),NA())</f>
        <v>119.219571428571</v>
      </c>
      <c r="HT101">
        <f>IF(AND(5&lt;=$B$12,$B$51&gt;0),$B$158+$B$156*((0*$B$5/2+0.6*$B$159)),NA())</f>
        <v>14.6</v>
      </c>
      <c r="HU101" t="e">
        <f>IF(9&lt;=$B$47,$B$157+$B$156*(((MAX(1,MIN($B$12,ROUND(9*$B$12/($B$47+1),0)))-1)*$B$13+0.25*$B$13)-$B$48/2),NA())</f>
        <v>#N/A</v>
      </c>
      <c r="HV101" t="e">
        <f>IF(9&lt;=$B$47,$B$158+$B$156*(IF(MOD(9,2)=1,$B$5/4,3*$B$5/4)-$B$49/2),NA())</f>
        <v>#N/A</v>
      </c>
      <c r="IW101" t="e">
        <f>IF(AND(0.2+38*$B$43&lt;$B$170,ABS(0.2+38*$B$43-$B$169)&gt;$B$29/2+0.03),$B$174+$B$173*(0.2+38*$B$43),NA())</f>
        <v>#N/A</v>
      </c>
      <c r="IX101" t="e">
        <f>IF(AND(0.2+38*$B$43&lt;$B$170,ABS(0.2+38*$B$43-$B$169)&gt;$B$29/2+0.03),$B$175+$B$173*($B$165+$B$42+0.015),NA())</f>
        <v>#N/A</v>
      </c>
      <c r="KI101" t="e">
        <f>IF(AND($B$21=1,9*$B$67&gt;$B$59,9*$B$67&lt;$B$178-$B$59,OR($B$63=0,ABS(9*$B$67-$B$178/2)&gt;$B$59/2)),$B$182+$B$181*(0),NA())</f>
        <v>#N/A</v>
      </c>
      <c r="KJ101" t="e">
        <f>IF(AND($B$21=1,9*$B$67&gt;$B$59,9*$B$67&lt;$B$178-$B$59,OR($B$63=0,ABS(9*$B$67-$B$178/2)&gt;$B$59/2)),$B$183+$B$181*(9*$B$67),NA())</f>
        <v>#N/A</v>
      </c>
    </row>
    <row r="102">
      <c r="A102" t="inlineStr">
        <is>
          <t>PG_ex1</t>
        </is>
      </c>
      <c r="B102">
        <f>IF(1&lt;=$B$101,1,0)</f>
        <v>1</v>
      </c>
      <c r="G102" t="e">
        <f>IF(32&lt;=$B$12,$B$133+$B$132*($B$13*32),NA())</f>
        <v>#N/A</v>
      </c>
      <c r="H102" t="e">
        <f>IF(32&lt;=$B$12,$B$134+$B$132*($B$5+4*$B$135),NA())</f>
        <v>#N/A</v>
      </c>
      <c r="K102">
        <f>IF(5&lt;=$B$12,$B$133+$B$132*($B$13*5+$B$27/2),NA())</f>
        <v>130.773857142857</v>
      </c>
      <c r="L102">
        <f>IF(5&lt;=$B$12,$B$134+$B$132*($B$5-$B$27/2),NA())</f>
        <v>81.96</v>
      </c>
      <c r="M102" t="e">
        <f>IF(32&lt;=$B$12,$B$133+$B$132*($B$13*32),NA())</f>
        <v>#N/A</v>
      </c>
      <c r="N102" t="e">
        <f>IF(32&lt;=$B$12,$B$134+$B$132*($B$5),NA())</f>
        <v>#N/A</v>
      </c>
      <c r="EA102" t="e">
        <f>IF(AND($B$18=1,4&lt;=$B$26),$B$139+$B$138*(4*($B$5/MAX(1,$B$26))),NA())</f>
        <v>#N/A</v>
      </c>
      <c r="EB102" t="e">
        <f>IF(AND($B$18=1,4&lt;=$B$26),$B$140+$B$138*(IF(4&lt;=$B$26/2,$B$7,($B$9+$B$8*MIN(4*($B$5/MAX(1,$B$26)),$B$5-(4*($B$5/MAX(1,$B$26))))))),NA())</f>
        <v>#N/A</v>
      </c>
      <c r="FA102" t="e">
        <f>IF(32&lt;=$B$12,$B$145+$B$144*($B$13*32),NA())</f>
        <v>#N/A</v>
      </c>
      <c r="FB102" t="e">
        <f>IF(32&lt;=$B$12,$B$146+$B$144*($B$9),NA())</f>
        <v>#N/A</v>
      </c>
      <c r="FC102" t="e">
        <f>IF(6&lt;$B$22,$B$145+$B$144*(IF(($B$19+6*$B$64)&lt;$B$87,$B$90,$B$89)),NA())</f>
        <v>#N/A</v>
      </c>
      <c r="FD102" t="e">
        <f>IF(6&lt;$B$22,$B$146+$B$144*(($B$19+6*$B$64)),NA())</f>
        <v>#N/A</v>
      </c>
      <c r="FE102" t="e">
        <f>IF(AND($B$21=1,(7*$B$66)&lt;$B$62),$B$145+$B$144*(IF((7*$B$66)&lt;$B$87,$B$90,$B$89)),NA())</f>
        <v>#N/A</v>
      </c>
      <c r="FF102" t="e">
        <f>IF(AND($B$21=1,(7*$B$66)&lt;$B$62),$B$146+$B$144*((7*$B$66)),NA())</f>
        <v>#N/A</v>
      </c>
      <c r="GG102" t="e">
        <f>IF(AND($B$20=1,($B$19+6*$B$64)&lt;$B$10-0.3),$B$151+$B$150*(MAX(IF(($B$19+6*$B$64)&lt;=$B$9,0,(($B$19+6*$B$64)-$B$9)/$B$8),MIN(($B$5-IF(($B$19+6*$B$64)&lt;=$B$9,0,(($B$19+6*$B$64)-$B$9)/$B$8)),IF(($B$19+6*$B$64)&lt;$B$118,$B$121,$B$120)))),NA())</f>
        <v>#N/A</v>
      </c>
      <c r="GH102" t="e">
        <f>IF(AND($B$20=1,($B$19+6*$B$64)&lt;$B$10-0.3),$B$152+$B$150*(($B$19+6*$B$64)),NA())</f>
        <v>#N/A</v>
      </c>
      <c r="GI102" t="e">
        <f>IF(AND($B$21=1,(7*$B$66)&lt;IF($B$63=1,$B$10-0.2,$B$62)),$B$151+$B$150*(MAX(IF((7*$B$66)&lt;=$B$9,0,((7*$B$66)-$B$9)/$B$8),MIN(($B$5-IF((7*$B$66)&lt;=$B$9,0,((7*$B$66)-$B$9)/$B$8)),IF((7*$B$66)&lt;$B$118,$B$121,$B$120)))),NA())</f>
        <v>#N/A</v>
      </c>
      <c r="GJ102" t="e">
        <f>IF(AND($B$21=1,(7*$B$66)&lt;IF($B$63=1,$B$10-0.2,$B$62)),$B$152+$B$150*((7*$B$66)),NA())</f>
        <v>#N/A</v>
      </c>
      <c r="HI102" t="e">
        <f>IF(16&lt;=$B$16-1,$B$157+$B$156*($B$6+$B$46),NA())</f>
        <v>#N/A</v>
      </c>
      <c r="HJ102" t="e">
        <f>IF(16&lt;=$B$16-1,$B$158+$B$156*(16*($B$5/2)/MAX(1,$B$16-1)),NA())</f>
        <v>#N/A</v>
      </c>
      <c r="HK102" t="e">
        <f>IF(32&lt;=$B$12,$B$157+$B$156*($B$13*32),NA())</f>
        <v>#N/A</v>
      </c>
      <c r="HL102" t="e">
        <f>IF(32&lt;=$B$12,$B$158+$B$156*($B$5),NA())</f>
        <v>#N/A</v>
      </c>
      <c r="HM102" t="e">
        <f>IF(AND(17&lt;=$B$12,1&lt;=$B$25),$B$157+$B$156*((17-1)*$B$13+1*$B$13/($B$25+1)),NA())</f>
        <v>#N/A</v>
      </c>
      <c r="HN102" t="e">
        <f>IF(AND(17&lt;=$B$12,1&lt;=$B$25),$B$158+$B$156*($B$5),NA())</f>
        <v>#N/A</v>
      </c>
      <c r="HQ102" t="e">
        <f>IF(AND(2&lt;=$B$23,5&lt;=$B$24),$B$157+$B$156*(IF(2=1,1,IF(2=$B$23,$B$12,5*(2-1)))*$B$13),NA())</f>
        <v>#N/A</v>
      </c>
      <c r="HR102" t="e">
        <f>IF(AND(2&lt;=$B$23,5&lt;=$B$24),$B$158+$B$156*((0*$B$5/2+5*($B$5/2)/$B$24)),NA())</f>
        <v>#N/A</v>
      </c>
      <c r="HS102">
        <f>IF(AND(5&lt;=$B$12,$B$51&gt;0),$B$157+$B$156*(((5-0.5)*$B$13)+($B$51*$B$13)/2),NA())</f>
        <v>121.391</v>
      </c>
      <c r="HT102">
        <f>IF(AND(5&lt;=$B$12,$B$51&gt;0),$B$158+$B$156*((0*$B$5/2+0.6*$B$159)),NA())</f>
        <v>14.6</v>
      </c>
      <c r="HU102" t="e">
        <f>IF(9&lt;=$B$47,$B$157+$B$156*(((MAX(1,MIN($B$12,ROUND(9*$B$12/($B$47+1),0)))-1)*$B$13+0.25*$B$13)+$B$48/2),NA())</f>
        <v>#N/A</v>
      </c>
      <c r="HV102" t="e">
        <f>IF(9&lt;=$B$47,$B$158+$B$156*(IF(MOD(9,2)=1,$B$5/4,3*$B$5/4)-$B$49/2),NA())</f>
        <v>#N/A</v>
      </c>
      <c r="IW102" t="e">
        <f>IF(AND(0.2+38*$B$43&lt;$B$170,ABS(0.2+38*$B$43-$B$169)&gt;$B$29/2+0.03,$B$44=1),$B$174+$B$173*(0.2+38*$B$43),NA())</f>
        <v>#N/A</v>
      </c>
      <c r="IX102" t="e">
        <f>IF(AND(0.2+38*$B$43&lt;$B$170,ABS(0.2+38*$B$43-$B$169)&gt;$B$29/2+0.03,$B$44=1),$B$175+$B$173*($B$166-$B$42-0.015),NA())</f>
        <v>#N/A</v>
      </c>
      <c r="KI102" t="e">
        <f>IF(AND($B$21=1,9*$B$67&gt;$B$59,9*$B$67&lt;$B$178-$B$59,OR($B$63=0,ABS(9*$B$67-$B$178/2)&gt;$B$59/2)),$B$182+$B$181*($B$177*1/4-$B$60/2),NA())</f>
        <v>#N/A</v>
      </c>
      <c r="KJ102" t="e">
        <f>IF(AND($B$21=1,9*$B$67&gt;$B$59,9*$B$67&lt;$B$178-$B$59,OR($B$63=0,ABS(9*$B$67-$B$178/2)&gt;$B$59/2)),$B$183+$B$181*(9*$B$67),NA())</f>
        <v>#N/A</v>
      </c>
    </row>
    <row r="103">
      <c r="A103" t="inlineStr">
        <is>
          <t>PG_w1</t>
        </is>
      </c>
      <c r="B103">
        <f>IF(1&lt;=$B$99,'PARAMÈTRES'!$C$29,'PARAMÈTRES'!$C$33)</f>
        <v>4</v>
      </c>
      <c r="G103" t="e">
        <f>NA()</f>
        <v>#N/A</v>
      </c>
      <c r="H103" t="e">
        <f>NA()</f>
        <v>#N/A</v>
      </c>
      <c r="K103">
        <f>IF(5&lt;=$B$12,$B$133+$B$132*($B$13*5+$B$27/2),NA())</f>
        <v>130.773857142857</v>
      </c>
      <c r="L103">
        <f>IF(5&lt;=$B$12,$B$134+$B$132*($B$5+$B$27/2),NA())</f>
        <v>86.04</v>
      </c>
      <c r="M103" t="e">
        <f>IF(AND(32&lt;=$B$12,$B$45=1),$B$133+$B$132*($B$13*32),NA())</f>
        <v>#N/A</v>
      </c>
      <c r="N103" t="e">
        <f>IF(AND(32&lt;=$B$12,$B$45=1),$B$134+$B$132*($B$5/2),NA())</f>
        <v>#N/A</v>
      </c>
      <c r="EA103" t="e">
        <f>NA()</f>
        <v>#N/A</v>
      </c>
      <c r="EB103" t="e">
        <f>NA()</f>
        <v>#N/A</v>
      </c>
      <c r="FA103" t="e">
        <f>NA()</f>
        <v>#N/A</v>
      </c>
      <c r="FB103" t="e">
        <f>NA()</f>
        <v>#N/A</v>
      </c>
      <c r="FC103" t="e">
        <f>IF(AND(6&lt;$B$22,($B$19+6*$B$64)&gt;=$B$87),$B$145+$B$144*($B$89),NA())</f>
        <v>#N/A</v>
      </c>
      <c r="FD103" t="e">
        <f>IF(AND(6&lt;$B$22,($B$19+6*$B$64)&gt;=$B$87),$B$146+$B$144*(($B$19+6*$B$64)),NA())</f>
        <v>#N/A</v>
      </c>
      <c r="FE103" t="e">
        <f>IF(AND(AND($B$21=1,(7*$B$66)&lt;$B$62),(7*$B$66)&gt;=$B$87),$B$145+$B$144*($B$89),NA())</f>
        <v>#N/A</v>
      </c>
      <c r="FF103" t="e">
        <f>IF(AND(AND($B$21=1,(7*$B$66)&lt;$B$62),(7*$B$66)&gt;=$B$87),$B$146+$B$144*((7*$B$66)),NA())</f>
        <v>#N/A</v>
      </c>
      <c r="GG103" t="e">
        <f>IF(AND(AND($B$20=1,($B$19+6*$B$64)&lt;$B$10-0.3),($B$19+6*$B$64)&gt;=$B$118),$B$151+$B$150*(MAX(IF(($B$19+6*$B$64)&lt;=$B$9,0,(($B$19+6*$B$64)-$B$9)/$B$8),MIN(($B$5-IF(($B$19+6*$B$64)&lt;=$B$9,0,(($B$19+6*$B$64)-$B$9)/$B$8)),$B$120))),NA())</f>
        <v>#N/A</v>
      </c>
      <c r="GH103" t="e">
        <f>IF(AND(AND($B$20=1,($B$19+6*$B$64)&lt;$B$10-0.3),($B$19+6*$B$64)&gt;=$B$118),$B$152+$B$150*(($B$19+6*$B$64)),NA())</f>
        <v>#N/A</v>
      </c>
      <c r="GI103" t="e">
        <f>IF(AND(AND($B$21=1,(7*$B$66)&lt;IF($B$63=1,$B$10-0.2,$B$62)),(7*$B$66)&gt;=$B$118),$B$151+$B$150*(MAX(IF((7*$B$66)&lt;=$B$9,0,((7*$B$66)-$B$9)/$B$8),MIN(($B$5-IF((7*$B$66)&lt;=$B$9,0,((7*$B$66)-$B$9)/$B$8)),$B$120))),NA())</f>
        <v>#N/A</v>
      </c>
      <c r="GJ103" t="e">
        <f>IF(AND(AND($B$21=1,(7*$B$66)&lt;IF($B$63=1,$B$10-0.2,$B$62)),(7*$B$66)&gt;=$B$118),$B$152+$B$150*((7*$B$66)),NA())</f>
        <v>#N/A</v>
      </c>
      <c r="HI103" t="e">
        <f>NA()</f>
        <v>#N/A</v>
      </c>
      <c r="HJ103" t="e">
        <f>NA()</f>
        <v>#N/A</v>
      </c>
      <c r="HK103" t="e">
        <f>NA()</f>
        <v>#N/A</v>
      </c>
      <c r="HL103" t="e">
        <f>NA()</f>
        <v>#N/A</v>
      </c>
      <c r="HM103" t="e">
        <f>NA()</f>
        <v>#N/A</v>
      </c>
      <c r="HN103" t="e">
        <f>NA()</f>
        <v>#N/A</v>
      </c>
      <c r="HQ103" t="e">
        <f>NA()</f>
        <v>#N/A</v>
      </c>
      <c r="HR103" t="e">
        <f>NA()</f>
        <v>#N/A</v>
      </c>
      <c r="HS103">
        <f>IF(AND(5&lt;=$B$12,$B$51&gt;0),$B$157+$B$156*(((5-0.5)*$B$13)+($B$51*$B$13)/2),NA())</f>
        <v>121.391</v>
      </c>
      <c r="HT103">
        <f>IF(AND(5&lt;=$B$12,$B$51&gt;0),$B$158+$B$156*((0*$B$5/2+$B$5/2-0.6*$B$159)),NA())</f>
        <v>51.4</v>
      </c>
      <c r="HU103" t="e">
        <f>IF(9&lt;=$B$47,$B$157+$B$156*(((MAX(1,MIN($B$12,ROUND(9*$B$12/($B$47+1),0)))-1)*$B$13+0.25*$B$13)+$B$48/2),NA())</f>
        <v>#N/A</v>
      </c>
      <c r="HV103" t="e">
        <f>IF(9&lt;=$B$47,$B$158+$B$156*(IF(MOD(9,2)=1,$B$5/4,3*$B$5/4)+$B$49/2),NA())</f>
        <v>#N/A</v>
      </c>
      <c r="IW103" t="e">
        <f>IF(AND(0.2+39*$B$43&lt;$B$170,ABS(0.2+39*$B$43-$B$169)&gt;$B$29/2+0.03),$B$174+$B$173*(0.2+39*$B$43),NA())</f>
        <v>#N/A</v>
      </c>
      <c r="IX103" t="e">
        <f>IF(AND(0.2+39*$B$43&lt;$B$170,ABS(0.2+39*$B$43-$B$169)&gt;$B$29/2+0.03),$B$175+$B$173*($B$165+$B$42+0.015),NA())</f>
        <v>#N/A</v>
      </c>
      <c r="KI103" t="e">
        <f>NA()</f>
        <v>#N/A</v>
      </c>
      <c r="KJ103" t="e">
        <f>NA()</f>
        <v>#N/A</v>
      </c>
    </row>
    <row r="104">
      <c r="A104" t="inlineStr">
        <is>
          <t>PG_h1</t>
        </is>
      </c>
      <c r="B104">
        <f>IF(1&lt;=$B$99,'PARAMÈTRES'!$C$30,'PARAMÈTRES'!$C$34)*$B$102</f>
        <v>4.5</v>
      </c>
      <c r="G104" t="e">
        <f>IF(33&lt;=$B$12,$B$133+$B$132*($B$13*33),NA())</f>
        <v>#N/A</v>
      </c>
      <c r="H104" t="e">
        <f>IF(33&lt;=$B$12,$B$134+$B$132*(-4*$B$135),NA())</f>
        <v>#N/A</v>
      </c>
      <c r="K104">
        <f>IF(5&lt;=$B$12,$B$133+$B$132*($B$13*5-$B$27/2),NA())</f>
        <v>126.693857142857</v>
      </c>
      <c r="L104">
        <f>IF(5&lt;=$B$12,$B$134+$B$132*($B$5+$B$27/2),NA())</f>
        <v>86.04</v>
      </c>
      <c r="M104" t="e">
        <f>IF(33&lt;=$B$12,$B$133+$B$132*($B$13*33),NA())</f>
        <v>#N/A</v>
      </c>
      <c r="N104" t="e">
        <f>IF(33&lt;=$B$12,$B$134+$B$132*(0),NA())</f>
        <v>#N/A</v>
      </c>
      <c r="EA104" t="e">
        <f>IF(AND($B$18=1,5&lt;=$B$26),$B$139+$B$138*(4*($B$5/MAX(1,$B$26))),NA())</f>
        <v>#N/A</v>
      </c>
      <c r="EB104" t="e">
        <f>IF(AND($B$18=1,5&lt;=$B$26),$B$140+$B$138*(IF(5&lt;=$B$26/2,($B$9+$B$8*MIN(4*($B$5/MAX(1,$B$26)),$B$5-(4*($B$5/MAX(1,$B$26))))),$B$7)),NA())</f>
        <v>#N/A</v>
      </c>
      <c r="FA104" t="e">
        <f>IF(33&lt;=$B$12,$B$145+$B$144*($B$13*33),NA())</f>
        <v>#N/A</v>
      </c>
      <c r="FB104" t="e">
        <f>IF(33&lt;=$B$12,$B$146+$B$144*(0),NA())</f>
        <v>#N/A</v>
      </c>
      <c r="FC104" t="e">
        <f>IF(6&lt;$B$22,$B$145+$B$144*(IF(($B$19+6*$B$64)&lt;$B$87,$B$91,$B$89)),NA())</f>
        <v>#N/A</v>
      </c>
      <c r="FD104" t="e">
        <f>IF(6&lt;$B$22,$B$146+$B$144*(($B$19+6*$B$64)),NA())</f>
        <v>#N/A</v>
      </c>
      <c r="FE104" t="e">
        <f>IF(AND($B$21=1,(7*$B$66)&lt;$B$62),$B$145+$B$144*(IF((7*$B$66)&lt;$B$87,$B$91,$B$89)),NA())</f>
        <v>#N/A</v>
      </c>
      <c r="FF104" t="e">
        <f>IF(AND($B$21=1,(7*$B$66)&lt;$B$62),$B$146+$B$144*((7*$B$66)),NA())</f>
        <v>#N/A</v>
      </c>
      <c r="GG104" t="e">
        <f>IF(AND($B$20=1,($B$19+6*$B$64)&lt;$B$10-0.3),$B$151+$B$150*(MAX(IF(($B$19+6*$B$64)&lt;=$B$9,0,(($B$19+6*$B$64)-$B$9)/$B$8),MIN(($B$5-IF(($B$19+6*$B$64)&lt;=$B$9,0,(($B$19+6*$B$64)-$B$9)/$B$8)),IF(($B$19+6*$B$64)&lt;$B$118,$B$122,$B$120)))),NA())</f>
        <v>#N/A</v>
      </c>
      <c r="GH104" t="e">
        <f>IF(AND($B$20=1,($B$19+6*$B$64)&lt;$B$10-0.3),$B$152+$B$150*(($B$19+6*$B$64)),NA())</f>
        <v>#N/A</v>
      </c>
      <c r="GI104" t="e">
        <f>IF(AND($B$21=1,(7*$B$66)&lt;IF($B$63=1,$B$10-0.2,$B$62)),$B$151+$B$150*(MAX(IF((7*$B$66)&lt;=$B$9,0,((7*$B$66)-$B$9)/$B$8),MIN(($B$5-IF((7*$B$66)&lt;=$B$9,0,((7*$B$66)-$B$9)/$B$8)),IF((7*$B$66)&lt;$B$118,$B$122,$B$120)))),NA())</f>
        <v>#N/A</v>
      </c>
      <c r="GJ104" t="e">
        <f>IF(AND($B$21=1,(7*$B$66)&lt;IF($B$63=1,$B$10-0.2,$B$62)),$B$152+$B$150*((7*$B$66)),NA())</f>
        <v>#N/A</v>
      </c>
      <c r="HI104" t="e">
        <f>IF(16&lt;=$B$16-1,$B$157+$B$156*(-$B$46),NA())</f>
        <v>#N/A</v>
      </c>
      <c r="HJ104" t="e">
        <f>IF(16&lt;=$B$16-1,$B$158+$B$156*($B$5-16*($B$5/2)/MAX(1,$B$16-1)),NA())</f>
        <v>#N/A</v>
      </c>
      <c r="HK104" t="e">
        <f>IF(33&lt;=$B$12,$B$157+$B$156*($B$13*33),NA())</f>
        <v>#N/A</v>
      </c>
      <c r="HL104" t="e">
        <f>IF(33&lt;=$B$12,$B$158+$B$156*(0),NA())</f>
        <v>#N/A</v>
      </c>
      <c r="HM104" t="e">
        <f>IF(AND(17&lt;=$B$12,2&lt;=$B$25),$B$157+$B$156*((17-1)*$B$13+2*$B$13/($B$25+1)),NA())</f>
        <v>#N/A</v>
      </c>
      <c r="HN104" t="e">
        <f>IF(AND(17&lt;=$B$12,2&lt;=$B$25),$B$158+$B$156*(0),NA())</f>
        <v>#N/A</v>
      </c>
      <c r="HQ104" t="e">
        <f>IF(AND(2&lt;=$B$23,5&lt;=$B$24),$B$157+$B$156*((IF(2=1,1,IF(2=$B$23,$B$12,5*(2-1)))-1)*$B$13),NA())</f>
        <v>#N/A</v>
      </c>
      <c r="HR104" t="e">
        <f>IF(AND(2&lt;=$B$23,5&lt;=$B$24),$B$158+$B$156*((0*$B$5/2+5*($B$5/2)/$B$24)),NA())</f>
        <v>#N/A</v>
      </c>
      <c r="HS104">
        <f>IF(AND(5&lt;=$B$12,$B$51&gt;0),$B$157+$B$156*(((5-0.5)*$B$13)-($B$51*$B$13)/2),NA())</f>
        <v>119.219571428571</v>
      </c>
      <c r="HT104">
        <f>IF(AND(5&lt;=$B$12,$B$51&gt;0),$B$158+$B$156*((0*$B$5/2+$B$5/2-0.6*$B$159)),NA())</f>
        <v>51.4</v>
      </c>
      <c r="HU104" t="e">
        <f>IF(9&lt;=$B$47,$B$157+$B$156*(((MAX(1,MIN($B$12,ROUND(9*$B$12/($B$47+1),0)))-1)*$B$13+0.25*$B$13)-$B$48/2),NA())</f>
        <v>#N/A</v>
      </c>
      <c r="HV104" t="e">
        <f>IF(9&lt;=$B$47,$B$158+$B$156*(IF(MOD(9,2)=1,$B$5/4,3*$B$5/4)+$B$49/2),NA())</f>
        <v>#N/A</v>
      </c>
      <c r="IW104" t="e">
        <f>IF(AND(0.2+39*$B$43&lt;$B$170,ABS(0.2+39*$B$43-$B$169)&gt;$B$29/2+0.03,$B$44=1),$B$174+$B$173*(0.2+39*$B$43),NA())</f>
        <v>#N/A</v>
      </c>
      <c r="IX104" t="e">
        <f>IF(AND(0.2+39*$B$43&lt;$B$170,ABS(0.2+39*$B$43-$B$169)&gt;$B$29/2+0.03,$B$44=1),$B$175+$B$173*($B$166-$B$42-0.015),NA())</f>
        <v>#N/A</v>
      </c>
      <c r="KI104" t="e">
        <f>IF(AND($B$21=1,9*$B$67&gt;$B$59,9*$B$67&lt;$B$178-$B$59,OR($B$63=0,ABS(9*$B$67-$B$178/2)&gt;$B$59/2)),$B$182+$B$181*($B$177*1/4+$B$60/2),NA())</f>
        <v>#N/A</v>
      </c>
      <c r="KJ104" t="e">
        <f>IF(AND($B$21=1,9*$B$67&gt;$B$59,9*$B$67&lt;$B$178-$B$59,OR($B$63=0,ABS(9*$B$67-$B$178/2)&gt;$B$59/2)),$B$183+$B$181*(9*$B$67),NA())</f>
        <v>#N/A</v>
      </c>
    </row>
    <row r="105">
      <c r="A105" t="inlineStr">
        <is>
          <t>PG_pos1</t>
        </is>
      </c>
      <c r="B105">
        <f>MAX(1,MIN($B$14,ROUND(1*$B$14/($B$101+1),0)))</f>
        <v>2</v>
      </c>
      <c r="G105" t="e">
        <f>IF(33&lt;=$B$12,$B$133+$B$132*($B$13*33),NA())</f>
        <v>#N/A</v>
      </c>
      <c r="H105" t="e">
        <f>IF(33&lt;=$B$12,$B$134+$B$132*($B$5+4*$B$135),NA())</f>
        <v>#N/A</v>
      </c>
      <c r="K105">
        <f>IF(5&lt;=$B$12,$B$133+$B$132*($B$13*5-$B$27/2),NA())</f>
        <v>126.693857142857</v>
      </c>
      <c r="L105">
        <f>IF(5&lt;=$B$12,$B$134+$B$132*($B$5-$B$27/2),NA())</f>
        <v>81.96</v>
      </c>
      <c r="M105" t="e">
        <f>IF(33&lt;=$B$12,$B$133+$B$132*($B$13*33),NA())</f>
        <v>#N/A</v>
      </c>
      <c r="N105" t="e">
        <f>IF(33&lt;=$B$12,$B$134+$B$132*($B$5),NA())</f>
        <v>#N/A</v>
      </c>
      <c r="EA105" t="e">
        <f>IF(AND($B$18=1,5&lt;=$B$26),$B$139+$B$138*(5*($B$5/MAX(1,$B$26))),NA())</f>
        <v>#N/A</v>
      </c>
      <c r="EB105" t="e">
        <f>IF(AND($B$18=1,5&lt;=$B$26),$B$140+$B$138*(IF(5&lt;=$B$26/2,$B$7,($B$9+$B$8*MIN(5*($B$5/MAX(1,$B$26)),$B$5-(5*($B$5/MAX(1,$B$26))))))),NA())</f>
        <v>#N/A</v>
      </c>
      <c r="FA105" t="e">
        <f>IF(33&lt;=$B$12,$B$145+$B$144*($B$13*33),NA())</f>
        <v>#N/A</v>
      </c>
      <c r="FB105" t="e">
        <f>IF(33&lt;=$B$12,$B$146+$B$144*($B$9),NA())</f>
        <v>#N/A</v>
      </c>
      <c r="FC105" t="e">
        <f>IF(6&lt;$B$22,$B$145+$B$144*(IF(($B$19+6*$B$64)&lt;$B$94,$B$97,$B$96)),NA())</f>
        <v>#N/A</v>
      </c>
      <c r="FD105" t="e">
        <f>IF(6&lt;$B$22,$B$146+$B$144*(($B$19+6*$B$64)),NA())</f>
        <v>#N/A</v>
      </c>
      <c r="FE105" t="e">
        <f>IF(AND($B$21=1,(7*$B$66)&lt;$B$62),$B$145+$B$144*(IF((7*$B$66)&lt;$B$94,$B$97,$B$96)),NA())</f>
        <v>#N/A</v>
      </c>
      <c r="FF105" t="e">
        <f>IF(AND($B$21=1,(7*$B$66)&lt;$B$62),$B$146+$B$144*((7*$B$66)),NA())</f>
        <v>#N/A</v>
      </c>
      <c r="GG105" t="e">
        <f>IF(AND($B$20=1,($B$19+6*$B$64)&lt;$B$10-0.3),$B$151+$B$150*(MAX(IF(($B$19+6*$B$64)&lt;=$B$9,0,(($B$19+6*$B$64)-$B$9)/$B$8),MIN(($B$5-IF(($B$19+6*$B$64)&lt;=$B$9,0,(($B$19+6*$B$64)-$B$9)/$B$8)),IF(($B$19+6*$B$64)&lt;$B$125,$B$128,$B$127)))),NA())</f>
        <v>#N/A</v>
      </c>
      <c r="GH105" t="e">
        <f>IF(AND($B$20=1,($B$19+6*$B$64)&lt;$B$10-0.3),$B$152+$B$150*(($B$19+6*$B$64)),NA())</f>
        <v>#N/A</v>
      </c>
      <c r="GI105" t="e">
        <f>IF(AND($B$21=1,(7*$B$66)&lt;IF($B$63=1,$B$10-0.2,$B$62)),$B$151+$B$150*(MAX(IF((7*$B$66)&lt;=$B$9,0,((7*$B$66)-$B$9)/$B$8),MIN(($B$5-IF((7*$B$66)&lt;=$B$9,0,((7*$B$66)-$B$9)/$B$8)),IF((7*$B$66)&lt;$B$125,$B$128,$B$127)))),NA())</f>
        <v>#N/A</v>
      </c>
      <c r="GJ105" t="e">
        <f>IF(AND($B$21=1,(7*$B$66)&lt;IF($B$63=1,$B$10-0.2,$B$62)),$B$152+$B$150*((7*$B$66)),NA())</f>
        <v>#N/A</v>
      </c>
      <c r="HI105" t="e">
        <f>IF(16&lt;=$B$16-1,$B$157+$B$156*($B$6+$B$46),NA())</f>
        <v>#N/A</v>
      </c>
      <c r="HJ105" t="e">
        <f>IF(16&lt;=$B$16-1,$B$158+$B$156*($B$5-16*($B$5/2)/MAX(1,$B$16-1)),NA())</f>
        <v>#N/A</v>
      </c>
      <c r="HK105" t="e">
        <f>IF(33&lt;=$B$12,$B$157+$B$156*($B$13*33),NA())</f>
        <v>#N/A</v>
      </c>
      <c r="HL105" t="e">
        <f>IF(33&lt;=$B$12,$B$158+$B$156*($B$5),NA())</f>
        <v>#N/A</v>
      </c>
      <c r="HM105" t="e">
        <f>IF(AND(17&lt;=$B$12,2&lt;=$B$25),$B$157+$B$156*((17-1)*$B$13+2*$B$13/($B$25+1)),NA())</f>
        <v>#N/A</v>
      </c>
      <c r="HN105" t="e">
        <f>IF(AND(17&lt;=$B$12,2&lt;=$B$25),$B$158+$B$156*($B$5),NA())</f>
        <v>#N/A</v>
      </c>
      <c r="HQ105" t="e">
        <f>IF(AND(2&lt;=$B$23,5&lt;=$B$24),$B$157+$B$156*(IF(2=1,1,IF(2=$B$23,$B$12,5*(2-1)))*$B$13),NA())</f>
        <v>#N/A</v>
      </c>
      <c r="HR105" t="e">
        <f>IF(AND(2&lt;=$B$23,5&lt;=$B$24),$B$158+$B$156*((0*$B$5/2+(5-1)*($B$5/2)/$B$24)),NA())</f>
        <v>#N/A</v>
      </c>
      <c r="HS105">
        <f>IF(AND(5&lt;=$B$12,$B$51&gt;0),$B$157+$B$156*(((5-0.5)*$B$13)-($B$51*$B$13)/2),NA())</f>
        <v>119.219571428571</v>
      </c>
      <c r="HT105">
        <f>IF(AND(5&lt;=$B$12,$B$51&gt;0),$B$158+$B$156*((0*$B$5/2+0.6*$B$159)),NA())</f>
        <v>14.6</v>
      </c>
      <c r="HU105" t="e">
        <f>IF(9&lt;=$B$47,$B$157+$B$156*(((MAX(1,MIN($B$12,ROUND(9*$B$12/($B$47+1),0)))-1)*$B$13+0.25*$B$13)-$B$48/2),NA())</f>
        <v>#N/A</v>
      </c>
      <c r="HV105" t="e">
        <f>IF(9&lt;=$B$47,$B$158+$B$156*(IF(MOD(9,2)=1,$B$5/4,3*$B$5/4)-$B$49/2),NA())</f>
        <v>#N/A</v>
      </c>
      <c r="KI105" t="e">
        <f>IF(AND($B$21=1,9*$B$67&gt;$B$59,9*$B$67&lt;$B$178-$B$59,OR($B$63=0,ABS(9*$B$67-$B$178/2)&gt;$B$59/2)),$B$182+$B$181*($B$177*2/4-$B$60/2),NA())</f>
        <v>#N/A</v>
      </c>
      <c r="KJ105" t="e">
        <f>IF(AND($B$21=1,9*$B$67&gt;$B$59,9*$B$67&lt;$B$178-$B$59,OR($B$63=0,ABS(9*$B$67-$B$178/2)&gt;$B$59/2)),$B$183+$B$181*(9*$B$67),NA())</f>
        <v>#N/A</v>
      </c>
    </row>
    <row r="106">
      <c r="A106" t="inlineStr">
        <is>
          <t>PG_xc1</t>
        </is>
      </c>
      <c r="B106">
        <f>IF($B$102=1,($B$105-0.5)*$B$15,$B$5)</f>
        <v>7.5</v>
      </c>
      <c r="G106" t="e">
        <f>NA()</f>
        <v>#N/A</v>
      </c>
      <c r="H106" t="e">
        <f>NA()</f>
        <v>#N/A</v>
      </c>
      <c r="K106" t="e">
        <f>NA()</f>
        <v>#N/A</v>
      </c>
      <c r="L106" t="e">
        <f>NA()</f>
        <v>#N/A</v>
      </c>
      <c r="M106" t="e">
        <f>IF(AND(33&lt;=$B$12,$B$45=1),$B$133+$B$132*($B$13*33),NA())</f>
        <v>#N/A</v>
      </c>
      <c r="N106" t="e">
        <f>IF(AND(33&lt;=$B$12,$B$45=1),$B$134+$B$132*($B$5/2),NA())</f>
        <v>#N/A</v>
      </c>
      <c r="EA106" t="e">
        <f>NA()</f>
        <v>#N/A</v>
      </c>
      <c r="EB106" t="e">
        <f>NA()</f>
        <v>#N/A</v>
      </c>
      <c r="FA106" t="e">
        <f>NA()</f>
        <v>#N/A</v>
      </c>
      <c r="FB106" t="e">
        <f>NA()</f>
        <v>#N/A</v>
      </c>
      <c r="FC106" t="e">
        <f>IF(AND(6&lt;$B$22,($B$19+6*$B$64)&gt;=$B$94),$B$145+$B$144*($B$96),NA())</f>
        <v>#N/A</v>
      </c>
      <c r="FD106" t="e">
        <f>IF(AND(6&lt;$B$22,($B$19+6*$B$64)&gt;=$B$94),$B$146+$B$144*(($B$19+6*$B$64)),NA())</f>
        <v>#N/A</v>
      </c>
      <c r="FE106" t="e">
        <f>IF(AND(AND($B$21=1,(7*$B$66)&lt;$B$62),(7*$B$66)&gt;=$B$94),$B$145+$B$144*($B$96),NA())</f>
        <v>#N/A</v>
      </c>
      <c r="FF106" t="e">
        <f>IF(AND(AND($B$21=1,(7*$B$66)&lt;$B$62),(7*$B$66)&gt;=$B$94),$B$146+$B$144*((7*$B$66)),NA())</f>
        <v>#N/A</v>
      </c>
      <c r="GG106" t="e">
        <f>IF(AND(AND($B$20=1,($B$19+6*$B$64)&lt;$B$10-0.3),($B$19+6*$B$64)&gt;=$B$125),$B$151+$B$150*(MAX(IF(($B$19+6*$B$64)&lt;=$B$9,0,(($B$19+6*$B$64)-$B$9)/$B$8),MIN(($B$5-IF(($B$19+6*$B$64)&lt;=$B$9,0,(($B$19+6*$B$64)-$B$9)/$B$8)),$B$127))),NA())</f>
        <v>#N/A</v>
      </c>
      <c r="GH106" t="e">
        <f>IF(AND(AND($B$20=1,($B$19+6*$B$64)&lt;$B$10-0.3),($B$19+6*$B$64)&gt;=$B$125),$B$152+$B$150*(($B$19+6*$B$64)),NA())</f>
        <v>#N/A</v>
      </c>
      <c r="GI106" t="e">
        <f>IF(AND(AND($B$21=1,(7*$B$66)&lt;IF($B$63=1,$B$10-0.2,$B$62)),(7*$B$66)&gt;=$B$125),$B$151+$B$150*(MAX(IF((7*$B$66)&lt;=$B$9,0,((7*$B$66)-$B$9)/$B$8),MIN(($B$5-IF((7*$B$66)&lt;=$B$9,0,((7*$B$66)-$B$9)/$B$8)),$B$127))),NA())</f>
        <v>#N/A</v>
      </c>
      <c r="GJ106" t="e">
        <f>IF(AND(AND($B$21=1,(7*$B$66)&lt;IF($B$63=1,$B$10-0.2,$B$62)),(7*$B$66)&gt;=$B$125),$B$152+$B$150*((7*$B$66)),NA())</f>
        <v>#N/A</v>
      </c>
      <c r="HI106" t="e">
        <f>NA()</f>
        <v>#N/A</v>
      </c>
      <c r="HJ106" t="e">
        <f>NA()</f>
        <v>#N/A</v>
      </c>
      <c r="HK106" t="e">
        <f>NA()</f>
        <v>#N/A</v>
      </c>
      <c r="HL106" t="e">
        <f>NA()</f>
        <v>#N/A</v>
      </c>
      <c r="HM106" t="e">
        <f>NA()</f>
        <v>#N/A</v>
      </c>
      <c r="HN106" t="e">
        <f>NA()</f>
        <v>#N/A</v>
      </c>
      <c r="HQ106" t="e">
        <f>NA()</f>
        <v>#N/A</v>
      </c>
      <c r="HR106" t="e">
        <f>NA()</f>
        <v>#N/A</v>
      </c>
      <c r="HS106" t="e">
        <f>NA()</f>
        <v>#N/A</v>
      </c>
      <c r="HT106" t="e">
        <f>NA()</f>
        <v>#N/A</v>
      </c>
      <c r="HU106" t="e">
        <f>NA()</f>
        <v>#N/A</v>
      </c>
      <c r="HV106" t="e">
        <f>NA()</f>
        <v>#N/A</v>
      </c>
      <c r="KI106" t="e">
        <f>NA()</f>
        <v>#N/A</v>
      </c>
      <c r="KJ106" t="e">
        <f>NA()</f>
        <v>#N/A</v>
      </c>
    </row>
    <row r="107">
      <c r="A107" t="inlineStr">
        <is>
          <t>PG_xl1</t>
        </is>
      </c>
      <c r="B107">
        <f>IF($B$102=1,$B$106-$B$103/2,$B$5)</f>
        <v>5.5</v>
      </c>
      <c r="G107" t="e">
        <f>IF(34&lt;=$B$12,$B$133+$B$132*($B$13*34),NA())</f>
        <v>#N/A</v>
      </c>
      <c r="H107" t="e">
        <f>IF(34&lt;=$B$12,$B$134+$B$132*(-4*$B$135),NA())</f>
        <v>#N/A</v>
      </c>
      <c r="K107" t="e">
        <f>IF(AND(5&lt;=$B$12,$B$45=1),$B$133+$B$132*($B$13*5-$B$27/2),NA())</f>
        <v>#N/A</v>
      </c>
      <c r="L107" t="e">
        <f>IF(AND(5&lt;=$B$12,$B$45=1),$B$134+$B$132*($B$5/2-$B$27/2),NA())</f>
        <v>#N/A</v>
      </c>
      <c r="M107" t="e">
        <f>IF(34&lt;=$B$12,$B$133+$B$132*($B$13*34),NA())</f>
        <v>#N/A</v>
      </c>
      <c r="N107" t="e">
        <f>IF(34&lt;=$B$12,$B$134+$B$132*(0),NA())</f>
        <v>#N/A</v>
      </c>
      <c r="EA107" t="e">
        <f>IF(AND($B$18=1,6&lt;=$B$26),$B$139+$B$138*(5*($B$5/MAX(1,$B$26))),NA())</f>
        <v>#N/A</v>
      </c>
      <c r="EB107" t="e">
        <f>IF(AND($B$18=1,6&lt;=$B$26),$B$140+$B$138*(IF(6&lt;=$B$26/2,($B$9+$B$8*MIN(5*($B$5/MAX(1,$B$26)),$B$5-(5*($B$5/MAX(1,$B$26))))),$B$7)),NA())</f>
        <v>#N/A</v>
      </c>
      <c r="FA107" t="e">
        <f>IF(34&lt;=$B$12,$B$145+$B$144*($B$13*34),NA())</f>
        <v>#N/A</v>
      </c>
      <c r="FB107" t="e">
        <f>IF(34&lt;=$B$12,$B$146+$B$144*(0),NA())</f>
        <v>#N/A</v>
      </c>
      <c r="FC107" t="e">
        <f>IF(6&lt;$B$22,$B$145+$B$144*(IF(($B$19+6*$B$64)&lt;$B$94,$B$98,$B$96)),NA())</f>
        <v>#N/A</v>
      </c>
      <c r="FD107" t="e">
        <f>IF(6&lt;$B$22,$B$146+$B$144*(($B$19+6*$B$64)),NA())</f>
        <v>#N/A</v>
      </c>
      <c r="FE107" t="e">
        <f>IF(AND($B$21=1,(7*$B$66)&lt;$B$62),$B$145+$B$144*(IF((7*$B$66)&lt;$B$94,$B$98,$B$96)),NA())</f>
        <v>#N/A</v>
      </c>
      <c r="FF107" t="e">
        <f>IF(AND($B$21=1,(7*$B$66)&lt;$B$62),$B$146+$B$144*((7*$B$66)),NA())</f>
        <v>#N/A</v>
      </c>
      <c r="GG107" t="e">
        <f>IF(AND($B$20=1,($B$19+6*$B$64)&lt;$B$10-0.3),$B$151+$B$150*(MAX(IF(($B$19+6*$B$64)&lt;=$B$9,0,(($B$19+6*$B$64)-$B$9)/$B$8),MIN(($B$5-IF(($B$19+6*$B$64)&lt;=$B$9,0,(($B$19+6*$B$64)-$B$9)/$B$8)),IF(($B$19+6*$B$64)&lt;$B$125,$B$129,$B$127)))),NA())</f>
        <v>#N/A</v>
      </c>
      <c r="GH107" t="e">
        <f>IF(AND($B$20=1,($B$19+6*$B$64)&lt;$B$10-0.3),$B$152+$B$150*(($B$19+6*$B$64)),NA())</f>
        <v>#N/A</v>
      </c>
      <c r="GI107" t="e">
        <f>IF(AND($B$21=1,(7*$B$66)&lt;IF($B$63=1,$B$10-0.2,$B$62)),$B$151+$B$150*(MAX(IF((7*$B$66)&lt;=$B$9,0,((7*$B$66)-$B$9)/$B$8),MIN(($B$5-IF((7*$B$66)&lt;=$B$9,0,((7*$B$66)-$B$9)/$B$8)),IF((7*$B$66)&lt;$B$125,$B$129,$B$127)))),NA())</f>
        <v>#N/A</v>
      </c>
      <c r="GJ107" t="e">
        <f>IF(AND($B$21=1,(7*$B$66)&lt;IF($B$63=1,$B$10-0.2,$B$62)),$B$152+$B$150*((7*$B$66)),NA())</f>
        <v>#N/A</v>
      </c>
      <c r="HI107" t="e">
        <f>IF(17&lt;=$B$16-1,$B$157+$B$156*(-$B$46),NA())</f>
        <v>#N/A</v>
      </c>
      <c r="HJ107" t="e">
        <f>IF(17&lt;=$B$16-1,$B$158+$B$156*(17*($B$5/2)/MAX(1,$B$16-1)),NA())</f>
        <v>#N/A</v>
      </c>
      <c r="HK107" t="e">
        <f>IF(34&lt;=$B$12,$B$157+$B$156*($B$13*34),NA())</f>
        <v>#N/A</v>
      </c>
      <c r="HL107" t="e">
        <f>IF(34&lt;=$B$12,$B$158+$B$156*(0),NA())</f>
        <v>#N/A</v>
      </c>
      <c r="HM107" t="e">
        <f>IF(AND(18&lt;=$B$12,1&lt;=$B$25),$B$157+$B$156*((18-1)*$B$13+1*$B$13/($B$25+1)),NA())</f>
        <v>#N/A</v>
      </c>
      <c r="HN107" t="e">
        <f>IF(AND(18&lt;=$B$12,1&lt;=$B$25),$B$158+$B$156*(0),NA())</f>
        <v>#N/A</v>
      </c>
      <c r="HQ107" t="e">
        <f>IF(AND(2&lt;=$B$23,6&lt;=$B$24),$B$157+$B$156*((IF(2=1,1,IF(2=$B$23,$B$12,5*(2-1)))-1)*$B$13),NA())</f>
        <v>#N/A</v>
      </c>
      <c r="HR107" t="e">
        <f>IF(AND(2&lt;=$B$23,6&lt;=$B$24),$B$158+$B$156*((0*$B$5/2+(6-1)*($B$5/2)/$B$24)),NA())</f>
        <v>#N/A</v>
      </c>
      <c r="HS107">
        <f>IF(AND(5&lt;=$B$12,$B$51&gt;0),$B$157+$B$156*(((5-0.5)*$B$13)-($B$51*$B$13)/2),NA())</f>
        <v>119.219571428571</v>
      </c>
      <c r="HT107">
        <f>IF(AND(5&lt;=$B$12,$B$51&gt;0),$B$158+$B$156*((0*$B$5/2+0.6*$B$159)),NA())</f>
        <v>14.6</v>
      </c>
      <c r="HU107" t="e">
        <f>IF(9&lt;=$B$47,$B$157+$B$156*(((MAX(1,MIN($B$12,ROUND(9*$B$12/($B$47+1),0)))-1)*$B$13+0.25*$B$13)-$B$48/2-0.2),NA())</f>
        <v>#N/A</v>
      </c>
      <c r="HV107" t="e">
        <f>IF(9&lt;=$B$47,$B$158+$B$156*(IF(MOD(9,2)=1,$B$5/4,3*$B$5/4)-$B$49/2-0.2),NA())</f>
        <v>#N/A</v>
      </c>
      <c r="KI107" t="e">
        <f>IF(AND($B$21=1,9*$B$67&gt;$B$59,9*$B$67&lt;$B$178-$B$59,OR($B$63=0,ABS(9*$B$67-$B$178/2)&gt;$B$59/2)),$B$182+$B$181*($B$177*2/4+$B$60/2),NA())</f>
        <v>#N/A</v>
      </c>
      <c r="KJ107" t="e">
        <f>IF(AND($B$21=1,9*$B$67&gt;$B$59,9*$B$67&lt;$B$178-$B$59,OR($B$63=0,ABS(9*$B$67-$B$178/2)&gt;$B$59/2)),$B$183+$B$181*(9*$B$67),NA())</f>
        <v>#N/A</v>
      </c>
    </row>
    <row r="108">
      <c r="A108" t="inlineStr">
        <is>
          <t>PG_xr1</t>
        </is>
      </c>
      <c r="B108">
        <f>IF($B$102=1,$B$106+$B$103/2,$B$5)</f>
        <v>9.5</v>
      </c>
      <c r="G108" t="e">
        <f>IF(34&lt;=$B$12,$B$133+$B$132*($B$13*34),NA())</f>
        <v>#N/A</v>
      </c>
      <c r="H108" t="e">
        <f>IF(34&lt;=$B$12,$B$134+$B$132*($B$5+4*$B$135),NA())</f>
        <v>#N/A</v>
      </c>
      <c r="K108" t="e">
        <f>IF(AND(5&lt;=$B$12,$B$45=1),$B$133+$B$132*($B$13*5+$B$27/2),NA())</f>
        <v>#N/A</v>
      </c>
      <c r="L108" t="e">
        <f>IF(AND(5&lt;=$B$12,$B$45=1),$B$134+$B$132*($B$5/2-$B$27/2),NA())</f>
        <v>#N/A</v>
      </c>
      <c r="M108" t="e">
        <f>IF(34&lt;=$B$12,$B$133+$B$132*($B$13*34),NA())</f>
        <v>#N/A</v>
      </c>
      <c r="N108" t="e">
        <f>IF(34&lt;=$B$12,$B$134+$B$132*($B$5),NA())</f>
        <v>#N/A</v>
      </c>
      <c r="EA108" t="e">
        <f>IF(AND($B$18=1,6&lt;=$B$26),$B$139+$B$138*(6*($B$5/MAX(1,$B$26))),NA())</f>
        <v>#N/A</v>
      </c>
      <c r="EB108" t="e">
        <f>IF(AND($B$18=1,6&lt;=$B$26),$B$140+$B$138*(IF(6&lt;=$B$26/2,$B$7,($B$9+$B$8*MIN(6*($B$5/MAX(1,$B$26)),$B$5-(6*($B$5/MAX(1,$B$26))))))),NA())</f>
        <v>#N/A</v>
      </c>
      <c r="FA108" t="e">
        <f>IF(34&lt;=$B$12,$B$145+$B$144*($B$13*34),NA())</f>
        <v>#N/A</v>
      </c>
      <c r="FB108" t="e">
        <f>IF(34&lt;=$B$12,$B$146+$B$144*($B$9),NA())</f>
        <v>#N/A</v>
      </c>
      <c r="FC108" t="e">
        <f>IF(6&lt;$B$22,$B$145+$B$144*($B$6),NA())</f>
        <v>#N/A</v>
      </c>
      <c r="FD108" t="e">
        <f>IF(6&lt;$B$22,$B$146+$B$144*(($B$19+6*$B$64)),NA())</f>
        <v>#N/A</v>
      </c>
      <c r="FE108" t="e">
        <f>IF(AND($B$21=1,(7*$B$66)&lt;$B$62),$B$145+$B$144*($B$6),NA())</f>
        <v>#N/A</v>
      </c>
      <c r="FF108" t="e">
        <f>IF(AND($B$21=1,(7*$B$66)&lt;$B$62),$B$146+$B$144*((7*$B$66)),NA())</f>
        <v>#N/A</v>
      </c>
      <c r="GG108" t="e">
        <f>IF(AND($B$20=1,($B$19+6*$B$64)&lt;$B$10-0.3),$B$151+$B$150*(($B$5-IF(($B$19+6*$B$64)&lt;=$B$9,0,(($B$19+6*$B$64)-$B$9)/$B$8))),NA())</f>
        <v>#N/A</v>
      </c>
      <c r="GH108" t="e">
        <f>IF(AND($B$20=1,($B$19+6*$B$64)&lt;$B$10-0.3),$B$152+$B$150*(($B$19+6*$B$64)),NA())</f>
        <v>#N/A</v>
      </c>
      <c r="GI108" t="e">
        <f>IF(AND($B$21=1,(7*$B$66)&lt;IF($B$63=1,$B$10-0.2,$B$62)),$B$151+$B$150*(($B$5-IF((7*$B$66)&lt;=$B$9,0,((7*$B$66)-$B$9)/$B$8))),NA())</f>
        <v>#N/A</v>
      </c>
      <c r="GJ108" t="e">
        <f>IF(AND($B$21=1,(7*$B$66)&lt;IF($B$63=1,$B$10-0.2,$B$62)),$B$152+$B$150*((7*$B$66)),NA())</f>
        <v>#N/A</v>
      </c>
      <c r="HI108" t="e">
        <f>IF(17&lt;=$B$16-1,$B$157+$B$156*($B$6+$B$46),NA())</f>
        <v>#N/A</v>
      </c>
      <c r="HJ108" t="e">
        <f>IF(17&lt;=$B$16-1,$B$158+$B$156*(17*($B$5/2)/MAX(1,$B$16-1)),NA())</f>
        <v>#N/A</v>
      </c>
      <c r="HK108" t="e">
        <f>IF(34&lt;=$B$12,$B$157+$B$156*($B$13*34),NA())</f>
        <v>#N/A</v>
      </c>
      <c r="HL108" t="e">
        <f>IF(34&lt;=$B$12,$B$158+$B$156*($B$5),NA())</f>
        <v>#N/A</v>
      </c>
      <c r="HM108" t="e">
        <f>IF(AND(18&lt;=$B$12,1&lt;=$B$25),$B$157+$B$156*((18-1)*$B$13+1*$B$13/($B$25+1)),NA())</f>
        <v>#N/A</v>
      </c>
      <c r="HN108" t="e">
        <f>IF(AND(18&lt;=$B$12,1&lt;=$B$25),$B$158+$B$156*($B$5),NA())</f>
        <v>#N/A</v>
      </c>
      <c r="HQ108" t="e">
        <f>IF(AND(2&lt;=$B$23,6&lt;=$B$24),$B$157+$B$156*(IF(2=1,1,IF(2=$B$23,$B$12,5*(2-1)))*$B$13),NA())</f>
        <v>#N/A</v>
      </c>
      <c r="HR108" t="e">
        <f>IF(AND(2&lt;=$B$23,6&lt;=$B$24),$B$158+$B$156*((0*$B$5/2+6*($B$5/2)/$B$24)),NA())</f>
        <v>#N/A</v>
      </c>
      <c r="HS108">
        <f>IF(AND(5&lt;=$B$12,$B$51&gt;0),$B$157+$B$156*(((5-0.5)*$B$13)+($B$51*$B$13)/2),NA())</f>
        <v>121.391</v>
      </c>
      <c r="HT108">
        <f>IF(AND(5&lt;=$B$12,$B$51&gt;0),$B$158+$B$156*((0*$B$5/2+0.6*$B$159)+(((0*$B$5/2+$B$5/2-0.6*$B$159))-((0*$B$5/2+0.6*$B$159)))/4),NA())</f>
        <v>23.8</v>
      </c>
      <c r="HU108" t="e">
        <f>IF(9&lt;=$B$47,$B$157+$B$156*(((MAX(1,MIN($B$12,ROUND(9*$B$12/($B$47+1),0)))-1)*$B$13+0.25*$B$13)+$B$48/2+0.2),NA())</f>
        <v>#N/A</v>
      </c>
      <c r="HV108" t="e">
        <f>IF(9&lt;=$B$47,$B$158+$B$156*(IF(MOD(9,2)=1,$B$5/4,3*$B$5/4)-$B$49/2-0.2),NA())</f>
        <v>#N/A</v>
      </c>
      <c r="KI108" t="e">
        <f>IF(AND($B$21=1,9*$B$67&gt;$B$59,9*$B$67&lt;$B$178-$B$59,OR($B$63=0,ABS(9*$B$67-$B$178/2)&gt;$B$59/2)),$B$182+$B$181*($B$177*3/4-$B$60/2),NA())</f>
        <v>#N/A</v>
      </c>
      <c r="KJ108" t="e">
        <f>IF(AND($B$21=1,9*$B$67&gt;$B$59,9*$B$67&lt;$B$178-$B$59,OR($B$63=0,ABS(9*$B$67-$B$178/2)&gt;$B$59/2)),$B$183+$B$181*(9*$B$67),NA())</f>
        <v>#N/A</v>
      </c>
    </row>
    <row r="109">
      <c r="A109" t="inlineStr">
        <is>
          <t>PG_ex2</t>
        </is>
      </c>
      <c r="B109">
        <f>IF(2&lt;=$B$101,1,0)</f>
        <v>0</v>
      </c>
      <c r="G109" t="e">
        <f>NA()</f>
        <v>#N/A</v>
      </c>
      <c r="H109" t="e">
        <f>NA()</f>
        <v>#N/A</v>
      </c>
      <c r="K109" t="e">
        <f>IF(AND(5&lt;=$B$12,$B$45=1),$B$133+$B$132*($B$13*5+$B$27/2),NA())</f>
        <v>#N/A</v>
      </c>
      <c r="L109" t="e">
        <f>IF(AND(5&lt;=$B$12,$B$45=1),$B$134+$B$132*($B$5/2+$B$27/2),NA())</f>
        <v>#N/A</v>
      </c>
      <c r="M109" t="e">
        <f>IF(AND(34&lt;=$B$12,$B$45=1),$B$133+$B$132*($B$13*34),NA())</f>
        <v>#N/A</v>
      </c>
      <c r="N109" t="e">
        <f>IF(AND(34&lt;=$B$12,$B$45=1),$B$134+$B$132*($B$5/2),NA())</f>
        <v>#N/A</v>
      </c>
      <c r="EA109" t="e">
        <f>NA()</f>
        <v>#N/A</v>
      </c>
      <c r="EB109" t="e">
        <f>NA()</f>
        <v>#N/A</v>
      </c>
      <c r="FA109" t="e">
        <f>NA()</f>
        <v>#N/A</v>
      </c>
      <c r="FB109" t="e">
        <f>NA()</f>
        <v>#N/A</v>
      </c>
      <c r="FC109" t="e">
        <f>NA()</f>
        <v>#N/A</v>
      </c>
      <c r="FD109" t="e">
        <f>NA()</f>
        <v>#N/A</v>
      </c>
      <c r="FE109" t="e">
        <f>NA()</f>
        <v>#N/A</v>
      </c>
      <c r="FF109" t="e">
        <f>NA()</f>
        <v>#N/A</v>
      </c>
      <c r="GG109" t="e">
        <f>NA()</f>
        <v>#N/A</v>
      </c>
      <c r="GH109" t="e">
        <f>NA()</f>
        <v>#N/A</v>
      </c>
      <c r="GI109" t="e">
        <f>NA()</f>
        <v>#N/A</v>
      </c>
      <c r="GJ109" t="e">
        <f>NA()</f>
        <v>#N/A</v>
      </c>
      <c r="HI109" t="e">
        <f>NA()</f>
        <v>#N/A</v>
      </c>
      <c r="HJ109" t="e">
        <f>NA()</f>
        <v>#N/A</v>
      </c>
      <c r="HK109" t="e">
        <f>NA()</f>
        <v>#N/A</v>
      </c>
      <c r="HL109" t="e">
        <f>NA()</f>
        <v>#N/A</v>
      </c>
      <c r="HM109" t="e">
        <f>NA()</f>
        <v>#N/A</v>
      </c>
      <c r="HN109" t="e">
        <f>NA()</f>
        <v>#N/A</v>
      </c>
      <c r="HQ109" t="e">
        <f>NA()</f>
        <v>#N/A</v>
      </c>
      <c r="HR109" t="e">
        <f>NA()</f>
        <v>#N/A</v>
      </c>
      <c r="HS109">
        <f>IF(AND(5&lt;=$B$12,$B$51&gt;0),$B$157+$B$156*(((5-0.5)*$B$13)-($B$51*$B$13)/2),NA())</f>
        <v>119.219571428571</v>
      </c>
      <c r="HT109">
        <f>IF(AND(5&lt;=$B$12,$B$51&gt;0),$B$158+$B$156*((0*$B$5/2+0.6*$B$159)+(((0*$B$5/2+$B$5/2-0.6*$B$159))-((0*$B$5/2+0.6*$B$159)))/2),NA())</f>
        <v>33</v>
      </c>
      <c r="HU109" t="e">
        <f>IF(9&lt;=$B$47,$B$157+$B$156*(((MAX(1,MIN($B$12,ROUND(9*$B$12/($B$47+1),0)))-1)*$B$13+0.25*$B$13)+$B$48/2+0.2),NA())</f>
        <v>#N/A</v>
      </c>
      <c r="HV109" t="e">
        <f>IF(9&lt;=$B$47,$B$158+$B$156*(IF(MOD(9,2)=1,$B$5/4,3*$B$5/4)+$B$49/2+0.2),NA())</f>
        <v>#N/A</v>
      </c>
      <c r="KI109" t="e">
        <f>NA()</f>
        <v>#N/A</v>
      </c>
      <c r="KJ109" t="e">
        <f>NA()</f>
        <v>#N/A</v>
      </c>
    </row>
    <row r="110">
      <c r="A110" t="inlineStr">
        <is>
          <t>PG_w2</t>
        </is>
      </c>
      <c r="B110">
        <f>IF(2&lt;=$B$99,'PARAMÈTRES'!$C$29,'PARAMÈTRES'!$C$33)</f>
        <v>5.5</v>
      </c>
      <c r="G110" t="e">
        <f>IF(35&lt;=$B$12,$B$133+$B$132*($B$13*35),NA())</f>
        <v>#N/A</v>
      </c>
      <c r="H110" t="e">
        <f>IF(35&lt;=$B$12,$B$134+$B$132*(-4*$B$135),NA())</f>
        <v>#N/A</v>
      </c>
      <c r="K110" t="e">
        <f>IF(AND(5&lt;=$B$12,$B$45=1),$B$133+$B$132*($B$13*5-$B$27/2),NA())</f>
        <v>#N/A</v>
      </c>
      <c r="L110" t="e">
        <f>IF(AND(5&lt;=$B$12,$B$45=1),$B$134+$B$132*($B$5/2+$B$27/2),NA())</f>
        <v>#N/A</v>
      </c>
      <c r="M110" t="e">
        <f>IF(35&lt;=$B$12,$B$133+$B$132*($B$13*35),NA())</f>
        <v>#N/A</v>
      </c>
      <c r="N110" t="e">
        <f>IF(35&lt;=$B$12,$B$134+$B$132*(0),NA())</f>
        <v>#N/A</v>
      </c>
      <c r="EA110" t="e">
        <f>IF(AND($B$18=1,7&lt;=$B$26),$B$139+$B$138*(6*($B$5/MAX(1,$B$26))),NA())</f>
        <v>#N/A</v>
      </c>
      <c r="EB110" t="e">
        <f>IF(AND($B$18=1,7&lt;=$B$26),$B$140+$B$138*(IF(7&lt;=$B$26/2,($B$9+$B$8*MIN(6*($B$5/MAX(1,$B$26)),$B$5-(6*($B$5/MAX(1,$B$26))))),$B$7)),NA())</f>
        <v>#N/A</v>
      </c>
      <c r="FA110" t="e">
        <f>IF(35&lt;=$B$12,$B$145+$B$144*($B$13*35),NA())</f>
        <v>#N/A</v>
      </c>
      <c r="FB110" t="e">
        <f>IF(35&lt;=$B$12,$B$146+$B$144*(0),NA())</f>
        <v>#N/A</v>
      </c>
      <c r="FC110" t="e">
        <f>IF(7&lt;$B$22,$B$145+$B$144*(0),NA())</f>
        <v>#N/A</v>
      </c>
      <c r="FD110" t="e">
        <f>IF(7&lt;$B$22,$B$146+$B$144*(($B$19+7*$B$64)),NA())</f>
        <v>#N/A</v>
      </c>
      <c r="FE110" t="e">
        <f>IF(AND($B$21=1,(8*$B$66)&lt;$B$62),$B$145+$B$144*(0),NA())</f>
        <v>#N/A</v>
      </c>
      <c r="FF110" t="e">
        <f>IF(AND($B$21=1,(8*$B$66)&lt;$B$62),$B$146+$B$144*((8*$B$66)),NA())</f>
        <v>#N/A</v>
      </c>
      <c r="GG110" t="e">
        <f>IF(AND($B$20=1,($B$19+7*$B$64)&lt;$B$10-0.3),$B$151+$B$150*(IF(($B$19+7*$B$64)&lt;=$B$9,0,(($B$19+7*$B$64)-$B$9)/$B$8)),NA())</f>
        <v>#N/A</v>
      </c>
      <c r="GH110" t="e">
        <f>IF(AND($B$20=1,($B$19+7*$B$64)&lt;$B$10-0.3),$B$152+$B$150*(($B$19+7*$B$64)),NA())</f>
        <v>#N/A</v>
      </c>
      <c r="GI110" t="e">
        <f>IF(AND($B$21=1,(8*$B$66)&lt;IF($B$63=1,$B$10-0.2,$B$62)),$B$151+$B$150*(IF((8*$B$66)&lt;=$B$9,0,((8*$B$66)-$B$9)/$B$8)),NA())</f>
        <v>#N/A</v>
      </c>
      <c r="GJ110" t="e">
        <f>IF(AND($B$21=1,(8*$B$66)&lt;IF($B$63=1,$B$10-0.2,$B$62)),$B$152+$B$150*((8*$B$66)),NA())</f>
        <v>#N/A</v>
      </c>
      <c r="HI110" t="e">
        <f>IF(17&lt;=$B$16-1,$B$157+$B$156*(-$B$46),NA())</f>
        <v>#N/A</v>
      </c>
      <c r="HJ110" t="e">
        <f>IF(17&lt;=$B$16-1,$B$158+$B$156*($B$5-17*($B$5/2)/MAX(1,$B$16-1)),NA())</f>
        <v>#N/A</v>
      </c>
      <c r="HK110" t="e">
        <f>IF(35&lt;=$B$12,$B$157+$B$156*($B$13*35),NA())</f>
        <v>#N/A</v>
      </c>
      <c r="HL110" t="e">
        <f>IF(35&lt;=$B$12,$B$158+$B$156*(0),NA())</f>
        <v>#N/A</v>
      </c>
      <c r="HM110" t="e">
        <f>IF(AND(18&lt;=$B$12,2&lt;=$B$25),$B$157+$B$156*((18-1)*$B$13+2*$B$13/($B$25+1)),NA())</f>
        <v>#N/A</v>
      </c>
      <c r="HN110" t="e">
        <f>IF(AND(18&lt;=$B$12,2&lt;=$B$25),$B$158+$B$156*(0),NA())</f>
        <v>#N/A</v>
      </c>
      <c r="HQ110" t="e">
        <f>IF(AND(2&lt;=$B$23,6&lt;=$B$24),$B$157+$B$156*((IF(2=1,1,IF(2=$B$23,$B$12,5*(2-1)))-1)*$B$13),NA())</f>
        <v>#N/A</v>
      </c>
      <c r="HR110" t="e">
        <f>IF(AND(2&lt;=$B$23,6&lt;=$B$24),$B$158+$B$156*((0*$B$5/2+6*($B$5/2)/$B$24)),NA())</f>
        <v>#N/A</v>
      </c>
      <c r="HS110">
        <f>IF(AND(5&lt;=$B$12,$B$51&gt;0),$B$157+$B$156*(((5-0.5)*$B$13)+($B$51*$B$13)/2),NA())</f>
        <v>121.391</v>
      </c>
      <c r="HT110">
        <f>IF(AND(5&lt;=$B$12,$B$51&gt;0),$B$158+$B$156*((0*$B$5/2+0.6*$B$159)+3*(((0*$B$5/2+$B$5/2-0.6*$B$159))-((0*$B$5/2+0.6*$B$159)))/4),NA())</f>
        <v>42.2</v>
      </c>
      <c r="HU110" t="e">
        <f>IF(9&lt;=$B$47,$B$157+$B$156*(((MAX(1,MIN($B$12,ROUND(9*$B$12/($B$47+1),0)))-1)*$B$13+0.25*$B$13)-$B$48/2-0.2),NA())</f>
        <v>#N/A</v>
      </c>
      <c r="HV110" t="e">
        <f>IF(9&lt;=$B$47,$B$158+$B$156*(IF(MOD(9,2)=1,$B$5/4,3*$B$5/4)+$B$49/2+0.2),NA())</f>
        <v>#N/A</v>
      </c>
      <c r="KI110" t="e">
        <f>IF(AND($B$21=1,9*$B$67&gt;$B$59,9*$B$67&lt;$B$178-$B$59,OR($B$63=0,ABS(9*$B$67-$B$178/2)&gt;$B$59/2)),$B$182+$B$181*($B$177*3/4+$B$60/2),NA())</f>
        <v>#N/A</v>
      </c>
      <c r="KJ110" t="e">
        <f>IF(AND($B$21=1,9*$B$67&gt;$B$59,9*$B$67&lt;$B$178-$B$59,OR($B$63=0,ABS(9*$B$67-$B$178/2)&gt;$B$59/2)),$B$183+$B$181*(9*$B$67),NA())</f>
        <v>#N/A</v>
      </c>
    </row>
    <row r="111">
      <c r="A111" t="inlineStr">
        <is>
          <t>PG_h2</t>
        </is>
      </c>
      <c r="B111">
        <f>IF(2&lt;=$B$99,'PARAMÈTRES'!$C$30,'PARAMÈTRES'!$C$34)*$B$109</f>
        <v>0</v>
      </c>
      <c r="G111" t="e">
        <f>IF(35&lt;=$B$12,$B$133+$B$132*($B$13*35),NA())</f>
        <v>#N/A</v>
      </c>
      <c r="H111" t="e">
        <f>IF(35&lt;=$B$12,$B$134+$B$132*($B$5+4*$B$135),NA())</f>
        <v>#N/A</v>
      </c>
      <c r="K111" t="e">
        <f>IF(AND(5&lt;=$B$12,$B$45=1),$B$133+$B$132*($B$13*5-$B$27/2),NA())</f>
        <v>#N/A</v>
      </c>
      <c r="L111" t="e">
        <f>IF(AND(5&lt;=$B$12,$B$45=1),$B$134+$B$132*($B$5/2-$B$27/2),NA())</f>
        <v>#N/A</v>
      </c>
      <c r="M111" t="e">
        <f>IF(35&lt;=$B$12,$B$133+$B$132*($B$13*35),NA())</f>
        <v>#N/A</v>
      </c>
      <c r="N111" t="e">
        <f>IF(35&lt;=$B$12,$B$134+$B$132*($B$5),NA())</f>
        <v>#N/A</v>
      </c>
      <c r="EA111" t="e">
        <f>IF(AND($B$18=1,7&lt;=$B$26),$B$139+$B$138*(7*($B$5/MAX(1,$B$26))),NA())</f>
        <v>#N/A</v>
      </c>
      <c r="EB111" t="e">
        <f>IF(AND($B$18=1,7&lt;=$B$26),$B$140+$B$138*(IF(7&lt;=$B$26/2,$B$7,($B$9+$B$8*MIN(7*($B$5/MAX(1,$B$26)),$B$5-(7*($B$5/MAX(1,$B$26))))))),NA())</f>
        <v>#N/A</v>
      </c>
      <c r="FA111" t="e">
        <f>IF(35&lt;=$B$12,$B$145+$B$144*($B$13*35),NA())</f>
        <v>#N/A</v>
      </c>
      <c r="FB111" t="e">
        <f>IF(35&lt;=$B$12,$B$146+$B$144*($B$9),NA())</f>
        <v>#N/A</v>
      </c>
      <c r="FC111" t="e">
        <f>IF(7&lt;$B$22,$B$145+$B$144*(IF(($B$19+7*$B$64)&lt;$B$73,$B$76,$B$75)),NA())</f>
        <v>#N/A</v>
      </c>
      <c r="FD111" t="e">
        <f>IF(7&lt;$B$22,$B$146+$B$144*(($B$19+7*$B$64)),NA())</f>
        <v>#N/A</v>
      </c>
      <c r="FE111" t="e">
        <f>IF(AND($B$21=1,(8*$B$66)&lt;$B$62),$B$145+$B$144*(IF((8*$B$66)&lt;$B$73,$B$76,$B$75)),NA())</f>
        <v>#N/A</v>
      </c>
      <c r="FF111" t="e">
        <f>IF(AND($B$21=1,(8*$B$66)&lt;$B$62),$B$146+$B$144*((8*$B$66)),NA())</f>
        <v>#N/A</v>
      </c>
      <c r="GG111" t="e">
        <f>IF(AND($B$20=1,($B$19+7*$B$64)&lt;$B$10-0.3),$B$151+$B$150*(MAX(IF(($B$19+7*$B$64)&lt;=$B$9,0,(($B$19+7*$B$64)-$B$9)/$B$8),MIN(($B$5-IF(($B$19+7*$B$64)&lt;=$B$9,0,(($B$19+7*$B$64)-$B$9)/$B$8)),IF(($B$19+7*$B$64)&lt;$B$104,$B$107,$B$106)))),NA())</f>
        <v>#N/A</v>
      </c>
      <c r="GH111" t="e">
        <f>IF(AND($B$20=1,($B$19+7*$B$64)&lt;$B$10-0.3),$B$152+$B$150*(($B$19+7*$B$64)),NA())</f>
        <v>#N/A</v>
      </c>
      <c r="GI111" t="e">
        <f>IF(AND($B$21=1,(8*$B$66)&lt;IF($B$63=1,$B$10-0.2,$B$62)),$B$151+$B$150*(MAX(IF((8*$B$66)&lt;=$B$9,0,((8*$B$66)-$B$9)/$B$8),MIN(($B$5-IF((8*$B$66)&lt;=$B$9,0,((8*$B$66)-$B$9)/$B$8)),IF((8*$B$66)&lt;$B$104,$B$107,$B$106)))),NA())</f>
        <v>#N/A</v>
      </c>
      <c r="GJ111" t="e">
        <f>IF(AND($B$21=1,(8*$B$66)&lt;IF($B$63=1,$B$10-0.2,$B$62)),$B$152+$B$150*((8*$B$66)),NA())</f>
        <v>#N/A</v>
      </c>
      <c r="HI111" t="e">
        <f>IF(17&lt;=$B$16-1,$B$157+$B$156*($B$6+$B$46),NA())</f>
        <v>#N/A</v>
      </c>
      <c r="HJ111" t="e">
        <f>IF(17&lt;=$B$16-1,$B$158+$B$156*($B$5-17*($B$5/2)/MAX(1,$B$16-1)),NA())</f>
        <v>#N/A</v>
      </c>
      <c r="HK111" t="e">
        <f>IF(35&lt;=$B$12,$B$157+$B$156*($B$13*35),NA())</f>
        <v>#N/A</v>
      </c>
      <c r="HL111" t="e">
        <f>IF(35&lt;=$B$12,$B$158+$B$156*($B$5),NA())</f>
        <v>#N/A</v>
      </c>
      <c r="HM111" t="e">
        <f>IF(AND(18&lt;=$B$12,2&lt;=$B$25),$B$157+$B$156*((18-1)*$B$13+2*$B$13/($B$25+1)),NA())</f>
        <v>#N/A</v>
      </c>
      <c r="HN111" t="e">
        <f>IF(AND(18&lt;=$B$12,2&lt;=$B$25),$B$158+$B$156*($B$5),NA())</f>
        <v>#N/A</v>
      </c>
      <c r="HQ111" t="e">
        <f>IF(AND(2&lt;=$B$23,6&lt;=$B$24),$B$157+$B$156*(IF(2=1,1,IF(2=$B$23,$B$12,5*(2-1)))*$B$13),NA())</f>
        <v>#N/A</v>
      </c>
      <c r="HR111" t="e">
        <f>IF(AND(2&lt;=$B$23,6&lt;=$B$24),$B$158+$B$156*((0*$B$5/2+(6-1)*($B$5/2)/$B$24)),NA())</f>
        <v>#N/A</v>
      </c>
      <c r="HS111">
        <f>IF(AND(5&lt;=$B$12,$B$51&gt;0),$B$157+$B$156*(((5-0.5)*$B$13)-($B$51*$B$13)/2),NA())</f>
        <v>119.219571428571</v>
      </c>
      <c r="HT111">
        <f>IF(AND(5&lt;=$B$12,$B$51&gt;0),$B$158+$B$156*((0*$B$5/2+$B$5/2-0.6*$B$159)),NA())</f>
        <v>51.4</v>
      </c>
      <c r="HU111" t="e">
        <f>IF(9&lt;=$B$47,$B$157+$B$156*(((MAX(1,MIN($B$12,ROUND(9*$B$12/($B$47+1),0)))-1)*$B$13+0.25*$B$13)-$B$48/2-0.2),NA())</f>
        <v>#N/A</v>
      </c>
      <c r="HV111" t="e">
        <f>IF(9&lt;=$B$47,$B$158+$B$156*(IF(MOD(9,2)=1,$B$5/4,3*$B$5/4)-$B$49/2-0.2),NA())</f>
        <v>#N/A</v>
      </c>
      <c r="KI111" t="e">
        <f>IF(AND($B$21=1,9*$B$67&gt;$B$59,9*$B$67&lt;$B$178-$B$59,OR($B$63=0,ABS(9*$B$67-$B$178/2)&gt;$B$59/2)),$B$182+$B$181*($B$177),NA())</f>
        <v>#N/A</v>
      </c>
      <c r="KJ111" t="e">
        <f>IF(AND($B$21=1,9*$B$67&gt;$B$59,9*$B$67&lt;$B$178-$B$59,OR($B$63=0,ABS(9*$B$67-$B$178/2)&gt;$B$59/2)),$B$183+$B$181*(9*$B$67),NA())</f>
        <v>#N/A</v>
      </c>
    </row>
    <row r="112">
      <c r="A112" t="inlineStr">
        <is>
          <t>PG_pos2</t>
        </is>
      </c>
      <c r="B112">
        <f>MAX(1,MIN($B$14,ROUND(2*$B$14/($B$101+1),0)))</f>
        <v>4</v>
      </c>
      <c r="G112" t="e">
        <f>NA()</f>
        <v>#N/A</v>
      </c>
      <c r="H112" t="e">
        <f>NA()</f>
        <v>#N/A</v>
      </c>
      <c r="K112" t="e">
        <f>NA()</f>
        <v>#N/A</v>
      </c>
      <c r="L112" t="e">
        <f>NA()</f>
        <v>#N/A</v>
      </c>
      <c r="M112" t="e">
        <f>IF(AND(35&lt;=$B$12,$B$45=1),$B$133+$B$132*($B$13*35),NA())</f>
        <v>#N/A</v>
      </c>
      <c r="N112" t="e">
        <f>IF(AND(35&lt;=$B$12,$B$45=1),$B$134+$B$132*($B$5/2),NA())</f>
        <v>#N/A</v>
      </c>
      <c r="EA112" t="e">
        <f>NA()</f>
        <v>#N/A</v>
      </c>
      <c r="EB112" t="e">
        <f>NA()</f>
        <v>#N/A</v>
      </c>
      <c r="FA112" t="e">
        <f>NA()</f>
        <v>#N/A</v>
      </c>
      <c r="FB112" t="e">
        <f>NA()</f>
        <v>#N/A</v>
      </c>
      <c r="FC112" t="e">
        <f>IF(AND(7&lt;$B$22,($B$19+7*$B$64)&gt;=$B$73),$B$145+$B$144*($B$75),NA())</f>
        <v>#N/A</v>
      </c>
      <c r="FD112" t="e">
        <f>IF(AND(7&lt;$B$22,($B$19+7*$B$64)&gt;=$B$73),$B$146+$B$144*(($B$19+7*$B$64)),NA())</f>
        <v>#N/A</v>
      </c>
      <c r="FE112" t="e">
        <f>IF(AND(AND($B$21=1,(8*$B$66)&lt;$B$62),(8*$B$66)&gt;=$B$73),$B$145+$B$144*($B$75),NA())</f>
        <v>#N/A</v>
      </c>
      <c r="FF112" t="e">
        <f>IF(AND(AND($B$21=1,(8*$B$66)&lt;$B$62),(8*$B$66)&gt;=$B$73),$B$146+$B$144*((8*$B$66)),NA())</f>
        <v>#N/A</v>
      </c>
      <c r="GG112" t="e">
        <f>IF(AND(AND($B$20=1,($B$19+7*$B$64)&lt;$B$10-0.3),($B$19+7*$B$64)&gt;=$B$104),$B$151+$B$150*(MAX(IF(($B$19+7*$B$64)&lt;=$B$9,0,(($B$19+7*$B$64)-$B$9)/$B$8),MIN(($B$5-IF(($B$19+7*$B$64)&lt;=$B$9,0,(($B$19+7*$B$64)-$B$9)/$B$8)),$B$106))),NA())</f>
        <v>#N/A</v>
      </c>
      <c r="GH112" t="e">
        <f>IF(AND(AND($B$20=1,($B$19+7*$B$64)&lt;$B$10-0.3),($B$19+7*$B$64)&gt;=$B$104),$B$152+$B$150*(($B$19+7*$B$64)),NA())</f>
        <v>#N/A</v>
      </c>
      <c r="GI112" t="e">
        <f>IF(AND(AND($B$21=1,(8*$B$66)&lt;IF($B$63=1,$B$10-0.2,$B$62)),(8*$B$66)&gt;=$B$104),$B$151+$B$150*(MAX(IF((8*$B$66)&lt;=$B$9,0,((8*$B$66)-$B$9)/$B$8),MIN(($B$5-IF((8*$B$66)&lt;=$B$9,0,((8*$B$66)-$B$9)/$B$8)),$B$106))),NA())</f>
        <v>#N/A</v>
      </c>
      <c r="GJ112" t="e">
        <f>IF(AND(AND($B$21=1,(8*$B$66)&lt;IF($B$63=1,$B$10-0.2,$B$62)),(8*$B$66)&gt;=$B$104),$B$152+$B$150*((8*$B$66)),NA())</f>
        <v>#N/A</v>
      </c>
      <c r="HI112" t="e">
        <f>NA()</f>
        <v>#N/A</v>
      </c>
      <c r="HJ112" t="e">
        <f>NA()</f>
        <v>#N/A</v>
      </c>
      <c r="HK112" t="e">
        <f>NA()</f>
        <v>#N/A</v>
      </c>
      <c r="HL112" t="e">
        <f>NA()</f>
        <v>#N/A</v>
      </c>
      <c r="HM112" t="e">
        <f>NA()</f>
        <v>#N/A</v>
      </c>
      <c r="HN112" t="e">
        <f>NA()</f>
        <v>#N/A</v>
      </c>
      <c r="HQ112" t="e">
        <f>NA()</f>
        <v>#N/A</v>
      </c>
      <c r="HR112" t="e">
        <f>NA()</f>
        <v>#N/A</v>
      </c>
      <c r="HS112" t="e">
        <f>NA()</f>
        <v>#N/A</v>
      </c>
      <c r="HT112" t="e">
        <f>NA()</f>
        <v>#N/A</v>
      </c>
      <c r="HU112" t="e">
        <f>NA()</f>
        <v>#N/A</v>
      </c>
      <c r="HV112" t="e">
        <f>NA()</f>
        <v>#N/A</v>
      </c>
      <c r="KI112" t="e">
        <f>NA()</f>
        <v>#N/A</v>
      </c>
      <c r="KJ112" t="e">
        <f>NA()</f>
        <v>#N/A</v>
      </c>
    </row>
    <row r="113">
      <c r="A113" t="inlineStr">
        <is>
          <t>PG_xc2</t>
        </is>
      </c>
      <c r="B113">
        <f>IF($B$109=1,($B$112-0.5)*$B$15,$B$5)</f>
        <v>20</v>
      </c>
      <c r="G113" t="e">
        <f>IF(36&lt;=$B$12,$B$133+$B$132*($B$13*36),NA())</f>
        <v>#N/A</v>
      </c>
      <c r="H113" t="e">
        <f>IF(36&lt;=$B$12,$B$134+$B$132*(-4*$B$135),NA())</f>
        <v>#N/A</v>
      </c>
      <c r="K113">
        <f>IF(6&lt;=$B$12,$B$133+$B$132*($B$13*6-$B$27/2),NA())</f>
        <v>146.122428571429</v>
      </c>
      <c r="L113">
        <f>IF(6&lt;=$B$12,$B$134+$B$132*(0-$B$27/2),NA())</f>
        <v>13.96</v>
      </c>
      <c r="M113" t="e">
        <f>IF(36&lt;=$B$12,$B$133+$B$132*($B$13*36),NA())</f>
        <v>#N/A</v>
      </c>
      <c r="N113" t="e">
        <f>IF(36&lt;=$B$12,$B$134+$B$132*(0),NA())</f>
        <v>#N/A</v>
      </c>
      <c r="EA113" t="e">
        <f>IF(AND($B$18=1,8&lt;=$B$26),$B$139+$B$138*(7*($B$5/MAX(1,$B$26))),NA())</f>
        <v>#N/A</v>
      </c>
      <c r="EB113" t="e">
        <f>IF(AND($B$18=1,8&lt;=$B$26),$B$140+$B$138*(IF(8&lt;=$B$26/2,($B$9+$B$8*MIN(7*($B$5/MAX(1,$B$26)),$B$5-(7*($B$5/MAX(1,$B$26))))),$B$7)),NA())</f>
        <v>#N/A</v>
      </c>
      <c r="FA113" t="e">
        <f>IF(36&lt;=$B$12,$B$145+$B$144*($B$13*36),NA())</f>
        <v>#N/A</v>
      </c>
      <c r="FB113" t="e">
        <f>IF(36&lt;=$B$12,$B$146+$B$144*(0),NA())</f>
        <v>#N/A</v>
      </c>
      <c r="FC113" t="e">
        <f>IF(7&lt;$B$22,$B$145+$B$144*(IF(($B$19+7*$B$64)&lt;$B$73,$B$77,$B$75)),NA())</f>
        <v>#N/A</v>
      </c>
      <c r="FD113" t="e">
        <f>IF(7&lt;$B$22,$B$146+$B$144*(($B$19+7*$B$64)),NA())</f>
        <v>#N/A</v>
      </c>
      <c r="FE113" t="e">
        <f>IF(AND($B$21=1,(8*$B$66)&lt;$B$62),$B$145+$B$144*(IF((8*$B$66)&lt;$B$73,$B$77,$B$75)),NA())</f>
        <v>#N/A</v>
      </c>
      <c r="FF113" t="e">
        <f>IF(AND($B$21=1,(8*$B$66)&lt;$B$62),$B$146+$B$144*((8*$B$66)),NA())</f>
        <v>#N/A</v>
      </c>
      <c r="GG113" t="e">
        <f>IF(AND($B$20=1,($B$19+7*$B$64)&lt;$B$10-0.3),$B$151+$B$150*(MAX(IF(($B$19+7*$B$64)&lt;=$B$9,0,(($B$19+7*$B$64)-$B$9)/$B$8),MIN(($B$5-IF(($B$19+7*$B$64)&lt;=$B$9,0,(($B$19+7*$B$64)-$B$9)/$B$8)),IF(($B$19+7*$B$64)&lt;$B$104,$B$108,$B$106)))),NA())</f>
        <v>#N/A</v>
      </c>
      <c r="GH113" t="e">
        <f>IF(AND($B$20=1,($B$19+7*$B$64)&lt;$B$10-0.3),$B$152+$B$150*(($B$19+7*$B$64)),NA())</f>
        <v>#N/A</v>
      </c>
      <c r="GI113" t="e">
        <f>IF(AND($B$21=1,(8*$B$66)&lt;IF($B$63=1,$B$10-0.2,$B$62)),$B$151+$B$150*(MAX(IF((8*$B$66)&lt;=$B$9,0,((8*$B$66)-$B$9)/$B$8),MIN(($B$5-IF((8*$B$66)&lt;=$B$9,0,((8*$B$66)-$B$9)/$B$8)),IF((8*$B$66)&lt;$B$104,$B$108,$B$106)))),NA())</f>
        <v>#N/A</v>
      </c>
      <c r="GJ113" t="e">
        <f>IF(AND($B$21=1,(8*$B$66)&lt;IF($B$63=1,$B$10-0.2,$B$62)),$B$152+$B$150*((8*$B$66)),NA())</f>
        <v>#N/A</v>
      </c>
      <c r="HI113" t="e">
        <f>IF(18&lt;=$B$16-1,$B$157+$B$156*(-$B$46),NA())</f>
        <v>#N/A</v>
      </c>
      <c r="HJ113" t="e">
        <f>IF(18&lt;=$B$16-1,$B$158+$B$156*(18*($B$5/2)/MAX(1,$B$16-1)),NA())</f>
        <v>#N/A</v>
      </c>
      <c r="HK113" t="e">
        <f>IF(36&lt;=$B$12,$B$157+$B$156*($B$13*36),NA())</f>
        <v>#N/A</v>
      </c>
      <c r="HL113" t="e">
        <f>IF(36&lt;=$B$12,$B$158+$B$156*(0),NA())</f>
        <v>#N/A</v>
      </c>
      <c r="HM113" t="e">
        <f>IF(AND(19&lt;=$B$12,1&lt;=$B$25),$B$157+$B$156*((19-1)*$B$13+1*$B$13/($B$25+1)),NA())</f>
        <v>#N/A</v>
      </c>
      <c r="HN113" t="e">
        <f>IF(AND(19&lt;=$B$12,1&lt;=$B$25),$B$158+$B$156*(0),NA())</f>
        <v>#N/A</v>
      </c>
      <c r="HQ113">
        <f>IF(AND(2&lt;=$B$23,1&lt;=$B$24),$B$157+$B$156*((IF(2=1,1,IF(2=$B$23,$B$12,5*(2-1)))-1)*$B$13),NA())</f>
        <v>109.448142857143</v>
      </c>
      <c r="HR113">
        <f>IF(AND(2&lt;=$B$23,1&lt;=$B$24),$B$158+$B$156*((1*$B$5/2+(1-1)*($B$5/2)/$B$24)),NA())</f>
        <v>52</v>
      </c>
      <c r="HS113">
        <f>IF(AND(5&lt;=$B$12,$B$51&gt;0),$B$157+$B$156*(((5-0.5)*$B$13)-($B$51*$B$13)/2),NA())</f>
        <v>119.219571428571</v>
      </c>
      <c r="HT113">
        <f>IF(AND(5&lt;=$B$12,$B$51&gt;0),$B$158+$B$156*((1*$B$5/2+0.6*$B$159)),NA())</f>
        <v>52.6</v>
      </c>
      <c r="HU113" t="e">
        <f>IF(10&lt;=$B$47,$B$157+$B$156*(((MAX(1,MIN($B$12,ROUND(10*$B$12/($B$47+1),0)))-1)*$B$13+0.25*$B$13)-$B$48/2),NA())</f>
        <v>#N/A</v>
      </c>
      <c r="HV113" t="e">
        <f>IF(10&lt;=$B$47,$B$158+$B$156*(IF(MOD(10,2)=1,$B$5/4,3*$B$5/4)-$B$49/2),NA())</f>
        <v>#N/A</v>
      </c>
      <c r="KI113" t="e">
        <f>IF(AND($B$21=1,10*$B$67&gt;$B$59,10*$B$67&lt;$B$178-$B$59,OR($B$63=0,ABS(10*$B$67-$B$178/2)&gt;$B$59/2)),$B$182+$B$181*(0),NA())</f>
        <v>#N/A</v>
      </c>
      <c r="KJ113" t="e">
        <f>IF(AND($B$21=1,10*$B$67&gt;$B$59,10*$B$67&lt;$B$178-$B$59,OR($B$63=0,ABS(10*$B$67-$B$178/2)&gt;$B$59/2)),$B$183+$B$181*(10*$B$67),NA())</f>
        <v>#N/A</v>
      </c>
    </row>
    <row r="114">
      <c r="A114" t="inlineStr">
        <is>
          <t>PG_xl2</t>
        </is>
      </c>
      <c r="B114">
        <f>IF($B$109=1,$B$113-$B$110/2,$B$5)</f>
        <v>20</v>
      </c>
      <c r="G114" t="e">
        <f>IF(36&lt;=$B$12,$B$133+$B$132*($B$13*36),NA())</f>
        <v>#N/A</v>
      </c>
      <c r="H114" t="e">
        <f>IF(36&lt;=$B$12,$B$134+$B$132*($B$5+4*$B$135),NA())</f>
        <v>#N/A</v>
      </c>
      <c r="K114">
        <f>IF(6&lt;=$B$12,$B$133+$B$132*($B$13*6+$B$27/2),NA())</f>
        <v>150.202428571429</v>
      </c>
      <c r="L114">
        <f>IF(6&lt;=$B$12,$B$134+$B$132*(0-$B$27/2),NA())</f>
        <v>13.96</v>
      </c>
      <c r="M114" t="e">
        <f>IF(36&lt;=$B$12,$B$133+$B$132*($B$13*36),NA())</f>
        <v>#N/A</v>
      </c>
      <c r="N114" t="e">
        <f>IF(36&lt;=$B$12,$B$134+$B$132*($B$5),NA())</f>
        <v>#N/A</v>
      </c>
      <c r="EA114" t="e">
        <f>IF(AND($B$18=1,8&lt;=$B$26),$B$139+$B$138*(8*($B$5/MAX(1,$B$26))),NA())</f>
        <v>#N/A</v>
      </c>
      <c r="EB114" t="e">
        <f>IF(AND($B$18=1,8&lt;=$B$26),$B$140+$B$138*(IF(8&lt;=$B$26/2,$B$7,($B$9+$B$8*MIN(8*($B$5/MAX(1,$B$26)),$B$5-(8*($B$5/MAX(1,$B$26))))))),NA())</f>
        <v>#N/A</v>
      </c>
      <c r="FA114" t="e">
        <f>IF(36&lt;=$B$12,$B$145+$B$144*($B$13*36),NA())</f>
        <v>#N/A</v>
      </c>
      <c r="FB114" t="e">
        <f>IF(36&lt;=$B$12,$B$146+$B$144*($B$9),NA())</f>
        <v>#N/A</v>
      </c>
      <c r="FC114" t="e">
        <f>IF(7&lt;$B$22,$B$145+$B$144*(IF(($B$19+7*$B$64)&lt;$B$80,$B$83,$B$82)),NA())</f>
        <v>#N/A</v>
      </c>
      <c r="FD114" t="e">
        <f>IF(7&lt;$B$22,$B$146+$B$144*(($B$19+7*$B$64)),NA())</f>
        <v>#N/A</v>
      </c>
      <c r="FE114" t="e">
        <f>IF(AND($B$21=1,(8*$B$66)&lt;$B$62),$B$145+$B$144*(IF((8*$B$66)&lt;$B$80,$B$83,$B$82)),NA())</f>
        <v>#N/A</v>
      </c>
      <c r="FF114" t="e">
        <f>IF(AND($B$21=1,(8*$B$66)&lt;$B$62),$B$146+$B$144*((8*$B$66)),NA())</f>
        <v>#N/A</v>
      </c>
      <c r="GG114" t="e">
        <f>IF(AND($B$20=1,($B$19+7*$B$64)&lt;$B$10-0.3),$B$151+$B$150*(MAX(IF(($B$19+7*$B$64)&lt;=$B$9,0,(($B$19+7*$B$64)-$B$9)/$B$8),MIN(($B$5-IF(($B$19+7*$B$64)&lt;=$B$9,0,(($B$19+7*$B$64)-$B$9)/$B$8)),IF(($B$19+7*$B$64)&lt;$B$111,$B$114,$B$113)))),NA())</f>
        <v>#N/A</v>
      </c>
      <c r="GH114" t="e">
        <f>IF(AND($B$20=1,($B$19+7*$B$64)&lt;$B$10-0.3),$B$152+$B$150*(($B$19+7*$B$64)),NA())</f>
        <v>#N/A</v>
      </c>
      <c r="GI114" t="e">
        <f>IF(AND($B$21=1,(8*$B$66)&lt;IF($B$63=1,$B$10-0.2,$B$62)),$B$151+$B$150*(MAX(IF((8*$B$66)&lt;=$B$9,0,((8*$B$66)-$B$9)/$B$8),MIN(($B$5-IF((8*$B$66)&lt;=$B$9,0,((8*$B$66)-$B$9)/$B$8)),IF((8*$B$66)&lt;$B$111,$B$114,$B$113)))),NA())</f>
        <v>#N/A</v>
      </c>
      <c r="GJ114" t="e">
        <f>IF(AND($B$21=1,(8*$B$66)&lt;IF($B$63=1,$B$10-0.2,$B$62)),$B$152+$B$150*((8*$B$66)),NA())</f>
        <v>#N/A</v>
      </c>
      <c r="HI114" t="e">
        <f>IF(18&lt;=$B$16-1,$B$157+$B$156*($B$6+$B$46),NA())</f>
        <v>#N/A</v>
      </c>
      <c r="HJ114" t="e">
        <f>IF(18&lt;=$B$16-1,$B$158+$B$156*(18*($B$5/2)/MAX(1,$B$16-1)),NA())</f>
        <v>#N/A</v>
      </c>
      <c r="HK114" t="e">
        <f>IF(36&lt;=$B$12,$B$157+$B$156*($B$13*36),NA())</f>
        <v>#N/A</v>
      </c>
      <c r="HL114" t="e">
        <f>IF(36&lt;=$B$12,$B$158+$B$156*($B$5),NA())</f>
        <v>#N/A</v>
      </c>
      <c r="HM114" t="e">
        <f>IF(AND(19&lt;=$B$12,1&lt;=$B$25),$B$157+$B$156*((19-1)*$B$13+1*$B$13/($B$25+1)),NA())</f>
        <v>#N/A</v>
      </c>
      <c r="HN114" t="e">
        <f>IF(AND(19&lt;=$B$12,1&lt;=$B$25),$B$158+$B$156*($B$5),NA())</f>
        <v>#N/A</v>
      </c>
      <c r="HQ114">
        <f>IF(AND(2&lt;=$B$23,1&lt;=$B$24),$B$157+$B$156*(IF(2=1,1,IF(2=$B$23,$B$12,5*(2-1)))*$B$13),NA())</f>
        <v>131.162428571429</v>
      </c>
      <c r="HR114">
        <f>IF(AND(2&lt;=$B$23,1&lt;=$B$24),$B$158+$B$156*((1*$B$5/2+1*($B$5/2)/$B$24)),NA())</f>
        <v>71</v>
      </c>
      <c r="HS114">
        <f>IF(AND(5&lt;=$B$12,$B$51&gt;0),$B$157+$B$156*(((5-0.5)*$B$13)+($B$51*$B$13)/2),NA())</f>
        <v>121.391</v>
      </c>
      <c r="HT114">
        <f>IF(AND(5&lt;=$B$12,$B$51&gt;0),$B$158+$B$156*((1*$B$5/2+0.6*$B$159)),NA())</f>
        <v>52.6</v>
      </c>
      <c r="HU114" t="e">
        <f>IF(10&lt;=$B$47,$B$157+$B$156*(((MAX(1,MIN($B$12,ROUND(10*$B$12/($B$47+1),0)))-1)*$B$13+0.25*$B$13)+$B$48/2),NA())</f>
        <v>#N/A</v>
      </c>
      <c r="HV114" t="e">
        <f>IF(10&lt;=$B$47,$B$158+$B$156*(IF(MOD(10,2)=1,$B$5/4,3*$B$5/4)-$B$49/2),NA())</f>
        <v>#N/A</v>
      </c>
      <c r="KI114" t="e">
        <f>IF(AND($B$21=1,10*$B$67&gt;$B$59,10*$B$67&lt;$B$178-$B$59,OR($B$63=0,ABS(10*$B$67-$B$178/2)&gt;$B$59/2)),$B$182+$B$181*($B$177*1/4-$B$60/2),NA())</f>
        <v>#N/A</v>
      </c>
      <c r="KJ114" t="e">
        <f>IF(AND($B$21=1,10*$B$67&gt;$B$59,10*$B$67&lt;$B$178-$B$59,OR($B$63=0,ABS(10*$B$67-$B$178/2)&gt;$B$59/2)),$B$183+$B$181*(10*$B$67),NA())</f>
        <v>#N/A</v>
      </c>
    </row>
    <row r="115">
      <c r="A115" t="inlineStr">
        <is>
          <t>PG_xr2</t>
        </is>
      </c>
      <c r="B115">
        <f>IF($B$109=1,$B$113+$B$110/2,$B$5)</f>
        <v>20</v>
      </c>
      <c r="G115" t="e">
        <f>NA()</f>
        <v>#N/A</v>
      </c>
      <c r="H115" t="e">
        <f>NA()</f>
        <v>#N/A</v>
      </c>
      <c r="K115">
        <f>IF(6&lt;=$B$12,$B$133+$B$132*($B$13*6+$B$27/2),NA())</f>
        <v>150.202428571429</v>
      </c>
      <c r="L115">
        <f>IF(6&lt;=$B$12,$B$134+$B$132*(0+$B$27/2),NA())</f>
        <v>18.04</v>
      </c>
      <c r="M115" t="e">
        <f>IF(AND(36&lt;=$B$12,$B$45=1),$B$133+$B$132*($B$13*36),NA())</f>
        <v>#N/A</v>
      </c>
      <c r="N115" t="e">
        <f>IF(AND(36&lt;=$B$12,$B$45=1),$B$134+$B$132*($B$5/2),NA())</f>
        <v>#N/A</v>
      </c>
      <c r="EA115" t="e">
        <f>NA()</f>
        <v>#N/A</v>
      </c>
      <c r="EB115" t="e">
        <f>NA()</f>
        <v>#N/A</v>
      </c>
      <c r="FA115" t="e">
        <f>NA()</f>
        <v>#N/A</v>
      </c>
      <c r="FB115" t="e">
        <f>NA()</f>
        <v>#N/A</v>
      </c>
      <c r="FC115" t="e">
        <f>IF(AND(7&lt;$B$22,($B$19+7*$B$64)&gt;=$B$80),$B$145+$B$144*($B$82),NA())</f>
        <v>#N/A</v>
      </c>
      <c r="FD115" t="e">
        <f>IF(AND(7&lt;$B$22,($B$19+7*$B$64)&gt;=$B$80),$B$146+$B$144*(($B$19+7*$B$64)),NA())</f>
        <v>#N/A</v>
      </c>
      <c r="FE115" t="e">
        <f>IF(AND(AND($B$21=1,(8*$B$66)&lt;$B$62),(8*$B$66)&gt;=$B$80),$B$145+$B$144*($B$82),NA())</f>
        <v>#N/A</v>
      </c>
      <c r="FF115" t="e">
        <f>IF(AND(AND($B$21=1,(8*$B$66)&lt;$B$62),(8*$B$66)&gt;=$B$80),$B$146+$B$144*((8*$B$66)),NA())</f>
        <v>#N/A</v>
      </c>
      <c r="GG115" t="e">
        <f>IF(AND(AND($B$20=1,($B$19+7*$B$64)&lt;$B$10-0.3),($B$19+7*$B$64)&gt;=$B$111),$B$151+$B$150*(MAX(IF(($B$19+7*$B$64)&lt;=$B$9,0,(($B$19+7*$B$64)-$B$9)/$B$8),MIN(($B$5-IF(($B$19+7*$B$64)&lt;=$B$9,0,(($B$19+7*$B$64)-$B$9)/$B$8)),$B$113))),NA())</f>
        <v>#N/A</v>
      </c>
      <c r="GH115" t="e">
        <f>IF(AND(AND($B$20=1,($B$19+7*$B$64)&lt;$B$10-0.3),($B$19+7*$B$64)&gt;=$B$111),$B$152+$B$150*(($B$19+7*$B$64)),NA())</f>
        <v>#N/A</v>
      </c>
      <c r="GI115" t="e">
        <f>IF(AND(AND($B$21=1,(8*$B$66)&lt;IF($B$63=1,$B$10-0.2,$B$62)),(8*$B$66)&gt;=$B$111),$B$151+$B$150*(MAX(IF((8*$B$66)&lt;=$B$9,0,((8*$B$66)-$B$9)/$B$8),MIN(($B$5-IF((8*$B$66)&lt;=$B$9,0,((8*$B$66)-$B$9)/$B$8)),$B$113))),NA())</f>
        <v>#N/A</v>
      </c>
      <c r="GJ115" t="e">
        <f>IF(AND(AND($B$21=1,(8*$B$66)&lt;IF($B$63=1,$B$10-0.2,$B$62)),(8*$B$66)&gt;=$B$111),$B$152+$B$150*((8*$B$66)),NA())</f>
        <v>#N/A</v>
      </c>
      <c r="HI115" t="e">
        <f>NA()</f>
        <v>#N/A</v>
      </c>
      <c r="HJ115" t="e">
        <f>NA()</f>
        <v>#N/A</v>
      </c>
      <c r="HK115" t="e">
        <f>NA()</f>
        <v>#N/A</v>
      </c>
      <c r="HL115" t="e">
        <f>NA()</f>
        <v>#N/A</v>
      </c>
      <c r="HM115" t="e">
        <f>NA()</f>
        <v>#N/A</v>
      </c>
      <c r="HN115" t="e">
        <f>NA()</f>
        <v>#N/A</v>
      </c>
      <c r="HQ115" t="e">
        <f>NA()</f>
        <v>#N/A</v>
      </c>
      <c r="HR115" t="e">
        <f>NA()</f>
        <v>#N/A</v>
      </c>
      <c r="HS115">
        <f>IF(AND(5&lt;=$B$12,$B$51&gt;0),$B$157+$B$156*(((5-0.5)*$B$13)+($B$51*$B$13)/2),NA())</f>
        <v>121.391</v>
      </c>
      <c r="HT115">
        <f>IF(AND(5&lt;=$B$12,$B$51&gt;0),$B$158+$B$156*((1*$B$5/2+$B$5/2-0.6*$B$159)),NA())</f>
        <v>89.4</v>
      </c>
      <c r="HU115" t="e">
        <f>IF(10&lt;=$B$47,$B$157+$B$156*(((MAX(1,MIN($B$12,ROUND(10*$B$12/($B$47+1),0)))-1)*$B$13+0.25*$B$13)+$B$48/2),NA())</f>
        <v>#N/A</v>
      </c>
      <c r="HV115" t="e">
        <f>IF(10&lt;=$B$47,$B$158+$B$156*(IF(MOD(10,2)=1,$B$5/4,3*$B$5/4)+$B$49/2),NA())</f>
        <v>#N/A</v>
      </c>
      <c r="KI115" t="e">
        <f>NA()</f>
        <v>#N/A</v>
      </c>
      <c r="KJ115" t="e">
        <f>NA()</f>
        <v>#N/A</v>
      </c>
    </row>
    <row r="116">
      <c r="A116" t="inlineStr">
        <is>
          <t>PG_ex3</t>
        </is>
      </c>
      <c r="B116">
        <f>IF(3&lt;=$B$101,1,0)</f>
        <v>0</v>
      </c>
      <c r="G116" t="e">
        <f>IF(37&lt;=$B$12,$B$133+$B$132*($B$13*37),NA())</f>
        <v>#N/A</v>
      </c>
      <c r="H116" t="e">
        <f>IF(37&lt;=$B$12,$B$134+$B$132*(-4*$B$135),NA())</f>
        <v>#N/A</v>
      </c>
      <c r="K116">
        <f>IF(6&lt;=$B$12,$B$133+$B$132*($B$13*6-$B$27/2),NA())</f>
        <v>146.122428571429</v>
      </c>
      <c r="L116">
        <f>IF(6&lt;=$B$12,$B$134+$B$132*(0+$B$27/2),NA())</f>
        <v>18.04</v>
      </c>
      <c r="M116" t="e">
        <f>IF(37&lt;=$B$12,$B$133+$B$132*($B$13*37),NA())</f>
        <v>#N/A</v>
      </c>
      <c r="N116" t="e">
        <f>IF(37&lt;=$B$12,$B$134+$B$132*(0),NA())</f>
        <v>#N/A</v>
      </c>
      <c r="EA116" t="e">
        <f>IF(AND($B$18=1,9&lt;=$B$26),$B$139+$B$138*(8*($B$5/MAX(1,$B$26))),NA())</f>
        <v>#N/A</v>
      </c>
      <c r="EB116" t="e">
        <f>IF(AND($B$18=1,9&lt;=$B$26),$B$140+$B$138*(IF(9&lt;=$B$26/2,($B$9+$B$8*MIN(8*($B$5/MAX(1,$B$26)),$B$5-(8*($B$5/MAX(1,$B$26))))),$B$7)),NA())</f>
        <v>#N/A</v>
      </c>
      <c r="FA116" t="e">
        <f>IF(37&lt;=$B$12,$B$145+$B$144*($B$13*37),NA())</f>
        <v>#N/A</v>
      </c>
      <c r="FB116" t="e">
        <f>IF(37&lt;=$B$12,$B$146+$B$144*(0),NA())</f>
        <v>#N/A</v>
      </c>
      <c r="FC116" t="e">
        <f>IF(7&lt;$B$22,$B$145+$B$144*(IF(($B$19+7*$B$64)&lt;$B$80,$B$84,$B$82)),NA())</f>
        <v>#N/A</v>
      </c>
      <c r="FD116" t="e">
        <f>IF(7&lt;$B$22,$B$146+$B$144*(($B$19+7*$B$64)),NA())</f>
        <v>#N/A</v>
      </c>
      <c r="FE116" t="e">
        <f>IF(AND($B$21=1,(8*$B$66)&lt;$B$62),$B$145+$B$144*(IF((8*$B$66)&lt;$B$80,$B$84,$B$82)),NA())</f>
        <v>#N/A</v>
      </c>
      <c r="FF116" t="e">
        <f>IF(AND($B$21=1,(8*$B$66)&lt;$B$62),$B$146+$B$144*((8*$B$66)),NA())</f>
        <v>#N/A</v>
      </c>
      <c r="GG116" t="e">
        <f>IF(AND($B$20=1,($B$19+7*$B$64)&lt;$B$10-0.3),$B$151+$B$150*(MAX(IF(($B$19+7*$B$64)&lt;=$B$9,0,(($B$19+7*$B$64)-$B$9)/$B$8),MIN(($B$5-IF(($B$19+7*$B$64)&lt;=$B$9,0,(($B$19+7*$B$64)-$B$9)/$B$8)),IF(($B$19+7*$B$64)&lt;$B$111,$B$115,$B$113)))),NA())</f>
        <v>#N/A</v>
      </c>
      <c r="GH116" t="e">
        <f>IF(AND($B$20=1,($B$19+7*$B$64)&lt;$B$10-0.3),$B$152+$B$150*(($B$19+7*$B$64)),NA())</f>
        <v>#N/A</v>
      </c>
      <c r="GI116" t="e">
        <f>IF(AND($B$21=1,(8*$B$66)&lt;IF($B$63=1,$B$10-0.2,$B$62)),$B$151+$B$150*(MAX(IF((8*$B$66)&lt;=$B$9,0,((8*$B$66)-$B$9)/$B$8),MIN(($B$5-IF((8*$B$66)&lt;=$B$9,0,((8*$B$66)-$B$9)/$B$8)),IF((8*$B$66)&lt;$B$111,$B$115,$B$113)))),NA())</f>
        <v>#N/A</v>
      </c>
      <c r="GJ116" t="e">
        <f>IF(AND($B$21=1,(8*$B$66)&lt;IF($B$63=1,$B$10-0.2,$B$62)),$B$152+$B$150*((8*$B$66)),NA())</f>
        <v>#N/A</v>
      </c>
      <c r="HI116" t="e">
        <f>IF(18&lt;=$B$16-1,$B$157+$B$156*(-$B$46),NA())</f>
        <v>#N/A</v>
      </c>
      <c r="HJ116" t="e">
        <f>IF(18&lt;=$B$16-1,$B$158+$B$156*($B$5-18*($B$5/2)/MAX(1,$B$16-1)),NA())</f>
        <v>#N/A</v>
      </c>
      <c r="HK116" t="e">
        <f>IF(37&lt;=$B$12,$B$157+$B$156*($B$13*37),NA())</f>
        <v>#N/A</v>
      </c>
      <c r="HL116" t="e">
        <f>IF(37&lt;=$B$12,$B$158+$B$156*(0),NA())</f>
        <v>#N/A</v>
      </c>
      <c r="HM116" t="e">
        <f>IF(AND(19&lt;=$B$12,2&lt;=$B$25),$B$157+$B$156*((19-1)*$B$13+2*$B$13/($B$25+1)),NA())</f>
        <v>#N/A</v>
      </c>
      <c r="HN116" t="e">
        <f>IF(AND(19&lt;=$B$12,2&lt;=$B$25),$B$158+$B$156*(0),NA())</f>
        <v>#N/A</v>
      </c>
      <c r="HQ116">
        <f>IF(AND(2&lt;=$B$23,1&lt;=$B$24),$B$157+$B$156*((IF(2=1,1,IF(2=$B$23,$B$12,5*(2-1)))-1)*$B$13),NA())</f>
        <v>109.448142857143</v>
      </c>
      <c r="HR116">
        <f>IF(AND(2&lt;=$B$23,1&lt;=$B$24),$B$158+$B$156*((1*$B$5/2+1*($B$5/2)/$B$24)),NA())</f>
        <v>71</v>
      </c>
      <c r="HS116">
        <f>IF(AND(5&lt;=$B$12,$B$51&gt;0),$B$157+$B$156*(((5-0.5)*$B$13)-($B$51*$B$13)/2),NA())</f>
        <v>119.219571428571</v>
      </c>
      <c r="HT116">
        <f>IF(AND(5&lt;=$B$12,$B$51&gt;0),$B$158+$B$156*((1*$B$5/2+$B$5/2-0.6*$B$159)),NA())</f>
        <v>89.4</v>
      </c>
      <c r="HU116" t="e">
        <f>IF(10&lt;=$B$47,$B$157+$B$156*(((MAX(1,MIN($B$12,ROUND(10*$B$12/($B$47+1),0)))-1)*$B$13+0.25*$B$13)-$B$48/2),NA())</f>
        <v>#N/A</v>
      </c>
      <c r="HV116" t="e">
        <f>IF(10&lt;=$B$47,$B$158+$B$156*(IF(MOD(10,2)=1,$B$5/4,3*$B$5/4)+$B$49/2),NA())</f>
        <v>#N/A</v>
      </c>
      <c r="KI116" t="e">
        <f>IF(AND($B$21=1,10*$B$67&gt;$B$59,10*$B$67&lt;$B$178-$B$59,OR($B$63=0,ABS(10*$B$67-$B$178/2)&gt;$B$59/2)),$B$182+$B$181*($B$177*1/4+$B$60/2),NA())</f>
        <v>#N/A</v>
      </c>
      <c r="KJ116" t="e">
        <f>IF(AND($B$21=1,10*$B$67&gt;$B$59,10*$B$67&lt;$B$178-$B$59,OR($B$63=0,ABS(10*$B$67-$B$178/2)&gt;$B$59/2)),$B$183+$B$181*(10*$B$67),NA())</f>
        <v>#N/A</v>
      </c>
    </row>
    <row r="117">
      <c r="A117" t="inlineStr">
        <is>
          <t>PG_w3</t>
        </is>
      </c>
      <c r="B117">
        <f>IF(3&lt;=$B$99,'PARAMÈTRES'!$C$29,'PARAMÈTRES'!$C$33)</f>
        <v>5.5</v>
      </c>
      <c r="G117" t="e">
        <f>IF(37&lt;=$B$12,$B$133+$B$132*($B$13*37),NA())</f>
        <v>#N/A</v>
      </c>
      <c r="H117" t="e">
        <f>IF(37&lt;=$B$12,$B$134+$B$132*($B$5+4*$B$135),NA())</f>
        <v>#N/A</v>
      </c>
      <c r="K117">
        <f>IF(6&lt;=$B$12,$B$133+$B$132*($B$13*6-$B$27/2),NA())</f>
        <v>146.122428571429</v>
      </c>
      <c r="L117">
        <f>IF(6&lt;=$B$12,$B$134+$B$132*(0-$B$27/2),NA())</f>
        <v>13.96</v>
      </c>
      <c r="M117" t="e">
        <f>IF(37&lt;=$B$12,$B$133+$B$132*($B$13*37),NA())</f>
        <v>#N/A</v>
      </c>
      <c r="N117" t="e">
        <f>IF(37&lt;=$B$12,$B$134+$B$132*($B$5),NA())</f>
        <v>#N/A</v>
      </c>
      <c r="EA117" t="e">
        <f>IF(AND($B$18=1,9&lt;=$B$26),$B$139+$B$138*(9*($B$5/MAX(1,$B$26))),NA())</f>
        <v>#N/A</v>
      </c>
      <c r="EB117" t="e">
        <f>IF(AND($B$18=1,9&lt;=$B$26),$B$140+$B$138*(IF(9&lt;=$B$26/2,$B$7,($B$9+$B$8*MIN(9*($B$5/MAX(1,$B$26)),$B$5-(9*($B$5/MAX(1,$B$26))))))),NA())</f>
        <v>#N/A</v>
      </c>
      <c r="FA117" t="e">
        <f>IF(37&lt;=$B$12,$B$145+$B$144*($B$13*37),NA())</f>
        <v>#N/A</v>
      </c>
      <c r="FB117" t="e">
        <f>IF(37&lt;=$B$12,$B$146+$B$144*($B$9),NA())</f>
        <v>#N/A</v>
      </c>
      <c r="FC117" t="e">
        <f>IF(7&lt;$B$22,$B$145+$B$144*(IF(($B$19+7*$B$64)&lt;$B$87,$B$90,$B$89)),NA())</f>
        <v>#N/A</v>
      </c>
      <c r="FD117" t="e">
        <f>IF(7&lt;$B$22,$B$146+$B$144*(($B$19+7*$B$64)),NA())</f>
        <v>#N/A</v>
      </c>
      <c r="FE117" t="e">
        <f>IF(AND($B$21=1,(8*$B$66)&lt;$B$62),$B$145+$B$144*(IF((8*$B$66)&lt;$B$87,$B$90,$B$89)),NA())</f>
        <v>#N/A</v>
      </c>
      <c r="FF117" t="e">
        <f>IF(AND($B$21=1,(8*$B$66)&lt;$B$62),$B$146+$B$144*((8*$B$66)),NA())</f>
        <v>#N/A</v>
      </c>
      <c r="GG117" t="e">
        <f>IF(AND($B$20=1,($B$19+7*$B$64)&lt;$B$10-0.3),$B$151+$B$150*(MAX(IF(($B$19+7*$B$64)&lt;=$B$9,0,(($B$19+7*$B$64)-$B$9)/$B$8),MIN(($B$5-IF(($B$19+7*$B$64)&lt;=$B$9,0,(($B$19+7*$B$64)-$B$9)/$B$8)),IF(($B$19+7*$B$64)&lt;$B$118,$B$121,$B$120)))),NA())</f>
        <v>#N/A</v>
      </c>
      <c r="GH117" t="e">
        <f>IF(AND($B$20=1,($B$19+7*$B$64)&lt;$B$10-0.3),$B$152+$B$150*(($B$19+7*$B$64)),NA())</f>
        <v>#N/A</v>
      </c>
      <c r="GI117" t="e">
        <f>IF(AND($B$21=1,(8*$B$66)&lt;IF($B$63=1,$B$10-0.2,$B$62)),$B$151+$B$150*(MAX(IF((8*$B$66)&lt;=$B$9,0,((8*$B$66)-$B$9)/$B$8),MIN(($B$5-IF((8*$B$66)&lt;=$B$9,0,((8*$B$66)-$B$9)/$B$8)),IF((8*$B$66)&lt;$B$118,$B$121,$B$120)))),NA())</f>
        <v>#N/A</v>
      </c>
      <c r="GJ117" t="e">
        <f>IF(AND($B$21=1,(8*$B$66)&lt;IF($B$63=1,$B$10-0.2,$B$62)),$B$152+$B$150*((8*$B$66)),NA())</f>
        <v>#N/A</v>
      </c>
      <c r="HI117" t="e">
        <f>IF(18&lt;=$B$16-1,$B$157+$B$156*($B$6+$B$46),NA())</f>
        <v>#N/A</v>
      </c>
      <c r="HJ117" t="e">
        <f>IF(18&lt;=$B$16-1,$B$158+$B$156*($B$5-18*($B$5/2)/MAX(1,$B$16-1)),NA())</f>
        <v>#N/A</v>
      </c>
      <c r="HK117" t="e">
        <f>IF(37&lt;=$B$12,$B$157+$B$156*($B$13*37),NA())</f>
        <v>#N/A</v>
      </c>
      <c r="HL117" t="e">
        <f>IF(37&lt;=$B$12,$B$158+$B$156*($B$5),NA())</f>
        <v>#N/A</v>
      </c>
      <c r="HM117" t="e">
        <f>IF(AND(19&lt;=$B$12,2&lt;=$B$25),$B$157+$B$156*((19-1)*$B$13+2*$B$13/($B$25+1)),NA())</f>
        <v>#N/A</v>
      </c>
      <c r="HN117" t="e">
        <f>IF(AND(19&lt;=$B$12,2&lt;=$B$25),$B$158+$B$156*($B$5),NA())</f>
        <v>#N/A</v>
      </c>
      <c r="HQ117">
        <f>IF(AND(2&lt;=$B$23,1&lt;=$B$24),$B$157+$B$156*(IF(2=1,1,IF(2=$B$23,$B$12,5*(2-1)))*$B$13),NA())</f>
        <v>131.162428571429</v>
      </c>
      <c r="HR117">
        <f>IF(AND(2&lt;=$B$23,1&lt;=$B$24),$B$158+$B$156*((1*$B$5/2+(1-1)*($B$5/2)/$B$24)),NA())</f>
        <v>52</v>
      </c>
      <c r="HS117">
        <f>IF(AND(5&lt;=$B$12,$B$51&gt;0),$B$157+$B$156*(((5-0.5)*$B$13)-($B$51*$B$13)/2),NA())</f>
        <v>119.219571428571</v>
      </c>
      <c r="HT117">
        <f>IF(AND(5&lt;=$B$12,$B$51&gt;0),$B$158+$B$156*((1*$B$5/2+0.6*$B$159)),NA())</f>
        <v>52.6</v>
      </c>
      <c r="HU117" t="e">
        <f>IF(10&lt;=$B$47,$B$157+$B$156*(((MAX(1,MIN($B$12,ROUND(10*$B$12/($B$47+1),0)))-1)*$B$13+0.25*$B$13)-$B$48/2),NA())</f>
        <v>#N/A</v>
      </c>
      <c r="HV117" t="e">
        <f>IF(10&lt;=$B$47,$B$158+$B$156*(IF(MOD(10,2)=1,$B$5/4,3*$B$5/4)-$B$49/2),NA())</f>
        <v>#N/A</v>
      </c>
      <c r="KI117" t="e">
        <f>IF(AND($B$21=1,10*$B$67&gt;$B$59,10*$B$67&lt;$B$178-$B$59,OR($B$63=0,ABS(10*$B$67-$B$178/2)&gt;$B$59/2)),$B$182+$B$181*($B$177*2/4-$B$60/2),NA())</f>
        <v>#N/A</v>
      </c>
      <c r="KJ117" t="e">
        <f>IF(AND($B$21=1,10*$B$67&gt;$B$59,10*$B$67&lt;$B$178-$B$59,OR($B$63=0,ABS(10*$B$67-$B$178/2)&gt;$B$59/2)),$B$183+$B$181*(10*$B$67),NA())</f>
        <v>#N/A</v>
      </c>
    </row>
    <row r="118">
      <c r="A118" t="inlineStr">
        <is>
          <t>PG_h3</t>
        </is>
      </c>
      <c r="B118">
        <f>IF(3&lt;=$B$99,'PARAMÈTRES'!$C$30,'PARAMÈTRES'!$C$34)*$B$116</f>
        <v>0</v>
      </c>
      <c r="G118" t="e">
        <f>NA()</f>
        <v>#N/A</v>
      </c>
      <c r="H118" t="e">
        <f>NA()</f>
        <v>#N/A</v>
      </c>
      <c r="K118" t="e">
        <f>NA()</f>
        <v>#N/A</v>
      </c>
      <c r="L118" t="e">
        <f>NA()</f>
        <v>#N/A</v>
      </c>
      <c r="M118" t="e">
        <f>IF(AND(37&lt;=$B$12,$B$45=1),$B$133+$B$132*($B$13*37),NA())</f>
        <v>#N/A</v>
      </c>
      <c r="N118" t="e">
        <f>IF(AND(37&lt;=$B$12,$B$45=1),$B$134+$B$132*($B$5/2),NA())</f>
        <v>#N/A</v>
      </c>
      <c r="EA118" t="e">
        <f>NA()</f>
        <v>#N/A</v>
      </c>
      <c r="EB118" t="e">
        <f>NA()</f>
        <v>#N/A</v>
      </c>
      <c r="FA118" t="e">
        <f>NA()</f>
        <v>#N/A</v>
      </c>
      <c r="FB118" t="e">
        <f>NA()</f>
        <v>#N/A</v>
      </c>
      <c r="FC118" t="e">
        <f>IF(AND(7&lt;$B$22,($B$19+7*$B$64)&gt;=$B$87),$B$145+$B$144*($B$89),NA())</f>
        <v>#N/A</v>
      </c>
      <c r="FD118" t="e">
        <f>IF(AND(7&lt;$B$22,($B$19+7*$B$64)&gt;=$B$87),$B$146+$B$144*(($B$19+7*$B$64)),NA())</f>
        <v>#N/A</v>
      </c>
      <c r="FE118" t="e">
        <f>IF(AND(AND($B$21=1,(8*$B$66)&lt;$B$62),(8*$B$66)&gt;=$B$87),$B$145+$B$144*($B$89),NA())</f>
        <v>#N/A</v>
      </c>
      <c r="FF118" t="e">
        <f>IF(AND(AND($B$21=1,(8*$B$66)&lt;$B$62),(8*$B$66)&gt;=$B$87),$B$146+$B$144*((8*$B$66)),NA())</f>
        <v>#N/A</v>
      </c>
      <c r="GG118" t="e">
        <f>IF(AND(AND($B$20=1,($B$19+7*$B$64)&lt;$B$10-0.3),($B$19+7*$B$64)&gt;=$B$118),$B$151+$B$150*(MAX(IF(($B$19+7*$B$64)&lt;=$B$9,0,(($B$19+7*$B$64)-$B$9)/$B$8),MIN(($B$5-IF(($B$19+7*$B$64)&lt;=$B$9,0,(($B$19+7*$B$64)-$B$9)/$B$8)),$B$120))),NA())</f>
        <v>#N/A</v>
      </c>
      <c r="GH118" t="e">
        <f>IF(AND(AND($B$20=1,($B$19+7*$B$64)&lt;$B$10-0.3),($B$19+7*$B$64)&gt;=$B$118),$B$152+$B$150*(($B$19+7*$B$64)),NA())</f>
        <v>#N/A</v>
      </c>
      <c r="GI118" t="e">
        <f>IF(AND(AND($B$21=1,(8*$B$66)&lt;IF($B$63=1,$B$10-0.2,$B$62)),(8*$B$66)&gt;=$B$118),$B$151+$B$150*(MAX(IF((8*$B$66)&lt;=$B$9,0,((8*$B$66)-$B$9)/$B$8),MIN(($B$5-IF((8*$B$66)&lt;=$B$9,0,((8*$B$66)-$B$9)/$B$8)),$B$120))),NA())</f>
        <v>#N/A</v>
      </c>
      <c r="GJ118" t="e">
        <f>IF(AND(AND($B$21=1,(8*$B$66)&lt;IF($B$63=1,$B$10-0.2,$B$62)),(8*$B$66)&gt;=$B$118),$B$152+$B$150*((8*$B$66)),NA())</f>
        <v>#N/A</v>
      </c>
      <c r="HI118" t="e">
        <f>NA()</f>
        <v>#N/A</v>
      </c>
      <c r="HJ118" t="e">
        <f>NA()</f>
        <v>#N/A</v>
      </c>
      <c r="HK118" t="e">
        <f>NA()</f>
        <v>#N/A</v>
      </c>
      <c r="HL118" t="e">
        <f>NA()</f>
        <v>#N/A</v>
      </c>
      <c r="HM118" t="e">
        <f>NA()</f>
        <v>#N/A</v>
      </c>
      <c r="HN118" t="e">
        <f>NA()</f>
        <v>#N/A</v>
      </c>
      <c r="HQ118" t="e">
        <f>NA()</f>
        <v>#N/A</v>
      </c>
      <c r="HR118" t="e">
        <f>NA()</f>
        <v>#N/A</v>
      </c>
      <c r="HS118" t="e">
        <f>NA()</f>
        <v>#N/A</v>
      </c>
      <c r="HT118" t="e">
        <f>NA()</f>
        <v>#N/A</v>
      </c>
      <c r="HU118" t="e">
        <f>NA()</f>
        <v>#N/A</v>
      </c>
      <c r="HV118" t="e">
        <f>NA()</f>
        <v>#N/A</v>
      </c>
      <c r="KI118" t="e">
        <f>NA()</f>
        <v>#N/A</v>
      </c>
      <c r="KJ118" t="e">
        <f>NA()</f>
        <v>#N/A</v>
      </c>
    </row>
    <row r="119">
      <c r="A119" t="inlineStr">
        <is>
          <t>PG_pos3</t>
        </is>
      </c>
      <c r="B119">
        <f>MAX(1,MIN($B$14,ROUND(3*$B$14/($B$101+1),0)))</f>
        <v>4</v>
      </c>
      <c r="G119" t="e">
        <f>IF(38&lt;=$B$12,$B$133+$B$132*($B$13*38),NA())</f>
        <v>#N/A</v>
      </c>
      <c r="H119" t="e">
        <f>IF(38&lt;=$B$12,$B$134+$B$132*(-4*$B$135),NA())</f>
        <v>#N/A</v>
      </c>
      <c r="K119">
        <f>IF(6&lt;=$B$12,$B$133+$B$132*($B$13*6-$B$27/2),NA())</f>
        <v>146.122428571429</v>
      </c>
      <c r="L119">
        <f>IF(6&lt;=$B$12,$B$134+$B$132*($B$5-$B$27/2),NA())</f>
        <v>81.96</v>
      </c>
      <c r="M119" t="e">
        <f>IF(38&lt;=$B$12,$B$133+$B$132*($B$13*38),NA())</f>
        <v>#N/A</v>
      </c>
      <c r="N119" t="e">
        <f>IF(38&lt;=$B$12,$B$134+$B$132*(0),NA())</f>
        <v>#N/A</v>
      </c>
      <c r="EA119" t="e">
        <f>IF(AND($B$18=1,10&lt;=$B$26),$B$139+$B$138*(9*($B$5/MAX(1,$B$26))),NA())</f>
        <v>#N/A</v>
      </c>
      <c r="EB119" t="e">
        <f>IF(AND($B$18=1,10&lt;=$B$26),$B$140+$B$138*(IF(10&lt;=$B$26/2,($B$9+$B$8*MIN(9*($B$5/MAX(1,$B$26)),$B$5-(9*($B$5/MAX(1,$B$26))))),$B$7)),NA())</f>
        <v>#N/A</v>
      </c>
      <c r="FA119" t="e">
        <f>IF(38&lt;=$B$12,$B$145+$B$144*($B$13*38),NA())</f>
        <v>#N/A</v>
      </c>
      <c r="FB119" t="e">
        <f>IF(38&lt;=$B$12,$B$146+$B$144*(0),NA())</f>
        <v>#N/A</v>
      </c>
      <c r="FC119" t="e">
        <f>IF(7&lt;$B$22,$B$145+$B$144*(IF(($B$19+7*$B$64)&lt;$B$87,$B$91,$B$89)),NA())</f>
        <v>#N/A</v>
      </c>
      <c r="FD119" t="e">
        <f>IF(7&lt;$B$22,$B$146+$B$144*(($B$19+7*$B$64)),NA())</f>
        <v>#N/A</v>
      </c>
      <c r="FE119" t="e">
        <f>IF(AND($B$21=1,(8*$B$66)&lt;$B$62),$B$145+$B$144*(IF((8*$B$66)&lt;$B$87,$B$91,$B$89)),NA())</f>
        <v>#N/A</v>
      </c>
      <c r="FF119" t="e">
        <f>IF(AND($B$21=1,(8*$B$66)&lt;$B$62),$B$146+$B$144*((8*$B$66)),NA())</f>
        <v>#N/A</v>
      </c>
      <c r="GG119" t="e">
        <f>IF(AND($B$20=1,($B$19+7*$B$64)&lt;$B$10-0.3),$B$151+$B$150*(MAX(IF(($B$19+7*$B$64)&lt;=$B$9,0,(($B$19+7*$B$64)-$B$9)/$B$8),MIN(($B$5-IF(($B$19+7*$B$64)&lt;=$B$9,0,(($B$19+7*$B$64)-$B$9)/$B$8)),IF(($B$19+7*$B$64)&lt;$B$118,$B$122,$B$120)))),NA())</f>
        <v>#N/A</v>
      </c>
      <c r="GH119" t="e">
        <f>IF(AND($B$20=1,($B$19+7*$B$64)&lt;$B$10-0.3),$B$152+$B$150*(($B$19+7*$B$64)),NA())</f>
        <v>#N/A</v>
      </c>
      <c r="GI119" t="e">
        <f>IF(AND($B$21=1,(8*$B$66)&lt;IF($B$63=1,$B$10-0.2,$B$62)),$B$151+$B$150*(MAX(IF((8*$B$66)&lt;=$B$9,0,((8*$B$66)-$B$9)/$B$8),MIN(($B$5-IF((8*$B$66)&lt;=$B$9,0,((8*$B$66)-$B$9)/$B$8)),IF((8*$B$66)&lt;$B$118,$B$122,$B$120)))),NA())</f>
        <v>#N/A</v>
      </c>
      <c r="GJ119" t="e">
        <f>IF(AND($B$21=1,(8*$B$66)&lt;IF($B$63=1,$B$10-0.2,$B$62)),$B$152+$B$150*((8*$B$66)),NA())</f>
        <v>#N/A</v>
      </c>
      <c r="HI119" t="e">
        <f>IF(19&lt;=$B$16-1,$B$157+$B$156*(-$B$46),NA())</f>
        <v>#N/A</v>
      </c>
      <c r="HJ119" t="e">
        <f>IF(19&lt;=$B$16-1,$B$158+$B$156*(19*($B$5/2)/MAX(1,$B$16-1)),NA())</f>
        <v>#N/A</v>
      </c>
      <c r="HK119" t="e">
        <f>IF(38&lt;=$B$12,$B$157+$B$156*($B$13*38),NA())</f>
        <v>#N/A</v>
      </c>
      <c r="HL119" t="e">
        <f>IF(38&lt;=$B$12,$B$158+$B$156*(0),NA())</f>
        <v>#N/A</v>
      </c>
      <c r="HM119" t="e">
        <f>IF(AND(20&lt;=$B$12,1&lt;=$B$25),$B$157+$B$156*((20-1)*$B$13+1*$B$13/($B$25+1)),NA())</f>
        <v>#N/A</v>
      </c>
      <c r="HN119" t="e">
        <f>IF(AND(20&lt;=$B$12,1&lt;=$B$25),$B$158+$B$156*(0),NA())</f>
        <v>#N/A</v>
      </c>
      <c r="HQ119">
        <f>IF(AND(2&lt;=$B$23,2&lt;=$B$24),$B$157+$B$156*((IF(2=1,1,IF(2=$B$23,$B$12,5*(2-1)))-1)*$B$13),NA())</f>
        <v>109.448142857143</v>
      </c>
      <c r="HR119">
        <f>IF(AND(2&lt;=$B$23,2&lt;=$B$24),$B$158+$B$156*((1*$B$5/2+(2-1)*($B$5/2)/$B$24)),NA())</f>
        <v>71</v>
      </c>
      <c r="HS119">
        <f>IF(AND(5&lt;=$B$12,$B$51&gt;0),$B$157+$B$156*(((5-0.5)*$B$13)-($B$51*$B$13)/2),NA())</f>
        <v>119.219571428571</v>
      </c>
      <c r="HT119">
        <f>IF(AND(5&lt;=$B$12,$B$51&gt;0),$B$158+$B$156*((1*$B$5/2+0.6*$B$159)),NA())</f>
        <v>52.6</v>
      </c>
      <c r="HU119" t="e">
        <f>IF(10&lt;=$B$47,$B$157+$B$156*(((MAX(1,MIN($B$12,ROUND(10*$B$12/($B$47+1),0)))-1)*$B$13+0.25*$B$13)-$B$48/2-0.2),NA())</f>
        <v>#N/A</v>
      </c>
      <c r="HV119" t="e">
        <f>IF(10&lt;=$B$47,$B$158+$B$156*(IF(MOD(10,2)=1,$B$5/4,3*$B$5/4)-$B$49/2-0.2),NA())</f>
        <v>#N/A</v>
      </c>
      <c r="KI119" t="e">
        <f>IF(AND($B$21=1,10*$B$67&gt;$B$59,10*$B$67&lt;$B$178-$B$59,OR($B$63=0,ABS(10*$B$67-$B$178/2)&gt;$B$59/2)),$B$182+$B$181*($B$177*2/4+$B$60/2),NA())</f>
        <v>#N/A</v>
      </c>
      <c r="KJ119" t="e">
        <f>IF(AND($B$21=1,10*$B$67&gt;$B$59,10*$B$67&lt;$B$178-$B$59,OR($B$63=0,ABS(10*$B$67-$B$178/2)&gt;$B$59/2)),$B$183+$B$181*(10*$B$67),NA())</f>
        <v>#N/A</v>
      </c>
    </row>
    <row r="120">
      <c r="A120" t="inlineStr">
        <is>
          <t>PG_xc3</t>
        </is>
      </c>
      <c r="B120">
        <f>IF($B$116=1,($B$119-0.5)*$B$15,$B$5)</f>
        <v>20</v>
      </c>
      <c r="G120" t="e">
        <f>IF(38&lt;=$B$12,$B$133+$B$132*($B$13*38),NA())</f>
        <v>#N/A</v>
      </c>
      <c r="H120" t="e">
        <f>IF(38&lt;=$B$12,$B$134+$B$132*($B$5+4*$B$135),NA())</f>
        <v>#N/A</v>
      </c>
      <c r="K120">
        <f>IF(6&lt;=$B$12,$B$133+$B$132*($B$13*6+$B$27/2),NA())</f>
        <v>150.202428571429</v>
      </c>
      <c r="L120">
        <f>IF(6&lt;=$B$12,$B$134+$B$132*($B$5-$B$27/2),NA())</f>
        <v>81.96</v>
      </c>
      <c r="M120" t="e">
        <f>IF(38&lt;=$B$12,$B$133+$B$132*($B$13*38),NA())</f>
        <v>#N/A</v>
      </c>
      <c r="N120" t="e">
        <f>IF(38&lt;=$B$12,$B$134+$B$132*($B$5),NA())</f>
        <v>#N/A</v>
      </c>
      <c r="EA120" t="e">
        <f>IF(AND($B$18=1,10&lt;=$B$26),$B$139+$B$138*(10*($B$5/MAX(1,$B$26))),NA())</f>
        <v>#N/A</v>
      </c>
      <c r="EB120" t="e">
        <f>IF(AND($B$18=1,10&lt;=$B$26),$B$140+$B$138*(IF(10&lt;=$B$26/2,$B$7,($B$9+$B$8*MIN(10*($B$5/MAX(1,$B$26)),$B$5-(10*($B$5/MAX(1,$B$26))))))),NA())</f>
        <v>#N/A</v>
      </c>
      <c r="FA120" t="e">
        <f>IF(38&lt;=$B$12,$B$145+$B$144*($B$13*38),NA())</f>
        <v>#N/A</v>
      </c>
      <c r="FB120" t="e">
        <f>IF(38&lt;=$B$12,$B$146+$B$144*($B$9),NA())</f>
        <v>#N/A</v>
      </c>
      <c r="FC120" t="e">
        <f>IF(7&lt;$B$22,$B$145+$B$144*(IF(($B$19+7*$B$64)&lt;$B$94,$B$97,$B$96)),NA())</f>
        <v>#N/A</v>
      </c>
      <c r="FD120" t="e">
        <f>IF(7&lt;$B$22,$B$146+$B$144*(($B$19+7*$B$64)),NA())</f>
        <v>#N/A</v>
      </c>
      <c r="FE120" t="e">
        <f>IF(AND($B$21=1,(8*$B$66)&lt;$B$62),$B$145+$B$144*(IF((8*$B$66)&lt;$B$94,$B$97,$B$96)),NA())</f>
        <v>#N/A</v>
      </c>
      <c r="FF120" t="e">
        <f>IF(AND($B$21=1,(8*$B$66)&lt;$B$62),$B$146+$B$144*((8*$B$66)),NA())</f>
        <v>#N/A</v>
      </c>
      <c r="GG120" t="e">
        <f>IF(AND($B$20=1,($B$19+7*$B$64)&lt;$B$10-0.3),$B$151+$B$150*(MAX(IF(($B$19+7*$B$64)&lt;=$B$9,0,(($B$19+7*$B$64)-$B$9)/$B$8),MIN(($B$5-IF(($B$19+7*$B$64)&lt;=$B$9,0,(($B$19+7*$B$64)-$B$9)/$B$8)),IF(($B$19+7*$B$64)&lt;$B$125,$B$128,$B$127)))),NA())</f>
        <v>#N/A</v>
      </c>
      <c r="GH120" t="e">
        <f>IF(AND($B$20=1,($B$19+7*$B$64)&lt;$B$10-0.3),$B$152+$B$150*(($B$19+7*$B$64)),NA())</f>
        <v>#N/A</v>
      </c>
      <c r="GI120" t="e">
        <f>IF(AND($B$21=1,(8*$B$66)&lt;IF($B$63=1,$B$10-0.2,$B$62)),$B$151+$B$150*(MAX(IF((8*$B$66)&lt;=$B$9,0,((8*$B$66)-$B$9)/$B$8),MIN(($B$5-IF((8*$B$66)&lt;=$B$9,0,((8*$B$66)-$B$9)/$B$8)),IF((8*$B$66)&lt;$B$125,$B$128,$B$127)))),NA())</f>
        <v>#N/A</v>
      </c>
      <c r="GJ120" t="e">
        <f>IF(AND($B$21=1,(8*$B$66)&lt;IF($B$63=1,$B$10-0.2,$B$62)),$B$152+$B$150*((8*$B$66)),NA())</f>
        <v>#N/A</v>
      </c>
      <c r="HI120" t="e">
        <f>IF(19&lt;=$B$16-1,$B$157+$B$156*($B$6+$B$46),NA())</f>
        <v>#N/A</v>
      </c>
      <c r="HJ120" t="e">
        <f>IF(19&lt;=$B$16-1,$B$158+$B$156*(19*($B$5/2)/MAX(1,$B$16-1)),NA())</f>
        <v>#N/A</v>
      </c>
      <c r="HK120" t="e">
        <f>IF(38&lt;=$B$12,$B$157+$B$156*($B$13*38),NA())</f>
        <v>#N/A</v>
      </c>
      <c r="HL120" t="e">
        <f>IF(38&lt;=$B$12,$B$158+$B$156*($B$5),NA())</f>
        <v>#N/A</v>
      </c>
      <c r="HM120" t="e">
        <f>IF(AND(20&lt;=$B$12,1&lt;=$B$25),$B$157+$B$156*((20-1)*$B$13+1*$B$13/($B$25+1)),NA())</f>
        <v>#N/A</v>
      </c>
      <c r="HN120" t="e">
        <f>IF(AND(20&lt;=$B$12,1&lt;=$B$25),$B$158+$B$156*($B$5),NA())</f>
        <v>#N/A</v>
      </c>
      <c r="HQ120">
        <f>IF(AND(2&lt;=$B$23,2&lt;=$B$24),$B$157+$B$156*(IF(2=1,1,IF(2=$B$23,$B$12,5*(2-1)))*$B$13),NA())</f>
        <v>131.162428571429</v>
      </c>
      <c r="HR120">
        <f>IF(AND(2&lt;=$B$23,2&lt;=$B$24),$B$158+$B$156*((1*$B$5/2+2*($B$5/2)/$B$24)),NA())</f>
        <v>90</v>
      </c>
      <c r="HS120">
        <f>IF(AND(5&lt;=$B$12,$B$51&gt;0),$B$157+$B$156*(((5-0.5)*$B$13)+($B$51*$B$13)/2),NA())</f>
        <v>121.391</v>
      </c>
      <c r="HT120">
        <f>IF(AND(5&lt;=$B$12,$B$51&gt;0),$B$158+$B$156*((1*$B$5/2+0.6*$B$159)+(((1*$B$5/2+$B$5/2-0.6*$B$159))-((1*$B$5/2+0.6*$B$159)))/4),NA())</f>
        <v>61.8</v>
      </c>
      <c r="HU120" t="e">
        <f>IF(10&lt;=$B$47,$B$157+$B$156*(((MAX(1,MIN($B$12,ROUND(10*$B$12/($B$47+1),0)))-1)*$B$13+0.25*$B$13)+$B$48/2+0.2),NA())</f>
        <v>#N/A</v>
      </c>
      <c r="HV120" t="e">
        <f>IF(10&lt;=$B$47,$B$158+$B$156*(IF(MOD(10,2)=1,$B$5/4,3*$B$5/4)-$B$49/2-0.2),NA())</f>
        <v>#N/A</v>
      </c>
      <c r="KI120" t="e">
        <f>IF(AND($B$21=1,10*$B$67&gt;$B$59,10*$B$67&lt;$B$178-$B$59,OR($B$63=0,ABS(10*$B$67-$B$178/2)&gt;$B$59/2)),$B$182+$B$181*($B$177*3/4-$B$60/2),NA())</f>
        <v>#N/A</v>
      </c>
      <c r="KJ120" t="e">
        <f>IF(AND($B$21=1,10*$B$67&gt;$B$59,10*$B$67&lt;$B$178-$B$59,OR($B$63=0,ABS(10*$B$67-$B$178/2)&gt;$B$59/2)),$B$183+$B$181*(10*$B$67),NA())</f>
        <v>#N/A</v>
      </c>
    </row>
    <row r="121">
      <c r="A121" t="inlineStr">
        <is>
          <t>PG_xl3</t>
        </is>
      </c>
      <c r="B121">
        <f>IF($B$116=1,$B$120-$B$117/2,$B$5)</f>
        <v>20</v>
      </c>
      <c r="G121" t="e">
        <f>NA()</f>
        <v>#N/A</v>
      </c>
      <c r="H121" t="e">
        <f>NA()</f>
        <v>#N/A</v>
      </c>
      <c r="K121">
        <f>IF(6&lt;=$B$12,$B$133+$B$132*($B$13*6+$B$27/2),NA())</f>
        <v>150.202428571429</v>
      </c>
      <c r="L121">
        <f>IF(6&lt;=$B$12,$B$134+$B$132*($B$5+$B$27/2),NA())</f>
        <v>86.04</v>
      </c>
      <c r="M121" t="e">
        <f>IF(AND(38&lt;=$B$12,$B$45=1),$B$133+$B$132*($B$13*38),NA())</f>
        <v>#N/A</v>
      </c>
      <c r="N121" t="e">
        <f>IF(AND(38&lt;=$B$12,$B$45=1),$B$134+$B$132*($B$5/2),NA())</f>
        <v>#N/A</v>
      </c>
      <c r="EA121" t="e">
        <f>NA()</f>
        <v>#N/A</v>
      </c>
      <c r="EB121" t="e">
        <f>NA()</f>
        <v>#N/A</v>
      </c>
      <c r="FA121" t="e">
        <f>NA()</f>
        <v>#N/A</v>
      </c>
      <c r="FB121" t="e">
        <f>NA()</f>
        <v>#N/A</v>
      </c>
      <c r="FC121" t="e">
        <f>IF(AND(7&lt;$B$22,($B$19+7*$B$64)&gt;=$B$94),$B$145+$B$144*($B$96),NA())</f>
        <v>#N/A</v>
      </c>
      <c r="FD121" t="e">
        <f>IF(AND(7&lt;$B$22,($B$19+7*$B$64)&gt;=$B$94),$B$146+$B$144*(($B$19+7*$B$64)),NA())</f>
        <v>#N/A</v>
      </c>
      <c r="FE121" t="e">
        <f>IF(AND(AND($B$21=1,(8*$B$66)&lt;$B$62),(8*$B$66)&gt;=$B$94),$B$145+$B$144*($B$96),NA())</f>
        <v>#N/A</v>
      </c>
      <c r="FF121" t="e">
        <f>IF(AND(AND($B$21=1,(8*$B$66)&lt;$B$62),(8*$B$66)&gt;=$B$94),$B$146+$B$144*((8*$B$66)),NA())</f>
        <v>#N/A</v>
      </c>
      <c r="GG121" t="e">
        <f>IF(AND(AND($B$20=1,($B$19+7*$B$64)&lt;$B$10-0.3),($B$19+7*$B$64)&gt;=$B$125),$B$151+$B$150*(MAX(IF(($B$19+7*$B$64)&lt;=$B$9,0,(($B$19+7*$B$64)-$B$9)/$B$8),MIN(($B$5-IF(($B$19+7*$B$64)&lt;=$B$9,0,(($B$19+7*$B$64)-$B$9)/$B$8)),$B$127))),NA())</f>
        <v>#N/A</v>
      </c>
      <c r="GH121" t="e">
        <f>IF(AND(AND($B$20=1,($B$19+7*$B$64)&lt;$B$10-0.3),($B$19+7*$B$64)&gt;=$B$125),$B$152+$B$150*(($B$19+7*$B$64)),NA())</f>
        <v>#N/A</v>
      </c>
      <c r="GI121" t="e">
        <f>IF(AND(AND($B$21=1,(8*$B$66)&lt;IF($B$63=1,$B$10-0.2,$B$62)),(8*$B$66)&gt;=$B$125),$B$151+$B$150*(MAX(IF((8*$B$66)&lt;=$B$9,0,((8*$B$66)-$B$9)/$B$8),MIN(($B$5-IF((8*$B$66)&lt;=$B$9,0,((8*$B$66)-$B$9)/$B$8)),$B$127))),NA())</f>
        <v>#N/A</v>
      </c>
      <c r="GJ121" t="e">
        <f>IF(AND(AND($B$21=1,(8*$B$66)&lt;IF($B$63=1,$B$10-0.2,$B$62)),(8*$B$66)&gt;=$B$125),$B$152+$B$150*((8*$B$66)),NA())</f>
        <v>#N/A</v>
      </c>
      <c r="HI121" t="e">
        <f>NA()</f>
        <v>#N/A</v>
      </c>
      <c r="HJ121" t="e">
        <f>NA()</f>
        <v>#N/A</v>
      </c>
      <c r="HK121" t="e">
        <f>NA()</f>
        <v>#N/A</v>
      </c>
      <c r="HL121" t="e">
        <f>NA()</f>
        <v>#N/A</v>
      </c>
      <c r="HM121" t="e">
        <f>NA()</f>
        <v>#N/A</v>
      </c>
      <c r="HN121" t="e">
        <f>NA()</f>
        <v>#N/A</v>
      </c>
      <c r="HQ121" t="e">
        <f>NA()</f>
        <v>#N/A</v>
      </c>
      <c r="HR121" t="e">
        <f>NA()</f>
        <v>#N/A</v>
      </c>
      <c r="HS121">
        <f>IF(AND(5&lt;=$B$12,$B$51&gt;0),$B$157+$B$156*(((5-0.5)*$B$13)-($B$51*$B$13)/2),NA())</f>
        <v>119.219571428571</v>
      </c>
      <c r="HT121">
        <f>IF(AND(5&lt;=$B$12,$B$51&gt;0),$B$158+$B$156*((1*$B$5/2+0.6*$B$159)+(((1*$B$5/2+$B$5/2-0.6*$B$159))-((1*$B$5/2+0.6*$B$159)))/2),NA())</f>
        <v>71</v>
      </c>
      <c r="HU121" t="e">
        <f>IF(10&lt;=$B$47,$B$157+$B$156*(((MAX(1,MIN($B$12,ROUND(10*$B$12/($B$47+1),0)))-1)*$B$13+0.25*$B$13)+$B$48/2+0.2),NA())</f>
        <v>#N/A</v>
      </c>
      <c r="HV121" t="e">
        <f>IF(10&lt;=$B$47,$B$158+$B$156*(IF(MOD(10,2)=1,$B$5/4,3*$B$5/4)+$B$49/2+0.2),NA())</f>
        <v>#N/A</v>
      </c>
      <c r="KI121" t="e">
        <f>NA()</f>
        <v>#N/A</v>
      </c>
      <c r="KJ121" t="e">
        <f>NA()</f>
        <v>#N/A</v>
      </c>
    </row>
    <row r="122">
      <c r="A122" t="inlineStr">
        <is>
          <t>PG_xr3</t>
        </is>
      </c>
      <c r="B122">
        <f>IF($B$116=1,$B$120+$B$117/2,$B$5)</f>
        <v>20</v>
      </c>
      <c r="G122" t="e">
        <f>IF(39&lt;=$B$12,$B$133+$B$132*($B$13*39),NA())</f>
        <v>#N/A</v>
      </c>
      <c r="H122" t="e">
        <f>IF(39&lt;=$B$12,$B$134+$B$132*(-4*$B$135),NA())</f>
        <v>#N/A</v>
      </c>
      <c r="K122">
        <f>IF(6&lt;=$B$12,$B$133+$B$132*($B$13*6-$B$27/2),NA())</f>
        <v>146.122428571429</v>
      </c>
      <c r="L122">
        <f>IF(6&lt;=$B$12,$B$134+$B$132*($B$5+$B$27/2),NA())</f>
        <v>86.04</v>
      </c>
      <c r="M122" t="e">
        <f>IF(39&lt;=$B$12,$B$133+$B$132*($B$13*39),NA())</f>
        <v>#N/A</v>
      </c>
      <c r="N122" t="e">
        <f>IF(39&lt;=$B$12,$B$134+$B$132*(0),NA())</f>
        <v>#N/A</v>
      </c>
      <c r="EA122" t="e">
        <f>IF(AND($B$18=1,11&lt;=$B$26),$B$139+$B$138*(10*($B$5/MAX(1,$B$26))),NA())</f>
        <v>#N/A</v>
      </c>
      <c r="EB122" t="e">
        <f>IF(AND($B$18=1,11&lt;=$B$26),$B$140+$B$138*(IF(11&lt;=$B$26/2,($B$9+$B$8*MIN(10*($B$5/MAX(1,$B$26)),$B$5-(10*($B$5/MAX(1,$B$26))))),$B$7)),NA())</f>
        <v>#N/A</v>
      </c>
      <c r="FA122" t="e">
        <f>IF(39&lt;=$B$12,$B$145+$B$144*($B$13*39),NA())</f>
        <v>#N/A</v>
      </c>
      <c r="FB122" t="e">
        <f>IF(39&lt;=$B$12,$B$146+$B$144*(0),NA())</f>
        <v>#N/A</v>
      </c>
      <c r="FC122" t="e">
        <f>IF(7&lt;$B$22,$B$145+$B$144*(IF(($B$19+7*$B$64)&lt;$B$94,$B$98,$B$96)),NA())</f>
        <v>#N/A</v>
      </c>
      <c r="FD122" t="e">
        <f>IF(7&lt;$B$22,$B$146+$B$144*(($B$19+7*$B$64)),NA())</f>
        <v>#N/A</v>
      </c>
      <c r="FE122" t="e">
        <f>IF(AND($B$21=1,(8*$B$66)&lt;$B$62),$B$145+$B$144*(IF((8*$B$66)&lt;$B$94,$B$98,$B$96)),NA())</f>
        <v>#N/A</v>
      </c>
      <c r="FF122" t="e">
        <f>IF(AND($B$21=1,(8*$B$66)&lt;$B$62),$B$146+$B$144*((8*$B$66)),NA())</f>
        <v>#N/A</v>
      </c>
      <c r="GG122" t="e">
        <f>IF(AND($B$20=1,($B$19+7*$B$64)&lt;$B$10-0.3),$B$151+$B$150*(MAX(IF(($B$19+7*$B$64)&lt;=$B$9,0,(($B$19+7*$B$64)-$B$9)/$B$8),MIN(($B$5-IF(($B$19+7*$B$64)&lt;=$B$9,0,(($B$19+7*$B$64)-$B$9)/$B$8)),IF(($B$19+7*$B$64)&lt;$B$125,$B$129,$B$127)))),NA())</f>
        <v>#N/A</v>
      </c>
      <c r="GH122" t="e">
        <f>IF(AND($B$20=1,($B$19+7*$B$64)&lt;$B$10-0.3),$B$152+$B$150*(($B$19+7*$B$64)),NA())</f>
        <v>#N/A</v>
      </c>
      <c r="GI122" t="e">
        <f>IF(AND($B$21=1,(8*$B$66)&lt;IF($B$63=1,$B$10-0.2,$B$62)),$B$151+$B$150*(MAX(IF((8*$B$66)&lt;=$B$9,0,((8*$B$66)-$B$9)/$B$8),MIN(($B$5-IF((8*$B$66)&lt;=$B$9,0,((8*$B$66)-$B$9)/$B$8)),IF((8*$B$66)&lt;$B$125,$B$129,$B$127)))),NA())</f>
        <v>#N/A</v>
      </c>
      <c r="GJ122" t="e">
        <f>IF(AND($B$21=1,(8*$B$66)&lt;IF($B$63=1,$B$10-0.2,$B$62)),$B$152+$B$150*((8*$B$66)),NA())</f>
        <v>#N/A</v>
      </c>
      <c r="HI122" t="e">
        <f>IF(19&lt;=$B$16-1,$B$157+$B$156*(-$B$46),NA())</f>
        <v>#N/A</v>
      </c>
      <c r="HJ122" t="e">
        <f>IF(19&lt;=$B$16-1,$B$158+$B$156*($B$5-19*($B$5/2)/MAX(1,$B$16-1)),NA())</f>
        <v>#N/A</v>
      </c>
      <c r="HK122" t="e">
        <f>IF(39&lt;=$B$12,$B$157+$B$156*($B$13*39),NA())</f>
        <v>#N/A</v>
      </c>
      <c r="HL122" t="e">
        <f>IF(39&lt;=$B$12,$B$158+$B$156*(0),NA())</f>
        <v>#N/A</v>
      </c>
      <c r="HM122" t="e">
        <f>IF(AND(20&lt;=$B$12,2&lt;=$B$25),$B$157+$B$156*((20-1)*$B$13+2*$B$13/($B$25+1)),NA())</f>
        <v>#N/A</v>
      </c>
      <c r="HN122" t="e">
        <f>IF(AND(20&lt;=$B$12,2&lt;=$B$25),$B$158+$B$156*(0),NA())</f>
        <v>#N/A</v>
      </c>
      <c r="HQ122">
        <f>IF(AND(2&lt;=$B$23,2&lt;=$B$24),$B$157+$B$156*((IF(2=1,1,IF(2=$B$23,$B$12,5*(2-1)))-1)*$B$13),NA())</f>
        <v>109.448142857143</v>
      </c>
      <c r="HR122">
        <f>IF(AND(2&lt;=$B$23,2&lt;=$B$24),$B$158+$B$156*((1*$B$5/2+2*($B$5/2)/$B$24)),NA())</f>
        <v>90</v>
      </c>
      <c r="HS122">
        <f>IF(AND(5&lt;=$B$12,$B$51&gt;0),$B$157+$B$156*(((5-0.5)*$B$13)+($B$51*$B$13)/2),NA())</f>
        <v>121.391</v>
      </c>
      <c r="HT122">
        <f>IF(AND(5&lt;=$B$12,$B$51&gt;0),$B$158+$B$156*((1*$B$5/2+0.6*$B$159)+3*(((1*$B$5/2+$B$5/2-0.6*$B$159))-((1*$B$5/2+0.6*$B$159)))/4),NA())</f>
        <v>80.2</v>
      </c>
      <c r="HU122" t="e">
        <f>IF(10&lt;=$B$47,$B$157+$B$156*(((MAX(1,MIN($B$12,ROUND(10*$B$12/($B$47+1),0)))-1)*$B$13+0.25*$B$13)-$B$48/2-0.2),NA())</f>
        <v>#N/A</v>
      </c>
      <c r="HV122" t="e">
        <f>IF(10&lt;=$B$47,$B$158+$B$156*(IF(MOD(10,2)=1,$B$5/4,3*$B$5/4)+$B$49/2+0.2),NA())</f>
        <v>#N/A</v>
      </c>
      <c r="KI122" t="e">
        <f>IF(AND($B$21=1,10*$B$67&gt;$B$59,10*$B$67&lt;$B$178-$B$59,OR($B$63=0,ABS(10*$B$67-$B$178/2)&gt;$B$59/2)),$B$182+$B$181*($B$177*3/4+$B$60/2),NA())</f>
        <v>#N/A</v>
      </c>
      <c r="KJ122" t="e">
        <f>IF(AND($B$21=1,10*$B$67&gt;$B$59,10*$B$67&lt;$B$178-$B$59,OR($B$63=0,ABS(10*$B$67-$B$178/2)&gt;$B$59/2)),$B$183+$B$181*(10*$B$67),NA())</f>
        <v>#N/A</v>
      </c>
    </row>
    <row r="123">
      <c r="A123" t="inlineStr">
        <is>
          <t>PG_ex4</t>
        </is>
      </c>
      <c r="B123">
        <f>IF(4&lt;=$B$101,1,0)</f>
        <v>0</v>
      </c>
      <c r="G123" t="e">
        <f>IF(39&lt;=$B$12,$B$133+$B$132*($B$13*39),NA())</f>
        <v>#N/A</v>
      </c>
      <c r="H123" t="e">
        <f>IF(39&lt;=$B$12,$B$134+$B$132*($B$5+4*$B$135),NA())</f>
        <v>#N/A</v>
      </c>
      <c r="K123">
        <f>IF(6&lt;=$B$12,$B$133+$B$132*($B$13*6-$B$27/2),NA())</f>
        <v>146.122428571429</v>
      </c>
      <c r="L123">
        <f>IF(6&lt;=$B$12,$B$134+$B$132*($B$5-$B$27/2),NA())</f>
        <v>81.96</v>
      </c>
      <c r="M123" t="e">
        <f>IF(39&lt;=$B$12,$B$133+$B$132*($B$13*39),NA())</f>
        <v>#N/A</v>
      </c>
      <c r="N123" t="e">
        <f>IF(39&lt;=$B$12,$B$134+$B$132*($B$5),NA())</f>
        <v>#N/A</v>
      </c>
      <c r="EA123" t="e">
        <f>IF(AND($B$18=1,11&lt;=$B$26),$B$139+$B$138*(11*($B$5/MAX(1,$B$26))),NA())</f>
        <v>#N/A</v>
      </c>
      <c r="EB123" t="e">
        <f>IF(AND($B$18=1,11&lt;=$B$26),$B$140+$B$138*(IF(11&lt;=$B$26/2,$B$7,($B$9+$B$8*MIN(11*($B$5/MAX(1,$B$26)),$B$5-(11*($B$5/MAX(1,$B$26))))))),NA())</f>
        <v>#N/A</v>
      </c>
      <c r="FA123" t="e">
        <f>IF(39&lt;=$B$12,$B$145+$B$144*($B$13*39),NA())</f>
        <v>#N/A</v>
      </c>
      <c r="FB123" t="e">
        <f>IF(39&lt;=$B$12,$B$146+$B$144*($B$9),NA())</f>
        <v>#N/A</v>
      </c>
      <c r="FC123" t="e">
        <f>IF(7&lt;$B$22,$B$145+$B$144*($B$6),NA())</f>
        <v>#N/A</v>
      </c>
      <c r="FD123" t="e">
        <f>IF(7&lt;$B$22,$B$146+$B$144*(($B$19+7*$B$64)),NA())</f>
        <v>#N/A</v>
      </c>
      <c r="FE123" t="e">
        <f>IF(AND($B$21=1,(8*$B$66)&lt;$B$62),$B$145+$B$144*($B$6),NA())</f>
        <v>#N/A</v>
      </c>
      <c r="FF123" t="e">
        <f>IF(AND($B$21=1,(8*$B$66)&lt;$B$62),$B$146+$B$144*((8*$B$66)),NA())</f>
        <v>#N/A</v>
      </c>
      <c r="GG123" t="e">
        <f>IF(AND($B$20=1,($B$19+7*$B$64)&lt;$B$10-0.3),$B$151+$B$150*(($B$5-IF(($B$19+7*$B$64)&lt;=$B$9,0,(($B$19+7*$B$64)-$B$9)/$B$8))),NA())</f>
        <v>#N/A</v>
      </c>
      <c r="GH123" t="e">
        <f>IF(AND($B$20=1,($B$19+7*$B$64)&lt;$B$10-0.3),$B$152+$B$150*(($B$19+7*$B$64)),NA())</f>
        <v>#N/A</v>
      </c>
      <c r="GI123" t="e">
        <f>IF(AND($B$21=1,(8*$B$66)&lt;IF($B$63=1,$B$10-0.2,$B$62)),$B$151+$B$150*(($B$5-IF((8*$B$66)&lt;=$B$9,0,((8*$B$66)-$B$9)/$B$8))),NA())</f>
        <v>#N/A</v>
      </c>
      <c r="GJ123" t="e">
        <f>IF(AND($B$21=1,(8*$B$66)&lt;IF($B$63=1,$B$10-0.2,$B$62)),$B$152+$B$150*((8*$B$66)),NA())</f>
        <v>#N/A</v>
      </c>
      <c r="HI123" t="e">
        <f>IF(19&lt;=$B$16-1,$B$157+$B$156*($B$6+$B$46),NA())</f>
        <v>#N/A</v>
      </c>
      <c r="HJ123" t="e">
        <f>IF(19&lt;=$B$16-1,$B$158+$B$156*($B$5-19*($B$5/2)/MAX(1,$B$16-1)),NA())</f>
        <v>#N/A</v>
      </c>
      <c r="HK123" t="e">
        <f>IF(39&lt;=$B$12,$B$157+$B$156*($B$13*39),NA())</f>
        <v>#N/A</v>
      </c>
      <c r="HL123" t="e">
        <f>IF(39&lt;=$B$12,$B$158+$B$156*($B$5),NA())</f>
        <v>#N/A</v>
      </c>
      <c r="HM123" t="e">
        <f>IF(AND(20&lt;=$B$12,2&lt;=$B$25),$B$157+$B$156*((20-1)*$B$13+2*$B$13/($B$25+1)),NA())</f>
        <v>#N/A</v>
      </c>
      <c r="HN123" t="e">
        <f>IF(AND(20&lt;=$B$12,2&lt;=$B$25),$B$158+$B$156*($B$5),NA())</f>
        <v>#N/A</v>
      </c>
      <c r="HQ123">
        <f>IF(AND(2&lt;=$B$23,2&lt;=$B$24),$B$157+$B$156*(IF(2=1,1,IF(2=$B$23,$B$12,5*(2-1)))*$B$13),NA())</f>
        <v>131.162428571429</v>
      </c>
      <c r="HR123">
        <f>IF(AND(2&lt;=$B$23,2&lt;=$B$24),$B$158+$B$156*((1*$B$5/2+(2-1)*($B$5/2)/$B$24)),NA())</f>
        <v>71</v>
      </c>
      <c r="HS123">
        <f>IF(AND(5&lt;=$B$12,$B$51&gt;0),$B$157+$B$156*(((5-0.5)*$B$13)-($B$51*$B$13)/2),NA())</f>
        <v>119.219571428571</v>
      </c>
      <c r="HT123">
        <f>IF(AND(5&lt;=$B$12,$B$51&gt;0),$B$158+$B$156*((1*$B$5/2+$B$5/2-0.6*$B$159)),NA())</f>
        <v>89.4</v>
      </c>
      <c r="HU123" t="e">
        <f>IF(10&lt;=$B$47,$B$157+$B$156*(((MAX(1,MIN($B$12,ROUND(10*$B$12/($B$47+1),0)))-1)*$B$13+0.25*$B$13)-$B$48/2-0.2),NA())</f>
        <v>#N/A</v>
      </c>
      <c r="HV123" t="e">
        <f>IF(10&lt;=$B$47,$B$158+$B$156*(IF(MOD(10,2)=1,$B$5/4,3*$B$5/4)-$B$49/2-0.2),NA())</f>
        <v>#N/A</v>
      </c>
      <c r="KI123" t="e">
        <f>IF(AND($B$21=1,10*$B$67&gt;$B$59,10*$B$67&lt;$B$178-$B$59,OR($B$63=0,ABS(10*$B$67-$B$178/2)&gt;$B$59/2)),$B$182+$B$181*($B$177),NA())</f>
        <v>#N/A</v>
      </c>
      <c r="KJ123" t="e">
        <f>IF(AND($B$21=1,10*$B$67&gt;$B$59,10*$B$67&lt;$B$178-$B$59,OR($B$63=0,ABS(10*$B$67-$B$178/2)&gt;$B$59/2)),$B$183+$B$181*(10*$B$67),NA())</f>
        <v>#N/A</v>
      </c>
    </row>
    <row r="124">
      <c r="A124" t="inlineStr">
        <is>
          <t>PG_w4</t>
        </is>
      </c>
      <c r="B124">
        <f>IF(4&lt;=$B$99,'PARAMÈTRES'!$C$29,'PARAMÈTRES'!$C$33)</f>
        <v>5.5</v>
      </c>
      <c r="G124" t="e">
        <f>NA()</f>
        <v>#N/A</v>
      </c>
      <c r="H124" t="e">
        <f>NA()</f>
        <v>#N/A</v>
      </c>
      <c r="K124" t="e">
        <f>NA()</f>
        <v>#N/A</v>
      </c>
      <c r="L124" t="e">
        <f>NA()</f>
        <v>#N/A</v>
      </c>
      <c r="M124" t="e">
        <f>IF(AND(39&lt;=$B$12,$B$45=1),$B$133+$B$132*($B$13*39),NA())</f>
        <v>#N/A</v>
      </c>
      <c r="N124" t="e">
        <f>IF(AND(39&lt;=$B$12,$B$45=1),$B$134+$B$132*($B$5/2),NA())</f>
        <v>#N/A</v>
      </c>
      <c r="EA124" t="e">
        <f>NA()</f>
        <v>#N/A</v>
      </c>
      <c r="EB124" t="e">
        <f>NA()</f>
        <v>#N/A</v>
      </c>
      <c r="FA124" t="e">
        <f>NA()</f>
        <v>#N/A</v>
      </c>
      <c r="FB124" t="e">
        <f>NA()</f>
        <v>#N/A</v>
      </c>
      <c r="FC124" t="e">
        <f>NA()</f>
        <v>#N/A</v>
      </c>
      <c r="FD124" t="e">
        <f>NA()</f>
        <v>#N/A</v>
      </c>
      <c r="FE124" t="e">
        <f>NA()</f>
        <v>#N/A</v>
      </c>
      <c r="FF124" t="e">
        <f>NA()</f>
        <v>#N/A</v>
      </c>
      <c r="GG124" t="e">
        <f>NA()</f>
        <v>#N/A</v>
      </c>
      <c r="GH124" t="e">
        <f>NA()</f>
        <v>#N/A</v>
      </c>
      <c r="GI124" t="e">
        <f>NA()</f>
        <v>#N/A</v>
      </c>
      <c r="GJ124" t="e">
        <f>NA()</f>
        <v>#N/A</v>
      </c>
      <c r="HI124" t="e">
        <f>NA()</f>
        <v>#N/A</v>
      </c>
      <c r="HJ124" t="e">
        <f>NA()</f>
        <v>#N/A</v>
      </c>
      <c r="HK124" t="e">
        <f>NA()</f>
        <v>#N/A</v>
      </c>
      <c r="HL124" t="e">
        <f>NA()</f>
        <v>#N/A</v>
      </c>
      <c r="HM124" t="e">
        <f>NA()</f>
        <v>#N/A</v>
      </c>
      <c r="HN124" t="e">
        <f>NA()</f>
        <v>#N/A</v>
      </c>
      <c r="HQ124" t="e">
        <f>NA()</f>
        <v>#N/A</v>
      </c>
      <c r="HR124" t="e">
        <f>NA()</f>
        <v>#N/A</v>
      </c>
      <c r="HS124" t="e">
        <f>NA()</f>
        <v>#N/A</v>
      </c>
      <c r="HT124" t="e">
        <f>NA()</f>
        <v>#N/A</v>
      </c>
      <c r="HU124" t="e">
        <f>NA()</f>
        <v>#N/A</v>
      </c>
      <c r="HV124" t="e">
        <f>NA()</f>
        <v>#N/A</v>
      </c>
      <c r="KI124" t="e">
        <f>NA()</f>
        <v>#N/A</v>
      </c>
      <c r="KJ124" t="e">
        <f>NA()</f>
        <v>#N/A</v>
      </c>
    </row>
    <row r="125">
      <c r="A125" t="inlineStr">
        <is>
          <t>PG_h4</t>
        </is>
      </c>
      <c r="B125">
        <f>IF(4&lt;=$B$99,'PARAMÈTRES'!$C$30,'PARAMÈTRES'!$C$34)*$B$123</f>
        <v>0</v>
      </c>
      <c r="G125" t="e">
        <f>IF(40&lt;=$B$12,$B$133+$B$132*($B$13*40),NA())</f>
        <v>#N/A</v>
      </c>
      <c r="H125" t="e">
        <f>IF(40&lt;=$B$12,$B$134+$B$132*(-4*$B$135),NA())</f>
        <v>#N/A</v>
      </c>
      <c r="K125" t="e">
        <f>IF(AND(6&lt;=$B$12,$B$45=1),$B$133+$B$132*($B$13*6-$B$27/2),NA())</f>
        <v>#N/A</v>
      </c>
      <c r="L125" t="e">
        <f>IF(AND(6&lt;=$B$12,$B$45=1),$B$134+$B$132*($B$5/2-$B$27/2),NA())</f>
        <v>#N/A</v>
      </c>
      <c r="M125" t="e">
        <f>IF(40&lt;=$B$12,$B$133+$B$132*($B$13*40),NA())</f>
        <v>#N/A</v>
      </c>
      <c r="N125" t="e">
        <f>IF(40&lt;=$B$12,$B$134+$B$132*(0),NA())</f>
        <v>#N/A</v>
      </c>
      <c r="EA125" t="e">
        <f>IF(AND($B$18=1,12&lt;=$B$26),$B$139+$B$138*(11*($B$5/MAX(1,$B$26))),NA())</f>
        <v>#N/A</v>
      </c>
      <c r="EB125" t="e">
        <f>IF(AND($B$18=1,12&lt;=$B$26),$B$140+$B$138*(IF(12&lt;=$B$26/2,($B$9+$B$8*MIN(11*($B$5/MAX(1,$B$26)),$B$5-(11*($B$5/MAX(1,$B$26))))),$B$7)),NA())</f>
        <v>#N/A</v>
      </c>
      <c r="FA125" t="e">
        <f>IF(40&lt;=$B$12,$B$145+$B$144*($B$13*40),NA())</f>
        <v>#N/A</v>
      </c>
      <c r="FB125" t="e">
        <f>IF(40&lt;=$B$12,$B$146+$B$144*(0),NA())</f>
        <v>#N/A</v>
      </c>
      <c r="FC125" t="e">
        <f>IF(8&lt;$B$22,$B$145+$B$144*(0),NA())</f>
        <v>#N/A</v>
      </c>
      <c r="FD125" t="e">
        <f>IF(8&lt;$B$22,$B$146+$B$144*(($B$19+8*$B$64)),NA())</f>
        <v>#N/A</v>
      </c>
      <c r="FE125" t="e">
        <f>IF(AND($B$21=1,(9*$B$66)&lt;$B$62),$B$145+$B$144*(0),NA())</f>
        <v>#N/A</v>
      </c>
      <c r="FF125" t="e">
        <f>IF(AND($B$21=1,(9*$B$66)&lt;$B$62),$B$146+$B$144*((9*$B$66)),NA())</f>
        <v>#N/A</v>
      </c>
      <c r="GG125" t="e">
        <f>IF(AND($B$20=1,($B$19+8*$B$64)&lt;$B$10-0.3),$B$151+$B$150*(IF(($B$19+8*$B$64)&lt;=$B$9,0,(($B$19+8*$B$64)-$B$9)/$B$8)),NA())</f>
        <v>#N/A</v>
      </c>
      <c r="GH125" t="e">
        <f>IF(AND($B$20=1,($B$19+8*$B$64)&lt;$B$10-0.3),$B$152+$B$150*(($B$19+8*$B$64)),NA())</f>
        <v>#N/A</v>
      </c>
      <c r="GI125" t="e">
        <f>IF(AND($B$21=1,(9*$B$66)&lt;IF($B$63=1,$B$10-0.2,$B$62)),$B$151+$B$150*(IF((9*$B$66)&lt;=$B$9,0,((9*$B$66)-$B$9)/$B$8)),NA())</f>
        <v>#N/A</v>
      </c>
      <c r="GJ125" t="e">
        <f>IF(AND($B$21=1,(9*$B$66)&lt;IF($B$63=1,$B$10-0.2,$B$62)),$B$152+$B$150*((9*$B$66)),NA())</f>
        <v>#N/A</v>
      </c>
      <c r="HI125" t="e">
        <f>IF(20&lt;=$B$16-1,$B$157+$B$156*(-$B$46),NA())</f>
        <v>#N/A</v>
      </c>
      <c r="HJ125" t="e">
        <f>IF(20&lt;=$B$16-1,$B$158+$B$156*(20*($B$5/2)/MAX(1,$B$16-1)),NA())</f>
        <v>#N/A</v>
      </c>
      <c r="HK125" t="e">
        <f>IF(40&lt;=$B$12,$B$157+$B$156*($B$13*40),NA())</f>
        <v>#N/A</v>
      </c>
      <c r="HL125" t="e">
        <f>IF(40&lt;=$B$12,$B$158+$B$156*(0),NA())</f>
        <v>#N/A</v>
      </c>
      <c r="HM125" t="e">
        <f>IF(AND(21&lt;=$B$12,1&lt;=$B$25),$B$157+$B$156*((21-1)*$B$13+1*$B$13/($B$25+1)),NA())</f>
        <v>#N/A</v>
      </c>
      <c r="HN125" t="e">
        <f>IF(AND(21&lt;=$B$12,1&lt;=$B$25),$B$158+$B$156*(0),NA())</f>
        <v>#N/A</v>
      </c>
      <c r="HQ125" t="e">
        <f>IF(AND(2&lt;=$B$23,3&lt;=$B$24),$B$157+$B$156*((IF(2=1,1,IF(2=$B$23,$B$12,5*(2-1)))-1)*$B$13),NA())</f>
        <v>#N/A</v>
      </c>
      <c r="HR125" t="e">
        <f>IF(AND(2&lt;=$B$23,3&lt;=$B$24),$B$158+$B$156*((1*$B$5/2+(3-1)*($B$5/2)/$B$24)),NA())</f>
        <v>#N/A</v>
      </c>
      <c r="HS125">
        <f>IF(AND(6&lt;=$B$12,$B$51&gt;0),$B$157+$B$156*(((6-0.5)*$B$13)-($B$51*$B$13)/2),NA())</f>
        <v>140.933857142857</v>
      </c>
      <c r="HT125">
        <f>IF(AND(6&lt;=$B$12,$B$51&gt;0),$B$158+$B$156*((0*$B$5/2+0.6*$B$159)),NA())</f>
        <v>14.6</v>
      </c>
      <c r="HU125" t="e">
        <f>IF(11&lt;=$B$47,$B$157+$B$156*(((MAX(1,MIN($B$12,ROUND(11*$B$12/($B$47+1),0)))-1)*$B$13+0.25*$B$13)-$B$48/2),NA())</f>
        <v>#N/A</v>
      </c>
      <c r="HV125" t="e">
        <f>IF(11&lt;=$B$47,$B$158+$B$156*(IF(MOD(11,2)=1,$B$5/4,3*$B$5/4)-$B$49/2),NA())</f>
        <v>#N/A</v>
      </c>
      <c r="KI125" t="e">
        <f>IF(AND($B$21=1,11*$B$67&gt;$B$59,11*$B$67&lt;$B$178-$B$59,OR($B$63=0,ABS(11*$B$67-$B$178/2)&gt;$B$59/2)),$B$182+$B$181*(0),NA())</f>
        <v>#N/A</v>
      </c>
      <c r="KJ125" t="e">
        <f>IF(AND($B$21=1,11*$B$67&gt;$B$59,11*$B$67&lt;$B$178-$B$59,OR($B$63=0,ABS(11*$B$67-$B$178/2)&gt;$B$59/2)),$B$183+$B$181*(11*$B$67),NA())</f>
        <v>#N/A</v>
      </c>
    </row>
    <row r="126">
      <c r="A126" t="inlineStr">
        <is>
          <t>PG_pos4</t>
        </is>
      </c>
      <c r="B126">
        <f>MAX(1,MIN($B$14,ROUND(4*$B$14/($B$101+1),0)))</f>
        <v>4</v>
      </c>
      <c r="G126" t="e">
        <f>IF(40&lt;=$B$12,$B$133+$B$132*($B$13*40),NA())</f>
        <v>#N/A</v>
      </c>
      <c r="H126" t="e">
        <f>IF(40&lt;=$B$12,$B$134+$B$132*($B$5+4*$B$135),NA())</f>
        <v>#N/A</v>
      </c>
      <c r="K126" t="e">
        <f>IF(AND(6&lt;=$B$12,$B$45=1),$B$133+$B$132*($B$13*6+$B$27/2),NA())</f>
        <v>#N/A</v>
      </c>
      <c r="L126" t="e">
        <f>IF(AND(6&lt;=$B$12,$B$45=1),$B$134+$B$132*($B$5/2-$B$27/2),NA())</f>
        <v>#N/A</v>
      </c>
      <c r="M126" t="e">
        <f>IF(40&lt;=$B$12,$B$133+$B$132*($B$13*40),NA())</f>
        <v>#N/A</v>
      </c>
      <c r="N126" t="e">
        <f>IF(40&lt;=$B$12,$B$134+$B$132*($B$5),NA())</f>
        <v>#N/A</v>
      </c>
      <c r="EA126" t="e">
        <f>IF(AND($B$18=1,12&lt;=$B$26),$B$139+$B$138*(12*($B$5/MAX(1,$B$26))),NA())</f>
        <v>#N/A</v>
      </c>
      <c r="EB126" t="e">
        <f>IF(AND($B$18=1,12&lt;=$B$26),$B$140+$B$138*(IF(12&lt;=$B$26/2,$B$7,($B$9+$B$8*MIN(12*($B$5/MAX(1,$B$26)),$B$5-(12*($B$5/MAX(1,$B$26))))))),NA())</f>
        <v>#N/A</v>
      </c>
      <c r="FA126" t="e">
        <f>IF(40&lt;=$B$12,$B$145+$B$144*($B$13*40),NA())</f>
        <v>#N/A</v>
      </c>
      <c r="FB126" t="e">
        <f>IF(40&lt;=$B$12,$B$146+$B$144*($B$9),NA())</f>
        <v>#N/A</v>
      </c>
      <c r="FC126" t="e">
        <f>IF(8&lt;$B$22,$B$145+$B$144*(IF(($B$19+8*$B$64)&lt;$B$73,$B$76,$B$75)),NA())</f>
        <v>#N/A</v>
      </c>
      <c r="FD126" t="e">
        <f>IF(8&lt;$B$22,$B$146+$B$144*(($B$19+8*$B$64)),NA())</f>
        <v>#N/A</v>
      </c>
      <c r="FE126" t="e">
        <f>IF(AND($B$21=1,(9*$B$66)&lt;$B$62),$B$145+$B$144*(IF((9*$B$66)&lt;$B$73,$B$76,$B$75)),NA())</f>
        <v>#N/A</v>
      </c>
      <c r="FF126" t="e">
        <f>IF(AND($B$21=1,(9*$B$66)&lt;$B$62),$B$146+$B$144*((9*$B$66)),NA())</f>
        <v>#N/A</v>
      </c>
      <c r="GG126" t="e">
        <f>IF(AND($B$20=1,($B$19+8*$B$64)&lt;$B$10-0.3),$B$151+$B$150*(MAX(IF(($B$19+8*$B$64)&lt;=$B$9,0,(($B$19+8*$B$64)-$B$9)/$B$8),MIN(($B$5-IF(($B$19+8*$B$64)&lt;=$B$9,0,(($B$19+8*$B$64)-$B$9)/$B$8)),IF(($B$19+8*$B$64)&lt;$B$104,$B$107,$B$106)))),NA())</f>
        <v>#N/A</v>
      </c>
      <c r="GH126" t="e">
        <f>IF(AND($B$20=1,($B$19+8*$B$64)&lt;$B$10-0.3),$B$152+$B$150*(($B$19+8*$B$64)),NA())</f>
        <v>#N/A</v>
      </c>
      <c r="GI126" t="e">
        <f>IF(AND($B$21=1,(9*$B$66)&lt;IF($B$63=1,$B$10-0.2,$B$62)),$B$151+$B$150*(MAX(IF((9*$B$66)&lt;=$B$9,0,((9*$B$66)-$B$9)/$B$8),MIN(($B$5-IF((9*$B$66)&lt;=$B$9,0,((9*$B$66)-$B$9)/$B$8)),IF((9*$B$66)&lt;$B$104,$B$107,$B$106)))),NA())</f>
        <v>#N/A</v>
      </c>
      <c r="GJ126" t="e">
        <f>IF(AND($B$21=1,(9*$B$66)&lt;IF($B$63=1,$B$10-0.2,$B$62)),$B$152+$B$150*((9*$B$66)),NA())</f>
        <v>#N/A</v>
      </c>
      <c r="HI126" t="e">
        <f>IF(20&lt;=$B$16-1,$B$157+$B$156*($B$6+$B$46),NA())</f>
        <v>#N/A</v>
      </c>
      <c r="HJ126" t="e">
        <f>IF(20&lt;=$B$16-1,$B$158+$B$156*(20*($B$5/2)/MAX(1,$B$16-1)),NA())</f>
        <v>#N/A</v>
      </c>
      <c r="HK126" t="e">
        <f>IF(40&lt;=$B$12,$B$157+$B$156*($B$13*40),NA())</f>
        <v>#N/A</v>
      </c>
      <c r="HL126" t="e">
        <f>IF(40&lt;=$B$12,$B$158+$B$156*($B$5),NA())</f>
        <v>#N/A</v>
      </c>
      <c r="HM126" t="e">
        <f>IF(AND(21&lt;=$B$12,1&lt;=$B$25),$B$157+$B$156*((21-1)*$B$13+1*$B$13/($B$25+1)),NA())</f>
        <v>#N/A</v>
      </c>
      <c r="HN126" t="e">
        <f>IF(AND(21&lt;=$B$12,1&lt;=$B$25),$B$158+$B$156*($B$5),NA())</f>
        <v>#N/A</v>
      </c>
      <c r="HQ126" t="e">
        <f>IF(AND(2&lt;=$B$23,3&lt;=$B$24),$B$157+$B$156*(IF(2=1,1,IF(2=$B$23,$B$12,5*(2-1)))*$B$13),NA())</f>
        <v>#N/A</v>
      </c>
      <c r="HR126" t="e">
        <f>IF(AND(2&lt;=$B$23,3&lt;=$B$24),$B$158+$B$156*((1*$B$5/2+3*($B$5/2)/$B$24)),NA())</f>
        <v>#N/A</v>
      </c>
      <c r="HS126">
        <f>IF(AND(6&lt;=$B$12,$B$51&gt;0),$B$157+$B$156*(((6-0.5)*$B$13)+($B$51*$B$13)/2),NA())</f>
        <v>143.105285714286</v>
      </c>
      <c r="HT126">
        <f>IF(AND(6&lt;=$B$12,$B$51&gt;0),$B$158+$B$156*((0*$B$5/2+0.6*$B$159)),NA())</f>
        <v>14.6</v>
      </c>
      <c r="HU126" t="e">
        <f>IF(11&lt;=$B$47,$B$157+$B$156*(((MAX(1,MIN($B$12,ROUND(11*$B$12/($B$47+1),0)))-1)*$B$13+0.25*$B$13)+$B$48/2),NA())</f>
        <v>#N/A</v>
      </c>
      <c r="HV126" t="e">
        <f>IF(11&lt;=$B$47,$B$158+$B$156*(IF(MOD(11,2)=1,$B$5/4,3*$B$5/4)-$B$49/2),NA())</f>
        <v>#N/A</v>
      </c>
      <c r="KI126" t="e">
        <f>IF(AND($B$21=1,11*$B$67&gt;$B$59,11*$B$67&lt;$B$178-$B$59,OR($B$63=0,ABS(11*$B$67-$B$178/2)&gt;$B$59/2)),$B$182+$B$181*($B$177*1/4-$B$60/2),NA())</f>
        <v>#N/A</v>
      </c>
      <c r="KJ126" t="e">
        <f>IF(AND($B$21=1,11*$B$67&gt;$B$59,11*$B$67&lt;$B$178-$B$59,OR($B$63=0,ABS(11*$B$67-$B$178/2)&gt;$B$59/2)),$B$183+$B$181*(11*$B$67),NA())</f>
        <v>#N/A</v>
      </c>
    </row>
    <row r="127">
      <c r="A127" t="inlineStr">
        <is>
          <t>PG_xc4</t>
        </is>
      </c>
      <c r="B127">
        <f>IF($B$123=1,($B$126-0.5)*$B$15,$B$5)</f>
        <v>20</v>
      </c>
      <c r="G127" t="e">
        <f>NA()</f>
        <v>#N/A</v>
      </c>
      <c r="H127" t="e">
        <f>NA()</f>
        <v>#N/A</v>
      </c>
      <c r="K127" t="e">
        <f>IF(AND(6&lt;=$B$12,$B$45=1),$B$133+$B$132*($B$13*6+$B$27/2),NA())</f>
        <v>#N/A</v>
      </c>
      <c r="L127" t="e">
        <f>IF(AND(6&lt;=$B$12,$B$45=1),$B$134+$B$132*($B$5/2+$B$27/2),NA())</f>
        <v>#N/A</v>
      </c>
      <c r="M127" t="e">
        <f>IF(AND(40&lt;=$B$12,$B$45=1),$B$133+$B$132*($B$13*40),NA())</f>
        <v>#N/A</v>
      </c>
      <c r="N127" t="e">
        <f>IF(AND(40&lt;=$B$12,$B$45=1),$B$134+$B$132*($B$5/2),NA())</f>
        <v>#N/A</v>
      </c>
      <c r="EA127" t="e">
        <f>NA()</f>
        <v>#N/A</v>
      </c>
      <c r="EB127" t="e">
        <f>NA()</f>
        <v>#N/A</v>
      </c>
      <c r="FA127" t="e">
        <f>NA()</f>
        <v>#N/A</v>
      </c>
      <c r="FB127" t="e">
        <f>NA()</f>
        <v>#N/A</v>
      </c>
      <c r="FC127" t="e">
        <f>IF(AND(8&lt;$B$22,($B$19+8*$B$64)&gt;=$B$73),$B$145+$B$144*($B$75),NA())</f>
        <v>#N/A</v>
      </c>
      <c r="FD127" t="e">
        <f>IF(AND(8&lt;$B$22,($B$19+8*$B$64)&gt;=$B$73),$B$146+$B$144*(($B$19+8*$B$64)),NA())</f>
        <v>#N/A</v>
      </c>
      <c r="FE127" t="e">
        <f>IF(AND(AND($B$21=1,(9*$B$66)&lt;$B$62),(9*$B$66)&gt;=$B$73),$B$145+$B$144*($B$75),NA())</f>
        <v>#N/A</v>
      </c>
      <c r="FF127" t="e">
        <f>IF(AND(AND($B$21=1,(9*$B$66)&lt;$B$62),(9*$B$66)&gt;=$B$73),$B$146+$B$144*((9*$B$66)),NA())</f>
        <v>#N/A</v>
      </c>
      <c r="GG127" t="e">
        <f>IF(AND(AND($B$20=1,($B$19+8*$B$64)&lt;$B$10-0.3),($B$19+8*$B$64)&gt;=$B$104),$B$151+$B$150*(MAX(IF(($B$19+8*$B$64)&lt;=$B$9,0,(($B$19+8*$B$64)-$B$9)/$B$8),MIN(($B$5-IF(($B$19+8*$B$64)&lt;=$B$9,0,(($B$19+8*$B$64)-$B$9)/$B$8)),$B$106))),NA())</f>
        <v>#N/A</v>
      </c>
      <c r="GH127" t="e">
        <f>IF(AND(AND($B$20=1,($B$19+8*$B$64)&lt;$B$10-0.3),($B$19+8*$B$64)&gt;=$B$104),$B$152+$B$150*(($B$19+8*$B$64)),NA())</f>
        <v>#N/A</v>
      </c>
      <c r="GI127" t="e">
        <f>IF(AND(AND($B$21=1,(9*$B$66)&lt;IF($B$63=1,$B$10-0.2,$B$62)),(9*$B$66)&gt;=$B$104),$B$151+$B$150*(MAX(IF((9*$B$66)&lt;=$B$9,0,((9*$B$66)-$B$9)/$B$8),MIN(($B$5-IF((9*$B$66)&lt;=$B$9,0,((9*$B$66)-$B$9)/$B$8)),$B$106))),NA())</f>
        <v>#N/A</v>
      </c>
      <c r="GJ127" t="e">
        <f>IF(AND(AND($B$21=1,(9*$B$66)&lt;IF($B$63=1,$B$10-0.2,$B$62)),(9*$B$66)&gt;=$B$104),$B$152+$B$150*((9*$B$66)),NA())</f>
        <v>#N/A</v>
      </c>
      <c r="HI127" t="e">
        <f>NA()</f>
        <v>#N/A</v>
      </c>
      <c r="HJ127" t="e">
        <f>NA()</f>
        <v>#N/A</v>
      </c>
      <c r="HK127" t="e">
        <f>NA()</f>
        <v>#N/A</v>
      </c>
      <c r="HL127" t="e">
        <f>NA()</f>
        <v>#N/A</v>
      </c>
      <c r="HM127" t="e">
        <f>NA()</f>
        <v>#N/A</v>
      </c>
      <c r="HN127" t="e">
        <f>NA()</f>
        <v>#N/A</v>
      </c>
      <c r="HQ127" t="e">
        <f>NA()</f>
        <v>#N/A</v>
      </c>
      <c r="HR127" t="e">
        <f>NA()</f>
        <v>#N/A</v>
      </c>
      <c r="HS127">
        <f>IF(AND(6&lt;=$B$12,$B$51&gt;0),$B$157+$B$156*(((6-0.5)*$B$13)+($B$51*$B$13)/2),NA())</f>
        <v>143.105285714286</v>
      </c>
      <c r="HT127">
        <f>IF(AND(6&lt;=$B$12,$B$51&gt;0),$B$158+$B$156*((0*$B$5/2+$B$5/2-0.6*$B$159)),NA())</f>
        <v>51.4</v>
      </c>
      <c r="HU127" t="e">
        <f>IF(11&lt;=$B$47,$B$157+$B$156*(((MAX(1,MIN($B$12,ROUND(11*$B$12/($B$47+1),0)))-1)*$B$13+0.25*$B$13)+$B$48/2),NA())</f>
        <v>#N/A</v>
      </c>
      <c r="HV127" t="e">
        <f>IF(11&lt;=$B$47,$B$158+$B$156*(IF(MOD(11,2)=1,$B$5/4,3*$B$5/4)+$B$49/2),NA())</f>
        <v>#N/A</v>
      </c>
      <c r="KI127" t="e">
        <f>NA()</f>
        <v>#N/A</v>
      </c>
      <c r="KJ127" t="e">
        <f>NA()</f>
        <v>#N/A</v>
      </c>
    </row>
    <row r="128">
      <c r="A128" t="inlineStr">
        <is>
          <t>PG_xl4</t>
        </is>
      </c>
      <c r="B128">
        <f>IF($B$123=1,$B$127-$B$124/2,$B$5)</f>
        <v>20</v>
      </c>
      <c r="G128">
        <f>$B$133+$B$132*(-4*$B$135)</f>
        <v>27.591</v>
      </c>
      <c r="H128">
        <f>$B$134+$B$132*(0)</f>
        <v>16</v>
      </c>
      <c r="K128" t="e">
        <f>IF(AND(6&lt;=$B$12,$B$45=1),$B$133+$B$132*($B$13*6-$B$27/2),NA())</f>
        <v>#N/A</v>
      </c>
      <c r="L128" t="e">
        <f>IF(AND(6&lt;=$B$12,$B$45=1),$B$134+$B$132*($B$5/2+$B$27/2),NA())</f>
        <v>#N/A</v>
      </c>
      <c r="EA128" t="e">
        <f>IF(AND($B$18=1,13&lt;=$B$26),$B$139+$B$138*(12*($B$5/MAX(1,$B$26))),NA())</f>
        <v>#N/A</v>
      </c>
      <c r="EB128" t="e">
        <f>IF(AND($B$18=1,13&lt;=$B$26),$B$140+$B$138*(IF(13&lt;=$B$26/2,($B$9+$B$8*MIN(12*($B$5/MAX(1,$B$26)),$B$5-(12*($B$5/MAX(1,$B$26))))),$B$7)),NA())</f>
        <v>#N/A</v>
      </c>
      <c r="FA128">
        <f>$B$145+$B$144*(0)</f>
        <v>20</v>
      </c>
      <c r="FB128">
        <f>$B$146+$B$144*($B$9)</f>
        <v>63.23865</v>
      </c>
      <c r="FC128" t="e">
        <f>IF(8&lt;$B$22,$B$145+$B$144*(IF(($B$19+8*$B$64)&lt;$B$73,$B$77,$B$75)),NA())</f>
        <v>#N/A</v>
      </c>
      <c r="FD128" t="e">
        <f>IF(8&lt;$B$22,$B$146+$B$144*(($B$19+8*$B$64)),NA())</f>
        <v>#N/A</v>
      </c>
      <c r="FE128" t="e">
        <f>IF(AND($B$21=1,(9*$B$66)&lt;$B$62),$B$145+$B$144*(IF((9*$B$66)&lt;$B$73,$B$77,$B$75)),NA())</f>
        <v>#N/A</v>
      </c>
      <c r="FF128" t="e">
        <f>IF(AND($B$21=1,(9*$B$66)&lt;$B$62),$B$146+$B$144*((9*$B$66)),NA())</f>
        <v>#N/A</v>
      </c>
      <c r="GG128" t="e">
        <f>IF(AND($B$20=1,($B$19+8*$B$64)&lt;$B$10-0.3),$B$151+$B$150*(MAX(IF(($B$19+8*$B$64)&lt;=$B$9,0,(($B$19+8*$B$64)-$B$9)/$B$8),MIN(($B$5-IF(($B$19+8*$B$64)&lt;=$B$9,0,(($B$19+8*$B$64)-$B$9)/$B$8)),IF(($B$19+8*$B$64)&lt;$B$104,$B$108,$B$106)))),NA())</f>
        <v>#N/A</v>
      </c>
      <c r="GH128" t="e">
        <f>IF(AND($B$20=1,($B$19+8*$B$64)&lt;$B$10-0.3),$B$152+$B$150*(($B$19+8*$B$64)),NA())</f>
        <v>#N/A</v>
      </c>
      <c r="GI128" t="e">
        <f>IF(AND($B$21=1,(9*$B$66)&lt;IF($B$63=1,$B$10-0.2,$B$62)),$B$151+$B$150*(MAX(IF((9*$B$66)&lt;=$B$9,0,((9*$B$66)-$B$9)/$B$8),MIN(($B$5-IF((9*$B$66)&lt;=$B$9,0,((9*$B$66)-$B$9)/$B$8)),IF((9*$B$66)&lt;$B$104,$B$108,$B$106)))),NA())</f>
        <v>#N/A</v>
      </c>
      <c r="GJ128" t="e">
        <f>IF(AND($B$21=1,(9*$B$66)&lt;IF($B$63=1,$B$10-0.2,$B$62)),$B$152+$B$150*((9*$B$66)),NA())</f>
        <v>#N/A</v>
      </c>
      <c r="HI128" t="e">
        <f>IF(20&lt;=$B$16-1,$B$157+$B$156*(-$B$46),NA())</f>
        <v>#N/A</v>
      </c>
      <c r="HJ128" t="e">
        <f>IF(20&lt;=$B$16-1,$B$158+$B$156*($B$5-20*($B$5/2)/MAX(1,$B$16-1)),NA())</f>
        <v>#N/A</v>
      </c>
      <c r="HM128" t="e">
        <f>IF(AND(21&lt;=$B$12,2&lt;=$B$25),$B$157+$B$156*((21-1)*$B$13+2*$B$13/($B$25+1)),NA())</f>
        <v>#N/A</v>
      </c>
      <c r="HN128" t="e">
        <f>IF(AND(21&lt;=$B$12,2&lt;=$B$25),$B$158+$B$156*(0),NA())</f>
        <v>#N/A</v>
      </c>
      <c r="HQ128" t="e">
        <f>IF(AND(2&lt;=$B$23,3&lt;=$B$24),$B$157+$B$156*((IF(2=1,1,IF(2=$B$23,$B$12,5*(2-1)))-1)*$B$13),NA())</f>
        <v>#N/A</v>
      </c>
      <c r="HR128" t="e">
        <f>IF(AND(2&lt;=$B$23,3&lt;=$B$24),$B$158+$B$156*((1*$B$5/2+3*($B$5/2)/$B$24)),NA())</f>
        <v>#N/A</v>
      </c>
      <c r="HS128">
        <f>IF(AND(6&lt;=$B$12,$B$51&gt;0),$B$157+$B$156*(((6-0.5)*$B$13)-($B$51*$B$13)/2),NA())</f>
        <v>140.933857142857</v>
      </c>
      <c r="HT128">
        <f>IF(AND(6&lt;=$B$12,$B$51&gt;0),$B$158+$B$156*((0*$B$5/2+$B$5/2-0.6*$B$159)),NA())</f>
        <v>51.4</v>
      </c>
      <c r="HU128" t="e">
        <f>IF(11&lt;=$B$47,$B$157+$B$156*(((MAX(1,MIN($B$12,ROUND(11*$B$12/($B$47+1),0)))-1)*$B$13+0.25*$B$13)-$B$48/2),NA())</f>
        <v>#N/A</v>
      </c>
      <c r="HV128" t="e">
        <f>IF(11&lt;=$B$47,$B$158+$B$156*(IF(MOD(11,2)=1,$B$5/4,3*$B$5/4)+$B$49/2),NA())</f>
        <v>#N/A</v>
      </c>
      <c r="KI128" t="e">
        <f>IF(AND($B$21=1,11*$B$67&gt;$B$59,11*$B$67&lt;$B$178-$B$59,OR($B$63=0,ABS(11*$B$67-$B$178/2)&gt;$B$59/2)),$B$182+$B$181*($B$177*1/4+$B$60/2),NA())</f>
        <v>#N/A</v>
      </c>
      <c r="KJ128" t="e">
        <f>IF(AND($B$21=1,11*$B$67&gt;$B$59,11*$B$67&lt;$B$178-$B$59,OR($B$63=0,ABS(11*$B$67-$B$178/2)&gt;$B$59/2)),$B$183+$B$181*(11*$B$67),NA())</f>
        <v>#N/A</v>
      </c>
    </row>
    <row r="129">
      <c r="A129" t="inlineStr">
        <is>
          <t>PG_xr4</t>
        </is>
      </c>
      <c r="B129">
        <f>IF($B$123=1,$B$127+$B$124/2,$B$5)</f>
        <v>20</v>
      </c>
      <c r="G129">
        <f>$B$133+$B$132*($B$6+4*$B$135)</f>
        <v>171.591</v>
      </c>
      <c r="H129">
        <f>$B$134+$B$132*(0)</f>
        <v>16</v>
      </c>
      <c r="K129" t="e">
        <f>IF(AND(6&lt;=$B$12,$B$45=1),$B$133+$B$132*($B$13*6-$B$27/2),NA())</f>
        <v>#N/A</v>
      </c>
      <c r="L129" t="e">
        <f>IF(AND(6&lt;=$B$12,$B$45=1),$B$134+$B$132*($B$5/2-$B$27/2),NA())</f>
        <v>#N/A</v>
      </c>
      <c r="EA129" t="e">
        <f>IF(AND($B$18=1,13&lt;=$B$26),$B$139+$B$138*(13*($B$5/MAX(1,$B$26))),NA())</f>
        <v>#N/A</v>
      </c>
      <c r="EB129" t="e">
        <f>IF(AND($B$18=1,13&lt;=$B$26),$B$140+$B$138*(IF(13&lt;=$B$26/2,$B$7,($B$9+$B$8*MIN(13*($B$5/MAX(1,$B$26)),$B$5-(13*($B$5/MAX(1,$B$26))))))),NA())</f>
        <v>#N/A</v>
      </c>
      <c r="FA129">
        <f>$B$145+$B$144*($B$6)</f>
        <v>183.182</v>
      </c>
      <c r="FB129">
        <f>$B$146+$B$144*($B$9)</f>
        <v>63.23865</v>
      </c>
      <c r="FC129" t="e">
        <f>IF(8&lt;$B$22,$B$145+$B$144*(IF(($B$19+8*$B$64)&lt;$B$80,$B$83,$B$82)),NA())</f>
        <v>#N/A</v>
      </c>
      <c r="FD129" t="e">
        <f>IF(8&lt;$B$22,$B$146+$B$144*(($B$19+8*$B$64)),NA())</f>
        <v>#N/A</v>
      </c>
      <c r="FE129" t="e">
        <f>IF(AND($B$21=1,(9*$B$66)&lt;$B$62),$B$145+$B$144*(IF((9*$B$66)&lt;$B$80,$B$83,$B$82)),NA())</f>
        <v>#N/A</v>
      </c>
      <c r="FF129" t="e">
        <f>IF(AND($B$21=1,(9*$B$66)&lt;$B$62),$B$146+$B$144*((9*$B$66)),NA())</f>
        <v>#N/A</v>
      </c>
      <c r="GG129" t="e">
        <f>IF(AND($B$20=1,($B$19+8*$B$64)&lt;$B$10-0.3),$B$151+$B$150*(MAX(IF(($B$19+8*$B$64)&lt;=$B$9,0,(($B$19+8*$B$64)-$B$9)/$B$8),MIN(($B$5-IF(($B$19+8*$B$64)&lt;=$B$9,0,(($B$19+8*$B$64)-$B$9)/$B$8)),IF(($B$19+8*$B$64)&lt;$B$111,$B$114,$B$113)))),NA())</f>
        <v>#N/A</v>
      </c>
      <c r="GH129" t="e">
        <f>IF(AND($B$20=1,($B$19+8*$B$64)&lt;$B$10-0.3),$B$152+$B$150*(($B$19+8*$B$64)),NA())</f>
        <v>#N/A</v>
      </c>
      <c r="GI129" t="e">
        <f>IF(AND($B$21=1,(9*$B$66)&lt;IF($B$63=1,$B$10-0.2,$B$62)),$B$151+$B$150*(MAX(IF((9*$B$66)&lt;=$B$9,0,((9*$B$66)-$B$9)/$B$8),MIN(($B$5-IF((9*$B$66)&lt;=$B$9,0,((9*$B$66)-$B$9)/$B$8)),IF((9*$B$66)&lt;$B$111,$B$114,$B$113)))),NA())</f>
        <v>#N/A</v>
      </c>
      <c r="GJ129" t="e">
        <f>IF(AND($B$21=1,(9*$B$66)&lt;IF($B$63=1,$B$10-0.2,$B$62)),$B$152+$B$150*((9*$B$66)),NA())</f>
        <v>#N/A</v>
      </c>
      <c r="HI129" t="e">
        <f>IF(20&lt;=$B$16-1,$B$157+$B$156*($B$6+$B$46),NA())</f>
        <v>#N/A</v>
      </c>
      <c r="HJ129" t="e">
        <f>IF(20&lt;=$B$16-1,$B$158+$B$156*($B$5-20*($B$5/2)/MAX(1,$B$16-1)),NA())</f>
        <v>#N/A</v>
      </c>
      <c r="HM129" t="e">
        <f>IF(AND(21&lt;=$B$12,2&lt;=$B$25),$B$157+$B$156*((21-1)*$B$13+2*$B$13/($B$25+1)),NA())</f>
        <v>#N/A</v>
      </c>
      <c r="HN129" t="e">
        <f>IF(AND(21&lt;=$B$12,2&lt;=$B$25),$B$158+$B$156*($B$5),NA())</f>
        <v>#N/A</v>
      </c>
      <c r="HQ129" t="e">
        <f>IF(AND(2&lt;=$B$23,3&lt;=$B$24),$B$157+$B$156*(IF(2=1,1,IF(2=$B$23,$B$12,5*(2-1)))*$B$13),NA())</f>
        <v>#N/A</v>
      </c>
      <c r="HR129" t="e">
        <f>IF(AND(2&lt;=$B$23,3&lt;=$B$24),$B$158+$B$156*((1*$B$5/2+(3-1)*($B$5/2)/$B$24)),NA())</f>
        <v>#N/A</v>
      </c>
      <c r="HS129">
        <f>IF(AND(6&lt;=$B$12,$B$51&gt;0),$B$157+$B$156*(((6-0.5)*$B$13)-($B$51*$B$13)/2),NA())</f>
        <v>140.933857142857</v>
      </c>
      <c r="HT129">
        <f>IF(AND(6&lt;=$B$12,$B$51&gt;0),$B$158+$B$156*((0*$B$5/2+0.6*$B$159)),NA())</f>
        <v>14.6</v>
      </c>
      <c r="HU129" t="e">
        <f>IF(11&lt;=$B$47,$B$157+$B$156*(((MAX(1,MIN($B$12,ROUND(11*$B$12/($B$47+1),0)))-1)*$B$13+0.25*$B$13)-$B$48/2),NA())</f>
        <v>#N/A</v>
      </c>
      <c r="HV129" t="e">
        <f>IF(11&lt;=$B$47,$B$158+$B$156*(IF(MOD(11,2)=1,$B$5/4,3*$B$5/4)-$B$49/2),NA())</f>
        <v>#N/A</v>
      </c>
      <c r="KI129" t="e">
        <f>IF(AND($B$21=1,11*$B$67&gt;$B$59,11*$B$67&lt;$B$178-$B$59,OR($B$63=0,ABS(11*$B$67-$B$178/2)&gt;$B$59/2)),$B$182+$B$181*($B$177*2/4-$B$60/2),NA())</f>
        <v>#N/A</v>
      </c>
      <c r="KJ129" t="e">
        <f>IF(AND($B$21=1,11*$B$67&gt;$B$59,11*$B$67&lt;$B$178-$B$59,OR($B$63=0,ABS(11*$B$67-$B$178/2)&gt;$B$59/2)),$B$183+$B$181*(11*$B$67),NA())</f>
        <v>#N/A</v>
      </c>
    </row>
    <row r="130">
      <c r="A130" t="inlineStr">
        <is>
          <t>d1_dx</t>
        </is>
      </c>
      <c r="B130">
        <f>MAX(0.001,($B$6)-(0))</f>
        <v>40</v>
      </c>
      <c r="G130" t="e">
        <f>NA()</f>
        <v>#N/A</v>
      </c>
      <c r="H130" t="e">
        <f>NA()</f>
        <v>#N/A</v>
      </c>
      <c r="K130" t="e">
        <f>NA()</f>
        <v>#N/A</v>
      </c>
      <c r="L130" t="e">
        <f>NA()</f>
        <v>#N/A</v>
      </c>
      <c r="EA130" t="e">
        <f>NA()</f>
        <v>#N/A</v>
      </c>
      <c r="EB130" t="e">
        <f>NA()</f>
        <v>#N/A</v>
      </c>
      <c r="FA130" t="e">
        <f>NA()</f>
        <v>#N/A</v>
      </c>
      <c r="FB130" t="e">
        <f>NA()</f>
        <v>#N/A</v>
      </c>
      <c r="FC130" t="e">
        <f>IF(AND(8&lt;$B$22,($B$19+8*$B$64)&gt;=$B$80),$B$145+$B$144*($B$82),NA())</f>
        <v>#N/A</v>
      </c>
      <c r="FD130" t="e">
        <f>IF(AND(8&lt;$B$22,($B$19+8*$B$64)&gt;=$B$80),$B$146+$B$144*(($B$19+8*$B$64)),NA())</f>
        <v>#N/A</v>
      </c>
      <c r="FE130" t="e">
        <f>IF(AND(AND($B$21=1,(9*$B$66)&lt;$B$62),(9*$B$66)&gt;=$B$80),$B$145+$B$144*($B$82),NA())</f>
        <v>#N/A</v>
      </c>
      <c r="FF130" t="e">
        <f>IF(AND(AND($B$21=1,(9*$B$66)&lt;$B$62),(9*$B$66)&gt;=$B$80),$B$146+$B$144*((9*$B$66)),NA())</f>
        <v>#N/A</v>
      </c>
      <c r="GG130" t="e">
        <f>IF(AND(AND($B$20=1,($B$19+8*$B$64)&lt;$B$10-0.3),($B$19+8*$B$64)&gt;=$B$111),$B$151+$B$150*(MAX(IF(($B$19+8*$B$64)&lt;=$B$9,0,(($B$19+8*$B$64)-$B$9)/$B$8),MIN(($B$5-IF(($B$19+8*$B$64)&lt;=$B$9,0,(($B$19+8*$B$64)-$B$9)/$B$8)),$B$113))),NA())</f>
        <v>#N/A</v>
      </c>
      <c r="GH130" t="e">
        <f>IF(AND(AND($B$20=1,($B$19+8*$B$64)&lt;$B$10-0.3),($B$19+8*$B$64)&gt;=$B$111),$B$152+$B$150*(($B$19+8*$B$64)),NA())</f>
        <v>#N/A</v>
      </c>
      <c r="GI130" t="e">
        <f>IF(AND(AND($B$21=1,(9*$B$66)&lt;IF($B$63=1,$B$10-0.2,$B$62)),(9*$B$66)&gt;=$B$111),$B$151+$B$150*(MAX(IF((9*$B$66)&lt;=$B$9,0,((9*$B$66)-$B$9)/$B$8),MIN(($B$5-IF((9*$B$66)&lt;=$B$9,0,((9*$B$66)-$B$9)/$B$8)),$B$113))),NA())</f>
        <v>#N/A</v>
      </c>
      <c r="GJ130" t="e">
        <f>IF(AND(AND($B$21=1,(9*$B$66)&lt;IF($B$63=1,$B$10-0.2,$B$62)),(9*$B$66)&gt;=$B$111),$B$152+$B$150*((9*$B$66)),NA())</f>
        <v>#N/A</v>
      </c>
      <c r="HI130" t="e">
        <f>NA()</f>
        <v>#N/A</v>
      </c>
      <c r="HJ130" t="e">
        <f>NA()</f>
        <v>#N/A</v>
      </c>
      <c r="HM130" t="e">
        <f>NA()</f>
        <v>#N/A</v>
      </c>
      <c r="HN130" t="e">
        <f>NA()</f>
        <v>#N/A</v>
      </c>
      <c r="HQ130" t="e">
        <f>NA()</f>
        <v>#N/A</v>
      </c>
      <c r="HR130" t="e">
        <f>NA()</f>
        <v>#N/A</v>
      </c>
      <c r="HS130" t="e">
        <f>NA()</f>
        <v>#N/A</v>
      </c>
      <c r="HT130" t="e">
        <f>NA()</f>
        <v>#N/A</v>
      </c>
      <c r="HU130" t="e">
        <f>NA()</f>
        <v>#N/A</v>
      </c>
      <c r="HV130" t="e">
        <f>NA()</f>
        <v>#N/A</v>
      </c>
      <c r="KI130" t="e">
        <f>NA()</f>
        <v>#N/A</v>
      </c>
      <c r="KJ130" t="e">
        <f>NA()</f>
        <v>#N/A</v>
      </c>
    </row>
    <row r="131">
      <c r="A131" t="inlineStr">
        <is>
          <t>d1_dy</t>
        </is>
      </c>
      <c r="B131">
        <f>MAX(0.001,($B$5)-(0))</f>
        <v>20</v>
      </c>
      <c r="G131">
        <f>$B$133+$B$132*(-4*$B$135)</f>
        <v>27.591</v>
      </c>
      <c r="H131">
        <f>$B$134+$B$132*($B$5)</f>
        <v>84</v>
      </c>
      <c r="K131">
        <f>IF(7&lt;=$B$12,$B$133+$B$132*($B$13*7-$B$27/2),NA())</f>
        <v>165.551</v>
      </c>
      <c r="L131">
        <f>IF(7&lt;=$B$12,$B$134+$B$132*(0-$B$27/2),NA())</f>
        <v>13.96</v>
      </c>
      <c r="EA131" t="e">
        <f>IF(AND($B$18=1,14&lt;=$B$26),$B$139+$B$138*(13*($B$5/MAX(1,$B$26))),NA())</f>
        <v>#N/A</v>
      </c>
      <c r="EB131" t="e">
        <f>IF(AND($B$18=1,14&lt;=$B$26),$B$140+$B$138*(IF(14&lt;=$B$26/2,($B$9+$B$8*MIN(13*($B$5/MAX(1,$B$26)),$B$5-(13*($B$5/MAX(1,$B$26))))),$B$7)),NA())</f>
        <v>#N/A</v>
      </c>
      <c r="FA131" t="e">
        <f>IF($B$52=1,$B$145+$B$144*(0),NA())</f>
        <v>#N/A</v>
      </c>
      <c r="FB131" t="e">
        <f>IF($B$52=1,$B$146+$B$144*($B$9),NA())</f>
        <v>#N/A</v>
      </c>
      <c r="FC131" t="e">
        <f>IF(8&lt;$B$22,$B$145+$B$144*(IF(($B$19+8*$B$64)&lt;$B$80,$B$84,$B$82)),NA())</f>
        <v>#N/A</v>
      </c>
      <c r="FD131" t="e">
        <f>IF(8&lt;$B$22,$B$146+$B$144*(($B$19+8*$B$64)),NA())</f>
        <v>#N/A</v>
      </c>
      <c r="FE131" t="e">
        <f>IF(AND($B$21=1,(9*$B$66)&lt;$B$62),$B$145+$B$144*(IF((9*$B$66)&lt;$B$80,$B$84,$B$82)),NA())</f>
        <v>#N/A</v>
      </c>
      <c r="FF131" t="e">
        <f>IF(AND($B$21=1,(9*$B$66)&lt;$B$62),$B$146+$B$144*((9*$B$66)),NA())</f>
        <v>#N/A</v>
      </c>
      <c r="GG131" t="e">
        <f>IF(AND($B$20=1,($B$19+8*$B$64)&lt;$B$10-0.3),$B$151+$B$150*(MAX(IF(($B$19+8*$B$64)&lt;=$B$9,0,(($B$19+8*$B$64)-$B$9)/$B$8),MIN(($B$5-IF(($B$19+8*$B$64)&lt;=$B$9,0,(($B$19+8*$B$64)-$B$9)/$B$8)),IF(($B$19+8*$B$64)&lt;$B$111,$B$115,$B$113)))),NA())</f>
        <v>#N/A</v>
      </c>
      <c r="GH131" t="e">
        <f>IF(AND($B$20=1,($B$19+8*$B$64)&lt;$B$10-0.3),$B$152+$B$150*(($B$19+8*$B$64)),NA())</f>
        <v>#N/A</v>
      </c>
      <c r="GI131" t="e">
        <f>IF(AND($B$21=1,(9*$B$66)&lt;IF($B$63=1,$B$10-0.2,$B$62)),$B$151+$B$150*(MAX(IF((9*$B$66)&lt;=$B$9,0,((9*$B$66)-$B$9)/$B$8),MIN(($B$5-IF((9*$B$66)&lt;=$B$9,0,((9*$B$66)-$B$9)/$B$8)),IF((9*$B$66)&lt;$B$111,$B$115,$B$113)))),NA())</f>
        <v>#N/A</v>
      </c>
      <c r="GJ131" t="e">
        <f>IF(AND($B$21=1,(9*$B$66)&lt;IF($B$63=1,$B$10-0.2,$B$62)),$B$152+$B$150*((9*$B$66)),NA())</f>
        <v>#N/A</v>
      </c>
      <c r="HI131" t="e">
        <f>IF(21&lt;=$B$16-1,$B$157+$B$156*(-$B$46),NA())</f>
        <v>#N/A</v>
      </c>
      <c r="HJ131" t="e">
        <f>IF(21&lt;=$B$16-1,$B$158+$B$156*(21*($B$5/2)/MAX(1,$B$16-1)),NA())</f>
        <v>#N/A</v>
      </c>
      <c r="HM131" t="e">
        <f>IF(AND(22&lt;=$B$12,1&lt;=$B$25),$B$157+$B$156*((22-1)*$B$13+1*$B$13/($B$25+1)),NA())</f>
        <v>#N/A</v>
      </c>
      <c r="HN131" t="e">
        <f>IF(AND(22&lt;=$B$12,1&lt;=$B$25),$B$158+$B$156*(0),NA())</f>
        <v>#N/A</v>
      </c>
      <c r="HQ131" t="e">
        <f>IF(AND(2&lt;=$B$23,4&lt;=$B$24),$B$157+$B$156*((IF(2=1,1,IF(2=$B$23,$B$12,5*(2-1)))-1)*$B$13),NA())</f>
        <v>#N/A</v>
      </c>
      <c r="HR131" t="e">
        <f>IF(AND(2&lt;=$B$23,4&lt;=$B$24),$B$158+$B$156*((1*$B$5/2+(4-1)*($B$5/2)/$B$24)),NA())</f>
        <v>#N/A</v>
      </c>
      <c r="HS131">
        <f>IF(AND(6&lt;=$B$12,$B$51&gt;0),$B$157+$B$156*(((6-0.5)*$B$13)-($B$51*$B$13)/2),NA())</f>
        <v>140.933857142857</v>
      </c>
      <c r="HT131">
        <f>IF(AND(6&lt;=$B$12,$B$51&gt;0),$B$158+$B$156*((0*$B$5/2+0.6*$B$159)),NA())</f>
        <v>14.6</v>
      </c>
      <c r="HU131" t="e">
        <f>IF(11&lt;=$B$47,$B$157+$B$156*(((MAX(1,MIN($B$12,ROUND(11*$B$12/($B$47+1),0)))-1)*$B$13+0.25*$B$13)-$B$48/2-0.2),NA())</f>
        <v>#N/A</v>
      </c>
      <c r="HV131" t="e">
        <f>IF(11&lt;=$B$47,$B$158+$B$156*(IF(MOD(11,2)=1,$B$5/4,3*$B$5/4)-$B$49/2-0.2),NA())</f>
        <v>#N/A</v>
      </c>
      <c r="KI131" t="e">
        <f>IF(AND($B$21=1,11*$B$67&gt;$B$59,11*$B$67&lt;$B$178-$B$59,OR($B$63=0,ABS(11*$B$67-$B$178/2)&gt;$B$59/2)),$B$182+$B$181*($B$177*2/4+$B$60/2),NA())</f>
        <v>#N/A</v>
      </c>
      <c r="KJ131" t="e">
        <f>IF(AND($B$21=1,11*$B$67&gt;$B$59,11*$B$67&lt;$B$178-$B$59,OR($B$63=0,ABS(11*$B$67-$B$178/2)&gt;$B$59/2)),$B$183+$B$181*(11*$B$67),NA())</f>
        <v>#N/A</v>
      </c>
    </row>
    <row r="132">
      <c r="A132" t="inlineStr">
        <is>
          <t>d1_s</t>
        </is>
      </c>
      <c r="B132">
        <f>MIN((193.182-20-14)/$B$130,(100-16-16)/$B$131)</f>
        <v>3.4</v>
      </c>
      <c r="G132">
        <f>$B$133+$B$132*($B$6+4*$B$135)</f>
        <v>171.591</v>
      </c>
      <c r="H132">
        <f>$B$134+$B$132*($B$5)</f>
        <v>84</v>
      </c>
      <c r="K132">
        <f>IF(7&lt;=$B$12,$B$133+$B$132*($B$13*7+$B$27/2),NA())</f>
        <v>169.631</v>
      </c>
      <c r="L132">
        <f>IF(7&lt;=$B$12,$B$134+$B$132*(0-$B$27/2),NA())</f>
        <v>13.96</v>
      </c>
      <c r="EA132" t="e">
        <f>IF(AND($B$18=1,14&lt;=$B$26),$B$139+$B$138*(14*($B$5/MAX(1,$B$26))),NA())</f>
        <v>#N/A</v>
      </c>
      <c r="EB132" t="e">
        <f>IF(AND($B$18=1,14&lt;=$B$26),$B$140+$B$138*(IF(14&lt;=$B$26/2,$B$7,($B$9+$B$8*MIN(14*($B$5/MAX(1,$B$26)),$B$5-(14*($B$5/MAX(1,$B$26))))))),NA())</f>
        <v>#N/A</v>
      </c>
      <c r="FA132" t="e">
        <f>IF($B$52=1,$B$145+$B$144*(0),NA())</f>
        <v>#N/A</v>
      </c>
      <c r="FB132" t="e">
        <f>IF($B$52=1,$B$146+$B$144*($B$9+$B$53),NA())</f>
        <v>#N/A</v>
      </c>
      <c r="FC132" t="e">
        <f>IF(8&lt;$B$22,$B$145+$B$144*(IF(($B$19+8*$B$64)&lt;$B$87,$B$90,$B$89)),NA())</f>
        <v>#N/A</v>
      </c>
      <c r="FD132" t="e">
        <f>IF(8&lt;$B$22,$B$146+$B$144*(($B$19+8*$B$64)),NA())</f>
        <v>#N/A</v>
      </c>
      <c r="FE132" t="e">
        <f>IF(AND($B$21=1,(9*$B$66)&lt;$B$62),$B$145+$B$144*(IF((9*$B$66)&lt;$B$87,$B$90,$B$89)),NA())</f>
        <v>#N/A</v>
      </c>
      <c r="FF132" t="e">
        <f>IF(AND($B$21=1,(9*$B$66)&lt;$B$62),$B$146+$B$144*((9*$B$66)),NA())</f>
        <v>#N/A</v>
      </c>
      <c r="GG132" t="e">
        <f>IF(AND($B$20=1,($B$19+8*$B$64)&lt;$B$10-0.3),$B$151+$B$150*(MAX(IF(($B$19+8*$B$64)&lt;=$B$9,0,(($B$19+8*$B$64)-$B$9)/$B$8),MIN(($B$5-IF(($B$19+8*$B$64)&lt;=$B$9,0,(($B$19+8*$B$64)-$B$9)/$B$8)),IF(($B$19+8*$B$64)&lt;$B$118,$B$121,$B$120)))),NA())</f>
        <v>#N/A</v>
      </c>
      <c r="GH132" t="e">
        <f>IF(AND($B$20=1,($B$19+8*$B$64)&lt;$B$10-0.3),$B$152+$B$150*(($B$19+8*$B$64)),NA())</f>
        <v>#N/A</v>
      </c>
      <c r="GI132" t="e">
        <f>IF(AND($B$21=1,(9*$B$66)&lt;IF($B$63=1,$B$10-0.2,$B$62)),$B$151+$B$150*(MAX(IF((9*$B$66)&lt;=$B$9,0,((9*$B$66)-$B$9)/$B$8),MIN(($B$5-IF((9*$B$66)&lt;=$B$9,0,((9*$B$66)-$B$9)/$B$8)),IF((9*$B$66)&lt;$B$118,$B$121,$B$120)))),NA())</f>
        <v>#N/A</v>
      </c>
      <c r="GJ132" t="e">
        <f>IF(AND($B$21=1,(9*$B$66)&lt;IF($B$63=1,$B$10-0.2,$B$62)),$B$152+$B$150*((9*$B$66)),NA())</f>
        <v>#N/A</v>
      </c>
      <c r="HI132" t="e">
        <f>IF(21&lt;=$B$16-1,$B$157+$B$156*($B$6+$B$46),NA())</f>
        <v>#N/A</v>
      </c>
      <c r="HJ132" t="e">
        <f>IF(21&lt;=$B$16-1,$B$158+$B$156*(21*($B$5/2)/MAX(1,$B$16-1)),NA())</f>
        <v>#N/A</v>
      </c>
      <c r="HM132" t="e">
        <f>IF(AND(22&lt;=$B$12,1&lt;=$B$25),$B$157+$B$156*((22-1)*$B$13+1*$B$13/($B$25+1)),NA())</f>
        <v>#N/A</v>
      </c>
      <c r="HN132" t="e">
        <f>IF(AND(22&lt;=$B$12,1&lt;=$B$25),$B$158+$B$156*($B$5),NA())</f>
        <v>#N/A</v>
      </c>
      <c r="HQ132" t="e">
        <f>IF(AND(2&lt;=$B$23,4&lt;=$B$24),$B$157+$B$156*(IF(2=1,1,IF(2=$B$23,$B$12,5*(2-1)))*$B$13),NA())</f>
        <v>#N/A</v>
      </c>
      <c r="HR132" t="e">
        <f>IF(AND(2&lt;=$B$23,4&lt;=$B$24),$B$158+$B$156*((1*$B$5/2+4*($B$5/2)/$B$24)),NA())</f>
        <v>#N/A</v>
      </c>
      <c r="HS132">
        <f>IF(AND(6&lt;=$B$12,$B$51&gt;0),$B$157+$B$156*(((6-0.5)*$B$13)+($B$51*$B$13)/2),NA())</f>
        <v>143.105285714286</v>
      </c>
      <c r="HT132">
        <f>IF(AND(6&lt;=$B$12,$B$51&gt;0),$B$158+$B$156*((0*$B$5/2+0.6*$B$159)+(((0*$B$5/2+$B$5/2-0.6*$B$159))-((0*$B$5/2+0.6*$B$159)))/4),NA())</f>
        <v>23.8</v>
      </c>
      <c r="HU132" t="e">
        <f>IF(11&lt;=$B$47,$B$157+$B$156*(((MAX(1,MIN($B$12,ROUND(11*$B$12/($B$47+1),0)))-1)*$B$13+0.25*$B$13)+$B$48/2+0.2),NA())</f>
        <v>#N/A</v>
      </c>
      <c r="HV132" t="e">
        <f>IF(11&lt;=$B$47,$B$158+$B$156*(IF(MOD(11,2)=1,$B$5/4,3*$B$5/4)-$B$49/2-0.2),NA())</f>
        <v>#N/A</v>
      </c>
      <c r="KI132" t="e">
        <f>IF(AND($B$21=1,11*$B$67&gt;$B$59,11*$B$67&lt;$B$178-$B$59,OR($B$63=0,ABS(11*$B$67-$B$178/2)&gt;$B$59/2)),$B$182+$B$181*($B$177*3/4-$B$60/2),NA())</f>
        <v>#N/A</v>
      </c>
      <c r="KJ132" t="e">
        <f>IF(AND($B$21=1,11*$B$67&gt;$B$59,11*$B$67&lt;$B$178-$B$59,OR($B$63=0,ABS(11*$B$67-$B$178/2)&gt;$B$59/2)),$B$183+$B$181*(11*$B$67),NA())</f>
        <v>#N/A</v>
      </c>
    </row>
    <row r="133">
      <c r="A133" t="inlineStr">
        <is>
          <t>d1_ox</t>
        </is>
      </c>
      <c r="B133">
        <f>20+((193.182-20-14)-$B$132*$B$130)/2-$B$132*(0)</f>
        <v>31.591</v>
      </c>
      <c r="G133" t="e">
        <f>NA()</f>
        <v>#N/A</v>
      </c>
      <c r="H133" t="e">
        <f>NA()</f>
        <v>#N/A</v>
      </c>
      <c r="K133">
        <f>IF(7&lt;=$B$12,$B$133+$B$132*($B$13*7+$B$27/2),NA())</f>
        <v>169.631</v>
      </c>
      <c r="L133">
        <f>IF(7&lt;=$B$12,$B$134+$B$132*(0+$B$27/2),NA())</f>
        <v>18.04</v>
      </c>
      <c r="EA133" t="e">
        <f>NA()</f>
        <v>#N/A</v>
      </c>
      <c r="EB133" t="e">
        <f>NA()</f>
        <v>#N/A</v>
      </c>
      <c r="FA133" t="e">
        <f>IF($B$52=1,$B$145+$B$144*($B$6),NA())</f>
        <v>#N/A</v>
      </c>
      <c r="FB133" t="e">
        <f>IF($B$52=1,$B$146+$B$144*($B$9+$B$53),NA())</f>
        <v>#N/A</v>
      </c>
      <c r="FC133" t="e">
        <f>IF(AND(8&lt;$B$22,($B$19+8*$B$64)&gt;=$B$87),$B$145+$B$144*($B$89),NA())</f>
        <v>#N/A</v>
      </c>
      <c r="FD133" t="e">
        <f>IF(AND(8&lt;$B$22,($B$19+8*$B$64)&gt;=$B$87),$B$146+$B$144*(($B$19+8*$B$64)),NA())</f>
        <v>#N/A</v>
      </c>
      <c r="FE133" t="e">
        <f>IF(AND(AND($B$21=1,(9*$B$66)&lt;$B$62),(9*$B$66)&gt;=$B$87),$B$145+$B$144*($B$89),NA())</f>
        <v>#N/A</v>
      </c>
      <c r="FF133" t="e">
        <f>IF(AND(AND($B$21=1,(9*$B$66)&lt;$B$62),(9*$B$66)&gt;=$B$87),$B$146+$B$144*((9*$B$66)),NA())</f>
        <v>#N/A</v>
      </c>
      <c r="GG133" t="e">
        <f>IF(AND(AND($B$20=1,($B$19+8*$B$64)&lt;$B$10-0.3),($B$19+8*$B$64)&gt;=$B$118),$B$151+$B$150*(MAX(IF(($B$19+8*$B$64)&lt;=$B$9,0,(($B$19+8*$B$64)-$B$9)/$B$8),MIN(($B$5-IF(($B$19+8*$B$64)&lt;=$B$9,0,(($B$19+8*$B$64)-$B$9)/$B$8)),$B$120))),NA())</f>
        <v>#N/A</v>
      </c>
      <c r="GH133" t="e">
        <f>IF(AND(AND($B$20=1,($B$19+8*$B$64)&lt;$B$10-0.3),($B$19+8*$B$64)&gt;=$B$118),$B$152+$B$150*(($B$19+8*$B$64)),NA())</f>
        <v>#N/A</v>
      </c>
      <c r="GI133" t="e">
        <f>IF(AND(AND($B$21=1,(9*$B$66)&lt;IF($B$63=1,$B$10-0.2,$B$62)),(9*$B$66)&gt;=$B$118),$B$151+$B$150*(MAX(IF((9*$B$66)&lt;=$B$9,0,((9*$B$66)-$B$9)/$B$8),MIN(($B$5-IF((9*$B$66)&lt;=$B$9,0,((9*$B$66)-$B$9)/$B$8)),$B$120))),NA())</f>
        <v>#N/A</v>
      </c>
      <c r="GJ133" t="e">
        <f>IF(AND(AND($B$21=1,(9*$B$66)&lt;IF($B$63=1,$B$10-0.2,$B$62)),(9*$B$66)&gt;=$B$118),$B$152+$B$150*((9*$B$66)),NA())</f>
        <v>#N/A</v>
      </c>
      <c r="HI133" t="e">
        <f>NA()</f>
        <v>#N/A</v>
      </c>
      <c r="HJ133" t="e">
        <f>NA()</f>
        <v>#N/A</v>
      </c>
      <c r="HM133" t="e">
        <f>NA()</f>
        <v>#N/A</v>
      </c>
      <c r="HN133" t="e">
        <f>NA()</f>
        <v>#N/A</v>
      </c>
      <c r="HQ133" t="e">
        <f>NA()</f>
        <v>#N/A</v>
      </c>
      <c r="HR133" t="e">
        <f>NA()</f>
        <v>#N/A</v>
      </c>
      <c r="HS133">
        <f>IF(AND(6&lt;=$B$12,$B$51&gt;0),$B$157+$B$156*(((6-0.5)*$B$13)-($B$51*$B$13)/2),NA())</f>
        <v>140.933857142857</v>
      </c>
      <c r="HT133">
        <f>IF(AND(6&lt;=$B$12,$B$51&gt;0),$B$158+$B$156*((0*$B$5/2+0.6*$B$159)+(((0*$B$5/2+$B$5/2-0.6*$B$159))-((0*$B$5/2+0.6*$B$159)))/2),NA())</f>
        <v>33</v>
      </c>
      <c r="HU133" t="e">
        <f>IF(11&lt;=$B$47,$B$157+$B$156*(((MAX(1,MIN($B$12,ROUND(11*$B$12/($B$47+1),0)))-1)*$B$13+0.25*$B$13)+$B$48/2+0.2),NA())</f>
        <v>#N/A</v>
      </c>
      <c r="HV133" t="e">
        <f>IF(11&lt;=$B$47,$B$158+$B$156*(IF(MOD(11,2)=1,$B$5/4,3*$B$5/4)+$B$49/2+0.2),NA())</f>
        <v>#N/A</v>
      </c>
      <c r="KI133" t="e">
        <f>NA()</f>
        <v>#N/A</v>
      </c>
      <c r="KJ133" t="e">
        <f>NA()</f>
        <v>#N/A</v>
      </c>
    </row>
    <row r="134">
      <c r="A134" t="inlineStr">
        <is>
          <t>d1_oy</t>
        </is>
      </c>
      <c r="B134">
        <f>16+((100-16-16)-$B$132*$B$131)/2-$B$132*(0)</f>
        <v>16</v>
      </c>
      <c r="K134">
        <f>IF(7&lt;=$B$12,$B$133+$B$132*($B$13*7-$B$27/2),NA())</f>
        <v>165.551</v>
      </c>
      <c r="L134">
        <f>IF(7&lt;=$B$12,$B$134+$B$132*(0+$B$27/2),NA())</f>
        <v>18.04</v>
      </c>
      <c r="EA134" t="e">
        <f>IF(AND($B$18=1,15&lt;=$B$26),$B$139+$B$138*(14*($B$5/MAX(1,$B$26))),NA())</f>
        <v>#N/A</v>
      </c>
      <c r="EB134" t="e">
        <f>IF(AND($B$18=1,15&lt;=$B$26),$B$140+$B$138*(IF(15&lt;=$B$26/2,($B$9+$B$8*MIN(14*($B$5/MAX(1,$B$26)),$B$5-(14*($B$5/MAX(1,$B$26))))),$B$7)),NA())</f>
        <v>#N/A</v>
      </c>
      <c r="FA134" t="e">
        <f>IF($B$52=1,$B$145+$B$144*($B$6),NA())</f>
        <v>#N/A</v>
      </c>
      <c r="FB134" t="e">
        <f>IF($B$52=1,$B$146+$B$144*($B$9),NA())</f>
        <v>#N/A</v>
      </c>
      <c r="FC134" t="e">
        <f>IF(8&lt;$B$22,$B$145+$B$144*(IF(($B$19+8*$B$64)&lt;$B$87,$B$91,$B$89)),NA())</f>
        <v>#N/A</v>
      </c>
      <c r="FD134" t="e">
        <f>IF(8&lt;$B$22,$B$146+$B$144*(($B$19+8*$B$64)),NA())</f>
        <v>#N/A</v>
      </c>
      <c r="FE134" t="e">
        <f>IF(AND($B$21=1,(9*$B$66)&lt;$B$62),$B$145+$B$144*(IF((9*$B$66)&lt;$B$87,$B$91,$B$89)),NA())</f>
        <v>#N/A</v>
      </c>
      <c r="FF134" t="e">
        <f>IF(AND($B$21=1,(9*$B$66)&lt;$B$62),$B$146+$B$144*((9*$B$66)),NA())</f>
        <v>#N/A</v>
      </c>
      <c r="GG134" t="e">
        <f>IF(AND($B$20=1,($B$19+8*$B$64)&lt;$B$10-0.3),$B$151+$B$150*(MAX(IF(($B$19+8*$B$64)&lt;=$B$9,0,(($B$19+8*$B$64)-$B$9)/$B$8),MIN(($B$5-IF(($B$19+8*$B$64)&lt;=$B$9,0,(($B$19+8*$B$64)-$B$9)/$B$8)),IF(($B$19+8*$B$64)&lt;$B$118,$B$122,$B$120)))),NA())</f>
        <v>#N/A</v>
      </c>
      <c r="GH134" t="e">
        <f>IF(AND($B$20=1,($B$19+8*$B$64)&lt;$B$10-0.3),$B$152+$B$150*(($B$19+8*$B$64)),NA())</f>
        <v>#N/A</v>
      </c>
      <c r="GI134" t="e">
        <f>IF(AND($B$21=1,(9*$B$66)&lt;IF($B$63=1,$B$10-0.2,$B$62)),$B$151+$B$150*(MAX(IF((9*$B$66)&lt;=$B$9,0,((9*$B$66)-$B$9)/$B$8),MIN(($B$5-IF((9*$B$66)&lt;=$B$9,0,((9*$B$66)-$B$9)/$B$8)),IF((9*$B$66)&lt;$B$118,$B$122,$B$120)))),NA())</f>
        <v>#N/A</v>
      </c>
      <c r="GJ134" t="e">
        <f>IF(AND($B$21=1,(9*$B$66)&lt;IF($B$63=1,$B$10-0.2,$B$62)),$B$152+$B$150*((9*$B$66)),NA())</f>
        <v>#N/A</v>
      </c>
      <c r="HI134" t="e">
        <f>IF(21&lt;=$B$16-1,$B$157+$B$156*(-$B$46),NA())</f>
        <v>#N/A</v>
      </c>
      <c r="HJ134" t="e">
        <f>IF(21&lt;=$B$16-1,$B$158+$B$156*($B$5-21*($B$5/2)/MAX(1,$B$16-1)),NA())</f>
        <v>#N/A</v>
      </c>
      <c r="HM134" t="e">
        <f>IF(AND(22&lt;=$B$12,2&lt;=$B$25),$B$157+$B$156*((22-1)*$B$13+2*$B$13/($B$25+1)),NA())</f>
        <v>#N/A</v>
      </c>
      <c r="HN134" t="e">
        <f>IF(AND(22&lt;=$B$12,2&lt;=$B$25),$B$158+$B$156*(0),NA())</f>
        <v>#N/A</v>
      </c>
      <c r="HQ134" t="e">
        <f>IF(AND(2&lt;=$B$23,4&lt;=$B$24),$B$157+$B$156*((IF(2=1,1,IF(2=$B$23,$B$12,5*(2-1)))-1)*$B$13),NA())</f>
        <v>#N/A</v>
      </c>
      <c r="HR134" t="e">
        <f>IF(AND(2&lt;=$B$23,4&lt;=$B$24),$B$158+$B$156*((1*$B$5/2+4*($B$5/2)/$B$24)),NA())</f>
        <v>#N/A</v>
      </c>
      <c r="HS134">
        <f>IF(AND(6&lt;=$B$12,$B$51&gt;0),$B$157+$B$156*(((6-0.5)*$B$13)+($B$51*$B$13)/2),NA())</f>
        <v>143.105285714286</v>
      </c>
      <c r="HT134">
        <f>IF(AND(6&lt;=$B$12,$B$51&gt;0),$B$158+$B$156*((0*$B$5/2+0.6*$B$159)+3*(((0*$B$5/2+$B$5/2-0.6*$B$159))-((0*$B$5/2+0.6*$B$159)))/4),NA())</f>
        <v>42.2</v>
      </c>
      <c r="HU134" t="e">
        <f>IF(11&lt;=$B$47,$B$157+$B$156*(((MAX(1,MIN($B$12,ROUND(11*$B$12/($B$47+1),0)))-1)*$B$13+0.25*$B$13)-$B$48/2-0.2),NA())</f>
        <v>#N/A</v>
      </c>
      <c r="HV134" t="e">
        <f>IF(11&lt;=$B$47,$B$158+$B$156*(IF(MOD(11,2)=1,$B$5/4,3*$B$5/4)+$B$49/2+0.2),NA())</f>
        <v>#N/A</v>
      </c>
      <c r="KI134" t="e">
        <f>IF(AND($B$21=1,11*$B$67&gt;$B$59,11*$B$67&lt;$B$178-$B$59,OR($B$63=0,ABS(11*$B$67-$B$178/2)&gt;$B$59/2)),$B$182+$B$181*($B$177*3/4+$B$60/2),NA())</f>
        <v>#N/A</v>
      </c>
      <c r="KJ134" t="e">
        <f>IF(AND($B$21=1,11*$B$67&gt;$B$59,11*$B$67&lt;$B$178-$B$59,OR($B$63=0,ABS(11*$B$67-$B$178/2)&gt;$B$59/2)),$B$183+$B$181*(11*$B$67),NA())</f>
        <v>#N/A</v>
      </c>
    </row>
    <row r="135">
      <c r="A135" t="inlineStr">
        <is>
          <t>d1_u</t>
        </is>
      </c>
      <c r="B135">
        <f>1/$B$132</f>
        <v>0.294117647058824</v>
      </c>
      <c r="K135">
        <f>IF(7&lt;=$B$12,$B$133+$B$132*($B$13*7-$B$27/2),NA())</f>
        <v>165.551</v>
      </c>
      <c r="L135">
        <f>IF(7&lt;=$B$12,$B$134+$B$132*(0-$B$27/2),NA())</f>
        <v>13.96</v>
      </c>
      <c r="EA135" t="e">
        <f>IF(AND($B$18=1,15&lt;=$B$26),$B$139+$B$138*(15*($B$5/MAX(1,$B$26))),NA())</f>
        <v>#N/A</v>
      </c>
      <c r="EB135" t="e">
        <f>IF(AND($B$18=1,15&lt;=$B$26),$B$140+$B$138*(IF(15&lt;=$B$26/2,$B$7,($B$9+$B$8*MIN(15*($B$5/MAX(1,$B$26)),$B$5-(15*($B$5/MAX(1,$B$26))))))),NA())</f>
        <v>#N/A</v>
      </c>
      <c r="FA135" t="e">
        <f>NA()</f>
        <v>#N/A</v>
      </c>
      <c r="FB135" t="e">
        <f>NA()</f>
        <v>#N/A</v>
      </c>
      <c r="FC135" t="e">
        <f>IF(8&lt;$B$22,$B$145+$B$144*(IF(($B$19+8*$B$64)&lt;$B$94,$B$97,$B$96)),NA())</f>
        <v>#N/A</v>
      </c>
      <c r="FD135" t="e">
        <f>IF(8&lt;$B$22,$B$146+$B$144*(($B$19+8*$B$64)),NA())</f>
        <v>#N/A</v>
      </c>
      <c r="FE135" t="e">
        <f>IF(AND($B$21=1,(9*$B$66)&lt;$B$62),$B$145+$B$144*(IF((9*$B$66)&lt;$B$94,$B$97,$B$96)),NA())</f>
        <v>#N/A</v>
      </c>
      <c r="FF135" t="e">
        <f>IF(AND($B$21=1,(9*$B$66)&lt;$B$62),$B$146+$B$144*((9*$B$66)),NA())</f>
        <v>#N/A</v>
      </c>
      <c r="GG135" t="e">
        <f>IF(AND($B$20=1,($B$19+8*$B$64)&lt;$B$10-0.3),$B$151+$B$150*(MAX(IF(($B$19+8*$B$64)&lt;=$B$9,0,(($B$19+8*$B$64)-$B$9)/$B$8),MIN(($B$5-IF(($B$19+8*$B$64)&lt;=$B$9,0,(($B$19+8*$B$64)-$B$9)/$B$8)),IF(($B$19+8*$B$64)&lt;$B$125,$B$128,$B$127)))),NA())</f>
        <v>#N/A</v>
      </c>
      <c r="GH135" t="e">
        <f>IF(AND($B$20=1,($B$19+8*$B$64)&lt;$B$10-0.3),$B$152+$B$150*(($B$19+8*$B$64)),NA())</f>
        <v>#N/A</v>
      </c>
      <c r="GI135" t="e">
        <f>IF(AND($B$21=1,(9*$B$66)&lt;IF($B$63=1,$B$10-0.2,$B$62)),$B$151+$B$150*(MAX(IF((9*$B$66)&lt;=$B$9,0,((9*$B$66)-$B$9)/$B$8),MIN(($B$5-IF((9*$B$66)&lt;=$B$9,0,((9*$B$66)-$B$9)/$B$8)),IF((9*$B$66)&lt;$B$125,$B$128,$B$127)))),NA())</f>
        <v>#N/A</v>
      </c>
      <c r="GJ135" t="e">
        <f>IF(AND($B$21=1,(9*$B$66)&lt;IF($B$63=1,$B$10-0.2,$B$62)),$B$152+$B$150*((9*$B$66)),NA())</f>
        <v>#N/A</v>
      </c>
      <c r="HI135" t="e">
        <f>IF(21&lt;=$B$16-1,$B$157+$B$156*($B$6+$B$46),NA())</f>
        <v>#N/A</v>
      </c>
      <c r="HJ135" t="e">
        <f>IF(21&lt;=$B$16-1,$B$158+$B$156*($B$5-21*($B$5/2)/MAX(1,$B$16-1)),NA())</f>
        <v>#N/A</v>
      </c>
      <c r="HM135" t="e">
        <f>IF(AND(22&lt;=$B$12,2&lt;=$B$25),$B$157+$B$156*((22-1)*$B$13+2*$B$13/($B$25+1)),NA())</f>
        <v>#N/A</v>
      </c>
      <c r="HN135" t="e">
        <f>IF(AND(22&lt;=$B$12,2&lt;=$B$25),$B$158+$B$156*($B$5),NA())</f>
        <v>#N/A</v>
      </c>
      <c r="HQ135" t="e">
        <f>IF(AND(2&lt;=$B$23,4&lt;=$B$24),$B$157+$B$156*(IF(2=1,1,IF(2=$B$23,$B$12,5*(2-1)))*$B$13),NA())</f>
        <v>#N/A</v>
      </c>
      <c r="HR135" t="e">
        <f>IF(AND(2&lt;=$B$23,4&lt;=$B$24),$B$158+$B$156*((1*$B$5/2+(4-1)*($B$5/2)/$B$24)),NA())</f>
        <v>#N/A</v>
      </c>
      <c r="HS135">
        <f>IF(AND(6&lt;=$B$12,$B$51&gt;0),$B$157+$B$156*(((6-0.5)*$B$13)-($B$51*$B$13)/2),NA())</f>
        <v>140.933857142857</v>
      </c>
      <c r="HT135">
        <f>IF(AND(6&lt;=$B$12,$B$51&gt;0),$B$158+$B$156*((0*$B$5/2+$B$5/2-0.6*$B$159)),NA())</f>
        <v>51.4</v>
      </c>
      <c r="HU135" t="e">
        <f>IF(11&lt;=$B$47,$B$157+$B$156*(((MAX(1,MIN($B$12,ROUND(11*$B$12/($B$47+1),0)))-1)*$B$13+0.25*$B$13)-$B$48/2-0.2),NA())</f>
        <v>#N/A</v>
      </c>
      <c r="HV135" t="e">
        <f>IF(11&lt;=$B$47,$B$158+$B$156*(IF(MOD(11,2)=1,$B$5/4,3*$B$5/4)-$B$49/2-0.2),NA())</f>
        <v>#N/A</v>
      </c>
      <c r="KI135" t="e">
        <f>IF(AND($B$21=1,11*$B$67&gt;$B$59,11*$B$67&lt;$B$178-$B$59,OR($B$63=0,ABS(11*$B$67-$B$178/2)&gt;$B$59/2)),$B$182+$B$181*($B$177),NA())</f>
        <v>#N/A</v>
      </c>
      <c r="KJ135" t="e">
        <f>IF(AND($B$21=1,11*$B$67&gt;$B$59,11*$B$67&lt;$B$178-$B$59,OR($B$63=0,ABS(11*$B$67-$B$178/2)&gt;$B$59/2)),$B$183+$B$181*(11*$B$67),NA())</f>
        <v>#N/A</v>
      </c>
    </row>
    <row r="136">
      <c r="A136" t="inlineStr">
        <is>
          <t>d2_dx</t>
        </is>
      </c>
      <c r="B136">
        <f>MAX(0.001,($B$5)-(0))</f>
        <v>20</v>
      </c>
      <c r="K136" t="e">
        <f>NA()</f>
        <v>#N/A</v>
      </c>
      <c r="L136" t="e">
        <f>NA()</f>
        <v>#N/A</v>
      </c>
      <c r="EA136" t="e">
        <f>NA()</f>
        <v>#N/A</v>
      </c>
      <c r="EB136" t="e">
        <f>NA()</f>
        <v>#N/A</v>
      </c>
      <c r="FC136" t="e">
        <f>IF(AND(8&lt;$B$22,($B$19+8*$B$64)&gt;=$B$94),$B$145+$B$144*($B$96),NA())</f>
        <v>#N/A</v>
      </c>
      <c r="FD136" t="e">
        <f>IF(AND(8&lt;$B$22,($B$19+8*$B$64)&gt;=$B$94),$B$146+$B$144*(($B$19+8*$B$64)),NA())</f>
        <v>#N/A</v>
      </c>
      <c r="FE136" t="e">
        <f>IF(AND(AND($B$21=1,(9*$B$66)&lt;$B$62),(9*$B$66)&gt;=$B$94),$B$145+$B$144*($B$96),NA())</f>
        <v>#N/A</v>
      </c>
      <c r="FF136" t="e">
        <f>IF(AND(AND($B$21=1,(9*$B$66)&lt;$B$62),(9*$B$66)&gt;=$B$94),$B$146+$B$144*((9*$B$66)),NA())</f>
        <v>#N/A</v>
      </c>
      <c r="GG136" t="e">
        <f>IF(AND(AND($B$20=1,($B$19+8*$B$64)&lt;$B$10-0.3),($B$19+8*$B$64)&gt;=$B$125),$B$151+$B$150*(MAX(IF(($B$19+8*$B$64)&lt;=$B$9,0,(($B$19+8*$B$64)-$B$9)/$B$8),MIN(($B$5-IF(($B$19+8*$B$64)&lt;=$B$9,0,(($B$19+8*$B$64)-$B$9)/$B$8)),$B$127))),NA())</f>
        <v>#N/A</v>
      </c>
      <c r="GH136" t="e">
        <f>IF(AND(AND($B$20=1,($B$19+8*$B$64)&lt;$B$10-0.3),($B$19+8*$B$64)&gt;=$B$125),$B$152+$B$150*(($B$19+8*$B$64)),NA())</f>
        <v>#N/A</v>
      </c>
      <c r="GI136" t="e">
        <f>IF(AND(AND($B$21=1,(9*$B$66)&lt;IF($B$63=1,$B$10-0.2,$B$62)),(9*$B$66)&gt;=$B$125),$B$151+$B$150*(MAX(IF((9*$B$66)&lt;=$B$9,0,((9*$B$66)-$B$9)/$B$8),MIN(($B$5-IF((9*$B$66)&lt;=$B$9,0,((9*$B$66)-$B$9)/$B$8)),$B$127))),NA())</f>
        <v>#N/A</v>
      </c>
      <c r="GJ136" t="e">
        <f>IF(AND(AND($B$21=1,(9*$B$66)&lt;IF($B$63=1,$B$10-0.2,$B$62)),(9*$B$66)&gt;=$B$125),$B$152+$B$150*((9*$B$66)),NA())</f>
        <v>#N/A</v>
      </c>
      <c r="HI136" t="e">
        <f>NA()</f>
        <v>#N/A</v>
      </c>
      <c r="HJ136" t="e">
        <f>NA()</f>
        <v>#N/A</v>
      </c>
      <c r="HM136" t="e">
        <f>NA()</f>
        <v>#N/A</v>
      </c>
      <c r="HN136" t="e">
        <f>NA()</f>
        <v>#N/A</v>
      </c>
      <c r="HQ136" t="e">
        <f>NA()</f>
        <v>#N/A</v>
      </c>
      <c r="HR136" t="e">
        <f>NA()</f>
        <v>#N/A</v>
      </c>
      <c r="HS136" t="e">
        <f>NA()</f>
        <v>#N/A</v>
      </c>
      <c r="HT136" t="e">
        <f>NA()</f>
        <v>#N/A</v>
      </c>
      <c r="HU136" t="e">
        <f>NA()</f>
        <v>#N/A</v>
      </c>
      <c r="HV136" t="e">
        <f>NA()</f>
        <v>#N/A</v>
      </c>
      <c r="KI136" t="e">
        <f>NA()</f>
        <v>#N/A</v>
      </c>
      <c r="KJ136" t="e">
        <f>NA()</f>
        <v>#N/A</v>
      </c>
    </row>
    <row r="137">
      <c r="A137" t="inlineStr">
        <is>
          <t>d2_dy</t>
        </is>
      </c>
      <c r="B137">
        <f>MAX(0.001,($B$10)-(-$B$33-0.1))</f>
        <v>8.9</v>
      </c>
      <c r="K137">
        <f>IF(7&lt;=$B$12,$B$133+$B$132*($B$13*7-$B$27/2),NA())</f>
        <v>165.551</v>
      </c>
      <c r="L137">
        <f>IF(7&lt;=$B$12,$B$134+$B$132*($B$5-$B$27/2),NA())</f>
        <v>81.96</v>
      </c>
      <c r="EA137" t="e">
        <f>IF(AND($B$18=1,16&lt;=$B$26),$B$139+$B$138*(15*($B$5/MAX(1,$B$26))),NA())</f>
        <v>#N/A</v>
      </c>
      <c r="EB137" t="e">
        <f>IF(AND($B$18=1,16&lt;=$B$26),$B$140+$B$138*(IF(16&lt;=$B$26/2,($B$9+$B$8*MIN(15*($B$5/MAX(1,$B$26)),$B$5-(15*($B$5/MAX(1,$B$26))))),$B$7)),NA())</f>
        <v>#N/A</v>
      </c>
      <c r="FC137" t="e">
        <f>IF(8&lt;$B$22,$B$145+$B$144*(IF(($B$19+8*$B$64)&lt;$B$94,$B$98,$B$96)),NA())</f>
        <v>#N/A</v>
      </c>
      <c r="FD137" t="e">
        <f>IF(8&lt;$B$22,$B$146+$B$144*(($B$19+8*$B$64)),NA())</f>
        <v>#N/A</v>
      </c>
      <c r="FE137" t="e">
        <f>IF(AND($B$21=1,(9*$B$66)&lt;$B$62),$B$145+$B$144*(IF((9*$B$66)&lt;$B$94,$B$98,$B$96)),NA())</f>
        <v>#N/A</v>
      </c>
      <c r="FF137" t="e">
        <f>IF(AND($B$21=1,(9*$B$66)&lt;$B$62),$B$146+$B$144*((9*$B$66)),NA())</f>
        <v>#N/A</v>
      </c>
      <c r="GG137" t="e">
        <f>IF(AND($B$20=1,($B$19+8*$B$64)&lt;$B$10-0.3),$B$151+$B$150*(MAX(IF(($B$19+8*$B$64)&lt;=$B$9,0,(($B$19+8*$B$64)-$B$9)/$B$8),MIN(($B$5-IF(($B$19+8*$B$64)&lt;=$B$9,0,(($B$19+8*$B$64)-$B$9)/$B$8)),IF(($B$19+8*$B$64)&lt;$B$125,$B$129,$B$127)))),NA())</f>
        <v>#N/A</v>
      </c>
      <c r="GH137" t="e">
        <f>IF(AND($B$20=1,($B$19+8*$B$64)&lt;$B$10-0.3),$B$152+$B$150*(($B$19+8*$B$64)),NA())</f>
        <v>#N/A</v>
      </c>
      <c r="GI137" t="e">
        <f>IF(AND($B$21=1,(9*$B$66)&lt;IF($B$63=1,$B$10-0.2,$B$62)),$B$151+$B$150*(MAX(IF((9*$B$66)&lt;=$B$9,0,((9*$B$66)-$B$9)/$B$8),MIN(($B$5-IF((9*$B$66)&lt;=$B$9,0,((9*$B$66)-$B$9)/$B$8)),IF((9*$B$66)&lt;$B$125,$B$129,$B$127)))),NA())</f>
        <v>#N/A</v>
      </c>
      <c r="GJ137" t="e">
        <f>IF(AND($B$21=1,(9*$B$66)&lt;IF($B$63=1,$B$10-0.2,$B$62)),$B$152+$B$150*((9*$B$66)),NA())</f>
        <v>#N/A</v>
      </c>
      <c r="HI137" t="e">
        <f>IF(22&lt;=$B$16-1,$B$157+$B$156*(-$B$46),NA())</f>
        <v>#N/A</v>
      </c>
      <c r="HJ137" t="e">
        <f>IF(22&lt;=$B$16-1,$B$158+$B$156*(22*($B$5/2)/MAX(1,$B$16-1)),NA())</f>
        <v>#N/A</v>
      </c>
      <c r="HM137" t="e">
        <f>IF(AND(23&lt;=$B$12,1&lt;=$B$25),$B$157+$B$156*((23-1)*$B$13+1*$B$13/($B$25+1)),NA())</f>
        <v>#N/A</v>
      </c>
      <c r="HN137" t="e">
        <f>IF(AND(23&lt;=$B$12,1&lt;=$B$25),$B$158+$B$156*(0),NA())</f>
        <v>#N/A</v>
      </c>
      <c r="HQ137" t="e">
        <f>IF(AND(2&lt;=$B$23,5&lt;=$B$24),$B$157+$B$156*((IF(2=1,1,IF(2=$B$23,$B$12,5*(2-1)))-1)*$B$13),NA())</f>
        <v>#N/A</v>
      </c>
      <c r="HR137" t="e">
        <f>IF(AND(2&lt;=$B$23,5&lt;=$B$24),$B$158+$B$156*((1*$B$5/2+(5-1)*($B$5/2)/$B$24)),NA())</f>
        <v>#N/A</v>
      </c>
      <c r="HS137">
        <f>IF(AND(6&lt;=$B$12,$B$51&gt;0),$B$157+$B$156*(((6-0.5)*$B$13)-($B$51*$B$13)/2),NA())</f>
        <v>140.933857142857</v>
      </c>
      <c r="HT137">
        <f>IF(AND(6&lt;=$B$12,$B$51&gt;0),$B$158+$B$156*((1*$B$5/2+0.6*$B$159)),NA())</f>
        <v>52.6</v>
      </c>
      <c r="HU137" t="e">
        <f>IF(12&lt;=$B$47,$B$157+$B$156*(((MAX(1,MIN($B$12,ROUND(12*$B$12/($B$47+1),0)))-1)*$B$13+0.25*$B$13)-$B$48/2),NA())</f>
        <v>#N/A</v>
      </c>
      <c r="HV137" t="e">
        <f>IF(12&lt;=$B$47,$B$158+$B$156*(IF(MOD(12,2)=1,$B$5/4,3*$B$5/4)-$B$49/2),NA())</f>
        <v>#N/A</v>
      </c>
      <c r="KI137" t="e">
        <f>IF(AND($B$21=1,12*$B$67&gt;$B$59,12*$B$67&lt;$B$178-$B$59,OR($B$63=0,ABS(12*$B$67-$B$178/2)&gt;$B$59/2)),$B$182+$B$181*(0),NA())</f>
        <v>#N/A</v>
      </c>
      <c r="KJ137" t="e">
        <f>IF(AND($B$21=1,12*$B$67&gt;$B$59,12*$B$67&lt;$B$178-$B$59,OR($B$63=0,ABS(12*$B$67-$B$178/2)&gt;$B$59/2)),$B$183+$B$181*(12*$B$67),NA())</f>
        <v>#N/A</v>
      </c>
    </row>
    <row r="138">
      <c r="A138" t="inlineStr">
        <is>
          <t>d2_s</t>
        </is>
      </c>
      <c r="B138">
        <f>MIN((193.182-20-20)/$B$136,(100-12-8)/$B$137)</f>
        <v>7.6591</v>
      </c>
      <c r="K138">
        <f>IF(7&lt;=$B$12,$B$133+$B$132*($B$13*7+$B$27/2),NA())</f>
        <v>169.631</v>
      </c>
      <c r="L138">
        <f>IF(7&lt;=$B$12,$B$134+$B$132*($B$5-$B$27/2),NA())</f>
        <v>81.96</v>
      </c>
      <c r="EA138" t="e">
        <f>IF(AND($B$18=1,16&lt;=$B$26),$B$139+$B$138*(16*($B$5/MAX(1,$B$26))),NA())</f>
        <v>#N/A</v>
      </c>
      <c r="EB138" t="e">
        <f>IF(AND($B$18=1,16&lt;=$B$26),$B$140+$B$138*(IF(16&lt;=$B$26/2,$B$7,($B$9+$B$8*MIN(16*($B$5/MAX(1,$B$26)),$B$5-(16*($B$5/MAX(1,$B$26))))))),NA())</f>
        <v>#N/A</v>
      </c>
      <c r="FC138" t="e">
        <f>IF(8&lt;$B$22,$B$145+$B$144*($B$6),NA())</f>
        <v>#N/A</v>
      </c>
      <c r="FD138" t="e">
        <f>IF(8&lt;$B$22,$B$146+$B$144*(($B$19+8*$B$64)),NA())</f>
        <v>#N/A</v>
      </c>
      <c r="FE138" t="e">
        <f>IF(AND($B$21=1,(9*$B$66)&lt;$B$62),$B$145+$B$144*($B$6),NA())</f>
        <v>#N/A</v>
      </c>
      <c r="FF138" t="e">
        <f>IF(AND($B$21=1,(9*$B$66)&lt;$B$62),$B$146+$B$144*((9*$B$66)),NA())</f>
        <v>#N/A</v>
      </c>
      <c r="GG138" t="e">
        <f>IF(AND($B$20=1,($B$19+8*$B$64)&lt;$B$10-0.3),$B$151+$B$150*(($B$5-IF(($B$19+8*$B$64)&lt;=$B$9,0,(($B$19+8*$B$64)-$B$9)/$B$8))),NA())</f>
        <v>#N/A</v>
      </c>
      <c r="GH138" t="e">
        <f>IF(AND($B$20=1,($B$19+8*$B$64)&lt;$B$10-0.3),$B$152+$B$150*(($B$19+8*$B$64)),NA())</f>
        <v>#N/A</v>
      </c>
      <c r="GI138" t="e">
        <f>IF(AND($B$21=1,(9*$B$66)&lt;IF($B$63=1,$B$10-0.2,$B$62)),$B$151+$B$150*(($B$5-IF((9*$B$66)&lt;=$B$9,0,((9*$B$66)-$B$9)/$B$8))),NA())</f>
        <v>#N/A</v>
      </c>
      <c r="GJ138" t="e">
        <f>IF(AND($B$21=1,(9*$B$66)&lt;IF($B$63=1,$B$10-0.2,$B$62)),$B$152+$B$150*((9*$B$66)),NA())</f>
        <v>#N/A</v>
      </c>
      <c r="HI138" t="e">
        <f>IF(22&lt;=$B$16-1,$B$157+$B$156*($B$6+$B$46),NA())</f>
        <v>#N/A</v>
      </c>
      <c r="HJ138" t="e">
        <f>IF(22&lt;=$B$16-1,$B$158+$B$156*(22*($B$5/2)/MAX(1,$B$16-1)),NA())</f>
        <v>#N/A</v>
      </c>
      <c r="HM138" t="e">
        <f>IF(AND(23&lt;=$B$12,1&lt;=$B$25),$B$157+$B$156*((23-1)*$B$13+1*$B$13/($B$25+1)),NA())</f>
        <v>#N/A</v>
      </c>
      <c r="HN138" t="e">
        <f>IF(AND(23&lt;=$B$12,1&lt;=$B$25),$B$158+$B$156*($B$5),NA())</f>
        <v>#N/A</v>
      </c>
      <c r="HQ138" t="e">
        <f>IF(AND(2&lt;=$B$23,5&lt;=$B$24),$B$157+$B$156*(IF(2=1,1,IF(2=$B$23,$B$12,5*(2-1)))*$B$13),NA())</f>
        <v>#N/A</v>
      </c>
      <c r="HR138" t="e">
        <f>IF(AND(2&lt;=$B$23,5&lt;=$B$24),$B$158+$B$156*((1*$B$5/2+5*($B$5/2)/$B$24)),NA())</f>
        <v>#N/A</v>
      </c>
      <c r="HS138">
        <f>IF(AND(6&lt;=$B$12,$B$51&gt;0),$B$157+$B$156*(((6-0.5)*$B$13)+($B$51*$B$13)/2),NA())</f>
        <v>143.105285714286</v>
      </c>
      <c r="HT138">
        <f>IF(AND(6&lt;=$B$12,$B$51&gt;0),$B$158+$B$156*((1*$B$5/2+0.6*$B$159)),NA())</f>
        <v>52.6</v>
      </c>
      <c r="HU138" t="e">
        <f>IF(12&lt;=$B$47,$B$157+$B$156*(((MAX(1,MIN($B$12,ROUND(12*$B$12/($B$47+1),0)))-1)*$B$13+0.25*$B$13)+$B$48/2),NA())</f>
        <v>#N/A</v>
      </c>
      <c r="HV138" t="e">
        <f>IF(12&lt;=$B$47,$B$158+$B$156*(IF(MOD(12,2)=1,$B$5/4,3*$B$5/4)-$B$49/2),NA())</f>
        <v>#N/A</v>
      </c>
      <c r="KI138" t="e">
        <f>IF(AND($B$21=1,12*$B$67&gt;$B$59,12*$B$67&lt;$B$178-$B$59,OR($B$63=0,ABS(12*$B$67-$B$178/2)&gt;$B$59/2)),$B$182+$B$181*($B$177*1/4-$B$60/2),NA())</f>
        <v>#N/A</v>
      </c>
      <c r="KJ138" t="e">
        <f>IF(AND($B$21=1,12*$B$67&gt;$B$59,12*$B$67&lt;$B$178-$B$59,OR($B$63=0,ABS(12*$B$67-$B$178/2)&gt;$B$59/2)),$B$183+$B$181*(12*$B$67),NA())</f>
        <v>#N/A</v>
      </c>
    </row>
    <row r="139">
      <c r="A139" t="inlineStr">
        <is>
          <t>d2_ox</t>
        </is>
      </c>
      <c r="B139">
        <f>20+((193.182-20-20)-$B$138*$B$136)/2-$B$138*(0)</f>
        <v>20</v>
      </c>
      <c r="K139">
        <f>IF(7&lt;=$B$12,$B$133+$B$132*($B$13*7+$B$27/2),NA())</f>
        <v>169.631</v>
      </c>
      <c r="L139">
        <f>IF(7&lt;=$B$12,$B$134+$B$132*($B$5+$B$27/2),NA())</f>
        <v>86.04</v>
      </c>
      <c r="EA139" t="e">
        <f>NA()</f>
        <v>#N/A</v>
      </c>
      <c r="EB139" t="e">
        <f>NA()</f>
        <v>#N/A</v>
      </c>
      <c r="FC139" t="e">
        <f>NA()</f>
        <v>#N/A</v>
      </c>
      <c r="FD139" t="e">
        <f>NA()</f>
        <v>#N/A</v>
      </c>
      <c r="FE139" t="e">
        <f>NA()</f>
        <v>#N/A</v>
      </c>
      <c r="FF139" t="e">
        <f>NA()</f>
        <v>#N/A</v>
      </c>
      <c r="GG139" t="e">
        <f>NA()</f>
        <v>#N/A</v>
      </c>
      <c r="GH139" t="e">
        <f>NA()</f>
        <v>#N/A</v>
      </c>
      <c r="GI139" t="e">
        <f>NA()</f>
        <v>#N/A</v>
      </c>
      <c r="GJ139" t="e">
        <f>NA()</f>
        <v>#N/A</v>
      </c>
      <c r="HI139" t="e">
        <f>NA()</f>
        <v>#N/A</v>
      </c>
      <c r="HJ139" t="e">
        <f>NA()</f>
        <v>#N/A</v>
      </c>
      <c r="HM139" t="e">
        <f>NA()</f>
        <v>#N/A</v>
      </c>
      <c r="HN139" t="e">
        <f>NA()</f>
        <v>#N/A</v>
      </c>
      <c r="HQ139" t="e">
        <f>NA()</f>
        <v>#N/A</v>
      </c>
      <c r="HR139" t="e">
        <f>NA()</f>
        <v>#N/A</v>
      </c>
      <c r="HS139">
        <f>IF(AND(6&lt;=$B$12,$B$51&gt;0),$B$157+$B$156*(((6-0.5)*$B$13)+($B$51*$B$13)/2),NA())</f>
        <v>143.105285714286</v>
      </c>
      <c r="HT139">
        <f>IF(AND(6&lt;=$B$12,$B$51&gt;0),$B$158+$B$156*((1*$B$5/2+$B$5/2-0.6*$B$159)),NA())</f>
        <v>89.4</v>
      </c>
      <c r="HU139" t="e">
        <f>IF(12&lt;=$B$47,$B$157+$B$156*(((MAX(1,MIN($B$12,ROUND(12*$B$12/($B$47+1),0)))-1)*$B$13+0.25*$B$13)+$B$48/2),NA())</f>
        <v>#N/A</v>
      </c>
      <c r="HV139" t="e">
        <f>IF(12&lt;=$B$47,$B$158+$B$156*(IF(MOD(12,2)=1,$B$5/4,3*$B$5/4)+$B$49/2),NA())</f>
        <v>#N/A</v>
      </c>
      <c r="KI139" t="e">
        <f>NA()</f>
        <v>#N/A</v>
      </c>
      <c r="KJ139" t="e">
        <f>NA()</f>
        <v>#N/A</v>
      </c>
    </row>
    <row r="140">
      <c r="A140" t="inlineStr">
        <is>
          <t>d2_oy</t>
        </is>
      </c>
      <c r="B140">
        <f>12+((100-12-8)-$B$138*$B$137)/2-$B$138*(-$B$33-0.1)</f>
        <v>27.873835</v>
      </c>
      <c r="K140">
        <f>IF(7&lt;=$B$12,$B$133+$B$132*($B$13*7-$B$27/2),NA())</f>
        <v>165.551</v>
      </c>
      <c r="L140">
        <f>IF(7&lt;=$B$12,$B$134+$B$132*($B$5+$B$27/2),NA())</f>
        <v>86.04</v>
      </c>
      <c r="EA140" t="e">
        <f>IF(AND($B$18=1,17&lt;=$B$26),$B$139+$B$138*(16*($B$5/MAX(1,$B$26))),NA())</f>
        <v>#N/A</v>
      </c>
      <c r="EB140" t="e">
        <f>IF(AND($B$18=1,17&lt;=$B$26),$B$140+$B$138*(IF(17&lt;=$B$26/2,($B$9+$B$8*MIN(16*($B$5/MAX(1,$B$26)),$B$5-(16*($B$5/MAX(1,$B$26))))),$B$7)),NA())</f>
        <v>#N/A</v>
      </c>
      <c r="FC140" t="e">
        <f>IF(9&lt;$B$22,$B$145+$B$144*(0),NA())</f>
        <v>#N/A</v>
      </c>
      <c r="FD140" t="e">
        <f>IF(9&lt;$B$22,$B$146+$B$144*(($B$19+9*$B$64)),NA())</f>
        <v>#N/A</v>
      </c>
      <c r="FE140" t="e">
        <f>IF(AND($B$21=1,(10*$B$66)&lt;$B$62),$B$145+$B$144*(0),NA())</f>
        <v>#N/A</v>
      </c>
      <c r="FF140" t="e">
        <f>IF(AND($B$21=1,(10*$B$66)&lt;$B$62),$B$146+$B$144*((10*$B$66)),NA())</f>
        <v>#N/A</v>
      </c>
      <c r="GG140" t="e">
        <f>IF(AND($B$20=1,($B$19+9*$B$64)&lt;$B$10-0.3),$B$151+$B$150*(IF(($B$19+9*$B$64)&lt;=$B$9,0,(($B$19+9*$B$64)-$B$9)/$B$8)),NA())</f>
        <v>#N/A</v>
      </c>
      <c r="GH140" t="e">
        <f>IF(AND($B$20=1,($B$19+9*$B$64)&lt;$B$10-0.3),$B$152+$B$150*(($B$19+9*$B$64)),NA())</f>
        <v>#N/A</v>
      </c>
      <c r="GI140" t="e">
        <f>IF(AND($B$21=1,(10*$B$66)&lt;IF($B$63=1,$B$10-0.2,$B$62)),$B$151+$B$150*(IF((10*$B$66)&lt;=$B$9,0,((10*$B$66)-$B$9)/$B$8)),NA())</f>
        <v>#N/A</v>
      </c>
      <c r="GJ140" t="e">
        <f>IF(AND($B$21=1,(10*$B$66)&lt;IF($B$63=1,$B$10-0.2,$B$62)),$B$152+$B$150*((10*$B$66)),NA())</f>
        <v>#N/A</v>
      </c>
      <c r="HI140" t="e">
        <f>IF(22&lt;=$B$16-1,$B$157+$B$156*(-$B$46),NA())</f>
        <v>#N/A</v>
      </c>
      <c r="HJ140" t="e">
        <f>IF(22&lt;=$B$16-1,$B$158+$B$156*($B$5-22*($B$5/2)/MAX(1,$B$16-1)),NA())</f>
        <v>#N/A</v>
      </c>
      <c r="HM140" t="e">
        <f>IF(AND(23&lt;=$B$12,2&lt;=$B$25),$B$157+$B$156*((23-1)*$B$13+2*$B$13/($B$25+1)),NA())</f>
        <v>#N/A</v>
      </c>
      <c r="HN140" t="e">
        <f>IF(AND(23&lt;=$B$12,2&lt;=$B$25),$B$158+$B$156*(0),NA())</f>
        <v>#N/A</v>
      </c>
      <c r="HQ140" t="e">
        <f>IF(AND(2&lt;=$B$23,5&lt;=$B$24),$B$157+$B$156*((IF(2=1,1,IF(2=$B$23,$B$12,5*(2-1)))-1)*$B$13),NA())</f>
        <v>#N/A</v>
      </c>
      <c r="HR140" t="e">
        <f>IF(AND(2&lt;=$B$23,5&lt;=$B$24),$B$158+$B$156*((1*$B$5/2+5*($B$5/2)/$B$24)),NA())</f>
        <v>#N/A</v>
      </c>
      <c r="HS140">
        <f>IF(AND(6&lt;=$B$12,$B$51&gt;0),$B$157+$B$156*(((6-0.5)*$B$13)-($B$51*$B$13)/2),NA())</f>
        <v>140.933857142857</v>
      </c>
      <c r="HT140">
        <f>IF(AND(6&lt;=$B$12,$B$51&gt;0),$B$158+$B$156*((1*$B$5/2+$B$5/2-0.6*$B$159)),NA())</f>
        <v>89.4</v>
      </c>
      <c r="HU140" t="e">
        <f>IF(12&lt;=$B$47,$B$157+$B$156*(((MAX(1,MIN($B$12,ROUND(12*$B$12/($B$47+1),0)))-1)*$B$13+0.25*$B$13)-$B$48/2),NA())</f>
        <v>#N/A</v>
      </c>
      <c r="HV140" t="e">
        <f>IF(12&lt;=$B$47,$B$158+$B$156*(IF(MOD(12,2)=1,$B$5/4,3*$B$5/4)+$B$49/2),NA())</f>
        <v>#N/A</v>
      </c>
      <c r="KI140" t="e">
        <f>IF(AND($B$21=1,12*$B$67&gt;$B$59,12*$B$67&lt;$B$178-$B$59,OR($B$63=0,ABS(12*$B$67-$B$178/2)&gt;$B$59/2)),$B$182+$B$181*($B$177*1/4+$B$60/2),NA())</f>
        <v>#N/A</v>
      </c>
      <c r="KJ140" t="e">
        <f>IF(AND($B$21=1,12*$B$67&gt;$B$59,12*$B$67&lt;$B$178-$B$59,OR($B$63=0,ABS(12*$B$67-$B$178/2)&gt;$B$59/2)),$B$183+$B$181*(12*$B$67),NA())</f>
        <v>#N/A</v>
      </c>
    </row>
    <row r="141">
      <c r="A141" t="inlineStr">
        <is>
          <t>d2_u</t>
        </is>
      </c>
      <c r="B141">
        <f>1/$B$138</f>
        <v>0.130563643247901</v>
      </c>
      <c r="K141">
        <f>IF(7&lt;=$B$12,$B$133+$B$132*($B$13*7-$B$27/2),NA())</f>
        <v>165.551</v>
      </c>
      <c r="L141">
        <f>IF(7&lt;=$B$12,$B$134+$B$132*($B$5-$B$27/2),NA())</f>
        <v>81.96</v>
      </c>
      <c r="EA141" t="e">
        <f>IF(AND($B$18=1,17&lt;=$B$26),$B$139+$B$138*(17*($B$5/MAX(1,$B$26))),NA())</f>
        <v>#N/A</v>
      </c>
      <c r="EB141" t="e">
        <f>IF(AND($B$18=1,17&lt;=$B$26),$B$140+$B$138*(IF(17&lt;=$B$26/2,$B$7,($B$9+$B$8*MIN(17*($B$5/MAX(1,$B$26)),$B$5-(17*($B$5/MAX(1,$B$26))))))),NA())</f>
        <v>#N/A</v>
      </c>
      <c r="FC141" t="e">
        <f>IF(9&lt;$B$22,$B$145+$B$144*(IF(($B$19+9*$B$64)&lt;$B$73,$B$76,$B$75)),NA())</f>
        <v>#N/A</v>
      </c>
      <c r="FD141" t="e">
        <f>IF(9&lt;$B$22,$B$146+$B$144*(($B$19+9*$B$64)),NA())</f>
        <v>#N/A</v>
      </c>
      <c r="FE141" t="e">
        <f>IF(AND($B$21=1,(10*$B$66)&lt;$B$62),$B$145+$B$144*(IF((10*$B$66)&lt;$B$73,$B$76,$B$75)),NA())</f>
        <v>#N/A</v>
      </c>
      <c r="FF141" t="e">
        <f>IF(AND($B$21=1,(10*$B$66)&lt;$B$62),$B$146+$B$144*((10*$B$66)),NA())</f>
        <v>#N/A</v>
      </c>
      <c r="GG141" t="e">
        <f>IF(AND($B$20=1,($B$19+9*$B$64)&lt;$B$10-0.3),$B$151+$B$150*(MAX(IF(($B$19+9*$B$64)&lt;=$B$9,0,(($B$19+9*$B$64)-$B$9)/$B$8),MIN(($B$5-IF(($B$19+9*$B$64)&lt;=$B$9,0,(($B$19+9*$B$64)-$B$9)/$B$8)),IF(($B$19+9*$B$64)&lt;$B$104,$B$107,$B$106)))),NA())</f>
        <v>#N/A</v>
      </c>
      <c r="GH141" t="e">
        <f>IF(AND($B$20=1,($B$19+9*$B$64)&lt;$B$10-0.3),$B$152+$B$150*(($B$19+9*$B$64)),NA())</f>
        <v>#N/A</v>
      </c>
      <c r="GI141" t="e">
        <f>IF(AND($B$21=1,(10*$B$66)&lt;IF($B$63=1,$B$10-0.2,$B$62)),$B$151+$B$150*(MAX(IF((10*$B$66)&lt;=$B$9,0,((10*$B$66)-$B$9)/$B$8),MIN(($B$5-IF((10*$B$66)&lt;=$B$9,0,((10*$B$66)-$B$9)/$B$8)),IF((10*$B$66)&lt;$B$104,$B$107,$B$106)))),NA())</f>
        <v>#N/A</v>
      </c>
      <c r="GJ141" t="e">
        <f>IF(AND($B$21=1,(10*$B$66)&lt;IF($B$63=1,$B$10-0.2,$B$62)),$B$152+$B$150*((10*$B$66)),NA())</f>
        <v>#N/A</v>
      </c>
      <c r="HI141" t="e">
        <f>IF(22&lt;=$B$16-1,$B$157+$B$156*($B$6+$B$46),NA())</f>
        <v>#N/A</v>
      </c>
      <c r="HJ141" t="e">
        <f>IF(22&lt;=$B$16-1,$B$158+$B$156*($B$5-22*($B$5/2)/MAX(1,$B$16-1)),NA())</f>
        <v>#N/A</v>
      </c>
      <c r="HM141" t="e">
        <f>IF(AND(23&lt;=$B$12,2&lt;=$B$25),$B$157+$B$156*((23-1)*$B$13+2*$B$13/($B$25+1)),NA())</f>
        <v>#N/A</v>
      </c>
      <c r="HN141" t="e">
        <f>IF(AND(23&lt;=$B$12,2&lt;=$B$25),$B$158+$B$156*($B$5),NA())</f>
        <v>#N/A</v>
      </c>
      <c r="HQ141" t="e">
        <f>IF(AND(2&lt;=$B$23,5&lt;=$B$24),$B$157+$B$156*(IF(2=1,1,IF(2=$B$23,$B$12,5*(2-1)))*$B$13),NA())</f>
        <v>#N/A</v>
      </c>
      <c r="HR141" t="e">
        <f>IF(AND(2&lt;=$B$23,5&lt;=$B$24),$B$158+$B$156*((1*$B$5/2+(5-1)*($B$5/2)/$B$24)),NA())</f>
        <v>#N/A</v>
      </c>
      <c r="HS141">
        <f>IF(AND(6&lt;=$B$12,$B$51&gt;0),$B$157+$B$156*(((6-0.5)*$B$13)-($B$51*$B$13)/2),NA())</f>
        <v>140.933857142857</v>
      </c>
      <c r="HT141">
        <f>IF(AND(6&lt;=$B$12,$B$51&gt;0),$B$158+$B$156*((1*$B$5/2+0.6*$B$159)),NA())</f>
        <v>52.6</v>
      </c>
      <c r="HU141" t="e">
        <f>IF(12&lt;=$B$47,$B$157+$B$156*(((MAX(1,MIN($B$12,ROUND(12*$B$12/($B$47+1),0)))-1)*$B$13+0.25*$B$13)-$B$48/2),NA())</f>
        <v>#N/A</v>
      </c>
      <c r="HV141" t="e">
        <f>IF(12&lt;=$B$47,$B$158+$B$156*(IF(MOD(12,2)=1,$B$5/4,3*$B$5/4)-$B$49/2),NA())</f>
        <v>#N/A</v>
      </c>
      <c r="KI141" t="e">
        <f>IF(AND($B$21=1,12*$B$67&gt;$B$59,12*$B$67&lt;$B$178-$B$59,OR($B$63=0,ABS(12*$B$67-$B$178/2)&gt;$B$59/2)),$B$182+$B$181*($B$177*2/4-$B$60/2),NA())</f>
        <v>#N/A</v>
      </c>
      <c r="KJ141" t="e">
        <f>IF(AND($B$21=1,12*$B$67&gt;$B$59,12*$B$67&lt;$B$178-$B$59,OR($B$63=0,ABS(12*$B$67-$B$178/2)&gt;$B$59/2)),$B$183+$B$181*(12*$B$67),NA())</f>
        <v>#N/A</v>
      </c>
    </row>
    <row r="142">
      <c r="A142" t="inlineStr">
        <is>
          <t>d3_dx</t>
        </is>
      </c>
      <c r="B142">
        <f>MAX(0.001,($B$6)-(0))</f>
        <v>40</v>
      </c>
      <c r="K142" t="e">
        <f>NA()</f>
        <v>#N/A</v>
      </c>
      <c r="L142" t="e">
        <f>NA()</f>
        <v>#N/A</v>
      </c>
      <c r="EA142" t="e">
        <f>NA()</f>
        <v>#N/A</v>
      </c>
      <c r="EB142" t="e">
        <f>NA()</f>
        <v>#N/A</v>
      </c>
      <c r="FC142" t="e">
        <f>IF(AND(9&lt;$B$22,($B$19+9*$B$64)&gt;=$B$73),$B$145+$B$144*($B$75),NA())</f>
        <v>#N/A</v>
      </c>
      <c r="FD142" t="e">
        <f>IF(AND(9&lt;$B$22,($B$19+9*$B$64)&gt;=$B$73),$B$146+$B$144*(($B$19+9*$B$64)),NA())</f>
        <v>#N/A</v>
      </c>
      <c r="FE142" t="e">
        <f>IF(AND(AND($B$21=1,(10*$B$66)&lt;$B$62),(10*$B$66)&gt;=$B$73),$B$145+$B$144*($B$75),NA())</f>
        <v>#N/A</v>
      </c>
      <c r="FF142" t="e">
        <f>IF(AND(AND($B$21=1,(10*$B$66)&lt;$B$62),(10*$B$66)&gt;=$B$73),$B$146+$B$144*((10*$B$66)),NA())</f>
        <v>#N/A</v>
      </c>
      <c r="GG142" t="e">
        <f>IF(AND(AND($B$20=1,($B$19+9*$B$64)&lt;$B$10-0.3),($B$19+9*$B$64)&gt;=$B$104),$B$151+$B$150*(MAX(IF(($B$19+9*$B$64)&lt;=$B$9,0,(($B$19+9*$B$64)-$B$9)/$B$8),MIN(($B$5-IF(($B$19+9*$B$64)&lt;=$B$9,0,(($B$19+9*$B$64)-$B$9)/$B$8)),$B$106))),NA())</f>
        <v>#N/A</v>
      </c>
      <c r="GH142" t="e">
        <f>IF(AND(AND($B$20=1,($B$19+9*$B$64)&lt;$B$10-0.3),($B$19+9*$B$64)&gt;=$B$104),$B$152+$B$150*(($B$19+9*$B$64)),NA())</f>
        <v>#N/A</v>
      </c>
      <c r="GI142" t="e">
        <f>IF(AND(AND($B$21=1,(10*$B$66)&lt;IF($B$63=1,$B$10-0.2,$B$62)),(10*$B$66)&gt;=$B$104),$B$151+$B$150*(MAX(IF((10*$B$66)&lt;=$B$9,0,((10*$B$66)-$B$9)/$B$8),MIN(($B$5-IF((10*$B$66)&lt;=$B$9,0,((10*$B$66)-$B$9)/$B$8)),$B$106))),NA())</f>
        <v>#N/A</v>
      </c>
      <c r="GJ142" t="e">
        <f>IF(AND(AND($B$21=1,(10*$B$66)&lt;IF($B$63=1,$B$10-0.2,$B$62)),(10*$B$66)&gt;=$B$104),$B$152+$B$150*((10*$B$66)),NA())</f>
        <v>#N/A</v>
      </c>
      <c r="HI142" t="e">
        <f>NA()</f>
        <v>#N/A</v>
      </c>
      <c r="HJ142" t="e">
        <f>NA()</f>
        <v>#N/A</v>
      </c>
      <c r="HM142" t="e">
        <f>NA()</f>
        <v>#N/A</v>
      </c>
      <c r="HN142" t="e">
        <f>NA()</f>
        <v>#N/A</v>
      </c>
      <c r="HQ142" t="e">
        <f>NA()</f>
        <v>#N/A</v>
      </c>
      <c r="HR142" t="e">
        <f>NA()</f>
        <v>#N/A</v>
      </c>
      <c r="HS142" t="e">
        <f>NA()</f>
        <v>#N/A</v>
      </c>
      <c r="HT142" t="e">
        <f>NA()</f>
        <v>#N/A</v>
      </c>
      <c r="HU142" t="e">
        <f>NA()</f>
        <v>#N/A</v>
      </c>
      <c r="HV142" t="e">
        <f>NA()</f>
        <v>#N/A</v>
      </c>
      <c r="KI142" t="e">
        <f>NA()</f>
        <v>#N/A</v>
      </c>
      <c r="KJ142" t="e">
        <f>NA()</f>
        <v>#N/A</v>
      </c>
    </row>
    <row r="143">
      <c r="A143" t="inlineStr">
        <is>
          <t>d3_dy</t>
        </is>
      </c>
      <c r="B143">
        <f>MAX(0.001,($B$9+$B$53)-(0))</f>
        <v>6</v>
      </c>
      <c r="K143" t="e">
        <f>IF(AND(7&lt;=$B$12,$B$45=1),$B$133+$B$132*($B$13*7-$B$27/2),NA())</f>
        <v>#N/A</v>
      </c>
      <c r="L143" t="e">
        <f>IF(AND(7&lt;=$B$12,$B$45=1),$B$134+$B$132*($B$5/2-$B$27/2),NA())</f>
        <v>#N/A</v>
      </c>
      <c r="EA143" t="e">
        <f>IF(AND($B$18=1,18&lt;=$B$26),$B$139+$B$138*(17*($B$5/MAX(1,$B$26))),NA())</f>
        <v>#N/A</v>
      </c>
      <c r="EB143" t="e">
        <f>IF(AND($B$18=1,18&lt;=$B$26),$B$140+$B$138*(IF(18&lt;=$B$26/2,($B$9+$B$8*MIN(17*($B$5/MAX(1,$B$26)),$B$5-(17*($B$5/MAX(1,$B$26))))),$B$7)),NA())</f>
        <v>#N/A</v>
      </c>
      <c r="FC143" t="e">
        <f>IF(9&lt;$B$22,$B$145+$B$144*(IF(($B$19+9*$B$64)&lt;$B$73,$B$77,$B$75)),NA())</f>
        <v>#N/A</v>
      </c>
      <c r="FD143" t="e">
        <f>IF(9&lt;$B$22,$B$146+$B$144*(($B$19+9*$B$64)),NA())</f>
        <v>#N/A</v>
      </c>
      <c r="FE143" t="e">
        <f>IF(AND($B$21=1,(10*$B$66)&lt;$B$62),$B$145+$B$144*(IF((10*$B$66)&lt;$B$73,$B$77,$B$75)),NA())</f>
        <v>#N/A</v>
      </c>
      <c r="FF143" t="e">
        <f>IF(AND($B$21=1,(10*$B$66)&lt;$B$62),$B$146+$B$144*((10*$B$66)),NA())</f>
        <v>#N/A</v>
      </c>
      <c r="GG143" t="e">
        <f>IF(AND($B$20=1,($B$19+9*$B$64)&lt;$B$10-0.3),$B$151+$B$150*(MAX(IF(($B$19+9*$B$64)&lt;=$B$9,0,(($B$19+9*$B$64)-$B$9)/$B$8),MIN(($B$5-IF(($B$19+9*$B$64)&lt;=$B$9,0,(($B$19+9*$B$64)-$B$9)/$B$8)),IF(($B$19+9*$B$64)&lt;$B$104,$B$108,$B$106)))),NA())</f>
        <v>#N/A</v>
      </c>
      <c r="GH143" t="e">
        <f>IF(AND($B$20=1,($B$19+9*$B$64)&lt;$B$10-0.3),$B$152+$B$150*(($B$19+9*$B$64)),NA())</f>
        <v>#N/A</v>
      </c>
      <c r="GI143" t="e">
        <f>IF(AND($B$21=1,(10*$B$66)&lt;IF($B$63=1,$B$10-0.2,$B$62)),$B$151+$B$150*(MAX(IF((10*$B$66)&lt;=$B$9,0,((10*$B$66)-$B$9)/$B$8),MIN(($B$5-IF((10*$B$66)&lt;=$B$9,0,((10*$B$66)-$B$9)/$B$8)),IF((10*$B$66)&lt;$B$104,$B$108,$B$106)))),NA())</f>
        <v>#N/A</v>
      </c>
      <c r="GJ143" t="e">
        <f>IF(AND($B$21=1,(10*$B$66)&lt;IF($B$63=1,$B$10-0.2,$B$62)),$B$152+$B$150*((10*$B$66)),NA())</f>
        <v>#N/A</v>
      </c>
      <c r="HI143" t="e">
        <f>IF(23&lt;=$B$16-1,$B$157+$B$156*(-$B$46),NA())</f>
        <v>#N/A</v>
      </c>
      <c r="HJ143" t="e">
        <f>IF(23&lt;=$B$16-1,$B$158+$B$156*(23*($B$5/2)/MAX(1,$B$16-1)),NA())</f>
        <v>#N/A</v>
      </c>
      <c r="HM143" t="e">
        <f>IF(AND(24&lt;=$B$12,1&lt;=$B$25),$B$157+$B$156*((24-1)*$B$13+1*$B$13/($B$25+1)),NA())</f>
        <v>#N/A</v>
      </c>
      <c r="HN143" t="e">
        <f>IF(AND(24&lt;=$B$12,1&lt;=$B$25),$B$158+$B$156*(0),NA())</f>
        <v>#N/A</v>
      </c>
      <c r="HQ143" t="e">
        <f>IF(AND(2&lt;=$B$23,6&lt;=$B$24),$B$157+$B$156*((IF(2=1,1,IF(2=$B$23,$B$12,5*(2-1)))-1)*$B$13),NA())</f>
        <v>#N/A</v>
      </c>
      <c r="HR143" t="e">
        <f>IF(AND(2&lt;=$B$23,6&lt;=$B$24),$B$158+$B$156*((1*$B$5/2+(6-1)*($B$5/2)/$B$24)),NA())</f>
        <v>#N/A</v>
      </c>
      <c r="HS143">
        <f>IF(AND(6&lt;=$B$12,$B$51&gt;0),$B$157+$B$156*(((6-0.5)*$B$13)-($B$51*$B$13)/2),NA())</f>
        <v>140.933857142857</v>
      </c>
      <c r="HT143">
        <f>IF(AND(6&lt;=$B$12,$B$51&gt;0),$B$158+$B$156*((1*$B$5/2+0.6*$B$159)),NA())</f>
        <v>52.6</v>
      </c>
      <c r="HU143" t="e">
        <f>IF(12&lt;=$B$47,$B$157+$B$156*(((MAX(1,MIN($B$12,ROUND(12*$B$12/($B$47+1),0)))-1)*$B$13+0.25*$B$13)-$B$48/2-0.2),NA())</f>
        <v>#N/A</v>
      </c>
      <c r="HV143" t="e">
        <f>IF(12&lt;=$B$47,$B$158+$B$156*(IF(MOD(12,2)=1,$B$5/4,3*$B$5/4)-$B$49/2-0.2),NA())</f>
        <v>#N/A</v>
      </c>
      <c r="KI143" t="e">
        <f>IF(AND($B$21=1,12*$B$67&gt;$B$59,12*$B$67&lt;$B$178-$B$59,OR($B$63=0,ABS(12*$B$67-$B$178/2)&gt;$B$59/2)),$B$182+$B$181*($B$177*2/4+$B$60/2),NA())</f>
        <v>#N/A</v>
      </c>
      <c r="KJ143" t="e">
        <f>IF(AND($B$21=1,12*$B$67&gt;$B$59,12*$B$67&lt;$B$178-$B$59,OR($B$63=0,ABS(12*$B$67-$B$178/2)&gt;$B$59/2)),$B$183+$B$181*(12*$B$67),NA())</f>
        <v>#N/A</v>
      </c>
    </row>
    <row r="144">
      <c r="A144" t="inlineStr">
        <is>
          <t>d3_s</t>
        </is>
      </c>
      <c r="B144">
        <f>MIN((193.182-20-10)/$B$142,(100-12-10)/$B$143)</f>
        <v>4.07955</v>
      </c>
      <c r="K144" t="e">
        <f>IF(AND(7&lt;=$B$12,$B$45=1),$B$133+$B$132*($B$13*7+$B$27/2),NA())</f>
        <v>#N/A</v>
      </c>
      <c r="L144" t="e">
        <f>IF(AND(7&lt;=$B$12,$B$45=1),$B$134+$B$132*($B$5/2-$B$27/2),NA())</f>
        <v>#N/A</v>
      </c>
      <c r="EA144" t="e">
        <f>IF(AND($B$18=1,18&lt;=$B$26),$B$139+$B$138*(18*($B$5/MAX(1,$B$26))),NA())</f>
        <v>#N/A</v>
      </c>
      <c r="EB144" t="e">
        <f>IF(AND($B$18=1,18&lt;=$B$26),$B$140+$B$138*(IF(18&lt;=$B$26/2,$B$7,($B$9+$B$8*MIN(18*($B$5/MAX(1,$B$26)),$B$5-(18*($B$5/MAX(1,$B$26))))))),NA())</f>
        <v>#N/A</v>
      </c>
      <c r="FC144" t="e">
        <f>IF(9&lt;$B$22,$B$145+$B$144*(IF(($B$19+9*$B$64)&lt;$B$80,$B$83,$B$82)),NA())</f>
        <v>#N/A</v>
      </c>
      <c r="FD144" t="e">
        <f>IF(9&lt;$B$22,$B$146+$B$144*(($B$19+9*$B$64)),NA())</f>
        <v>#N/A</v>
      </c>
      <c r="FE144" t="e">
        <f>IF(AND($B$21=1,(10*$B$66)&lt;$B$62),$B$145+$B$144*(IF((10*$B$66)&lt;$B$80,$B$83,$B$82)),NA())</f>
        <v>#N/A</v>
      </c>
      <c r="FF144" t="e">
        <f>IF(AND($B$21=1,(10*$B$66)&lt;$B$62),$B$146+$B$144*((10*$B$66)),NA())</f>
        <v>#N/A</v>
      </c>
      <c r="GG144" t="e">
        <f>IF(AND($B$20=1,($B$19+9*$B$64)&lt;$B$10-0.3),$B$151+$B$150*(MAX(IF(($B$19+9*$B$64)&lt;=$B$9,0,(($B$19+9*$B$64)-$B$9)/$B$8),MIN(($B$5-IF(($B$19+9*$B$64)&lt;=$B$9,0,(($B$19+9*$B$64)-$B$9)/$B$8)),IF(($B$19+9*$B$64)&lt;$B$111,$B$114,$B$113)))),NA())</f>
        <v>#N/A</v>
      </c>
      <c r="GH144" t="e">
        <f>IF(AND($B$20=1,($B$19+9*$B$64)&lt;$B$10-0.3),$B$152+$B$150*(($B$19+9*$B$64)),NA())</f>
        <v>#N/A</v>
      </c>
      <c r="GI144" t="e">
        <f>IF(AND($B$21=1,(10*$B$66)&lt;IF($B$63=1,$B$10-0.2,$B$62)),$B$151+$B$150*(MAX(IF((10*$B$66)&lt;=$B$9,0,((10*$B$66)-$B$9)/$B$8),MIN(($B$5-IF((10*$B$66)&lt;=$B$9,0,((10*$B$66)-$B$9)/$B$8)),IF((10*$B$66)&lt;$B$111,$B$114,$B$113)))),NA())</f>
        <v>#N/A</v>
      </c>
      <c r="GJ144" t="e">
        <f>IF(AND($B$21=1,(10*$B$66)&lt;IF($B$63=1,$B$10-0.2,$B$62)),$B$152+$B$150*((10*$B$66)),NA())</f>
        <v>#N/A</v>
      </c>
      <c r="HI144" t="e">
        <f>IF(23&lt;=$B$16-1,$B$157+$B$156*($B$6+$B$46),NA())</f>
        <v>#N/A</v>
      </c>
      <c r="HJ144" t="e">
        <f>IF(23&lt;=$B$16-1,$B$158+$B$156*(23*($B$5/2)/MAX(1,$B$16-1)),NA())</f>
        <v>#N/A</v>
      </c>
      <c r="HM144" t="e">
        <f>IF(AND(24&lt;=$B$12,1&lt;=$B$25),$B$157+$B$156*((24-1)*$B$13+1*$B$13/($B$25+1)),NA())</f>
        <v>#N/A</v>
      </c>
      <c r="HN144" t="e">
        <f>IF(AND(24&lt;=$B$12,1&lt;=$B$25),$B$158+$B$156*($B$5),NA())</f>
        <v>#N/A</v>
      </c>
      <c r="HQ144" t="e">
        <f>IF(AND(2&lt;=$B$23,6&lt;=$B$24),$B$157+$B$156*(IF(2=1,1,IF(2=$B$23,$B$12,5*(2-1)))*$B$13),NA())</f>
        <v>#N/A</v>
      </c>
      <c r="HR144" t="e">
        <f>IF(AND(2&lt;=$B$23,6&lt;=$B$24),$B$158+$B$156*((1*$B$5/2+6*($B$5/2)/$B$24)),NA())</f>
        <v>#N/A</v>
      </c>
      <c r="HS144">
        <f>IF(AND(6&lt;=$B$12,$B$51&gt;0),$B$157+$B$156*(((6-0.5)*$B$13)+($B$51*$B$13)/2),NA())</f>
        <v>143.105285714286</v>
      </c>
      <c r="HT144">
        <f>IF(AND(6&lt;=$B$12,$B$51&gt;0),$B$158+$B$156*((1*$B$5/2+0.6*$B$159)+(((1*$B$5/2+$B$5/2-0.6*$B$159))-((1*$B$5/2+0.6*$B$159)))/4),NA())</f>
        <v>61.8</v>
      </c>
      <c r="HU144" t="e">
        <f>IF(12&lt;=$B$47,$B$157+$B$156*(((MAX(1,MIN($B$12,ROUND(12*$B$12/($B$47+1),0)))-1)*$B$13+0.25*$B$13)+$B$48/2+0.2),NA())</f>
        <v>#N/A</v>
      </c>
      <c r="HV144" t="e">
        <f>IF(12&lt;=$B$47,$B$158+$B$156*(IF(MOD(12,2)=1,$B$5/4,3*$B$5/4)-$B$49/2-0.2),NA())</f>
        <v>#N/A</v>
      </c>
      <c r="KI144" t="e">
        <f>IF(AND($B$21=1,12*$B$67&gt;$B$59,12*$B$67&lt;$B$178-$B$59,OR($B$63=0,ABS(12*$B$67-$B$178/2)&gt;$B$59/2)),$B$182+$B$181*($B$177*3/4-$B$60/2),NA())</f>
        <v>#N/A</v>
      </c>
      <c r="KJ144" t="e">
        <f>IF(AND($B$21=1,12*$B$67&gt;$B$59,12*$B$67&lt;$B$178-$B$59,OR($B$63=0,ABS(12*$B$67-$B$178/2)&gt;$B$59/2)),$B$183+$B$181*(12*$B$67),NA())</f>
        <v>#N/A</v>
      </c>
    </row>
    <row r="145">
      <c r="A145" t="inlineStr">
        <is>
          <t>d3_ox</t>
        </is>
      </c>
      <c r="B145">
        <f>20+((193.182-20-10)-$B$144*$B$142)/2-$B$144*(0)</f>
        <v>20</v>
      </c>
      <c r="K145" t="e">
        <f>IF(AND(7&lt;=$B$12,$B$45=1),$B$133+$B$132*($B$13*7+$B$27/2),NA())</f>
        <v>#N/A</v>
      </c>
      <c r="L145" t="e">
        <f>IF(AND(7&lt;=$B$12,$B$45=1),$B$134+$B$132*($B$5/2+$B$27/2),NA())</f>
        <v>#N/A</v>
      </c>
      <c r="EA145" t="e">
        <f>NA()</f>
        <v>#N/A</v>
      </c>
      <c r="EB145" t="e">
        <f>NA()</f>
        <v>#N/A</v>
      </c>
      <c r="FC145" t="e">
        <f>IF(AND(9&lt;$B$22,($B$19+9*$B$64)&gt;=$B$80),$B$145+$B$144*($B$82),NA())</f>
        <v>#N/A</v>
      </c>
      <c r="FD145" t="e">
        <f>IF(AND(9&lt;$B$22,($B$19+9*$B$64)&gt;=$B$80),$B$146+$B$144*(($B$19+9*$B$64)),NA())</f>
        <v>#N/A</v>
      </c>
      <c r="FE145" t="e">
        <f>IF(AND(AND($B$21=1,(10*$B$66)&lt;$B$62),(10*$B$66)&gt;=$B$80),$B$145+$B$144*($B$82),NA())</f>
        <v>#N/A</v>
      </c>
      <c r="FF145" t="e">
        <f>IF(AND(AND($B$21=1,(10*$B$66)&lt;$B$62),(10*$B$66)&gt;=$B$80),$B$146+$B$144*((10*$B$66)),NA())</f>
        <v>#N/A</v>
      </c>
      <c r="GG145" t="e">
        <f>IF(AND(AND($B$20=1,($B$19+9*$B$64)&lt;$B$10-0.3),($B$19+9*$B$64)&gt;=$B$111),$B$151+$B$150*(MAX(IF(($B$19+9*$B$64)&lt;=$B$9,0,(($B$19+9*$B$64)-$B$9)/$B$8),MIN(($B$5-IF(($B$19+9*$B$64)&lt;=$B$9,0,(($B$19+9*$B$64)-$B$9)/$B$8)),$B$113))),NA())</f>
        <v>#N/A</v>
      </c>
      <c r="GH145" t="e">
        <f>IF(AND(AND($B$20=1,($B$19+9*$B$64)&lt;$B$10-0.3),($B$19+9*$B$64)&gt;=$B$111),$B$152+$B$150*(($B$19+9*$B$64)),NA())</f>
        <v>#N/A</v>
      </c>
      <c r="GI145" t="e">
        <f>IF(AND(AND($B$21=1,(10*$B$66)&lt;IF($B$63=1,$B$10-0.2,$B$62)),(10*$B$66)&gt;=$B$111),$B$151+$B$150*(MAX(IF((10*$B$66)&lt;=$B$9,0,((10*$B$66)-$B$9)/$B$8),MIN(($B$5-IF((10*$B$66)&lt;=$B$9,0,((10*$B$66)-$B$9)/$B$8)),$B$113))),NA())</f>
        <v>#N/A</v>
      </c>
      <c r="GJ145" t="e">
        <f>IF(AND(AND($B$21=1,(10*$B$66)&lt;IF($B$63=1,$B$10-0.2,$B$62)),(10*$B$66)&gt;=$B$111),$B$152+$B$150*((10*$B$66)),NA())</f>
        <v>#N/A</v>
      </c>
      <c r="HI145" t="e">
        <f>NA()</f>
        <v>#N/A</v>
      </c>
      <c r="HJ145" t="e">
        <f>NA()</f>
        <v>#N/A</v>
      </c>
      <c r="HM145" t="e">
        <f>NA()</f>
        <v>#N/A</v>
      </c>
      <c r="HN145" t="e">
        <f>NA()</f>
        <v>#N/A</v>
      </c>
      <c r="HQ145" t="e">
        <f>NA()</f>
        <v>#N/A</v>
      </c>
      <c r="HR145" t="e">
        <f>NA()</f>
        <v>#N/A</v>
      </c>
      <c r="HS145">
        <f>IF(AND(6&lt;=$B$12,$B$51&gt;0),$B$157+$B$156*(((6-0.5)*$B$13)-($B$51*$B$13)/2),NA())</f>
        <v>140.933857142857</v>
      </c>
      <c r="HT145">
        <f>IF(AND(6&lt;=$B$12,$B$51&gt;0),$B$158+$B$156*((1*$B$5/2+0.6*$B$159)+(((1*$B$5/2+$B$5/2-0.6*$B$159))-((1*$B$5/2+0.6*$B$159)))/2),NA())</f>
        <v>71</v>
      </c>
      <c r="HU145" t="e">
        <f>IF(12&lt;=$B$47,$B$157+$B$156*(((MAX(1,MIN($B$12,ROUND(12*$B$12/($B$47+1),0)))-1)*$B$13+0.25*$B$13)+$B$48/2+0.2),NA())</f>
        <v>#N/A</v>
      </c>
      <c r="HV145" t="e">
        <f>IF(12&lt;=$B$47,$B$158+$B$156*(IF(MOD(12,2)=1,$B$5/4,3*$B$5/4)+$B$49/2+0.2),NA())</f>
        <v>#N/A</v>
      </c>
      <c r="KI145" t="e">
        <f>NA()</f>
        <v>#N/A</v>
      </c>
      <c r="KJ145" t="e">
        <f>NA()</f>
        <v>#N/A</v>
      </c>
    </row>
    <row r="146">
      <c r="A146" t="inlineStr">
        <is>
          <t>d3_oy</t>
        </is>
      </c>
      <c r="B146">
        <f>12+((100-12-10)-$B$144*$B$143)/2-$B$144*(0)</f>
        <v>38.76135</v>
      </c>
      <c r="K146" t="e">
        <f>IF(AND(7&lt;=$B$12,$B$45=1),$B$133+$B$132*($B$13*7-$B$27/2),NA())</f>
        <v>#N/A</v>
      </c>
      <c r="L146" t="e">
        <f>IF(AND(7&lt;=$B$12,$B$45=1),$B$134+$B$132*($B$5/2+$B$27/2),NA())</f>
        <v>#N/A</v>
      </c>
      <c r="EA146" t="e">
        <f>IF(AND($B$18=1,19&lt;=$B$26),$B$139+$B$138*(18*($B$5/MAX(1,$B$26))),NA())</f>
        <v>#N/A</v>
      </c>
      <c r="EB146" t="e">
        <f>IF(AND($B$18=1,19&lt;=$B$26),$B$140+$B$138*(IF(19&lt;=$B$26/2,($B$9+$B$8*MIN(18*($B$5/MAX(1,$B$26)),$B$5-(18*($B$5/MAX(1,$B$26))))),$B$7)),NA())</f>
        <v>#N/A</v>
      </c>
      <c r="FC146" t="e">
        <f>IF(9&lt;$B$22,$B$145+$B$144*(IF(($B$19+9*$B$64)&lt;$B$80,$B$84,$B$82)),NA())</f>
        <v>#N/A</v>
      </c>
      <c r="FD146" t="e">
        <f>IF(9&lt;$B$22,$B$146+$B$144*(($B$19+9*$B$64)),NA())</f>
        <v>#N/A</v>
      </c>
      <c r="FE146" t="e">
        <f>IF(AND($B$21=1,(10*$B$66)&lt;$B$62),$B$145+$B$144*(IF((10*$B$66)&lt;$B$80,$B$84,$B$82)),NA())</f>
        <v>#N/A</v>
      </c>
      <c r="FF146" t="e">
        <f>IF(AND($B$21=1,(10*$B$66)&lt;$B$62),$B$146+$B$144*((10*$B$66)),NA())</f>
        <v>#N/A</v>
      </c>
      <c r="GG146" t="e">
        <f>IF(AND($B$20=1,($B$19+9*$B$64)&lt;$B$10-0.3),$B$151+$B$150*(MAX(IF(($B$19+9*$B$64)&lt;=$B$9,0,(($B$19+9*$B$64)-$B$9)/$B$8),MIN(($B$5-IF(($B$19+9*$B$64)&lt;=$B$9,0,(($B$19+9*$B$64)-$B$9)/$B$8)),IF(($B$19+9*$B$64)&lt;$B$111,$B$115,$B$113)))),NA())</f>
        <v>#N/A</v>
      </c>
      <c r="GH146" t="e">
        <f>IF(AND($B$20=1,($B$19+9*$B$64)&lt;$B$10-0.3),$B$152+$B$150*(($B$19+9*$B$64)),NA())</f>
        <v>#N/A</v>
      </c>
      <c r="GI146" t="e">
        <f>IF(AND($B$21=1,(10*$B$66)&lt;IF($B$63=1,$B$10-0.2,$B$62)),$B$151+$B$150*(MAX(IF((10*$B$66)&lt;=$B$9,0,((10*$B$66)-$B$9)/$B$8),MIN(($B$5-IF((10*$B$66)&lt;=$B$9,0,((10*$B$66)-$B$9)/$B$8)),IF((10*$B$66)&lt;$B$111,$B$115,$B$113)))),NA())</f>
        <v>#N/A</v>
      </c>
      <c r="GJ146" t="e">
        <f>IF(AND($B$21=1,(10*$B$66)&lt;IF($B$63=1,$B$10-0.2,$B$62)),$B$152+$B$150*((10*$B$66)),NA())</f>
        <v>#N/A</v>
      </c>
      <c r="HI146" t="e">
        <f>IF(23&lt;=$B$16-1,$B$157+$B$156*(-$B$46),NA())</f>
        <v>#N/A</v>
      </c>
      <c r="HJ146" t="e">
        <f>IF(23&lt;=$B$16-1,$B$158+$B$156*($B$5-23*($B$5/2)/MAX(1,$B$16-1)),NA())</f>
        <v>#N/A</v>
      </c>
      <c r="HM146" t="e">
        <f>IF(AND(24&lt;=$B$12,2&lt;=$B$25),$B$157+$B$156*((24-1)*$B$13+2*$B$13/($B$25+1)),NA())</f>
        <v>#N/A</v>
      </c>
      <c r="HN146" t="e">
        <f>IF(AND(24&lt;=$B$12,2&lt;=$B$25),$B$158+$B$156*(0),NA())</f>
        <v>#N/A</v>
      </c>
      <c r="HQ146" t="e">
        <f>IF(AND(2&lt;=$B$23,6&lt;=$B$24),$B$157+$B$156*((IF(2=1,1,IF(2=$B$23,$B$12,5*(2-1)))-1)*$B$13),NA())</f>
        <v>#N/A</v>
      </c>
      <c r="HR146" t="e">
        <f>IF(AND(2&lt;=$B$23,6&lt;=$B$24),$B$158+$B$156*((1*$B$5/2+6*($B$5/2)/$B$24)),NA())</f>
        <v>#N/A</v>
      </c>
      <c r="HS146">
        <f>IF(AND(6&lt;=$B$12,$B$51&gt;0),$B$157+$B$156*(((6-0.5)*$B$13)+($B$51*$B$13)/2),NA())</f>
        <v>143.105285714286</v>
      </c>
      <c r="HT146">
        <f>IF(AND(6&lt;=$B$12,$B$51&gt;0),$B$158+$B$156*((1*$B$5/2+0.6*$B$159)+3*(((1*$B$5/2+$B$5/2-0.6*$B$159))-((1*$B$5/2+0.6*$B$159)))/4),NA())</f>
        <v>80.2</v>
      </c>
      <c r="HU146" t="e">
        <f>IF(12&lt;=$B$47,$B$157+$B$156*(((MAX(1,MIN($B$12,ROUND(12*$B$12/($B$47+1),0)))-1)*$B$13+0.25*$B$13)-$B$48/2-0.2),NA())</f>
        <v>#N/A</v>
      </c>
      <c r="HV146" t="e">
        <f>IF(12&lt;=$B$47,$B$158+$B$156*(IF(MOD(12,2)=1,$B$5/4,3*$B$5/4)+$B$49/2+0.2),NA())</f>
        <v>#N/A</v>
      </c>
      <c r="KI146" t="e">
        <f>IF(AND($B$21=1,12*$B$67&gt;$B$59,12*$B$67&lt;$B$178-$B$59,OR($B$63=0,ABS(12*$B$67-$B$178/2)&gt;$B$59/2)),$B$182+$B$181*($B$177*3/4+$B$60/2),NA())</f>
        <v>#N/A</v>
      </c>
      <c r="KJ146" t="e">
        <f>IF(AND($B$21=1,12*$B$67&gt;$B$59,12*$B$67&lt;$B$178-$B$59,OR($B$63=0,ABS(12*$B$67-$B$178/2)&gt;$B$59/2)),$B$183+$B$181*(12*$B$67),NA())</f>
        <v>#N/A</v>
      </c>
    </row>
    <row r="147">
      <c r="A147" t="inlineStr">
        <is>
          <t>d3_u</t>
        </is>
      </c>
      <c r="B147">
        <f>1/$B$144</f>
        <v>0.245125075069554</v>
      </c>
      <c r="K147" t="e">
        <f>IF(AND(7&lt;=$B$12,$B$45=1),$B$133+$B$132*($B$13*7-$B$27/2),NA())</f>
        <v>#N/A</v>
      </c>
      <c r="L147" t="e">
        <f>IF(AND(7&lt;=$B$12,$B$45=1),$B$134+$B$132*($B$5/2-$B$27/2),NA())</f>
        <v>#N/A</v>
      </c>
      <c r="EA147" t="e">
        <f>IF(AND($B$18=1,19&lt;=$B$26),$B$139+$B$138*(19*($B$5/MAX(1,$B$26))),NA())</f>
        <v>#N/A</v>
      </c>
      <c r="EB147" t="e">
        <f>IF(AND($B$18=1,19&lt;=$B$26),$B$140+$B$138*(IF(19&lt;=$B$26/2,$B$7,($B$9+$B$8*MIN(19*($B$5/MAX(1,$B$26)),$B$5-(19*($B$5/MAX(1,$B$26))))))),NA())</f>
        <v>#N/A</v>
      </c>
      <c r="FC147" t="e">
        <f>IF(9&lt;$B$22,$B$145+$B$144*(IF(($B$19+9*$B$64)&lt;$B$87,$B$90,$B$89)),NA())</f>
        <v>#N/A</v>
      </c>
      <c r="FD147" t="e">
        <f>IF(9&lt;$B$22,$B$146+$B$144*(($B$19+9*$B$64)),NA())</f>
        <v>#N/A</v>
      </c>
      <c r="FE147" t="e">
        <f>IF(AND($B$21=1,(10*$B$66)&lt;$B$62),$B$145+$B$144*(IF((10*$B$66)&lt;$B$87,$B$90,$B$89)),NA())</f>
        <v>#N/A</v>
      </c>
      <c r="FF147" t="e">
        <f>IF(AND($B$21=1,(10*$B$66)&lt;$B$62),$B$146+$B$144*((10*$B$66)),NA())</f>
        <v>#N/A</v>
      </c>
      <c r="GG147" t="e">
        <f>IF(AND($B$20=1,($B$19+9*$B$64)&lt;$B$10-0.3),$B$151+$B$150*(MAX(IF(($B$19+9*$B$64)&lt;=$B$9,0,(($B$19+9*$B$64)-$B$9)/$B$8),MIN(($B$5-IF(($B$19+9*$B$64)&lt;=$B$9,0,(($B$19+9*$B$64)-$B$9)/$B$8)),IF(($B$19+9*$B$64)&lt;$B$118,$B$121,$B$120)))),NA())</f>
        <v>#N/A</v>
      </c>
      <c r="GH147" t="e">
        <f>IF(AND($B$20=1,($B$19+9*$B$64)&lt;$B$10-0.3),$B$152+$B$150*(($B$19+9*$B$64)),NA())</f>
        <v>#N/A</v>
      </c>
      <c r="GI147" t="e">
        <f>IF(AND($B$21=1,(10*$B$66)&lt;IF($B$63=1,$B$10-0.2,$B$62)),$B$151+$B$150*(MAX(IF((10*$B$66)&lt;=$B$9,0,((10*$B$66)-$B$9)/$B$8),MIN(($B$5-IF((10*$B$66)&lt;=$B$9,0,((10*$B$66)-$B$9)/$B$8)),IF((10*$B$66)&lt;$B$118,$B$121,$B$120)))),NA())</f>
        <v>#N/A</v>
      </c>
      <c r="GJ147" t="e">
        <f>IF(AND($B$21=1,(10*$B$66)&lt;IF($B$63=1,$B$10-0.2,$B$62)),$B$152+$B$150*((10*$B$66)),NA())</f>
        <v>#N/A</v>
      </c>
      <c r="HI147" t="e">
        <f>IF(23&lt;=$B$16-1,$B$157+$B$156*($B$6+$B$46),NA())</f>
        <v>#N/A</v>
      </c>
      <c r="HJ147" t="e">
        <f>IF(23&lt;=$B$16-1,$B$158+$B$156*($B$5-23*($B$5/2)/MAX(1,$B$16-1)),NA())</f>
        <v>#N/A</v>
      </c>
      <c r="HM147" t="e">
        <f>IF(AND(24&lt;=$B$12,2&lt;=$B$25),$B$157+$B$156*((24-1)*$B$13+2*$B$13/($B$25+1)),NA())</f>
        <v>#N/A</v>
      </c>
      <c r="HN147" t="e">
        <f>IF(AND(24&lt;=$B$12,2&lt;=$B$25),$B$158+$B$156*($B$5),NA())</f>
        <v>#N/A</v>
      </c>
      <c r="HQ147" t="e">
        <f>IF(AND(2&lt;=$B$23,6&lt;=$B$24),$B$157+$B$156*(IF(2=1,1,IF(2=$B$23,$B$12,5*(2-1)))*$B$13),NA())</f>
        <v>#N/A</v>
      </c>
      <c r="HR147" t="e">
        <f>IF(AND(2&lt;=$B$23,6&lt;=$B$24),$B$158+$B$156*((1*$B$5/2+(6-1)*($B$5/2)/$B$24)),NA())</f>
        <v>#N/A</v>
      </c>
      <c r="HS147">
        <f>IF(AND(6&lt;=$B$12,$B$51&gt;0),$B$157+$B$156*(((6-0.5)*$B$13)-($B$51*$B$13)/2),NA())</f>
        <v>140.933857142857</v>
      </c>
      <c r="HT147">
        <f>IF(AND(6&lt;=$B$12,$B$51&gt;0),$B$158+$B$156*((1*$B$5/2+$B$5/2-0.6*$B$159)),NA())</f>
        <v>89.4</v>
      </c>
      <c r="HU147" t="e">
        <f>IF(12&lt;=$B$47,$B$157+$B$156*(((MAX(1,MIN($B$12,ROUND(12*$B$12/($B$47+1),0)))-1)*$B$13+0.25*$B$13)-$B$48/2-0.2),NA())</f>
        <v>#N/A</v>
      </c>
      <c r="HV147" t="e">
        <f>IF(12&lt;=$B$47,$B$158+$B$156*(IF(MOD(12,2)=1,$B$5/4,3*$B$5/4)-$B$49/2-0.2),NA())</f>
        <v>#N/A</v>
      </c>
      <c r="KI147" t="e">
        <f>IF(AND($B$21=1,12*$B$67&gt;$B$59,12*$B$67&lt;$B$178-$B$59,OR($B$63=0,ABS(12*$B$67-$B$178/2)&gt;$B$59/2)),$B$182+$B$181*($B$177),NA())</f>
        <v>#N/A</v>
      </c>
      <c r="KJ147" t="e">
        <f>IF(AND($B$21=1,12*$B$67&gt;$B$59,12*$B$67&lt;$B$178-$B$59,OR($B$63=0,ABS(12*$B$67-$B$178/2)&gt;$B$59/2)),$B$183+$B$181*(12*$B$67),NA())</f>
        <v>#N/A</v>
      </c>
    </row>
    <row r="148">
      <c r="A148" t="inlineStr">
        <is>
          <t>d4_dx</t>
        </is>
      </c>
      <c r="B148">
        <f>MAX(0.001,($B$5)-(0))</f>
        <v>20</v>
      </c>
      <c r="K148" t="e">
        <f>NA()</f>
        <v>#N/A</v>
      </c>
      <c r="L148" t="e">
        <f>NA()</f>
        <v>#N/A</v>
      </c>
      <c r="EA148" t="e">
        <f>NA()</f>
        <v>#N/A</v>
      </c>
      <c r="EB148" t="e">
        <f>NA()</f>
        <v>#N/A</v>
      </c>
      <c r="FC148" t="e">
        <f>IF(AND(9&lt;$B$22,($B$19+9*$B$64)&gt;=$B$87),$B$145+$B$144*($B$89),NA())</f>
        <v>#N/A</v>
      </c>
      <c r="FD148" t="e">
        <f>IF(AND(9&lt;$B$22,($B$19+9*$B$64)&gt;=$B$87),$B$146+$B$144*(($B$19+9*$B$64)),NA())</f>
        <v>#N/A</v>
      </c>
      <c r="FE148" t="e">
        <f>IF(AND(AND($B$21=1,(10*$B$66)&lt;$B$62),(10*$B$66)&gt;=$B$87),$B$145+$B$144*($B$89),NA())</f>
        <v>#N/A</v>
      </c>
      <c r="FF148" t="e">
        <f>IF(AND(AND($B$21=1,(10*$B$66)&lt;$B$62),(10*$B$66)&gt;=$B$87),$B$146+$B$144*((10*$B$66)),NA())</f>
        <v>#N/A</v>
      </c>
      <c r="GG148" t="e">
        <f>IF(AND(AND($B$20=1,($B$19+9*$B$64)&lt;$B$10-0.3),($B$19+9*$B$64)&gt;=$B$118),$B$151+$B$150*(MAX(IF(($B$19+9*$B$64)&lt;=$B$9,0,(($B$19+9*$B$64)-$B$9)/$B$8),MIN(($B$5-IF(($B$19+9*$B$64)&lt;=$B$9,0,(($B$19+9*$B$64)-$B$9)/$B$8)),$B$120))),NA())</f>
        <v>#N/A</v>
      </c>
      <c r="GH148" t="e">
        <f>IF(AND(AND($B$20=1,($B$19+9*$B$64)&lt;$B$10-0.3),($B$19+9*$B$64)&gt;=$B$118),$B$152+$B$150*(($B$19+9*$B$64)),NA())</f>
        <v>#N/A</v>
      </c>
      <c r="GI148" t="e">
        <f>IF(AND(AND($B$21=1,(10*$B$66)&lt;IF($B$63=1,$B$10-0.2,$B$62)),(10*$B$66)&gt;=$B$118),$B$151+$B$150*(MAX(IF((10*$B$66)&lt;=$B$9,0,((10*$B$66)-$B$9)/$B$8),MIN(($B$5-IF((10*$B$66)&lt;=$B$9,0,((10*$B$66)-$B$9)/$B$8)),$B$120))),NA())</f>
        <v>#N/A</v>
      </c>
      <c r="GJ148" t="e">
        <f>IF(AND(AND($B$21=1,(10*$B$66)&lt;IF($B$63=1,$B$10-0.2,$B$62)),(10*$B$66)&gt;=$B$118),$B$152+$B$150*((10*$B$66)),NA())</f>
        <v>#N/A</v>
      </c>
      <c r="HI148" t="e">
        <f>NA()</f>
        <v>#N/A</v>
      </c>
      <c r="HJ148" t="e">
        <f>NA()</f>
        <v>#N/A</v>
      </c>
      <c r="HM148" t="e">
        <f>NA()</f>
        <v>#N/A</v>
      </c>
      <c r="HN148" t="e">
        <f>NA()</f>
        <v>#N/A</v>
      </c>
      <c r="HQ148" t="e">
        <f>NA()</f>
        <v>#N/A</v>
      </c>
      <c r="HR148" t="e">
        <f>NA()</f>
        <v>#N/A</v>
      </c>
      <c r="HS148" t="e">
        <f>NA()</f>
        <v>#N/A</v>
      </c>
      <c r="HT148" t="e">
        <f>NA()</f>
        <v>#N/A</v>
      </c>
      <c r="HU148" t="e">
        <f>NA()</f>
        <v>#N/A</v>
      </c>
      <c r="HV148" t="e">
        <f>NA()</f>
        <v>#N/A</v>
      </c>
      <c r="KI148" t="e">
        <f>NA()</f>
        <v>#N/A</v>
      </c>
      <c r="KJ148" t="e">
        <f>NA()</f>
        <v>#N/A</v>
      </c>
    </row>
    <row r="149">
      <c r="A149" t="inlineStr">
        <is>
          <t>d4_dy</t>
        </is>
      </c>
      <c r="B149">
        <f>MAX(0.001,($B$10)-(0))</f>
        <v>7.6</v>
      </c>
      <c r="K149" t="e">
        <f>IF(8&lt;=$B$12,$B$133+$B$132*($B$13*8-$B$27/2),NA())</f>
        <v>#N/A</v>
      </c>
      <c r="L149" t="e">
        <f>IF(8&lt;=$B$12,$B$134+$B$132*(0-$B$27/2),NA())</f>
        <v>#N/A</v>
      </c>
      <c r="EA149" t="e">
        <f>IF(AND($B$18=1,20&lt;=$B$26),$B$139+$B$138*(19*($B$5/MAX(1,$B$26))),NA())</f>
        <v>#N/A</v>
      </c>
      <c r="EB149" t="e">
        <f>IF(AND($B$18=1,20&lt;=$B$26),$B$140+$B$138*(IF(20&lt;=$B$26/2,($B$9+$B$8*MIN(19*($B$5/MAX(1,$B$26)),$B$5-(19*($B$5/MAX(1,$B$26))))),$B$7)),NA())</f>
        <v>#N/A</v>
      </c>
      <c r="FC149" t="e">
        <f>IF(9&lt;$B$22,$B$145+$B$144*(IF(($B$19+9*$B$64)&lt;$B$87,$B$91,$B$89)),NA())</f>
        <v>#N/A</v>
      </c>
      <c r="FD149" t="e">
        <f>IF(9&lt;$B$22,$B$146+$B$144*(($B$19+9*$B$64)),NA())</f>
        <v>#N/A</v>
      </c>
      <c r="FE149" t="e">
        <f>IF(AND($B$21=1,(10*$B$66)&lt;$B$62),$B$145+$B$144*(IF((10*$B$66)&lt;$B$87,$B$91,$B$89)),NA())</f>
        <v>#N/A</v>
      </c>
      <c r="FF149" t="e">
        <f>IF(AND($B$21=1,(10*$B$66)&lt;$B$62),$B$146+$B$144*((10*$B$66)),NA())</f>
        <v>#N/A</v>
      </c>
      <c r="GG149" t="e">
        <f>IF(AND($B$20=1,($B$19+9*$B$64)&lt;$B$10-0.3),$B$151+$B$150*(MAX(IF(($B$19+9*$B$64)&lt;=$B$9,0,(($B$19+9*$B$64)-$B$9)/$B$8),MIN(($B$5-IF(($B$19+9*$B$64)&lt;=$B$9,0,(($B$19+9*$B$64)-$B$9)/$B$8)),IF(($B$19+9*$B$64)&lt;$B$118,$B$122,$B$120)))),NA())</f>
        <v>#N/A</v>
      </c>
      <c r="GH149" t="e">
        <f>IF(AND($B$20=1,($B$19+9*$B$64)&lt;$B$10-0.3),$B$152+$B$150*(($B$19+9*$B$64)),NA())</f>
        <v>#N/A</v>
      </c>
      <c r="GI149" t="e">
        <f>IF(AND($B$21=1,(10*$B$66)&lt;IF($B$63=1,$B$10-0.2,$B$62)),$B$151+$B$150*(MAX(IF((10*$B$66)&lt;=$B$9,0,((10*$B$66)-$B$9)/$B$8),MIN(($B$5-IF((10*$B$66)&lt;=$B$9,0,((10*$B$66)-$B$9)/$B$8)),IF((10*$B$66)&lt;$B$118,$B$122,$B$120)))),NA())</f>
        <v>#N/A</v>
      </c>
      <c r="GJ149" t="e">
        <f>IF(AND($B$21=1,(10*$B$66)&lt;IF($B$63=1,$B$10-0.2,$B$62)),$B$152+$B$150*((10*$B$66)),NA())</f>
        <v>#N/A</v>
      </c>
      <c r="HI149" t="e">
        <f>IF(24&lt;=$B$16-1,$B$157+$B$156*(-$B$46),NA())</f>
        <v>#N/A</v>
      </c>
      <c r="HJ149" t="e">
        <f>IF(24&lt;=$B$16-1,$B$158+$B$156*(24*($B$5/2)/MAX(1,$B$16-1)),NA())</f>
        <v>#N/A</v>
      </c>
      <c r="HM149" t="e">
        <f>IF(AND(25&lt;=$B$12,1&lt;=$B$25),$B$157+$B$156*((25-1)*$B$13+1*$B$13/($B$25+1)),NA())</f>
        <v>#N/A</v>
      </c>
      <c r="HN149" t="e">
        <f>IF(AND(25&lt;=$B$12,1&lt;=$B$25),$B$158+$B$156*(0),NA())</f>
        <v>#N/A</v>
      </c>
      <c r="HQ149">
        <f>IF(AND(3&lt;=$B$23,1&lt;=$B$24),$B$157+$B$156*((IF(3=1,1,IF(3=$B$23,$B$12,5*(3-1)))-1)*$B$13),NA())</f>
        <v>152.876714285714</v>
      </c>
      <c r="HR149">
        <f>IF(AND(3&lt;=$B$23,1&lt;=$B$24),$B$158+$B$156*((0*$B$5/2+(1-1)*($B$5/2)/$B$24)),NA())</f>
        <v>14</v>
      </c>
      <c r="HS149">
        <f>IF(AND(7&lt;=$B$12,$B$51&gt;0),$B$157+$B$156*(((7-0.5)*$B$13)-($B$51*$B$13)/2),NA())</f>
        <v>162.648142857143</v>
      </c>
      <c r="HT149">
        <f>IF(AND(7&lt;=$B$12,$B$51&gt;0),$B$158+$B$156*((0*$B$5/2+0.6*$B$159)),NA())</f>
        <v>14.6</v>
      </c>
      <c r="KI149" t="e">
        <f>IF(AND($B$21=1,13*$B$67&gt;$B$59,13*$B$67&lt;$B$178-$B$59,OR($B$63=0,ABS(13*$B$67-$B$178/2)&gt;$B$59/2)),$B$182+$B$181*(0),NA())</f>
        <v>#N/A</v>
      </c>
      <c r="KJ149" t="e">
        <f>IF(AND($B$21=1,13*$B$67&gt;$B$59,13*$B$67&lt;$B$178-$B$59,OR($B$63=0,ABS(13*$B$67-$B$178/2)&gt;$B$59/2)),$B$183+$B$181*(13*$B$67),NA())</f>
        <v>#N/A</v>
      </c>
    </row>
    <row r="150">
      <c r="A150" t="inlineStr">
        <is>
          <t>d4_s</t>
        </is>
      </c>
      <c r="B150">
        <f>MIN((193.182-20-20)/$B$148,(100-12-6)/$B$149)</f>
        <v>7.6591</v>
      </c>
      <c r="K150" t="e">
        <f>IF(8&lt;=$B$12,$B$133+$B$132*($B$13*8+$B$27/2),NA())</f>
        <v>#N/A</v>
      </c>
      <c r="L150" t="e">
        <f>IF(8&lt;=$B$12,$B$134+$B$132*(0-$B$27/2),NA())</f>
        <v>#N/A</v>
      </c>
      <c r="EA150" t="e">
        <f>IF(AND($B$18=1,20&lt;=$B$26),$B$139+$B$138*(20*($B$5/MAX(1,$B$26))),NA())</f>
        <v>#N/A</v>
      </c>
      <c r="EB150" t="e">
        <f>IF(AND($B$18=1,20&lt;=$B$26),$B$140+$B$138*(IF(20&lt;=$B$26/2,$B$7,($B$9+$B$8*MIN(20*($B$5/MAX(1,$B$26)),$B$5-(20*($B$5/MAX(1,$B$26))))))),NA())</f>
        <v>#N/A</v>
      </c>
      <c r="FC150" t="e">
        <f>IF(9&lt;$B$22,$B$145+$B$144*(IF(($B$19+9*$B$64)&lt;$B$94,$B$97,$B$96)),NA())</f>
        <v>#N/A</v>
      </c>
      <c r="FD150" t="e">
        <f>IF(9&lt;$B$22,$B$146+$B$144*(($B$19+9*$B$64)),NA())</f>
        <v>#N/A</v>
      </c>
      <c r="FE150" t="e">
        <f>IF(AND($B$21=1,(10*$B$66)&lt;$B$62),$B$145+$B$144*(IF((10*$B$66)&lt;$B$94,$B$97,$B$96)),NA())</f>
        <v>#N/A</v>
      </c>
      <c r="FF150" t="e">
        <f>IF(AND($B$21=1,(10*$B$66)&lt;$B$62),$B$146+$B$144*((10*$B$66)),NA())</f>
        <v>#N/A</v>
      </c>
      <c r="GG150" t="e">
        <f>IF(AND($B$20=1,($B$19+9*$B$64)&lt;$B$10-0.3),$B$151+$B$150*(MAX(IF(($B$19+9*$B$64)&lt;=$B$9,0,(($B$19+9*$B$64)-$B$9)/$B$8),MIN(($B$5-IF(($B$19+9*$B$64)&lt;=$B$9,0,(($B$19+9*$B$64)-$B$9)/$B$8)),IF(($B$19+9*$B$64)&lt;$B$125,$B$128,$B$127)))),NA())</f>
        <v>#N/A</v>
      </c>
      <c r="GH150" t="e">
        <f>IF(AND($B$20=1,($B$19+9*$B$64)&lt;$B$10-0.3),$B$152+$B$150*(($B$19+9*$B$64)),NA())</f>
        <v>#N/A</v>
      </c>
      <c r="GI150" t="e">
        <f>IF(AND($B$21=1,(10*$B$66)&lt;IF($B$63=1,$B$10-0.2,$B$62)),$B$151+$B$150*(MAX(IF((10*$B$66)&lt;=$B$9,0,((10*$B$66)-$B$9)/$B$8),MIN(($B$5-IF((10*$B$66)&lt;=$B$9,0,((10*$B$66)-$B$9)/$B$8)),IF((10*$B$66)&lt;$B$125,$B$128,$B$127)))),NA())</f>
        <v>#N/A</v>
      </c>
      <c r="GJ150" t="e">
        <f>IF(AND($B$21=1,(10*$B$66)&lt;IF($B$63=1,$B$10-0.2,$B$62)),$B$152+$B$150*((10*$B$66)),NA())</f>
        <v>#N/A</v>
      </c>
      <c r="HI150" t="e">
        <f>IF(24&lt;=$B$16-1,$B$157+$B$156*($B$6+$B$46),NA())</f>
        <v>#N/A</v>
      </c>
      <c r="HJ150" t="e">
        <f>IF(24&lt;=$B$16-1,$B$158+$B$156*(24*($B$5/2)/MAX(1,$B$16-1)),NA())</f>
        <v>#N/A</v>
      </c>
      <c r="HM150" t="e">
        <f>IF(AND(25&lt;=$B$12,1&lt;=$B$25),$B$157+$B$156*((25-1)*$B$13+1*$B$13/($B$25+1)),NA())</f>
        <v>#N/A</v>
      </c>
      <c r="HN150" t="e">
        <f>IF(AND(25&lt;=$B$12,1&lt;=$B$25),$B$158+$B$156*($B$5),NA())</f>
        <v>#N/A</v>
      </c>
      <c r="HQ150">
        <f>IF(AND(3&lt;=$B$23,1&lt;=$B$24),$B$157+$B$156*(IF(3=1,1,IF(3=$B$23,$B$12,5*(3-1)))*$B$13),NA())</f>
        <v>174.591</v>
      </c>
      <c r="HR150">
        <f>IF(AND(3&lt;=$B$23,1&lt;=$B$24),$B$158+$B$156*((0*$B$5/2+1*($B$5/2)/$B$24)),NA())</f>
        <v>33</v>
      </c>
      <c r="HS150">
        <f>IF(AND(7&lt;=$B$12,$B$51&gt;0),$B$157+$B$156*(((7-0.5)*$B$13)+($B$51*$B$13)/2),NA())</f>
        <v>164.819571428571</v>
      </c>
      <c r="HT150">
        <f>IF(AND(7&lt;=$B$12,$B$51&gt;0),$B$158+$B$156*((0*$B$5/2+0.6*$B$159)),NA())</f>
        <v>14.6</v>
      </c>
      <c r="KI150" t="e">
        <f>IF(AND($B$21=1,13*$B$67&gt;$B$59,13*$B$67&lt;$B$178-$B$59,OR($B$63=0,ABS(13*$B$67-$B$178/2)&gt;$B$59/2)),$B$182+$B$181*($B$177*1/4-$B$60/2),NA())</f>
        <v>#N/A</v>
      </c>
      <c r="KJ150" t="e">
        <f>IF(AND($B$21=1,13*$B$67&gt;$B$59,13*$B$67&lt;$B$178-$B$59,OR($B$63=0,ABS(13*$B$67-$B$178/2)&gt;$B$59/2)),$B$183+$B$181*(13*$B$67),NA())</f>
        <v>#N/A</v>
      </c>
    </row>
    <row r="151">
      <c r="A151" t="inlineStr">
        <is>
          <t>d4_ox</t>
        </is>
      </c>
      <c r="B151">
        <f>20+((193.182-20-20)-$B$150*$B$148)/2-$B$150*(0)</f>
        <v>20</v>
      </c>
      <c r="K151" t="e">
        <f>IF(8&lt;=$B$12,$B$133+$B$132*($B$13*8+$B$27/2),NA())</f>
        <v>#N/A</v>
      </c>
      <c r="L151" t="e">
        <f>IF(8&lt;=$B$12,$B$134+$B$132*(0+$B$27/2),NA())</f>
        <v>#N/A</v>
      </c>
      <c r="EA151" t="e">
        <f>NA()</f>
        <v>#N/A</v>
      </c>
      <c r="EB151" t="e">
        <f>NA()</f>
        <v>#N/A</v>
      </c>
      <c r="FC151" t="e">
        <f>IF(AND(9&lt;$B$22,($B$19+9*$B$64)&gt;=$B$94),$B$145+$B$144*($B$96),NA())</f>
        <v>#N/A</v>
      </c>
      <c r="FD151" t="e">
        <f>IF(AND(9&lt;$B$22,($B$19+9*$B$64)&gt;=$B$94),$B$146+$B$144*(($B$19+9*$B$64)),NA())</f>
        <v>#N/A</v>
      </c>
      <c r="FE151" t="e">
        <f>IF(AND(AND($B$21=1,(10*$B$66)&lt;$B$62),(10*$B$66)&gt;=$B$94),$B$145+$B$144*($B$96),NA())</f>
        <v>#N/A</v>
      </c>
      <c r="FF151" t="e">
        <f>IF(AND(AND($B$21=1,(10*$B$66)&lt;$B$62),(10*$B$66)&gt;=$B$94),$B$146+$B$144*((10*$B$66)),NA())</f>
        <v>#N/A</v>
      </c>
      <c r="GG151" t="e">
        <f>IF(AND(AND($B$20=1,($B$19+9*$B$64)&lt;$B$10-0.3),($B$19+9*$B$64)&gt;=$B$125),$B$151+$B$150*(MAX(IF(($B$19+9*$B$64)&lt;=$B$9,0,(($B$19+9*$B$64)-$B$9)/$B$8),MIN(($B$5-IF(($B$19+9*$B$64)&lt;=$B$9,0,(($B$19+9*$B$64)-$B$9)/$B$8)),$B$127))),NA())</f>
        <v>#N/A</v>
      </c>
      <c r="GH151" t="e">
        <f>IF(AND(AND($B$20=1,($B$19+9*$B$64)&lt;$B$10-0.3),($B$19+9*$B$64)&gt;=$B$125),$B$152+$B$150*(($B$19+9*$B$64)),NA())</f>
        <v>#N/A</v>
      </c>
      <c r="GI151" t="e">
        <f>IF(AND(AND($B$21=1,(10*$B$66)&lt;IF($B$63=1,$B$10-0.2,$B$62)),(10*$B$66)&gt;=$B$125),$B$151+$B$150*(MAX(IF((10*$B$66)&lt;=$B$9,0,((10*$B$66)-$B$9)/$B$8),MIN(($B$5-IF((10*$B$66)&lt;=$B$9,0,((10*$B$66)-$B$9)/$B$8)),$B$127))),NA())</f>
        <v>#N/A</v>
      </c>
      <c r="GJ151" t="e">
        <f>IF(AND(AND($B$21=1,(10*$B$66)&lt;IF($B$63=1,$B$10-0.2,$B$62)),(10*$B$66)&gt;=$B$125),$B$152+$B$150*((10*$B$66)),NA())</f>
        <v>#N/A</v>
      </c>
      <c r="HI151" t="e">
        <f>NA()</f>
        <v>#N/A</v>
      </c>
      <c r="HJ151" t="e">
        <f>NA()</f>
        <v>#N/A</v>
      </c>
      <c r="HM151" t="e">
        <f>NA()</f>
        <v>#N/A</v>
      </c>
      <c r="HN151" t="e">
        <f>NA()</f>
        <v>#N/A</v>
      </c>
      <c r="HQ151" t="e">
        <f>NA()</f>
        <v>#N/A</v>
      </c>
      <c r="HR151" t="e">
        <f>NA()</f>
        <v>#N/A</v>
      </c>
      <c r="HS151">
        <f>IF(AND(7&lt;=$B$12,$B$51&gt;0),$B$157+$B$156*(((7-0.5)*$B$13)+($B$51*$B$13)/2),NA())</f>
        <v>164.819571428571</v>
      </c>
      <c r="HT151">
        <f>IF(AND(7&lt;=$B$12,$B$51&gt;0),$B$158+$B$156*((0*$B$5/2+$B$5/2-0.6*$B$159)),NA())</f>
        <v>51.4</v>
      </c>
      <c r="KI151" t="e">
        <f>NA()</f>
        <v>#N/A</v>
      </c>
      <c r="KJ151" t="e">
        <f>NA()</f>
        <v>#N/A</v>
      </c>
    </row>
    <row r="152">
      <c r="A152" t="inlineStr">
        <is>
          <t>d4_oy</t>
        </is>
      </c>
      <c r="B152">
        <f>12+((100-12-6)-$B$150*$B$149)/2-$B$150*(0)</f>
        <v>23.89542</v>
      </c>
      <c r="K152" t="e">
        <f>IF(8&lt;=$B$12,$B$133+$B$132*($B$13*8-$B$27/2),NA())</f>
        <v>#N/A</v>
      </c>
      <c r="L152" t="e">
        <f>IF(8&lt;=$B$12,$B$134+$B$132*(0+$B$27/2),NA())</f>
        <v>#N/A</v>
      </c>
      <c r="EA152" t="e">
        <f>IF(AND($B$18=1,21&lt;=$B$26),$B$139+$B$138*(20*($B$5/MAX(1,$B$26))),NA())</f>
        <v>#N/A</v>
      </c>
      <c r="EB152" t="e">
        <f>IF(AND($B$18=1,21&lt;=$B$26),$B$140+$B$138*(IF(21&lt;=$B$26/2,($B$9+$B$8*MIN(20*($B$5/MAX(1,$B$26)),$B$5-(20*($B$5/MAX(1,$B$26))))),$B$7)),NA())</f>
        <v>#N/A</v>
      </c>
      <c r="FC152" t="e">
        <f>IF(9&lt;$B$22,$B$145+$B$144*(IF(($B$19+9*$B$64)&lt;$B$94,$B$98,$B$96)),NA())</f>
        <v>#N/A</v>
      </c>
      <c r="FD152" t="e">
        <f>IF(9&lt;$B$22,$B$146+$B$144*(($B$19+9*$B$64)),NA())</f>
        <v>#N/A</v>
      </c>
      <c r="FE152" t="e">
        <f>IF(AND($B$21=1,(10*$B$66)&lt;$B$62),$B$145+$B$144*(IF((10*$B$66)&lt;$B$94,$B$98,$B$96)),NA())</f>
        <v>#N/A</v>
      </c>
      <c r="FF152" t="e">
        <f>IF(AND($B$21=1,(10*$B$66)&lt;$B$62),$B$146+$B$144*((10*$B$66)),NA())</f>
        <v>#N/A</v>
      </c>
      <c r="GG152" t="e">
        <f>IF(AND($B$20=1,($B$19+9*$B$64)&lt;$B$10-0.3),$B$151+$B$150*(MAX(IF(($B$19+9*$B$64)&lt;=$B$9,0,(($B$19+9*$B$64)-$B$9)/$B$8),MIN(($B$5-IF(($B$19+9*$B$64)&lt;=$B$9,0,(($B$19+9*$B$64)-$B$9)/$B$8)),IF(($B$19+9*$B$64)&lt;$B$125,$B$129,$B$127)))),NA())</f>
        <v>#N/A</v>
      </c>
      <c r="GH152" t="e">
        <f>IF(AND($B$20=1,($B$19+9*$B$64)&lt;$B$10-0.3),$B$152+$B$150*(($B$19+9*$B$64)),NA())</f>
        <v>#N/A</v>
      </c>
      <c r="GI152" t="e">
        <f>IF(AND($B$21=1,(10*$B$66)&lt;IF($B$63=1,$B$10-0.2,$B$62)),$B$151+$B$150*(MAX(IF((10*$B$66)&lt;=$B$9,0,((10*$B$66)-$B$9)/$B$8),MIN(($B$5-IF((10*$B$66)&lt;=$B$9,0,((10*$B$66)-$B$9)/$B$8)),IF((10*$B$66)&lt;$B$125,$B$129,$B$127)))),NA())</f>
        <v>#N/A</v>
      </c>
      <c r="GJ152" t="e">
        <f>IF(AND($B$21=1,(10*$B$66)&lt;IF($B$63=1,$B$10-0.2,$B$62)),$B$152+$B$150*((10*$B$66)),NA())</f>
        <v>#N/A</v>
      </c>
      <c r="HI152" t="e">
        <f>IF(24&lt;=$B$16-1,$B$157+$B$156*(-$B$46),NA())</f>
        <v>#N/A</v>
      </c>
      <c r="HJ152" t="e">
        <f>IF(24&lt;=$B$16-1,$B$158+$B$156*($B$5-24*($B$5/2)/MAX(1,$B$16-1)),NA())</f>
        <v>#N/A</v>
      </c>
      <c r="HM152" t="e">
        <f>IF(AND(25&lt;=$B$12,2&lt;=$B$25),$B$157+$B$156*((25-1)*$B$13+2*$B$13/($B$25+1)),NA())</f>
        <v>#N/A</v>
      </c>
      <c r="HN152" t="e">
        <f>IF(AND(25&lt;=$B$12,2&lt;=$B$25),$B$158+$B$156*(0),NA())</f>
        <v>#N/A</v>
      </c>
      <c r="HQ152">
        <f>IF(AND(3&lt;=$B$23,1&lt;=$B$24),$B$157+$B$156*((IF(3=1,1,IF(3=$B$23,$B$12,5*(3-1)))-1)*$B$13),NA())</f>
        <v>152.876714285714</v>
      </c>
      <c r="HR152">
        <f>IF(AND(3&lt;=$B$23,1&lt;=$B$24),$B$158+$B$156*((0*$B$5/2+1*($B$5/2)/$B$24)),NA())</f>
        <v>33</v>
      </c>
      <c r="HS152">
        <f>IF(AND(7&lt;=$B$12,$B$51&gt;0),$B$157+$B$156*(((7-0.5)*$B$13)-($B$51*$B$13)/2),NA())</f>
        <v>162.648142857143</v>
      </c>
      <c r="HT152">
        <f>IF(AND(7&lt;=$B$12,$B$51&gt;0),$B$158+$B$156*((0*$B$5/2+$B$5/2-0.6*$B$159)),NA())</f>
        <v>51.4</v>
      </c>
      <c r="KI152" t="e">
        <f>IF(AND($B$21=1,13*$B$67&gt;$B$59,13*$B$67&lt;$B$178-$B$59,OR($B$63=0,ABS(13*$B$67-$B$178/2)&gt;$B$59/2)),$B$182+$B$181*($B$177*1/4+$B$60/2),NA())</f>
        <v>#N/A</v>
      </c>
      <c r="KJ152" t="e">
        <f>IF(AND($B$21=1,13*$B$67&gt;$B$59,13*$B$67&lt;$B$178-$B$59,OR($B$63=0,ABS(13*$B$67-$B$178/2)&gt;$B$59/2)),$B$183+$B$181*(13*$B$67),NA())</f>
        <v>#N/A</v>
      </c>
    </row>
    <row r="153">
      <c r="A153" t="inlineStr">
        <is>
          <t>d4_u</t>
        </is>
      </c>
      <c r="B153">
        <f>1/$B$150</f>
        <v>0.130563643247901</v>
      </c>
      <c r="K153" t="e">
        <f>IF(8&lt;=$B$12,$B$133+$B$132*($B$13*8-$B$27/2),NA())</f>
        <v>#N/A</v>
      </c>
      <c r="L153" t="e">
        <f>IF(8&lt;=$B$12,$B$134+$B$132*(0-$B$27/2),NA())</f>
        <v>#N/A</v>
      </c>
      <c r="EA153" t="e">
        <f>IF(AND($B$18=1,21&lt;=$B$26),$B$139+$B$138*(21*($B$5/MAX(1,$B$26))),NA())</f>
        <v>#N/A</v>
      </c>
      <c r="EB153" t="e">
        <f>IF(AND($B$18=1,21&lt;=$B$26),$B$140+$B$138*(IF(21&lt;=$B$26/2,$B$7,($B$9+$B$8*MIN(21*($B$5/MAX(1,$B$26)),$B$5-(21*($B$5/MAX(1,$B$26))))))),NA())</f>
        <v>#N/A</v>
      </c>
      <c r="FC153" t="e">
        <f>IF(9&lt;$B$22,$B$145+$B$144*($B$6),NA())</f>
        <v>#N/A</v>
      </c>
      <c r="FD153" t="e">
        <f>IF(9&lt;$B$22,$B$146+$B$144*(($B$19+9*$B$64)),NA())</f>
        <v>#N/A</v>
      </c>
      <c r="FE153" t="e">
        <f>IF(AND($B$21=1,(10*$B$66)&lt;$B$62),$B$145+$B$144*($B$6),NA())</f>
        <v>#N/A</v>
      </c>
      <c r="FF153" t="e">
        <f>IF(AND($B$21=1,(10*$B$66)&lt;$B$62),$B$146+$B$144*((10*$B$66)),NA())</f>
        <v>#N/A</v>
      </c>
      <c r="GG153" t="e">
        <f>IF(AND($B$20=1,($B$19+9*$B$64)&lt;$B$10-0.3),$B$151+$B$150*(($B$5-IF(($B$19+9*$B$64)&lt;=$B$9,0,(($B$19+9*$B$64)-$B$9)/$B$8))),NA())</f>
        <v>#N/A</v>
      </c>
      <c r="GH153" t="e">
        <f>IF(AND($B$20=1,($B$19+9*$B$64)&lt;$B$10-0.3),$B$152+$B$150*(($B$19+9*$B$64)),NA())</f>
        <v>#N/A</v>
      </c>
      <c r="GI153" t="e">
        <f>IF(AND($B$21=1,(10*$B$66)&lt;IF($B$63=1,$B$10-0.2,$B$62)),$B$151+$B$150*(($B$5-IF((10*$B$66)&lt;=$B$9,0,((10*$B$66)-$B$9)/$B$8))),NA())</f>
        <v>#N/A</v>
      </c>
      <c r="GJ153" t="e">
        <f>IF(AND($B$21=1,(10*$B$66)&lt;IF($B$63=1,$B$10-0.2,$B$62)),$B$152+$B$150*((10*$B$66)),NA())</f>
        <v>#N/A</v>
      </c>
      <c r="HI153" t="e">
        <f>IF(24&lt;=$B$16-1,$B$157+$B$156*($B$6+$B$46),NA())</f>
        <v>#N/A</v>
      </c>
      <c r="HJ153" t="e">
        <f>IF(24&lt;=$B$16-1,$B$158+$B$156*($B$5-24*($B$5/2)/MAX(1,$B$16-1)),NA())</f>
        <v>#N/A</v>
      </c>
      <c r="HM153" t="e">
        <f>IF(AND(25&lt;=$B$12,2&lt;=$B$25),$B$157+$B$156*((25-1)*$B$13+2*$B$13/($B$25+1)),NA())</f>
        <v>#N/A</v>
      </c>
      <c r="HN153" t="e">
        <f>IF(AND(25&lt;=$B$12,2&lt;=$B$25),$B$158+$B$156*($B$5),NA())</f>
        <v>#N/A</v>
      </c>
      <c r="HQ153">
        <f>IF(AND(3&lt;=$B$23,1&lt;=$B$24),$B$157+$B$156*(IF(3=1,1,IF(3=$B$23,$B$12,5*(3-1)))*$B$13),NA())</f>
        <v>174.591</v>
      </c>
      <c r="HR153">
        <f>IF(AND(3&lt;=$B$23,1&lt;=$B$24),$B$158+$B$156*((0*$B$5/2+(1-1)*($B$5/2)/$B$24)),NA())</f>
        <v>14</v>
      </c>
      <c r="HS153">
        <f>IF(AND(7&lt;=$B$12,$B$51&gt;0),$B$157+$B$156*(((7-0.5)*$B$13)-($B$51*$B$13)/2),NA())</f>
        <v>162.648142857143</v>
      </c>
      <c r="HT153">
        <f>IF(AND(7&lt;=$B$12,$B$51&gt;0),$B$158+$B$156*((0*$B$5/2+0.6*$B$159)),NA())</f>
        <v>14.6</v>
      </c>
      <c r="KI153" t="e">
        <f>IF(AND($B$21=1,13*$B$67&gt;$B$59,13*$B$67&lt;$B$178-$B$59,OR($B$63=0,ABS(13*$B$67-$B$178/2)&gt;$B$59/2)),$B$182+$B$181*($B$177*2/4-$B$60/2),NA())</f>
        <v>#N/A</v>
      </c>
      <c r="KJ153" t="e">
        <f>IF(AND($B$21=1,13*$B$67&gt;$B$59,13*$B$67&lt;$B$178-$B$59,OR($B$63=0,ABS(13*$B$67-$B$178/2)&gt;$B$59/2)),$B$183+$B$181*(13*$B$67),NA())</f>
        <v>#N/A</v>
      </c>
    </row>
    <row r="154">
      <c r="A154" t="inlineStr">
        <is>
          <t>d5_dx</t>
        </is>
      </c>
      <c r="B154">
        <f>MAX(0.001,($B$6+$B$46)-(-$B$46))</f>
        <v>40.6</v>
      </c>
      <c r="K154" t="e">
        <f>NA()</f>
        <v>#N/A</v>
      </c>
      <c r="L154" t="e">
        <f>NA()</f>
        <v>#N/A</v>
      </c>
      <c r="EA154" t="e">
        <f>NA()</f>
        <v>#N/A</v>
      </c>
      <c r="EB154" t="e">
        <f>NA()</f>
        <v>#N/A</v>
      </c>
      <c r="FC154" t="e">
        <f>NA()</f>
        <v>#N/A</v>
      </c>
      <c r="FD154" t="e">
        <f>NA()</f>
        <v>#N/A</v>
      </c>
      <c r="FE154" t="e">
        <f>NA()</f>
        <v>#N/A</v>
      </c>
      <c r="FF154" t="e">
        <f>NA()</f>
        <v>#N/A</v>
      </c>
      <c r="GG154" t="e">
        <f>NA()</f>
        <v>#N/A</v>
      </c>
      <c r="GH154" t="e">
        <f>NA()</f>
        <v>#N/A</v>
      </c>
      <c r="GI154" t="e">
        <f>NA()</f>
        <v>#N/A</v>
      </c>
      <c r="GJ154" t="e">
        <f>NA()</f>
        <v>#N/A</v>
      </c>
      <c r="HI154" t="e">
        <f>NA()</f>
        <v>#N/A</v>
      </c>
      <c r="HJ154" t="e">
        <f>NA()</f>
        <v>#N/A</v>
      </c>
      <c r="HM154" t="e">
        <f>NA()</f>
        <v>#N/A</v>
      </c>
      <c r="HN154" t="e">
        <f>NA()</f>
        <v>#N/A</v>
      </c>
      <c r="HQ154" t="e">
        <f>NA()</f>
        <v>#N/A</v>
      </c>
      <c r="HR154" t="e">
        <f>NA()</f>
        <v>#N/A</v>
      </c>
      <c r="HS154" t="e">
        <f>NA()</f>
        <v>#N/A</v>
      </c>
      <c r="HT154" t="e">
        <f>NA()</f>
        <v>#N/A</v>
      </c>
      <c r="KI154" t="e">
        <f>NA()</f>
        <v>#N/A</v>
      </c>
      <c r="KJ154" t="e">
        <f>NA()</f>
        <v>#N/A</v>
      </c>
    </row>
    <row r="155">
      <c r="A155" t="inlineStr">
        <is>
          <t>d5_dy</t>
        </is>
      </c>
      <c r="B155">
        <f>MAX(0.001,($B$5)-(0))</f>
        <v>20</v>
      </c>
      <c r="K155" t="e">
        <f>IF(8&lt;=$B$12,$B$133+$B$132*($B$13*8-$B$27/2),NA())</f>
        <v>#N/A</v>
      </c>
      <c r="L155" t="e">
        <f>IF(8&lt;=$B$12,$B$134+$B$132*($B$5-$B$27/2),NA())</f>
        <v>#N/A</v>
      </c>
      <c r="EA155" t="e">
        <f>IF(AND($B$18=1,22&lt;=$B$26),$B$139+$B$138*(21*($B$5/MAX(1,$B$26))),NA())</f>
        <v>#N/A</v>
      </c>
      <c r="EB155" t="e">
        <f>IF(AND($B$18=1,22&lt;=$B$26),$B$140+$B$138*(IF(22&lt;=$B$26/2,($B$9+$B$8*MIN(21*($B$5/MAX(1,$B$26)),$B$5-(21*($B$5/MAX(1,$B$26))))),$B$7)),NA())</f>
        <v>#N/A</v>
      </c>
      <c r="FE155" t="e">
        <f>IF(AND($B$21=1,(11*$B$66)&lt;$B$62),$B$145+$B$144*(0),NA())</f>
        <v>#N/A</v>
      </c>
      <c r="FF155" t="e">
        <f>IF(AND($B$21=1,(11*$B$66)&lt;$B$62),$B$146+$B$144*((11*$B$66)),NA())</f>
        <v>#N/A</v>
      </c>
      <c r="GG155" t="e">
        <f>IF(AND($B$20=1,($B$19+10*$B$64)&lt;$B$10-0.3),$B$151+$B$150*(IF(($B$19+10*$B$64)&lt;=$B$9,0,(($B$19+10*$B$64)-$B$9)/$B$8)),NA())</f>
        <v>#N/A</v>
      </c>
      <c r="GH155" t="e">
        <f>IF(AND($B$20=1,($B$19+10*$B$64)&lt;$B$10-0.3),$B$152+$B$150*(($B$19+10*$B$64)),NA())</f>
        <v>#N/A</v>
      </c>
      <c r="GI155" t="e">
        <f>IF(AND($B$21=1,(11*$B$66)&lt;IF($B$63=1,$B$10-0.2,$B$62)),$B$151+$B$150*(IF((11*$B$66)&lt;=$B$9,0,((11*$B$66)-$B$9)/$B$8)),NA())</f>
        <v>#N/A</v>
      </c>
      <c r="GJ155" t="e">
        <f>IF(AND($B$21=1,(11*$B$66)&lt;IF($B$63=1,$B$10-0.2,$B$62)),$B$152+$B$150*((11*$B$66)),NA())</f>
        <v>#N/A</v>
      </c>
      <c r="HI155" t="e">
        <f>IF(25&lt;=$B$16-1,$B$157+$B$156*(-$B$46),NA())</f>
        <v>#N/A</v>
      </c>
      <c r="HJ155" t="e">
        <f>IF(25&lt;=$B$16-1,$B$158+$B$156*(25*($B$5/2)/MAX(1,$B$16-1)),NA())</f>
        <v>#N/A</v>
      </c>
      <c r="HM155" t="e">
        <f>IF(AND(26&lt;=$B$12,1&lt;=$B$25),$B$157+$B$156*((26-1)*$B$13+1*$B$13/($B$25+1)),NA())</f>
        <v>#N/A</v>
      </c>
      <c r="HN155" t="e">
        <f>IF(AND(26&lt;=$B$12,1&lt;=$B$25),$B$158+$B$156*(0),NA())</f>
        <v>#N/A</v>
      </c>
      <c r="HQ155">
        <f>IF(AND(3&lt;=$B$23,2&lt;=$B$24),$B$157+$B$156*((IF(3=1,1,IF(3=$B$23,$B$12,5*(3-1)))-1)*$B$13),NA())</f>
        <v>152.876714285714</v>
      </c>
      <c r="HR155">
        <f>IF(AND(3&lt;=$B$23,2&lt;=$B$24),$B$158+$B$156*((0*$B$5/2+(2-1)*($B$5/2)/$B$24)),NA())</f>
        <v>33</v>
      </c>
      <c r="HS155">
        <f>IF(AND(7&lt;=$B$12,$B$51&gt;0),$B$157+$B$156*(((7-0.5)*$B$13)-($B$51*$B$13)/2),NA())</f>
        <v>162.648142857143</v>
      </c>
      <c r="HT155">
        <f>IF(AND(7&lt;=$B$12,$B$51&gt;0),$B$158+$B$156*((0*$B$5/2+0.6*$B$159)),NA())</f>
        <v>14.6</v>
      </c>
      <c r="KI155" t="e">
        <f>IF(AND($B$21=1,13*$B$67&gt;$B$59,13*$B$67&lt;$B$178-$B$59,OR($B$63=0,ABS(13*$B$67-$B$178/2)&gt;$B$59/2)),$B$182+$B$181*($B$177*2/4+$B$60/2),NA())</f>
        <v>#N/A</v>
      </c>
      <c r="KJ155" t="e">
        <f>IF(AND($B$21=1,13*$B$67&gt;$B$59,13*$B$67&lt;$B$178-$B$59,OR($B$63=0,ABS(13*$B$67-$B$178/2)&gt;$B$59/2)),$B$183+$B$181*(13*$B$67),NA())</f>
        <v>#N/A</v>
      </c>
    </row>
    <row r="156">
      <c r="A156" t="inlineStr">
        <is>
          <t>d5_s</t>
        </is>
      </c>
      <c r="B156">
        <f>MIN((193.182-20-16)/$B$154,(100-14-10)/$B$155)</f>
        <v>3.8</v>
      </c>
      <c r="K156" t="e">
        <f>IF(8&lt;=$B$12,$B$133+$B$132*($B$13*8+$B$27/2),NA())</f>
        <v>#N/A</v>
      </c>
      <c r="L156" t="e">
        <f>IF(8&lt;=$B$12,$B$134+$B$132*($B$5-$B$27/2),NA())</f>
        <v>#N/A</v>
      </c>
      <c r="EA156" t="e">
        <f>IF(AND($B$18=1,22&lt;=$B$26),$B$139+$B$138*(22*($B$5/MAX(1,$B$26))),NA())</f>
        <v>#N/A</v>
      </c>
      <c r="EB156" t="e">
        <f>IF(AND($B$18=1,22&lt;=$B$26),$B$140+$B$138*(IF(22&lt;=$B$26/2,$B$7,($B$9+$B$8*MIN(22*($B$5/MAX(1,$B$26)),$B$5-(22*($B$5/MAX(1,$B$26))))))),NA())</f>
        <v>#N/A</v>
      </c>
      <c r="FE156" t="e">
        <f>IF(AND($B$21=1,(11*$B$66)&lt;$B$62),$B$145+$B$144*(IF((11*$B$66)&lt;$B$73,$B$76,$B$75)),NA())</f>
        <v>#N/A</v>
      </c>
      <c r="FF156" t="e">
        <f>IF(AND($B$21=1,(11*$B$66)&lt;$B$62),$B$146+$B$144*((11*$B$66)),NA())</f>
        <v>#N/A</v>
      </c>
      <c r="GG156" t="e">
        <f>IF(AND($B$20=1,($B$19+10*$B$64)&lt;$B$10-0.3),$B$151+$B$150*(MAX(IF(($B$19+10*$B$64)&lt;=$B$9,0,(($B$19+10*$B$64)-$B$9)/$B$8),MIN(($B$5-IF(($B$19+10*$B$64)&lt;=$B$9,0,(($B$19+10*$B$64)-$B$9)/$B$8)),IF(($B$19+10*$B$64)&lt;$B$104,$B$107,$B$106)))),NA())</f>
        <v>#N/A</v>
      </c>
      <c r="GH156" t="e">
        <f>IF(AND($B$20=1,($B$19+10*$B$64)&lt;$B$10-0.3),$B$152+$B$150*(($B$19+10*$B$64)),NA())</f>
        <v>#N/A</v>
      </c>
      <c r="GI156" t="e">
        <f>IF(AND($B$21=1,(11*$B$66)&lt;IF($B$63=1,$B$10-0.2,$B$62)),$B$151+$B$150*(MAX(IF((11*$B$66)&lt;=$B$9,0,((11*$B$66)-$B$9)/$B$8),MIN(($B$5-IF((11*$B$66)&lt;=$B$9,0,((11*$B$66)-$B$9)/$B$8)),IF((11*$B$66)&lt;$B$104,$B$107,$B$106)))),NA())</f>
        <v>#N/A</v>
      </c>
      <c r="GJ156" t="e">
        <f>IF(AND($B$21=1,(11*$B$66)&lt;IF($B$63=1,$B$10-0.2,$B$62)),$B$152+$B$150*((11*$B$66)),NA())</f>
        <v>#N/A</v>
      </c>
      <c r="HI156" t="e">
        <f>IF(25&lt;=$B$16-1,$B$157+$B$156*($B$6+$B$46),NA())</f>
        <v>#N/A</v>
      </c>
      <c r="HJ156" t="e">
        <f>IF(25&lt;=$B$16-1,$B$158+$B$156*(25*($B$5/2)/MAX(1,$B$16-1)),NA())</f>
        <v>#N/A</v>
      </c>
      <c r="HM156" t="e">
        <f>IF(AND(26&lt;=$B$12,1&lt;=$B$25),$B$157+$B$156*((26-1)*$B$13+1*$B$13/($B$25+1)),NA())</f>
        <v>#N/A</v>
      </c>
      <c r="HN156" t="e">
        <f>IF(AND(26&lt;=$B$12,1&lt;=$B$25),$B$158+$B$156*($B$5),NA())</f>
        <v>#N/A</v>
      </c>
      <c r="HQ156">
        <f>IF(AND(3&lt;=$B$23,2&lt;=$B$24),$B$157+$B$156*(IF(3=1,1,IF(3=$B$23,$B$12,5*(3-1)))*$B$13),NA())</f>
        <v>174.591</v>
      </c>
      <c r="HR156">
        <f>IF(AND(3&lt;=$B$23,2&lt;=$B$24),$B$158+$B$156*((0*$B$5/2+2*($B$5/2)/$B$24)),NA())</f>
        <v>52</v>
      </c>
      <c r="HS156">
        <f>IF(AND(7&lt;=$B$12,$B$51&gt;0),$B$157+$B$156*(((7-0.5)*$B$13)+($B$51*$B$13)/2),NA())</f>
        <v>164.819571428571</v>
      </c>
      <c r="HT156">
        <f>IF(AND(7&lt;=$B$12,$B$51&gt;0),$B$158+$B$156*((0*$B$5/2+0.6*$B$159)+(((0*$B$5/2+$B$5/2-0.6*$B$159))-((0*$B$5/2+0.6*$B$159)))/4),NA())</f>
        <v>23.8</v>
      </c>
      <c r="KI156" t="e">
        <f>IF(AND($B$21=1,13*$B$67&gt;$B$59,13*$B$67&lt;$B$178-$B$59,OR($B$63=0,ABS(13*$B$67-$B$178/2)&gt;$B$59/2)),$B$182+$B$181*($B$177*3/4-$B$60/2),NA())</f>
        <v>#N/A</v>
      </c>
      <c r="KJ156" t="e">
        <f>IF(AND($B$21=1,13*$B$67&gt;$B$59,13*$B$67&lt;$B$178-$B$59,OR($B$63=0,ABS(13*$B$67-$B$178/2)&gt;$B$59/2)),$B$183+$B$181*(13*$B$67),NA())</f>
        <v>#N/A</v>
      </c>
    </row>
    <row r="157">
      <c r="A157" t="inlineStr">
        <is>
          <t>d5_ox</t>
        </is>
      </c>
      <c r="B157">
        <f>20+((193.182-20-16)-$B$156*$B$154)/2-$B$156*(-$B$46)</f>
        <v>22.591</v>
      </c>
      <c r="K157" t="e">
        <f>IF(8&lt;=$B$12,$B$133+$B$132*($B$13*8+$B$27/2),NA())</f>
        <v>#N/A</v>
      </c>
      <c r="L157" t="e">
        <f>IF(8&lt;=$B$12,$B$134+$B$132*($B$5+$B$27/2),NA())</f>
        <v>#N/A</v>
      </c>
      <c r="EA157" t="e">
        <f>NA()</f>
        <v>#N/A</v>
      </c>
      <c r="EB157" t="e">
        <f>NA()</f>
        <v>#N/A</v>
      </c>
      <c r="FE157" t="e">
        <f>IF(AND(AND($B$21=1,(11*$B$66)&lt;$B$62),(11*$B$66)&gt;=$B$73),$B$145+$B$144*($B$75),NA())</f>
        <v>#N/A</v>
      </c>
      <c r="FF157" t="e">
        <f>IF(AND(AND($B$21=1,(11*$B$66)&lt;$B$62),(11*$B$66)&gt;=$B$73),$B$146+$B$144*((11*$B$66)),NA())</f>
        <v>#N/A</v>
      </c>
      <c r="GG157" t="e">
        <f>IF(AND(AND($B$20=1,($B$19+10*$B$64)&lt;$B$10-0.3),($B$19+10*$B$64)&gt;=$B$104),$B$151+$B$150*(MAX(IF(($B$19+10*$B$64)&lt;=$B$9,0,(($B$19+10*$B$64)-$B$9)/$B$8),MIN(($B$5-IF(($B$19+10*$B$64)&lt;=$B$9,0,(($B$19+10*$B$64)-$B$9)/$B$8)),$B$106))),NA())</f>
        <v>#N/A</v>
      </c>
      <c r="GH157" t="e">
        <f>IF(AND(AND($B$20=1,($B$19+10*$B$64)&lt;$B$10-0.3),($B$19+10*$B$64)&gt;=$B$104),$B$152+$B$150*(($B$19+10*$B$64)),NA())</f>
        <v>#N/A</v>
      </c>
      <c r="GI157" t="e">
        <f>IF(AND(AND($B$21=1,(11*$B$66)&lt;IF($B$63=1,$B$10-0.2,$B$62)),(11*$B$66)&gt;=$B$104),$B$151+$B$150*(MAX(IF((11*$B$66)&lt;=$B$9,0,((11*$B$66)-$B$9)/$B$8),MIN(($B$5-IF((11*$B$66)&lt;=$B$9,0,((11*$B$66)-$B$9)/$B$8)),$B$106))),NA())</f>
        <v>#N/A</v>
      </c>
      <c r="GJ157" t="e">
        <f>IF(AND(AND($B$21=1,(11*$B$66)&lt;IF($B$63=1,$B$10-0.2,$B$62)),(11*$B$66)&gt;=$B$104),$B$152+$B$150*((11*$B$66)),NA())</f>
        <v>#N/A</v>
      </c>
      <c r="HI157" t="e">
        <f>NA()</f>
        <v>#N/A</v>
      </c>
      <c r="HJ157" t="e">
        <f>NA()</f>
        <v>#N/A</v>
      </c>
      <c r="HM157" t="e">
        <f>NA()</f>
        <v>#N/A</v>
      </c>
      <c r="HN157" t="e">
        <f>NA()</f>
        <v>#N/A</v>
      </c>
      <c r="HQ157" t="e">
        <f>NA()</f>
        <v>#N/A</v>
      </c>
      <c r="HR157" t="e">
        <f>NA()</f>
        <v>#N/A</v>
      </c>
      <c r="HS157">
        <f>IF(AND(7&lt;=$B$12,$B$51&gt;0),$B$157+$B$156*(((7-0.5)*$B$13)-($B$51*$B$13)/2),NA())</f>
        <v>162.648142857143</v>
      </c>
      <c r="HT157">
        <f>IF(AND(7&lt;=$B$12,$B$51&gt;0),$B$158+$B$156*((0*$B$5/2+0.6*$B$159)+(((0*$B$5/2+$B$5/2-0.6*$B$159))-((0*$B$5/2+0.6*$B$159)))/2),NA())</f>
        <v>33</v>
      </c>
      <c r="KI157" t="e">
        <f>NA()</f>
        <v>#N/A</v>
      </c>
      <c r="KJ157" t="e">
        <f>NA()</f>
        <v>#N/A</v>
      </c>
    </row>
    <row r="158">
      <c r="A158" t="inlineStr">
        <is>
          <t>d5_oy</t>
        </is>
      </c>
      <c r="B158">
        <f>14+((100-14-10)-$B$156*$B$155)/2-$B$156*(0)</f>
        <v>14</v>
      </c>
      <c r="K158" t="e">
        <f>IF(8&lt;=$B$12,$B$133+$B$132*($B$13*8-$B$27/2),NA())</f>
        <v>#N/A</v>
      </c>
      <c r="L158" t="e">
        <f>IF(8&lt;=$B$12,$B$134+$B$132*($B$5+$B$27/2),NA())</f>
        <v>#N/A</v>
      </c>
      <c r="EA158" t="e">
        <f>IF(AND($B$18=1,23&lt;=$B$26),$B$139+$B$138*(22*($B$5/MAX(1,$B$26))),NA())</f>
        <v>#N/A</v>
      </c>
      <c r="EB158" t="e">
        <f>IF(AND($B$18=1,23&lt;=$B$26),$B$140+$B$138*(IF(23&lt;=$B$26/2,($B$9+$B$8*MIN(22*($B$5/MAX(1,$B$26)),$B$5-(22*($B$5/MAX(1,$B$26))))),$B$7)),NA())</f>
        <v>#N/A</v>
      </c>
      <c r="FE158" t="e">
        <f>IF(AND($B$21=1,(11*$B$66)&lt;$B$62),$B$145+$B$144*(IF((11*$B$66)&lt;$B$73,$B$77,$B$75)),NA())</f>
        <v>#N/A</v>
      </c>
      <c r="FF158" t="e">
        <f>IF(AND($B$21=1,(11*$B$66)&lt;$B$62),$B$146+$B$144*((11*$B$66)),NA())</f>
        <v>#N/A</v>
      </c>
      <c r="GG158" t="e">
        <f>IF(AND($B$20=1,($B$19+10*$B$64)&lt;$B$10-0.3),$B$151+$B$150*(MAX(IF(($B$19+10*$B$64)&lt;=$B$9,0,(($B$19+10*$B$64)-$B$9)/$B$8),MIN(($B$5-IF(($B$19+10*$B$64)&lt;=$B$9,0,(($B$19+10*$B$64)-$B$9)/$B$8)),IF(($B$19+10*$B$64)&lt;$B$104,$B$108,$B$106)))),NA())</f>
        <v>#N/A</v>
      </c>
      <c r="GH158" t="e">
        <f>IF(AND($B$20=1,($B$19+10*$B$64)&lt;$B$10-0.3),$B$152+$B$150*(($B$19+10*$B$64)),NA())</f>
        <v>#N/A</v>
      </c>
      <c r="GI158" t="e">
        <f>IF(AND($B$21=1,(11*$B$66)&lt;IF($B$63=1,$B$10-0.2,$B$62)),$B$151+$B$150*(MAX(IF((11*$B$66)&lt;=$B$9,0,((11*$B$66)-$B$9)/$B$8),MIN(($B$5-IF((11*$B$66)&lt;=$B$9,0,((11*$B$66)-$B$9)/$B$8)),IF((11*$B$66)&lt;$B$104,$B$108,$B$106)))),NA())</f>
        <v>#N/A</v>
      </c>
      <c r="GJ158" t="e">
        <f>IF(AND($B$21=1,(11*$B$66)&lt;IF($B$63=1,$B$10-0.2,$B$62)),$B$152+$B$150*((11*$B$66)),NA())</f>
        <v>#N/A</v>
      </c>
      <c r="HI158" t="e">
        <f>IF(25&lt;=$B$16-1,$B$157+$B$156*(-$B$46),NA())</f>
        <v>#N/A</v>
      </c>
      <c r="HJ158" t="e">
        <f>IF(25&lt;=$B$16-1,$B$158+$B$156*($B$5-25*($B$5/2)/MAX(1,$B$16-1)),NA())</f>
        <v>#N/A</v>
      </c>
      <c r="HM158" t="e">
        <f>IF(AND(26&lt;=$B$12,2&lt;=$B$25),$B$157+$B$156*((26-1)*$B$13+2*$B$13/($B$25+1)),NA())</f>
        <v>#N/A</v>
      </c>
      <c r="HN158" t="e">
        <f>IF(AND(26&lt;=$B$12,2&lt;=$B$25),$B$158+$B$156*(0),NA())</f>
        <v>#N/A</v>
      </c>
      <c r="HQ158">
        <f>IF(AND(3&lt;=$B$23,2&lt;=$B$24),$B$157+$B$156*((IF(3=1,1,IF(3=$B$23,$B$12,5*(3-1)))-1)*$B$13),NA())</f>
        <v>152.876714285714</v>
      </c>
      <c r="HR158">
        <f>IF(AND(3&lt;=$B$23,2&lt;=$B$24),$B$158+$B$156*((0*$B$5/2+2*($B$5/2)/$B$24)),NA())</f>
        <v>52</v>
      </c>
      <c r="HS158">
        <f>IF(AND(7&lt;=$B$12,$B$51&gt;0),$B$157+$B$156*(((7-0.5)*$B$13)+($B$51*$B$13)/2),NA())</f>
        <v>164.819571428571</v>
      </c>
      <c r="HT158">
        <f>IF(AND(7&lt;=$B$12,$B$51&gt;0),$B$158+$B$156*((0*$B$5/2+0.6*$B$159)+3*(((0*$B$5/2+$B$5/2-0.6*$B$159))-((0*$B$5/2+0.6*$B$159)))/4),NA())</f>
        <v>42.2</v>
      </c>
      <c r="KI158" t="e">
        <f>IF(AND($B$21=1,13*$B$67&gt;$B$59,13*$B$67&lt;$B$178-$B$59,OR($B$63=0,ABS(13*$B$67-$B$178/2)&gt;$B$59/2)),$B$182+$B$181*($B$177*3/4+$B$60/2),NA())</f>
        <v>#N/A</v>
      </c>
      <c r="KJ158" t="e">
        <f>IF(AND($B$21=1,13*$B$67&gt;$B$59,13*$B$67&lt;$B$178-$B$59,OR($B$63=0,ABS(13*$B$67-$B$178/2)&gt;$B$59/2)),$B$183+$B$181*(13*$B$67),NA())</f>
        <v>#N/A</v>
      </c>
    </row>
    <row r="159">
      <c r="A159" t="inlineStr">
        <is>
          <t>d5_u</t>
        </is>
      </c>
      <c r="B159">
        <f>1/$B$156</f>
        <v>0.263157894736842</v>
      </c>
      <c r="K159" t="e">
        <f>IF(8&lt;=$B$12,$B$133+$B$132*($B$13*8-$B$27/2),NA())</f>
        <v>#N/A</v>
      </c>
      <c r="L159" t="e">
        <f>IF(8&lt;=$B$12,$B$134+$B$132*($B$5-$B$27/2),NA())</f>
        <v>#N/A</v>
      </c>
      <c r="EA159" t="e">
        <f>IF(AND($B$18=1,23&lt;=$B$26),$B$139+$B$138*(23*($B$5/MAX(1,$B$26))),NA())</f>
        <v>#N/A</v>
      </c>
      <c r="EB159" t="e">
        <f>IF(AND($B$18=1,23&lt;=$B$26),$B$140+$B$138*(IF(23&lt;=$B$26/2,$B$7,($B$9+$B$8*MIN(23*($B$5/MAX(1,$B$26)),$B$5-(23*($B$5/MAX(1,$B$26))))))),NA())</f>
        <v>#N/A</v>
      </c>
      <c r="FE159" t="e">
        <f>IF(AND($B$21=1,(11*$B$66)&lt;$B$62),$B$145+$B$144*(IF((11*$B$66)&lt;$B$80,$B$83,$B$82)),NA())</f>
        <v>#N/A</v>
      </c>
      <c r="FF159" t="e">
        <f>IF(AND($B$21=1,(11*$B$66)&lt;$B$62),$B$146+$B$144*((11*$B$66)),NA())</f>
        <v>#N/A</v>
      </c>
      <c r="GG159" t="e">
        <f>IF(AND($B$20=1,($B$19+10*$B$64)&lt;$B$10-0.3),$B$151+$B$150*(MAX(IF(($B$19+10*$B$64)&lt;=$B$9,0,(($B$19+10*$B$64)-$B$9)/$B$8),MIN(($B$5-IF(($B$19+10*$B$64)&lt;=$B$9,0,(($B$19+10*$B$64)-$B$9)/$B$8)),IF(($B$19+10*$B$64)&lt;$B$111,$B$114,$B$113)))),NA())</f>
        <v>#N/A</v>
      </c>
      <c r="GH159" t="e">
        <f>IF(AND($B$20=1,($B$19+10*$B$64)&lt;$B$10-0.3),$B$152+$B$150*(($B$19+10*$B$64)),NA())</f>
        <v>#N/A</v>
      </c>
      <c r="GI159" t="e">
        <f>IF(AND($B$21=1,(11*$B$66)&lt;IF($B$63=1,$B$10-0.2,$B$62)),$B$151+$B$150*(MAX(IF((11*$B$66)&lt;=$B$9,0,((11*$B$66)-$B$9)/$B$8),MIN(($B$5-IF((11*$B$66)&lt;=$B$9,0,((11*$B$66)-$B$9)/$B$8)),IF((11*$B$66)&lt;$B$111,$B$114,$B$113)))),NA())</f>
        <v>#N/A</v>
      </c>
      <c r="GJ159" t="e">
        <f>IF(AND($B$21=1,(11*$B$66)&lt;IF($B$63=1,$B$10-0.2,$B$62)),$B$152+$B$150*((11*$B$66)),NA())</f>
        <v>#N/A</v>
      </c>
      <c r="HI159" t="e">
        <f>IF(25&lt;=$B$16-1,$B$157+$B$156*($B$6+$B$46),NA())</f>
        <v>#N/A</v>
      </c>
      <c r="HJ159" t="e">
        <f>IF(25&lt;=$B$16-1,$B$158+$B$156*($B$5-25*($B$5/2)/MAX(1,$B$16-1)),NA())</f>
        <v>#N/A</v>
      </c>
      <c r="HM159" t="e">
        <f>IF(AND(26&lt;=$B$12,2&lt;=$B$25),$B$157+$B$156*((26-1)*$B$13+2*$B$13/($B$25+1)),NA())</f>
        <v>#N/A</v>
      </c>
      <c r="HN159" t="e">
        <f>IF(AND(26&lt;=$B$12,2&lt;=$B$25),$B$158+$B$156*($B$5),NA())</f>
        <v>#N/A</v>
      </c>
      <c r="HQ159">
        <f>IF(AND(3&lt;=$B$23,2&lt;=$B$24),$B$157+$B$156*(IF(3=1,1,IF(3=$B$23,$B$12,5*(3-1)))*$B$13),NA())</f>
        <v>174.591</v>
      </c>
      <c r="HR159">
        <f>IF(AND(3&lt;=$B$23,2&lt;=$B$24),$B$158+$B$156*((0*$B$5/2+(2-1)*($B$5/2)/$B$24)),NA())</f>
        <v>33</v>
      </c>
      <c r="HS159">
        <f>IF(AND(7&lt;=$B$12,$B$51&gt;0),$B$157+$B$156*(((7-0.5)*$B$13)-($B$51*$B$13)/2),NA())</f>
        <v>162.648142857143</v>
      </c>
      <c r="HT159">
        <f>IF(AND(7&lt;=$B$12,$B$51&gt;0),$B$158+$B$156*((0*$B$5/2+$B$5/2-0.6*$B$159)),NA())</f>
        <v>51.4</v>
      </c>
      <c r="KI159" t="e">
        <f>IF(AND($B$21=1,13*$B$67&gt;$B$59,13*$B$67&lt;$B$178-$B$59,OR($B$63=0,ABS(13*$B$67-$B$178/2)&gt;$B$59/2)),$B$182+$B$181*($B$177),NA())</f>
        <v>#N/A</v>
      </c>
      <c r="KJ159" t="e">
        <f>IF(AND($B$21=1,13*$B$67&gt;$B$59,13*$B$67&lt;$B$178-$B$59,OR($B$63=0,ABS(13*$B$67-$B$178/2)&gt;$B$59/2)),$B$183+$B$181*(13*$B$67),NA())</f>
        <v>#N/A</v>
      </c>
    </row>
    <row r="160">
      <c r="A160" t="inlineStr">
        <is>
          <t>p6_zf</t>
        </is>
      </c>
      <c r="B160">
        <f>-$B$33</f>
        <v>-1.2</v>
      </c>
      <c r="K160" t="e">
        <f>NA()</f>
        <v>#N/A</v>
      </c>
      <c r="L160" t="e">
        <f>NA()</f>
        <v>#N/A</v>
      </c>
      <c r="EA160" t="e">
        <f>NA()</f>
        <v>#N/A</v>
      </c>
      <c r="EB160" t="e">
        <f>NA()</f>
        <v>#N/A</v>
      </c>
      <c r="FE160" t="e">
        <f>IF(AND(AND($B$21=1,(11*$B$66)&lt;$B$62),(11*$B$66)&gt;=$B$80),$B$145+$B$144*($B$82),NA())</f>
        <v>#N/A</v>
      </c>
      <c r="FF160" t="e">
        <f>IF(AND(AND($B$21=1,(11*$B$66)&lt;$B$62),(11*$B$66)&gt;=$B$80),$B$146+$B$144*((11*$B$66)),NA())</f>
        <v>#N/A</v>
      </c>
      <c r="GG160" t="e">
        <f>IF(AND(AND($B$20=1,($B$19+10*$B$64)&lt;$B$10-0.3),($B$19+10*$B$64)&gt;=$B$111),$B$151+$B$150*(MAX(IF(($B$19+10*$B$64)&lt;=$B$9,0,(($B$19+10*$B$64)-$B$9)/$B$8),MIN(($B$5-IF(($B$19+10*$B$64)&lt;=$B$9,0,(($B$19+10*$B$64)-$B$9)/$B$8)),$B$113))),NA())</f>
        <v>#N/A</v>
      </c>
      <c r="GH160" t="e">
        <f>IF(AND(AND($B$20=1,($B$19+10*$B$64)&lt;$B$10-0.3),($B$19+10*$B$64)&gt;=$B$111),$B$152+$B$150*(($B$19+10*$B$64)),NA())</f>
        <v>#N/A</v>
      </c>
      <c r="GI160" t="e">
        <f>IF(AND(AND($B$21=1,(11*$B$66)&lt;IF($B$63=1,$B$10-0.2,$B$62)),(11*$B$66)&gt;=$B$111),$B$151+$B$150*(MAX(IF((11*$B$66)&lt;=$B$9,0,((11*$B$66)-$B$9)/$B$8),MIN(($B$5-IF((11*$B$66)&lt;=$B$9,0,((11*$B$66)-$B$9)/$B$8)),$B$113))),NA())</f>
        <v>#N/A</v>
      </c>
      <c r="GJ160" t="e">
        <f>IF(AND(AND($B$21=1,(11*$B$66)&lt;IF($B$63=1,$B$10-0.2,$B$62)),(11*$B$66)&gt;=$B$111),$B$152+$B$150*((11*$B$66)),NA())</f>
        <v>#N/A</v>
      </c>
      <c r="HI160" t="e">
        <f>NA()</f>
        <v>#N/A</v>
      </c>
      <c r="HJ160" t="e">
        <f>NA()</f>
        <v>#N/A</v>
      </c>
      <c r="HM160" t="e">
        <f>NA()</f>
        <v>#N/A</v>
      </c>
      <c r="HN160" t="e">
        <f>NA()</f>
        <v>#N/A</v>
      </c>
      <c r="HQ160" t="e">
        <f>NA()</f>
        <v>#N/A</v>
      </c>
      <c r="HR160" t="e">
        <f>NA()</f>
        <v>#N/A</v>
      </c>
      <c r="HS160" t="e">
        <f>NA()</f>
        <v>#N/A</v>
      </c>
      <c r="HT160" t="e">
        <f>NA()</f>
        <v>#N/A</v>
      </c>
      <c r="KI160" t="e">
        <f>NA()</f>
        <v>#N/A</v>
      </c>
      <c r="KJ160" t="e">
        <f>NA()</f>
        <v>#N/A</v>
      </c>
    </row>
    <row r="161">
      <c r="A161" t="inlineStr">
        <is>
          <t>p6_zp</t>
        </is>
      </c>
      <c r="B161">
        <f>$B$160+$B$34</f>
        <v>-1.15</v>
      </c>
      <c r="K161" t="e">
        <f>IF(AND(8&lt;=$B$12,$B$45=1),$B$133+$B$132*($B$13*8-$B$27/2),NA())</f>
        <v>#N/A</v>
      </c>
      <c r="L161" t="e">
        <f>IF(AND(8&lt;=$B$12,$B$45=1),$B$134+$B$132*($B$5/2-$B$27/2),NA())</f>
        <v>#N/A</v>
      </c>
      <c r="EA161" t="e">
        <f>IF(AND($B$18=1,24&lt;=$B$26),$B$139+$B$138*(23*($B$5/MAX(1,$B$26))),NA())</f>
        <v>#N/A</v>
      </c>
      <c r="EB161" t="e">
        <f>IF(AND($B$18=1,24&lt;=$B$26),$B$140+$B$138*(IF(24&lt;=$B$26/2,($B$9+$B$8*MIN(23*($B$5/MAX(1,$B$26)),$B$5-(23*($B$5/MAX(1,$B$26))))),$B$7)),NA())</f>
        <v>#N/A</v>
      </c>
      <c r="FE161" t="e">
        <f>IF(AND($B$21=1,(11*$B$66)&lt;$B$62),$B$145+$B$144*(IF((11*$B$66)&lt;$B$80,$B$84,$B$82)),NA())</f>
        <v>#N/A</v>
      </c>
      <c r="FF161" t="e">
        <f>IF(AND($B$21=1,(11*$B$66)&lt;$B$62),$B$146+$B$144*((11*$B$66)),NA())</f>
        <v>#N/A</v>
      </c>
      <c r="GG161" t="e">
        <f>IF(AND($B$20=1,($B$19+10*$B$64)&lt;$B$10-0.3),$B$151+$B$150*(MAX(IF(($B$19+10*$B$64)&lt;=$B$9,0,(($B$19+10*$B$64)-$B$9)/$B$8),MIN(($B$5-IF(($B$19+10*$B$64)&lt;=$B$9,0,(($B$19+10*$B$64)-$B$9)/$B$8)),IF(($B$19+10*$B$64)&lt;$B$111,$B$115,$B$113)))),NA())</f>
        <v>#N/A</v>
      </c>
      <c r="GH161" t="e">
        <f>IF(AND($B$20=1,($B$19+10*$B$64)&lt;$B$10-0.3),$B$152+$B$150*(($B$19+10*$B$64)),NA())</f>
        <v>#N/A</v>
      </c>
      <c r="GI161" t="e">
        <f>IF(AND($B$21=1,(11*$B$66)&lt;IF($B$63=1,$B$10-0.2,$B$62)),$B$151+$B$150*(MAX(IF((11*$B$66)&lt;=$B$9,0,((11*$B$66)-$B$9)/$B$8),MIN(($B$5-IF((11*$B$66)&lt;=$B$9,0,((11*$B$66)-$B$9)/$B$8)),IF((11*$B$66)&lt;$B$111,$B$115,$B$113)))),NA())</f>
        <v>#N/A</v>
      </c>
      <c r="GJ161" t="e">
        <f>IF(AND($B$21=1,(11*$B$66)&lt;IF($B$63=1,$B$10-0.2,$B$62)),$B$152+$B$150*((11*$B$66)),NA())</f>
        <v>#N/A</v>
      </c>
      <c r="HI161" t="e">
        <f>IF(26&lt;=$B$16-1,$B$157+$B$156*(-$B$46),NA())</f>
        <v>#N/A</v>
      </c>
      <c r="HJ161" t="e">
        <f>IF(26&lt;=$B$16-1,$B$158+$B$156*(26*($B$5/2)/MAX(1,$B$16-1)),NA())</f>
        <v>#N/A</v>
      </c>
      <c r="HM161" t="e">
        <f>IF(AND(27&lt;=$B$12,1&lt;=$B$25),$B$157+$B$156*((27-1)*$B$13+1*$B$13/($B$25+1)),NA())</f>
        <v>#N/A</v>
      </c>
      <c r="HN161" t="e">
        <f>IF(AND(27&lt;=$B$12,1&lt;=$B$25),$B$158+$B$156*(0),NA())</f>
        <v>#N/A</v>
      </c>
      <c r="HQ161" t="e">
        <f>IF(AND(3&lt;=$B$23,3&lt;=$B$24),$B$157+$B$156*((IF(3=1,1,IF(3=$B$23,$B$12,5*(3-1)))-1)*$B$13),NA())</f>
        <v>#N/A</v>
      </c>
      <c r="HR161" t="e">
        <f>IF(AND(3&lt;=$B$23,3&lt;=$B$24),$B$158+$B$156*((0*$B$5/2+(3-1)*($B$5/2)/$B$24)),NA())</f>
        <v>#N/A</v>
      </c>
      <c r="HS161">
        <f>IF(AND(7&lt;=$B$12,$B$51&gt;0),$B$157+$B$156*(((7-0.5)*$B$13)-($B$51*$B$13)/2),NA())</f>
        <v>162.648142857143</v>
      </c>
      <c r="HT161">
        <f>IF(AND(7&lt;=$B$12,$B$51&gt;0),$B$158+$B$156*((1*$B$5/2+0.6*$B$159)),NA())</f>
        <v>52.6</v>
      </c>
      <c r="KI161" t="e">
        <f>IF(AND($B$21=1,14*$B$67&gt;$B$59,14*$B$67&lt;$B$178-$B$59,OR($B$63=0,ABS(14*$B$67-$B$178/2)&gt;$B$59/2)),$B$182+$B$181*(0),NA())</f>
        <v>#N/A</v>
      </c>
      <c r="KJ161" t="e">
        <f>IF(AND($B$21=1,14*$B$67&gt;$B$59,14*$B$67&lt;$B$178-$B$59,OR($B$63=0,ABS(14*$B$67-$B$178/2)&gt;$B$59/2)),$B$183+$B$181*(14*$B$67),NA())</f>
        <v>#N/A</v>
      </c>
    </row>
    <row r="162">
      <c r="A162" t="inlineStr">
        <is>
          <t>p6_zsf</t>
        </is>
      </c>
      <c r="B162">
        <f>$B$161+$B$32</f>
        <v>-0.95</v>
      </c>
      <c r="K162" t="e">
        <f>IF(AND(8&lt;=$B$12,$B$45=1),$B$133+$B$132*($B$13*8+$B$27/2),NA())</f>
        <v>#N/A</v>
      </c>
      <c r="L162" t="e">
        <f>IF(AND(8&lt;=$B$12,$B$45=1),$B$134+$B$132*($B$5/2-$B$27/2),NA())</f>
        <v>#N/A</v>
      </c>
      <c r="EA162" t="e">
        <f>IF(AND($B$18=1,24&lt;=$B$26),$B$139+$B$138*(24*($B$5/MAX(1,$B$26))),NA())</f>
        <v>#N/A</v>
      </c>
      <c r="EB162" t="e">
        <f>IF(AND($B$18=1,24&lt;=$B$26),$B$140+$B$138*(IF(24&lt;=$B$26/2,$B$7,($B$9+$B$8*MIN(24*($B$5/MAX(1,$B$26)),$B$5-(24*($B$5/MAX(1,$B$26))))))),NA())</f>
        <v>#N/A</v>
      </c>
      <c r="FE162" t="e">
        <f>IF(AND($B$21=1,(11*$B$66)&lt;$B$62),$B$145+$B$144*(IF((11*$B$66)&lt;$B$87,$B$90,$B$89)),NA())</f>
        <v>#N/A</v>
      </c>
      <c r="FF162" t="e">
        <f>IF(AND($B$21=1,(11*$B$66)&lt;$B$62),$B$146+$B$144*((11*$B$66)),NA())</f>
        <v>#N/A</v>
      </c>
      <c r="GG162" t="e">
        <f>IF(AND($B$20=1,($B$19+10*$B$64)&lt;$B$10-0.3),$B$151+$B$150*(MAX(IF(($B$19+10*$B$64)&lt;=$B$9,0,(($B$19+10*$B$64)-$B$9)/$B$8),MIN(($B$5-IF(($B$19+10*$B$64)&lt;=$B$9,0,(($B$19+10*$B$64)-$B$9)/$B$8)),IF(($B$19+10*$B$64)&lt;$B$118,$B$121,$B$120)))),NA())</f>
        <v>#N/A</v>
      </c>
      <c r="GH162" t="e">
        <f>IF(AND($B$20=1,($B$19+10*$B$64)&lt;$B$10-0.3),$B$152+$B$150*(($B$19+10*$B$64)),NA())</f>
        <v>#N/A</v>
      </c>
      <c r="GI162" t="e">
        <f>IF(AND($B$21=1,(11*$B$66)&lt;IF($B$63=1,$B$10-0.2,$B$62)),$B$151+$B$150*(MAX(IF((11*$B$66)&lt;=$B$9,0,((11*$B$66)-$B$9)/$B$8),MIN(($B$5-IF((11*$B$66)&lt;=$B$9,0,((11*$B$66)-$B$9)/$B$8)),IF((11*$B$66)&lt;$B$118,$B$121,$B$120)))),NA())</f>
        <v>#N/A</v>
      </c>
      <c r="GJ162" t="e">
        <f>IF(AND($B$21=1,(11*$B$66)&lt;IF($B$63=1,$B$10-0.2,$B$62)),$B$152+$B$150*((11*$B$66)),NA())</f>
        <v>#N/A</v>
      </c>
      <c r="HI162" t="e">
        <f>IF(26&lt;=$B$16-1,$B$157+$B$156*($B$6+$B$46),NA())</f>
        <v>#N/A</v>
      </c>
      <c r="HJ162" t="e">
        <f>IF(26&lt;=$B$16-1,$B$158+$B$156*(26*($B$5/2)/MAX(1,$B$16-1)),NA())</f>
        <v>#N/A</v>
      </c>
      <c r="HM162" t="e">
        <f>IF(AND(27&lt;=$B$12,1&lt;=$B$25),$B$157+$B$156*((27-1)*$B$13+1*$B$13/($B$25+1)),NA())</f>
        <v>#N/A</v>
      </c>
      <c r="HN162" t="e">
        <f>IF(AND(27&lt;=$B$12,1&lt;=$B$25),$B$158+$B$156*($B$5),NA())</f>
        <v>#N/A</v>
      </c>
      <c r="HQ162" t="e">
        <f>IF(AND(3&lt;=$B$23,3&lt;=$B$24),$B$157+$B$156*(IF(3=1,1,IF(3=$B$23,$B$12,5*(3-1)))*$B$13),NA())</f>
        <v>#N/A</v>
      </c>
      <c r="HR162" t="e">
        <f>IF(AND(3&lt;=$B$23,3&lt;=$B$24),$B$158+$B$156*((0*$B$5/2+3*($B$5/2)/$B$24)),NA())</f>
        <v>#N/A</v>
      </c>
      <c r="HS162">
        <f>IF(AND(7&lt;=$B$12,$B$51&gt;0),$B$157+$B$156*(((7-0.5)*$B$13)+($B$51*$B$13)/2),NA())</f>
        <v>164.819571428571</v>
      </c>
      <c r="HT162">
        <f>IF(AND(7&lt;=$B$12,$B$51&gt;0),$B$158+$B$156*((1*$B$5/2+0.6*$B$159)),NA())</f>
        <v>52.6</v>
      </c>
      <c r="KI162" t="e">
        <f>IF(AND($B$21=1,14*$B$67&gt;$B$59,14*$B$67&lt;$B$178-$B$59,OR($B$63=0,ABS(14*$B$67-$B$178/2)&gt;$B$59/2)),$B$182+$B$181*($B$177*1/4-$B$60/2),NA())</f>
        <v>#N/A</v>
      </c>
      <c r="KJ162" t="e">
        <f>IF(AND($B$21=1,14*$B$67&gt;$B$59,14*$B$67&lt;$B$178-$B$59,OR($B$63=0,ABS(14*$B$67-$B$178/2)&gt;$B$59/2)),$B$183+$B$181*(14*$B$67),NA())</f>
        <v>#N/A</v>
      </c>
    </row>
    <row r="163">
      <c r="A163" t="inlineStr">
        <is>
          <t>p6_zag</t>
        </is>
      </c>
      <c r="B163">
        <f>$B$162+$B$37</f>
        <v>0.05</v>
      </c>
      <c r="K163" t="e">
        <f>IF(AND(8&lt;=$B$12,$B$45=1),$B$133+$B$132*($B$13*8+$B$27/2),NA())</f>
        <v>#N/A</v>
      </c>
      <c r="L163" t="e">
        <f>IF(AND(8&lt;=$B$12,$B$45=1),$B$134+$B$132*($B$5/2+$B$27/2),NA())</f>
        <v>#N/A</v>
      </c>
      <c r="EA163" t="e">
        <f>NA()</f>
        <v>#N/A</v>
      </c>
      <c r="EB163" t="e">
        <f>NA()</f>
        <v>#N/A</v>
      </c>
      <c r="FE163" t="e">
        <f>IF(AND(AND($B$21=1,(11*$B$66)&lt;$B$62),(11*$B$66)&gt;=$B$87),$B$145+$B$144*($B$89),NA())</f>
        <v>#N/A</v>
      </c>
      <c r="FF163" t="e">
        <f>IF(AND(AND($B$21=1,(11*$B$66)&lt;$B$62),(11*$B$66)&gt;=$B$87),$B$146+$B$144*((11*$B$66)),NA())</f>
        <v>#N/A</v>
      </c>
      <c r="GG163" t="e">
        <f>IF(AND(AND($B$20=1,($B$19+10*$B$64)&lt;$B$10-0.3),($B$19+10*$B$64)&gt;=$B$118),$B$151+$B$150*(MAX(IF(($B$19+10*$B$64)&lt;=$B$9,0,(($B$19+10*$B$64)-$B$9)/$B$8),MIN(($B$5-IF(($B$19+10*$B$64)&lt;=$B$9,0,(($B$19+10*$B$64)-$B$9)/$B$8)),$B$120))),NA())</f>
        <v>#N/A</v>
      </c>
      <c r="GH163" t="e">
        <f>IF(AND(AND($B$20=1,($B$19+10*$B$64)&lt;$B$10-0.3),($B$19+10*$B$64)&gt;=$B$118),$B$152+$B$150*(($B$19+10*$B$64)),NA())</f>
        <v>#N/A</v>
      </c>
      <c r="GI163" t="e">
        <f>IF(AND(AND($B$21=1,(11*$B$66)&lt;IF($B$63=1,$B$10-0.2,$B$62)),(11*$B$66)&gt;=$B$118),$B$151+$B$150*(MAX(IF((11*$B$66)&lt;=$B$9,0,((11*$B$66)-$B$9)/$B$8),MIN(($B$5-IF((11*$B$66)&lt;=$B$9,0,((11*$B$66)-$B$9)/$B$8)),$B$120))),NA())</f>
        <v>#N/A</v>
      </c>
      <c r="GJ163" t="e">
        <f>IF(AND(AND($B$21=1,(11*$B$66)&lt;IF($B$63=1,$B$10-0.2,$B$62)),(11*$B$66)&gt;=$B$118),$B$152+$B$150*((11*$B$66)),NA())</f>
        <v>#N/A</v>
      </c>
      <c r="HI163" t="e">
        <f>NA()</f>
        <v>#N/A</v>
      </c>
      <c r="HJ163" t="e">
        <f>NA()</f>
        <v>#N/A</v>
      </c>
      <c r="HM163" t="e">
        <f>NA()</f>
        <v>#N/A</v>
      </c>
      <c r="HN163" t="e">
        <f>NA()</f>
        <v>#N/A</v>
      </c>
      <c r="HQ163" t="e">
        <f>NA()</f>
        <v>#N/A</v>
      </c>
      <c r="HR163" t="e">
        <f>NA()</f>
        <v>#N/A</v>
      </c>
      <c r="HS163">
        <f>IF(AND(7&lt;=$B$12,$B$51&gt;0),$B$157+$B$156*(((7-0.5)*$B$13)+($B$51*$B$13)/2),NA())</f>
        <v>164.819571428571</v>
      </c>
      <c r="HT163">
        <f>IF(AND(7&lt;=$B$12,$B$51&gt;0),$B$158+$B$156*((1*$B$5/2+$B$5/2-0.6*$B$159)),NA())</f>
        <v>89.4</v>
      </c>
      <c r="KI163" t="e">
        <f>NA()</f>
        <v>#N/A</v>
      </c>
      <c r="KJ163" t="e">
        <f>NA()</f>
        <v>#N/A</v>
      </c>
    </row>
    <row r="164">
      <c r="A164" t="inlineStr">
        <is>
          <t>p6_zr</t>
        </is>
      </c>
      <c r="B164">
        <f>$B$38</f>
        <v>0.2</v>
      </c>
      <c r="K164" t="e">
        <f>IF(AND(8&lt;=$B$12,$B$45=1),$B$133+$B$132*($B$13*8-$B$27/2),NA())</f>
        <v>#N/A</v>
      </c>
      <c r="L164" t="e">
        <f>IF(AND(8&lt;=$B$12,$B$45=1),$B$134+$B$132*($B$5/2+$B$27/2),NA())</f>
        <v>#N/A</v>
      </c>
      <c r="EA164" t="e">
        <f>IF(AND($B$18=1,25&lt;=$B$26),$B$139+$B$138*(24*($B$5/MAX(1,$B$26))),NA())</f>
        <v>#N/A</v>
      </c>
      <c r="EB164" t="e">
        <f>IF(AND($B$18=1,25&lt;=$B$26),$B$140+$B$138*(IF(25&lt;=$B$26/2,($B$9+$B$8*MIN(24*($B$5/MAX(1,$B$26)),$B$5-(24*($B$5/MAX(1,$B$26))))),$B$7)),NA())</f>
        <v>#N/A</v>
      </c>
      <c r="FE164" t="e">
        <f>IF(AND($B$21=1,(11*$B$66)&lt;$B$62),$B$145+$B$144*(IF((11*$B$66)&lt;$B$87,$B$91,$B$89)),NA())</f>
        <v>#N/A</v>
      </c>
      <c r="FF164" t="e">
        <f>IF(AND($B$21=1,(11*$B$66)&lt;$B$62),$B$146+$B$144*((11*$B$66)),NA())</f>
        <v>#N/A</v>
      </c>
      <c r="GG164" t="e">
        <f>IF(AND($B$20=1,($B$19+10*$B$64)&lt;$B$10-0.3),$B$151+$B$150*(MAX(IF(($B$19+10*$B$64)&lt;=$B$9,0,(($B$19+10*$B$64)-$B$9)/$B$8),MIN(($B$5-IF(($B$19+10*$B$64)&lt;=$B$9,0,(($B$19+10*$B$64)-$B$9)/$B$8)),IF(($B$19+10*$B$64)&lt;$B$118,$B$122,$B$120)))),NA())</f>
        <v>#N/A</v>
      </c>
      <c r="GH164" t="e">
        <f>IF(AND($B$20=1,($B$19+10*$B$64)&lt;$B$10-0.3),$B$152+$B$150*(($B$19+10*$B$64)),NA())</f>
        <v>#N/A</v>
      </c>
      <c r="GI164" t="e">
        <f>IF(AND($B$21=1,(11*$B$66)&lt;IF($B$63=1,$B$10-0.2,$B$62)),$B$151+$B$150*(MAX(IF((11*$B$66)&lt;=$B$9,0,((11*$B$66)-$B$9)/$B$8),MIN(($B$5-IF((11*$B$66)&lt;=$B$9,0,((11*$B$66)-$B$9)/$B$8)),IF((11*$B$66)&lt;$B$118,$B$122,$B$120)))),NA())</f>
        <v>#N/A</v>
      </c>
      <c r="GJ164" t="e">
        <f>IF(AND($B$21=1,(11*$B$66)&lt;IF($B$63=1,$B$10-0.2,$B$62)),$B$152+$B$150*((11*$B$66)),NA())</f>
        <v>#N/A</v>
      </c>
      <c r="HI164" t="e">
        <f>IF(26&lt;=$B$16-1,$B$157+$B$156*(-$B$46),NA())</f>
        <v>#N/A</v>
      </c>
      <c r="HJ164" t="e">
        <f>IF(26&lt;=$B$16-1,$B$158+$B$156*($B$5-26*($B$5/2)/MAX(1,$B$16-1)),NA())</f>
        <v>#N/A</v>
      </c>
      <c r="HM164" t="e">
        <f>IF(AND(27&lt;=$B$12,2&lt;=$B$25),$B$157+$B$156*((27-1)*$B$13+2*$B$13/($B$25+1)),NA())</f>
        <v>#N/A</v>
      </c>
      <c r="HN164" t="e">
        <f>IF(AND(27&lt;=$B$12,2&lt;=$B$25),$B$158+$B$156*(0),NA())</f>
        <v>#N/A</v>
      </c>
      <c r="HQ164" t="e">
        <f>IF(AND(3&lt;=$B$23,3&lt;=$B$24),$B$157+$B$156*((IF(3=1,1,IF(3=$B$23,$B$12,5*(3-1)))-1)*$B$13),NA())</f>
        <v>#N/A</v>
      </c>
      <c r="HR164" t="e">
        <f>IF(AND(3&lt;=$B$23,3&lt;=$B$24),$B$158+$B$156*((0*$B$5/2+3*($B$5/2)/$B$24)),NA())</f>
        <v>#N/A</v>
      </c>
      <c r="HS164">
        <f>IF(AND(7&lt;=$B$12,$B$51&gt;0),$B$157+$B$156*(((7-0.5)*$B$13)-($B$51*$B$13)/2),NA())</f>
        <v>162.648142857143</v>
      </c>
      <c r="HT164">
        <f>IF(AND(7&lt;=$B$12,$B$51&gt;0),$B$158+$B$156*((1*$B$5/2+$B$5/2-0.6*$B$159)),NA())</f>
        <v>89.4</v>
      </c>
      <c r="KI164" t="e">
        <f>IF(AND($B$21=1,14*$B$67&gt;$B$59,14*$B$67&lt;$B$178-$B$59,OR($B$63=0,ABS(14*$B$67-$B$178/2)&gt;$B$59/2)),$B$182+$B$181*($B$177*1/4+$B$60/2),NA())</f>
        <v>#N/A</v>
      </c>
      <c r="KJ164" t="e">
        <f>IF(AND($B$21=1,14*$B$67&gt;$B$59,14*$B$67&lt;$B$178-$B$59,OR($B$63=0,ABS(14*$B$67-$B$178/2)&gt;$B$59/2)),$B$183+$B$181*(14*$B$67),NA())</f>
        <v>#N/A</v>
      </c>
    </row>
    <row r="165">
      <c r="A165" t="inlineStr">
        <is>
          <t>p6_zs</t>
        </is>
      </c>
      <c r="B165">
        <f>$B$164+$B$39</f>
        <v>0.25</v>
      </c>
      <c r="K165" t="e">
        <f>IF(AND(8&lt;=$B$12,$B$45=1),$B$133+$B$132*($B$13*8-$B$27/2),NA())</f>
        <v>#N/A</v>
      </c>
      <c r="L165" t="e">
        <f>IF(AND(8&lt;=$B$12,$B$45=1),$B$134+$B$132*($B$5/2-$B$27/2),NA())</f>
        <v>#N/A</v>
      </c>
      <c r="EA165" t="e">
        <f>IF(AND($B$18=1,25&lt;=$B$26),$B$139+$B$138*(25*($B$5/MAX(1,$B$26))),NA())</f>
        <v>#N/A</v>
      </c>
      <c r="EB165" t="e">
        <f>IF(AND($B$18=1,25&lt;=$B$26),$B$140+$B$138*(IF(25&lt;=$B$26/2,$B$7,($B$9+$B$8*MIN(25*($B$5/MAX(1,$B$26)),$B$5-(25*($B$5/MAX(1,$B$26))))))),NA())</f>
        <v>#N/A</v>
      </c>
      <c r="FE165" t="e">
        <f>IF(AND($B$21=1,(11*$B$66)&lt;$B$62),$B$145+$B$144*(IF((11*$B$66)&lt;$B$94,$B$97,$B$96)),NA())</f>
        <v>#N/A</v>
      </c>
      <c r="FF165" t="e">
        <f>IF(AND($B$21=1,(11*$B$66)&lt;$B$62),$B$146+$B$144*((11*$B$66)),NA())</f>
        <v>#N/A</v>
      </c>
      <c r="GG165" t="e">
        <f>IF(AND($B$20=1,($B$19+10*$B$64)&lt;$B$10-0.3),$B$151+$B$150*(MAX(IF(($B$19+10*$B$64)&lt;=$B$9,0,(($B$19+10*$B$64)-$B$9)/$B$8),MIN(($B$5-IF(($B$19+10*$B$64)&lt;=$B$9,0,(($B$19+10*$B$64)-$B$9)/$B$8)),IF(($B$19+10*$B$64)&lt;$B$125,$B$128,$B$127)))),NA())</f>
        <v>#N/A</v>
      </c>
      <c r="GH165" t="e">
        <f>IF(AND($B$20=1,($B$19+10*$B$64)&lt;$B$10-0.3),$B$152+$B$150*(($B$19+10*$B$64)),NA())</f>
        <v>#N/A</v>
      </c>
      <c r="GI165" t="e">
        <f>IF(AND($B$21=1,(11*$B$66)&lt;IF($B$63=1,$B$10-0.2,$B$62)),$B$151+$B$150*(MAX(IF((11*$B$66)&lt;=$B$9,0,((11*$B$66)-$B$9)/$B$8),MIN(($B$5-IF((11*$B$66)&lt;=$B$9,0,((11*$B$66)-$B$9)/$B$8)),IF((11*$B$66)&lt;$B$125,$B$128,$B$127)))),NA())</f>
        <v>#N/A</v>
      </c>
      <c r="GJ165" t="e">
        <f>IF(AND($B$21=1,(11*$B$66)&lt;IF($B$63=1,$B$10-0.2,$B$62)),$B$152+$B$150*((11*$B$66)),NA())</f>
        <v>#N/A</v>
      </c>
      <c r="HI165" t="e">
        <f>IF(26&lt;=$B$16-1,$B$157+$B$156*($B$6+$B$46),NA())</f>
        <v>#N/A</v>
      </c>
      <c r="HJ165" t="e">
        <f>IF(26&lt;=$B$16-1,$B$158+$B$156*($B$5-26*($B$5/2)/MAX(1,$B$16-1)),NA())</f>
        <v>#N/A</v>
      </c>
      <c r="HM165" t="e">
        <f>IF(AND(27&lt;=$B$12,2&lt;=$B$25),$B$157+$B$156*((27-1)*$B$13+2*$B$13/($B$25+1)),NA())</f>
        <v>#N/A</v>
      </c>
      <c r="HN165" t="e">
        <f>IF(AND(27&lt;=$B$12,2&lt;=$B$25),$B$158+$B$156*($B$5),NA())</f>
        <v>#N/A</v>
      </c>
      <c r="HQ165" t="e">
        <f>IF(AND(3&lt;=$B$23,3&lt;=$B$24),$B$157+$B$156*(IF(3=1,1,IF(3=$B$23,$B$12,5*(3-1)))*$B$13),NA())</f>
        <v>#N/A</v>
      </c>
      <c r="HR165" t="e">
        <f>IF(AND(3&lt;=$B$23,3&lt;=$B$24),$B$158+$B$156*((0*$B$5/2+(3-1)*($B$5/2)/$B$24)),NA())</f>
        <v>#N/A</v>
      </c>
      <c r="HS165">
        <f>IF(AND(7&lt;=$B$12,$B$51&gt;0),$B$157+$B$156*(((7-0.5)*$B$13)-($B$51*$B$13)/2),NA())</f>
        <v>162.648142857143</v>
      </c>
      <c r="HT165">
        <f>IF(AND(7&lt;=$B$12,$B$51&gt;0),$B$158+$B$156*((1*$B$5/2+0.6*$B$159)),NA())</f>
        <v>52.6</v>
      </c>
      <c r="KI165" t="e">
        <f>IF(AND($B$21=1,14*$B$67&gt;$B$59,14*$B$67&lt;$B$178-$B$59,OR($B$63=0,ABS(14*$B$67-$B$178/2)&gt;$B$59/2)),$B$182+$B$181*($B$177*2/4-$B$60/2),NA())</f>
        <v>#N/A</v>
      </c>
      <c r="KJ165" t="e">
        <f>IF(AND($B$21=1,14*$B$67&gt;$B$59,14*$B$67&lt;$B$178-$B$59,OR($B$63=0,ABS(14*$B$67-$B$178/2)&gt;$B$59/2)),$B$183+$B$181*(14*$B$67),NA())</f>
        <v>#N/A</v>
      </c>
    </row>
    <row r="166">
      <c r="A166" t="inlineStr">
        <is>
          <t>p6_zd</t>
        </is>
      </c>
      <c r="B166">
        <f>$B$165+$B$40</f>
        <v>0.45</v>
      </c>
      <c r="K166" t="e">
        <f>NA()</f>
        <v>#N/A</v>
      </c>
      <c r="L166" t="e">
        <f>NA()</f>
        <v>#N/A</v>
      </c>
      <c r="EA166" t="e">
        <f>NA()</f>
        <v>#N/A</v>
      </c>
      <c r="EB166" t="e">
        <f>NA()</f>
        <v>#N/A</v>
      </c>
      <c r="FE166" t="e">
        <f>IF(AND(AND($B$21=1,(11*$B$66)&lt;$B$62),(11*$B$66)&gt;=$B$94),$B$145+$B$144*($B$96),NA())</f>
        <v>#N/A</v>
      </c>
      <c r="FF166" t="e">
        <f>IF(AND(AND($B$21=1,(11*$B$66)&lt;$B$62),(11*$B$66)&gt;=$B$94),$B$146+$B$144*((11*$B$66)),NA())</f>
        <v>#N/A</v>
      </c>
      <c r="GG166" t="e">
        <f>IF(AND(AND($B$20=1,($B$19+10*$B$64)&lt;$B$10-0.3),($B$19+10*$B$64)&gt;=$B$125),$B$151+$B$150*(MAX(IF(($B$19+10*$B$64)&lt;=$B$9,0,(($B$19+10*$B$64)-$B$9)/$B$8),MIN(($B$5-IF(($B$19+10*$B$64)&lt;=$B$9,0,(($B$19+10*$B$64)-$B$9)/$B$8)),$B$127))),NA())</f>
        <v>#N/A</v>
      </c>
      <c r="GH166" t="e">
        <f>IF(AND(AND($B$20=1,($B$19+10*$B$64)&lt;$B$10-0.3),($B$19+10*$B$64)&gt;=$B$125),$B$152+$B$150*(($B$19+10*$B$64)),NA())</f>
        <v>#N/A</v>
      </c>
      <c r="GI166" t="e">
        <f>IF(AND(AND($B$21=1,(11*$B$66)&lt;IF($B$63=1,$B$10-0.2,$B$62)),(11*$B$66)&gt;=$B$125),$B$151+$B$150*(MAX(IF((11*$B$66)&lt;=$B$9,0,((11*$B$66)-$B$9)/$B$8),MIN(($B$5-IF((11*$B$66)&lt;=$B$9,0,((11*$B$66)-$B$9)/$B$8)),$B$127))),NA())</f>
        <v>#N/A</v>
      </c>
      <c r="GJ166" t="e">
        <f>IF(AND(AND($B$21=1,(11*$B$66)&lt;IF($B$63=1,$B$10-0.2,$B$62)),(11*$B$66)&gt;=$B$125),$B$152+$B$150*((11*$B$66)),NA())</f>
        <v>#N/A</v>
      </c>
      <c r="HI166" t="e">
        <f>NA()</f>
        <v>#N/A</v>
      </c>
      <c r="HJ166" t="e">
        <f>NA()</f>
        <v>#N/A</v>
      </c>
      <c r="HM166" t="e">
        <f>NA()</f>
        <v>#N/A</v>
      </c>
      <c r="HN166" t="e">
        <f>NA()</f>
        <v>#N/A</v>
      </c>
      <c r="HQ166" t="e">
        <f>NA()</f>
        <v>#N/A</v>
      </c>
      <c r="HR166" t="e">
        <f>NA()</f>
        <v>#N/A</v>
      </c>
      <c r="HS166" t="e">
        <f>NA()</f>
        <v>#N/A</v>
      </c>
      <c r="HT166" t="e">
        <f>NA()</f>
        <v>#N/A</v>
      </c>
      <c r="KI166" t="e">
        <f>NA()</f>
        <v>#N/A</v>
      </c>
      <c r="KJ166" t="e">
        <f>NA()</f>
        <v>#N/A</v>
      </c>
    </row>
    <row r="167">
      <c r="A167" t="inlineStr">
        <is>
          <t>p6_zsi</t>
        </is>
      </c>
      <c r="B167">
        <f>$B$161+$B$35</f>
        <v>-0.75</v>
      </c>
      <c r="K167" t="e">
        <f>IF(9&lt;=$B$12,$B$133+$B$132*($B$13*9-$B$27/2),NA())</f>
        <v>#N/A</v>
      </c>
      <c r="L167" t="e">
        <f>IF(9&lt;=$B$12,$B$134+$B$132*(0-$B$27/2),NA())</f>
        <v>#N/A</v>
      </c>
      <c r="EA167" t="e">
        <f>IF(AND($B$18=1,26&lt;=$B$26),$B$139+$B$138*(25*($B$5/MAX(1,$B$26))),NA())</f>
        <v>#N/A</v>
      </c>
      <c r="EB167" t="e">
        <f>IF(AND($B$18=1,26&lt;=$B$26),$B$140+$B$138*(IF(26&lt;=$B$26/2,($B$9+$B$8*MIN(25*($B$5/MAX(1,$B$26)),$B$5-(25*($B$5/MAX(1,$B$26))))),$B$7)),NA())</f>
        <v>#N/A</v>
      </c>
      <c r="FE167" t="e">
        <f>IF(AND($B$21=1,(11*$B$66)&lt;$B$62),$B$145+$B$144*(IF((11*$B$66)&lt;$B$94,$B$98,$B$96)),NA())</f>
        <v>#N/A</v>
      </c>
      <c r="FF167" t="e">
        <f>IF(AND($B$21=1,(11*$B$66)&lt;$B$62),$B$146+$B$144*((11*$B$66)),NA())</f>
        <v>#N/A</v>
      </c>
      <c r="GG167" t="e">
        <f>IF(AND($B$20=1,($B$19+10*$B$64)&lt;$B$10-0.3),$B$151+$B$150*(MAX(IF(($B$19+10*$B$64)&lt;=$B$9,0,(($B$19+10*$B$64)-$B$9)/$B$8),MIN(($B$5-IF(($B$19+10*$B$64)&lt;=$B$9,0,(($B$19+10*$B$64)-$B$9)/$B$8)),IF(($B$19+10*$B$64)&lt;$B$125,$B$129,$B$127)))),NA())</f>
        <v>#N/A</v>
      </c>
      <c r="GH167" t="e">
        <f>IF(AND($B$20=1,($B$19+10*$B$64)&lt;$B$10-0.3),$B$152+$B$150*(($B$19+10*$B$64)),NA())</f>
        <v>#N/A</v>
      </c>
      <c r="GI167" t="e">
        <f>IF(AND($B$21=1,(11*$B$66)&lt;IF($B$63=1,$B$10-0.2,$B$62)),$B$151+$B$150*(MAX(IF((11*$B$66)&lt;=$B$9,0,((11*$B$66)-$B$9)/$B$8),MIN(($B$5-IF((11*$B$66)&lt;=$B$9,0,((11*$B$66)-$B$9)/$B$8)),IF((11*$B$66)&lt;$B$125,$B$129,$B$127)))),NA())</f>
        <v>#N/A</v>
      </c>
      <c r="GJ167" t="e">
        <f>IF(AND($B$21=1,(11*$B$66)&lt;IF($B$63=1,$B$10-0.2,$B$62)),$B$152+$B$150*((11*$B$66)),NA())</f>
        <v>#N/A</v>
      </c>
      <c r="HI167" t="e">
        <f>IF(27&lt;=$B$16-1,$B$157+$B$156*(-$B$46),NA())</f>
        <v>#N/A</v>
      </c>
      <c r="HJ167" t="e">
        <f>IF(27&lt;=$B$16-1,$B$158+$B$156*(27*($B$5/2)/MAX(1,$B$16-1)),NA())</f>
        <v>#N/A</v>
      </c>
      <c r="HM167" t="e">
        <f>IF(AND(28&lt;=$B$12,1&lt;=$B$25),$B$157+$B$156*((28-1)*$B$13+1*$B$13/($B$25+1)),NA())</f>
        <v>#N/A</v>
      </c>
      <c r="HN167" t="e">
        <f>IF(AND(28&lt;=$B$12,1&lt;=$B$25),$B$158+$B$156*(0),NA())</f>
        <v>#N/A</v>
      </c>
      <c r="HQ167" t="e">
        <f>IF(AND(3&lt;=$B$23,4&lt;=$B$24),$B$157+$B$156*((IF(3=1,1,IF(3=$B$23,$B$12,5*(3-1)))-1)*$B$13),NA())</f>
        <v>#N/A</v>
      </c>
      <c r="HR167" t="e">
        <f>IF(AND(3&lt;=$B$23,4&lt;=$B$24),$B$158+$B$156*((0*$B$5/2+(4-1)*($B$5/2)/$B$24)),NA())</f>
        <v>#N/A</v>
      </c>
      <c r="HS167">
        <f>IF(AND(7&lt;=$B$12,$B$51&gt;0),$B$157+$B$156*(((7-0.5)*$B$13)-($B$51*$B$13)/2),NA())</f>
        <v>162.648142857143</v>
      </c>
      <c r="HT167">
        <f>IF(AND(7&lt;=$B$12,$B$51&gt;0),$B$158+$B$156*((1*$B$5/2+0.6*$B$159)),NA())</f>
        <v>52.6</v>
      </c>
      <c r="KI167" t="e">
        <f>IF(AND($B$21=1,14*$B$67&gt;$B$59,14*$B$67&lt;$B$178-$B$59,OR($B$63=0,ABS(14*$B$67-$B$178/2)&gt;$B$59/2)),$B$182+$B$181*($B$177*2/4+$B$60/2),NA())</f>
        <v>#N/A</v>
      </c>
      <c r="KJ167" t="e">
        <f>IF(AND($B$21=1,14*$B$67&gt;$B$59,14*$B$67&lt;$B$178-$B$59,OR($B$63=0,ABS(14*$B$67-$B$178/2)&gt;$B$59/2)),$B$183+$B$181*(14*$B$67),NA())</f>
        <v>#N/A</v>
      </c>
    </row>
    <row r="168">
      <c r="A168" t="inlineStr">
        <is>
          <t>p6_zft</t>
        </is>
      </c>
      <c r="B168">
        <f>$B$167+$B$36</f>
        <v>0.45</v>
      </c>
      <c r="K168" t="e">
        <f>IF(9&lt;=$B$12,$B$133+$B$132*($B$13*9+$B$27/2),NA())</f>
        <v>#N/A</v>
      </c>
      <c r="L168" t="e">
        <f>IF(9&lt;=$B$12,$B$134+$B$132*(0-$B$27/2),NA())</f>
        <v>#N/A</v>
      </c>
      <c r="EA168" t="e">
        <f>IF(AND($B$18=1,26&lt;=$B$26),$B$139+$B$138*(26*($B$5/MAX(1,$B$26))),NA())</f>
        <v>#N/A</v>
      </c>
      <c r="EB168" t="e">
        <f>IF(AND($B$18=1,26&lt;=$B$26),$B$140+$B$138*(IF(26&lt;=$B$26/2,$B$7,($B$9+$B$8*MIN(26*($B$5/MAX(1,$B$26)),$B$5-(26*($B$5/MAX(1,$B$26))))))),NA())</f>
        <v>#N/A</v>
      </c>
      <c r="FE168" t="e">
        <f>IF(AND($B$21=1,(11*$B$66)&lt;$B$62),$B$145+$B$144*($B$6),NA())</f>
        <v>#N/A</v>
      </c>
      <c r="FF168" t="e">
        <f>IF(AND($B$21=1,(11*$B$66)&lt;$B$62),$B$146+$B$144*((11*$B$66)),NA())</f>
        <v>#N/A</v>
      </c>
      <c r="GG168" t="e">
        <f>IF(AND($B$20=1,($B$19+10*$B$64)&lt;$B$10-0.3),$B$151+$B$150*(($B$5-IF(($B$19+10*$B$64)&lt;=$B$9,0,(($B$19+10*$B$64)-$B$9)/$B$8))),NA())</f>
        <v>#N/A</v>
      </c>
      <c r="GH168" t="e">
        <f>IF(AND($B$20=1,($B$19+10*$B$64)&lt;$B$10-0.3),$B$152+$B$150*(($B$19+10*$B$64)),NA())</f>
        <v>#N/A</v>
      </c>
      <c r="GI168" t="e">
        <f>IF(AND($B$21=1,(11*$B$66)&lt;IF($B$63=1,$B$10-0.2,$B$62)),$B$151+$B$150*(($B$5-IF((11*$B$66)&lt;=$B$9,0,((11*$B$66)-$B$9)/$B$8))),NA())</f>
        <v>#N/A</v>
      </c>
      <c r="GJ168" t="e">
        <f>IF(AND($B$21=1,(11*$B$66)&lt;IF($B$63=1,$B$10-0.2,$B$62)),$B$152+$B$150*((11*$B$66)),NA())</f>
        <v>#N/A</v>
      </c>
      <c r="HI168" t="e">
        <f>IF(27&lt;=$B$16-1,$B$157+$B$156*($B$6+$B$46),NA())</f>
        <v>#N/A</v>
      </c>
      <c r="HJ168" t="e">
        <f>IF(27&lt;=$B$16-1,$B$158+$B$156*(27*($B$5/2)/MAX(1,$B$16-1)),NA())</f>
        <v>#N/A</v>
      </c>
      <c r="HM168" t="e">
        <f>IF(AND(28&lt;=$B$12,1&lt;=$B$25),$B$157+$B$156*((28-1)*$B$13+1*$B$13/($B$25+1)),NA())</f>
        <v>#N/A</v>
      </c>
      <c r="HN168" t="e">
        <f>IF(AND(28&lt;=$B$12,1&lt;=$B$25),$B$158+$B$156*($B$5),NA())</f>
        <v>#N/A</v>
      </c>
      <c r="HQ168" t="e">
        <f>IF(AND(3&lt;=$B$23,4&lt;=$B$24),$B$157+$B$156*(IF(3=1,1,IF(3=$B$23,$B$12,5*(3-1)))*$B$13),NA())</f>
        <v>#N/A</v>
      </c>
      <c r="HR168" t="e">
        <f>IF(AND(3&lt;=$B$23,4&lt;=$B$24),$B$158+$B$156*((0*$B$5/2+4*($B$5/2)/$B$24)),NA())</f>
        <v>#N/A</v>
      </c>
      <c r="HS168">
        <f>IF(AND(7&lt;=$B$12,$B$51&gt;0),$B$157+$B$156*(((7-0.5)*$B$13)+($B$51*$B$13)/2),NA())</f>
        <v>164.819571428571</v>
      </c>
      <c r="HT168">
        <f>IF(AND(7&lt;=$B$12,$B$51&gt;0),$B$158+$B$156*((1*$B$5/2+0.6*$B$159)+(((1*$B$5/2+$B$5/2-0.6*$B$159))-((1*$B$5/2+0.6*$B$159)))/4),NA())</f>
        <v>61.8</v>
      </c>
      <c r="KI168" t="e">
        <f>IF(AND($B$21=1,14*$B$67&gt;$B$59,14*$B$67&lt;$B$178-$B$59,OR($B$63=0,ABS(14*$B$67-$B$178/2)&gt;$B$59/2)),$B$182+$B$181*($B$177*3/4-$B$60/2),NA())</f>
        <v>#N/A</v>
      </c>
      <c r="KJ168" t="e">
        <f>IF(AND($B$21=1,14*$B$67&gt;$B$59,14*$B$67&lt;$B$178-$B$59,OR($B$63=0,ABS(14*$B$67-$B$178/2)&gt;$B$59/2)),$B$183+$B$181*(14*$B$67),NA())</f>
        <v>#N/A</v>
      </c>
    </row>
    <row r="169">
      <c r="A169" t="inlineStr">
        <is>
          <t>p6_xB</t>
        </is>
      </c>
      <c r="B169">
        <f>$B$31/2+1.6+$B$27/2</f>
        <v>2.5</v>
      </c>
      <c r="K169" t="e">
        <f>IF(9&lt;=$B$12,$B$133+$B$132*($B$13*9+$B$27/2),NA())</f>
        <v>#N/A</v>
      </c>
      <c r="L169" t="e">
        <f>IF(9&lt;=$B$12,$B$134+$B$132*(0+$B$27/2),NA())</f>
        <v>#N/A</v>
      </c>
      <c r="EA169" t="e">
        <f>NA()</f>
        <v>#N/A</v>
      </c>
      <c r="EB169" t="e">
        <f>NA()</f>
        <v>#N/A</v>
      </c>
      <c r="FE169" t="e">
        <f>NA()</f>
        <v>#N/A</v>
      </c>
      <c r="FF169" t="e">
        <f>NA()</f>
        <v>#N/A</v>
      </c>
      <c r="GG169" t="e">
        <f>NA()</f>
        <v>#N/A</v>
      </c>
      <c r="GH169" t="e">
        <f>NA()</f>
        <v>#N/A</v>
      </c>
      <c r="GI169" t="e">
        <f>NA()</f>
        <v>#N/A</v>
      </c>
      <c r="GJ169" t="e">
        <f>NA()</f>
        <v>#N/A</v>
      </c>
      <c r="HI169" t="e">
        <f>NA()</f>
        <v>#N/A</v>
      </c>
      <c r="HJ169" t="e">
        <f>NA()</f>
        <v>#N/A</v>
      </c>
      <c r="HM169" t="e">
        <f>NA()</f>
        <v>#N/A</v>
      </c>
      <c r="HN169" t="e">
        <f>NA()</f>
        <v>#N/A</v>
      </c>
      <c r="HQ169" t="e">
        <f>NA()</f>
        <v>#N/A</v>
      </c>
      <c r="HR169" t="e">
        <f>NA()</f>
        <v>#N/A</v>
      </c>
      <c r="HS169">
        <f>IF(AND(7&lt;=$B$12,$B$51&gt;0),$B$157+$B$156*(((7-0.5)*$B$13)-($B$51*$B$13)/2),NA())</f>
        <v>162.648142857143</v>
      </c>
      <c r="HT169">
        <f>IF(AND(7&lt;=$B$12,$B$51&gt;0),$B$158+$B$156*((1*$B$5/2+0.6*$B$159)+(((1*$B$5/2+$B$5/2-0.6*$B$159))-((1*$B$5/2+0.6*$B$159)))/2),NA())</f>
        <v>71</v>
      </c>
      <c r="KI169" t="e">
        <f>NA()</f>
        <v>#N/A</v>
      </c>
      <c r="KJ169" t="e">
        <f>NA()</f>
        <v>#N/A</v>
      </c>
    </row>
    <row r="170">
      <c r="A170" t="inlineStr">
        <is>
          <t>p6_xE</t>
        </is>
      </c>
      <c r="B170">
        <f>$B$169+$B$27/2+0.8</f>
        <v>3.9</v>
      </c>
      <c r="K170" t="e">
        <f>IF(9&lt;=$B$12,$B$133+$B$132*($B$13*9-$B$27/2),NA())</f>
        <v>#N/A</v>
      </c>
      <c r="L170" t="e">
        <f>IF(9&lt;=$B$12,$B$134+$B$132*(0+$B$27/2),NA())</f>
        <v>#N/A</v>
      </c>
      <c r="EA170" t="e">
        <f>IF(AND($B$18=1,27&lt;=$B$26),$B$139+$B$138*(26*($B$5/MAX(1,$B$26))),NA())</f>
        <v>#N/A</v>
      </c>
      <c r="EB170" t="e">
        <f>IF(AND($B$18=1,27&lt;=$B$26),$B$140+$B$138*(IF(27&lt;=$B$26/2,($B$9+$B$8*MIN(26*($B$5/MAX(1,$B$26)),$B$5-(26*($B$5/MAX(1,$B$26))))),$B$7)),NA())</f>
        <v>#N/A</v>
      </c>
      <c r="FE170" t="e">
        <f>IF(AND($B$21=1,(12*$B$66)&lt;$B$62),$B$145+$B$144*(0),NA())</f>
        <v>#N/A</v>
      </c>
      <c r="FF170" t="e">
        <f>IF(AND($B$21=1,(12*$B$66)&lt;$B$62),$B$146+$B$144*((12*$B$66)),NA())</f>
        <v>#N/A</v>
      </c>
      <c r="GG170" t="e">
        <f>IF(AND($B$20=1,($B$19+11*$B$64)&lt;$B$10-0.3),$B$151+$B$150*(IF(($B$19+11*$B$64)&lt;=$B$9,0,(($B$19+11*$B$64)-$B$9)/$B$8)),NA())</f>
        <v>#N/A</v>
      </c>
      <c r="GH170" t="e">
        <f>IF(AND($B$20=1,($B$19+11*$B$64)&lt;$B$10-0.3),$B$152+$B$150*(($B$19+11*$B$64)),NA())</f>
        <v>#N/A</v>
      </c>
      <c r="GI170" t="e">
        <f>IF(AND($B$21=1,(12*$B$66)&lt;IF($B$63=1,$B$10-0.2,$B$62)),$B$151+$B$150*(IF((12*$B$66)&lt;=$B$9,0,((12*$B$66)-$B$9)/$B$8)),NA())</f>
        <v>#N/A</v>
      </c>
      <c r="GJ170" t="e">
        <f>IF(AND($B$21=1,(12*$B$66)&lt;IF($B$63=1,$B$10-0.2,$B$62)),$B$152+$B$150*((12*$B$66)),NA())</f>
        <v>#N/A</v>
      </c>
      <c r="HI170" t="e">
        <f>IF(27&lt;=$B$16-1,$B$157+$B$156*(-$B$46),NA())</f>
        <v>#N/A</v>
      </c>
      <c r="HJ170" t="e">
        <f>IF(27&lt;=$B$16-1,$B$158+$B$156*($B$5-27*($B$5/2)/MAX(1,$B$16-1)),NA())</f>
        <v>#N/A</v>
      </c>
      <c r="HM170" t="e">
        <f>IF(AND(28&lt;=$B$12,2&lt;=$B$25),$B$157+$B$156*((28-1)*$B$13+2*$B$13/($B$25+1)),NA())</f>
        <v>#N/A</v>
      </c>
      <c r="HN170" t="e">
        <f>IF(AND(28&lt;=$B$12,2&lt;=$B$25),$B$158+$B$156*(0),NA())</f>
        <v>#N/A</v>
      </c>
      <c r="HQ170" t="e">
        <f>IF(AND(3&lt;=$B$23,4&lt;=$B$24),$B$157+$B$156*((IF(3=1,1,IF(3=$B$23,$B$12,5*(3-1)))-1)*$B$13),NA())</f>
        <v>#N/A</v>
      </c>
      <c r="HR170" t="e">
        <f>IF(AND(3&lt;=$B$23,4&lt;=$B$24),$B$158+$B$156*((0*$B$5/2+4*($B$5/2)/$B$24)),NA())</f>
        <v>#N/A</v>
      </c>
      <c r="HS170">
        <f>IF(AND(7&lt;=$B$12,$B$51&gt;0),$B$157+$B$156*(((7-0.5)*$B$13)+($B$51*$B$13)/2),NA())</f>
        <v>164.819571428571</v>
      </c>
      <c r="HT170">
        <f>IF(AND(7&lt;=$B$12,$B$51&gt;0),$B$158+$B$156*((1*$B$5/2+0.6*$B$159)+3*(((1*$B$5/2+$B$5/2-0.6*$B$159))-((1*$B$5/2+0.6*$B$159)))/4),NA())</f>
        <v>80.2</v>
      </c>
      <c r="KI170" t="e">
        <f>IF(AND($B$21=1,14*$B$67&gt;$B$59,14*$B$67&lt;$B$178-$B$59,OR($B$63=0,ABS(14*$B$67-$B$178/2)&gt;$B$59/2)),$B$182+$B$181*($B$177*3/4+$B$60/2),NA())</f>
        <v>#N/A</v>
      </c>
      <c r="KJ170" t="e">
        <f>IF(AND($B$21=1,14*$B$67&gt;$B$59,14*$B$67&lt;$B$178-$B$59,OR($B$63=0,ABS(14*$B$67-$B$178/2)&gt;$B$59/2)),$B$183+$B$181*(14*$B$67),NA())</f>
        <v>#N/A</v>
      </c>
    </row>
    <row r="171">
      <c r="A171" t="inlineStr">
        <is>
          <t>d6_dx</t>
        </is>
      </c>
      <c r="B171">
        <f>MAX(0.001,($B$170)-(-$B$31/2-0.3))</f>
        <v>4.5</v>
      </c>
      <c r="K171" t="e">
        <f>IF(9&lt;=$B$12,$B$133+$B$132*($B$13*9-$B$27/2),NA())</f>
        <v>#N/A</v>
      </c>
      <c r="L171" t="e">
        <f>IF(9&lt;=$B$12,$B$134+$B$132*(0-$B$27/2),NA())</f>
        <v>#N/A</v>
      </c>
      <c r="EA171" t="e">
        <f>IF(AND($B$18=1,27&lt;=$B$26),$B$139+$B$138*(27*($B$5/MAX(1,$B$26))),NA())</f>
        <v>#N/A</v>
      </c>
      <c r="EB171" t="e">
        <f>IF(AND($B$18=1,27&lt;=$B$26),$B$140+$B$138*(IF(27&lt;=$B$26/2,$B$7,($B$9+$B$8*MIN(27*($B$5/MAX(1,$B$26)),$B$5-(27*($B$5/MAX(1,$B$26))))))),NA())</f>
        <v>#N/A</v>
      </c>
      <c r="FE171" t="e">
        <f>IF(AND($B$21=1,(12*$B$66)&lt;$B$62),$B$145+$B$144*(IF((12*$B$66)&lt;$B$73,$B$76,$B$75)),NA())</f>
        <v>#N/A</v>
      </c>
      <c r="FF171" t="e">
        <f>IF(AND($B$21=1,(12*$B$66)&lt;$B$62),$B$146+$B$144*((12*$B$66)),NA())</f>
        <v>#N/A</v>
      </c>
      <c r="GG171" t="e">
        <f>IF(AND($B$20=1,($B$19+11*$B$64)&lt;$B$10-0.3),$B$151+$B$150*(MAX(IF(($B$19+11*$B$64)&lt;=$B$9,0,(($B$19+11*$B$64)-$B$9)/$B$8),MIN(($B$5-IF(($B$19+11*$B$64)&lt;=$B$9,0,(($B$19+11*$B$64)-$B$9)/$B$8)),IF(($B$19+11*$B$64)&lt;$B$104,$B$107,$B$106)))),NA())</f>
        <v>#N/A</v>
      </c>
      <c r="GH171" t="e">
        <f>IF(AND($B$20=1,($B$19+11*$B$64)&lt;$B$10-0.3),$B$152+$B$150*(($B$19+11*$B$64)),NA())</f>
        <v>#N/A</v>
      </c>
      <c r="GI171" t="e">
        <f>IF(AND($B$21=1,(12*$B$66)&lt;IF($B$63=1,$B$10-0.2,$B$62)),$B$151+$B$150*(MAX(IF((12*$B$66)&lt;=$B$9,0,((12*$B$66)-$B$9)/$B$8),MIN(($B$5-IF((12*$B$66)&lt;=$B$9,0,((12*$B$66)-$B$9)/$B$8)),IF((12*$B$66)&lt;$B$104,$B$107,$B$106)))),NA())</f>
        <v>#N/A</v>
      </c>
      <c r="GJ171" t="e">
        <f>IF(AND($B$21=1,(12*$B$66)&lt;IF($B$63=1,$B$10-0.2,$B$62)),$B$152+$B$150*((12*$B$66)),NA())</f>
        <v>#N/A</v>
      </c>
      <c r="HI171" t="e">
        <f>IF(27&lt;=$B$16-1,$B$157+$B$156*($B$6+$B$46),NA())</f>
        <v>#N/A</v>
      </c>
      <c r="HJ171" t="e">
        <f>IF(27&lt;=$B$16-1,$B$158+$B$156*($B$5-27*($B$5/2)/MAX(1,$B$16-1)),NA())</f>
        <v>#N/A</v>
      </c>
      <c r="HM171" t="e">
        <f>IF(AND(28&lt;=$B$12,2&lt;=$B$25),$B$157+$B$156*((28-1)*$B$13+2*$B$13/($B$25+1)),NA())</f>
        <v>#N/A</v>
      </c>
      <c r="HN171" t="e">
        <f>IF(AND(28&lt;=$B$12,2&lt;=$B$25),$B$158+$B$156*($B$5),NA())</f>
        <v>#N/A</v>
      </c>
      <c r="HQ171" t="e">
        <f>IF(AND(3&lt;=$B$23,4&lt;=$B$24),$B$157+$B$156*(IF(3=1,1,IF(3=$B$23,$B$12,5*(3-1)))*$B$13),NA())</f>
        <v>#N/A</v>
      </c>
      <c r="HR171" t="e">
        <f>IF(AND(3&lt;=$B$23,4&lt;=$B$24),$B$158+$B$156*((0*$B$5/2+(4-1)*($B$5/2)/$B$24)),NA())</f>
        <v>#N/A</v>
      </c>
      <c r="HS171">
        <f>IF(AND(7&lt;=$B$12,$B$51&gt;0),$B$157+$B$156*(((7-0.5)*$B$13)-($B$51*$B$13)/2),NA())</f>
        <v>162.648142857143</v>
      </c>
      <c r="HT171">
        <f>IF(AND(7&lt;=$B$12,$B$51&gt;0),$B$158+$B$156*((1*$B$5/2+$B$5/2-0.6*$B$159)),NA())</f>
        <v>89.4</v>
      </c>
      <c r="KI171" t="e">
        <f>IF(AND($B$21=1,14*$B$67&gt;$B$59,14*$B$67&lt;$B$178-$B$59,OR($B$63=0,ABS(14*$B$67-$B$178/2)&gt;$B$59/2)),$B$182+$B$181*($B$177),NA())</f>
        <v>#N/A</v>
      </c>
      <c r="KJ171" t="e">
        <f>IF(AND($B$21=1,14*$B$67&gt;$B$59,14*$B$67&lt;$B$178-$B$59,OR($B$63=0,ABS(14*$B$67-$B$178/2)&gt;$B$59/2)),$B$183+$B$181*(14*$B$67),NA())</f>
        <v>#N/A</v>
      </c>
    </row>
    <row r="172">
      <c r="A172" t="inlineStr">
        <is>
          <t>d6_dy</t>
        </is>
      </c>
      <c r="B172">
        <f>MAX(0.001,(MAX($B$166,$B$168)+0.9)-($B$160-0.1))</f>
        <v>2.65</v>
      </c>
      <c r="K172" t="e">
        <f>NA()</f>
        <v>#N/A</v>
      </c>
      <c r="L172" t="e">
        <f>NA()</f>
        <v>#N/A</v>
      </c>
      <c r="EA172" t="e">
        <f>NA()</f>
        <v>#N/A</v>
      </c>
      <c r="EB172" t="e">
        <f>NA()</f>
        <v>#N/A</v>
      </c>
      <c r="FE172" t="e">
        <f>IF(AND(AND($B$21=1,(12*$B$66)&lt;$B$62),(12*$B$66)&gt;=$B$73),$B$145+$B$144*($B$75),NA())</f>
        <v>#N/A</v>
      </c>
      <c r="FF172" t="e">
        <f>IF(AND(AND($B$21=1,(12*$B$66)&lt;$B$62),(12*$B$66)&gt;=$B$73),$B$146+$B$144*((12*$B$66)),NA())</f>
        <v>#N/A</v>
      </c>
      <c r="GG172" t="e">
        <f>IF(AND(AND($B$20=1,($B$19+11*$B$64)&lt;$B$10-0.3),($B$19+11*$B$64)&gt;=$B$104),$B$151+$B$150*(MAX(IF(($B$19+11*$B$64)&lt;=$B$9,0,(($B$19+11*$B$64)-$B$9)/$B$8),MIN(($B$5-IF(($B$19+11*$B$64)&lt;=$B$9,0,(($B$19+11*$B$64)-$B$9)/$B$8)),$B$106))),NA())</f>
        <v>#N/A</v>
      </c>
      <c r="GH172" t="e">
        <f>IF(AND(AND($B$20=1,($B$19+11*$B$64)&lt;$B$10-0.3),($B$19+11*$B$64)&gt;=$B$104),$B$152+$B$150*(($B$19+11*$B$64)),NA())</f>
        <v>#N/A</v>
      </c>
      <c r="GI172" t="e">
        <f>IF(AND(AND($B$21=1,(12*$B$66)&lt;IF($B$63=1,$B$10-0.2,$B$62)),(12*$B$66)&gt;=$B$104),$B$151+$B$150*(MAX(IF((12*$B$66)&lt;=$B$9,0,((12*$B$66)-$B$9)/$B$8),MIN(($B$5-IF((12*$B$66)&lt;=$B$9,0,((12*$B$66)-$B$9)/$B$8)),$B$106))),NA())</f>
        <v>#N/A</v>
      </c>
      <c r="GJ172" t="e">
        <f>IF(AND(AND($B$21=1,(12*$B$66)&lt;IF($B$63=1,$B$10-0.2,$B$62)),(12*$B$66)&gt;=$B$104),$B$152+$B$150*((12*$B$66)),NA())</f>
        <v>#N/A</v>
      </c>
      <c r="HI172" t="e">
        <f>NA()</f>
        <v>#N/A</v>
      </c>
      <c r="HJ172" t="e">
        <f>NA()</f>
        <v>#N/A</v>
      </c>
      <c r="HM172" t="e">
        <f>NA()</f>
        <v>#N/A</v>
      </c>
      <c r="HN172" t="e">
        <f>NA()</f>
        <v>#N/A</v>
      </c>
      <c r="HQ172" t="e">
        <f>NA()</f>
        <v>#N/A</v>
      </c>
      <c r="HR172" t="e">
        <f>NA()</f>
        <v>#N/A</v>
      </c>
      <c r="HS172" t="e">
        <f>NA()</f>
        <v>#N/A</v>
      </c>
      <c r="HT172" t="e">
        <f>NA()</f>
        <v>#N/A</v>
      </c>
      <c r="KI172" t="e">
        <f>NA()</f>
        <v>#N/A</v>
      </c>
      <c r="KJ172" t="e">
        <f>NA()</f>
        <v>#N/A</v>
      </c>
    </row>
    <row r="173">
      <c r="A173" t="inlineStr">
        <is>
          <t>d6_s</t>
        </is>
      </c>
      <c r="B173">
        <f>MIN((193.182-16-62)/$B$171,(100-10-6)/$B$172)</f>
        <v>25.596</v>
      </c>
      <c r="K173" t="e">
        <f>IF(9&lt;=$B$12,$B$133+$B$132*($B$13*9-$B$27/2),NA())</f>
        <v>#N/A</v>
      </c>
      <c r="L173" t="e">
        <f>IF(9&lt;=$B$12,$B$134+$B$132*($B$5-$B$27/2),NA())</f>
        <v>#N/A</v>
      </c>
      <c r="EA173" t="e">
        <f>IF(AND($B$18=1,28&lt;=$B$26),$B$139+$B$138*(27*($B$5/MAX(1,$B$26))),NA())</f>
        <v>#N/A</v>
      </c>
      <c r="EB173" t="e">
        <f>IF(AND($B$18=1,28&lt;=$B$26),$B$140+$B$138*(IF(28&lt;=$B$26/2,($B$9+$B$8*MIN(27*($B$5/MAX(1,$B$26)),$B$5-(27*($B$5/MAX(1,$B$26))))),$B$7)),NA())</f>
        <v>#N/A</v>
      </c>
      <c r="FE173" t="e">
        <f>IF(AND($B$21=1,(12*$B$66)&lt;$B$62),$B$145+$B$144*(IF((12*$B$66)&lt;$B$73,$B$77,$B$75)),NA())</f>
        <v>#N/A</v>
      </c>
      <c r="FF173" t="e">
        <f>IF(AND($B$21=1,(12*$B$66)&lt;$B$62),$B$146+$B$144*((12*$B$66)),NA())</f>
        <v>#N/A</v>
      </c>
      <c r="GG173" t="e">
        <f>IF(AND($B$20=1,($B$19+11*$B$64)&lt;$B$10-0.3),$B$151+$B$150*(MAX(IF(($B$19+11*$B$64)&lt;=$B$9,0,(($B$19+11*$B$64)-$B$9)/$B$8),MIN(($B$5-IF(($B$19+11*$B$64)&lt;=$B$9,0,(($B$19+11*$B$64)-$B$9)/$B$8)),IF(($B$19+11*$B$64)&lt;$B$104,$B$108,$B$106)))),NA())</f>
        <v>#N/A</v>
      </c>
      <c r="GH173" t="e">
        <f>IF(AND($B$20=1,($B$19+11*$B$64)&lt;$B$10-0.3),$B$152+$B$150*(($B$19+11*$B$64)),NA())</f>
        <v>#N/A</v>
      </c>
      <c r="GI173" t="e">
        <f>IF(AND($B$21=1,(12*$B$66)&lt;IF($B$63=1,$B$10-0.2,$B$62)),$B$151+$B$150*(MAX(IF((12*$B$66)&lt;=$B$9,0,((12*$B$66)-$B$9)/$B$8),MIN(($B$5-IF((12*$B$66)&lt;=$B$9,0,((12*$B$66)-$B$9)/$B$8)),IF((12*$B$66)&lt;$B$104,$B$108,$B$106)))),NA())</f>
        <v>#N/A</v>
      </c>
      <c r="GJ173" t="e">
        <f>IF(AND($B$21=1,(12*$B$66)&lt;IF($B$63=1,$B$10-0.2,$B$62)),$B$152+$B$150*((12*$B$66)),NA())</f>
        <v>#N/A</v>
      </c>
      <c r="HI173" t="e">
        <f>IF(28&lt;=$B$16-1,$B$157+$B$156*(-$B$46),NA())</f>
        <v>#N/A</v>
      </c>
      <c r="HJ173" t="e">
        <f>IF(28&lt;=$B$16-1,$B$158+$B$156*(28*($B$5/2)/MAX(1,$B$16-1)),NA())</f>
        <v>#N/A</v>
      </c>
      <c r="HM173" t="e">
        <f>IF(AND(29&lt;=$B$12,1&lt;=$B$25),$B$157+$B$156*((29-1)*$B$13+1*$B$13/($B$25+1)),NA())</f>
        <v>#N/A</v>
      </c>
      <c r="HN173" t="e">
        <f>IF(AND(29&lt;=$B$12,1&lt;=$B$25),$B$158+$B$156*(0),NA())</f>
        <v>#N/A</v>
      </c>
      <c r="HQ173" t="e">
        <f>IF(AND(3&lt;=$B$23,5&lt;=$B$24),$B$157+$B$156*((IF(3=1,1,IF(3=$B$23,$B$12,5*(3-1)))-1)*$B$13),NA())</f>
        <v>#N/A</v>
      </c>
      <c r="HR173" t="e">
        <f>IF(AND(3&lt;=$B$23,5&lt;=$B$24),$B$158+$B$156*((0*$B$5/2+(5-1)*($B$5/2)/$B$24)),NA())</f>
        <v>#N/A</v>
      </c>
      <c r="HS173" t="e">
        <f>IF(AND(8&lt;=$B$12,$B$51&gt;0),$B$157+$B$156*(((8-0.5)*$B$13)-($B$51*$B$13)/2),NA())</f>
        <v>#N/A</v>
      </c>
      <c r="HT173" t="e">
        <f>IF(AND(8&lt;=$B$12,$B$51&gt;0),$B$158+$B$156*((0*$B$5/2+0.6*$B$159)),NA())</f>
        <v>#N/A</v>
      </c>
      <c r="KI173" t="e">
        <f>IF(AND($B$21=1,15*$B$67&gt;$B$59,15*$B$67&lt;$B$178-$B$59,OR($B$63=0,ABS(15*$B$67-$B$178/2)&gt;$B$59/2)),$B$182+$B$181*(0),NA())</f>
        <v>#N/A</v>
      </c>
      <c r="KJ173" t="e">
        <f>IF(AND($B$21=1,15*$B$67&gt;$B$59,15*$B$67&lt;$B$178-$B$59,OR($B$63=0,ABS(15*$B$67-$B$178/2)&gt;$B$59/2)),$B$183+$B$181*(15*$B$67),NA())</f>
        <v>#N/A</v>
      </c>
    </row>
    <row r="174">
      <c r="A174" t="inlineStr">
        <is>
          <t>d6_ox</t>
        </is>
      </c>
      <c r="B174">
        <f>16+((193.182-16-62)-$B$173*$B$171)/2-$B$173*(-$B$31/2-0.3)</f>
        <v>31.3576</v>
      </c>
      <c r="K174" t="e">
        <f>IF(9&lt;=$B$12,$B$133+$B$132*($B$13*9+$B$27/2),NA())</f>
        <v>#N/A</v>
      </c>
      <c r="L174" t="e">
        <f>IF(9&lt;=$B$12,$B$134+$B$132*($B$5-$B$27/2),NA())</f>
        <v>#N/A</v>
      </c>
      <c r="EA174" t="e">
        <f>IF(AND($B$18=1,28&lt;=$B$26),$B$139+$B$138*(28*($B$5/MAX(1,$B$26))),NA())</f>
        <v>#N/A</v>
      </c>
      <c r="EB174" t="e">
        <f>IF(AND($B$18=1,28&lt;=$B$26),$B$140+$B$138*(IF(28&lt;=$B$26/2,$B$7,($B$9+$B$8*MIN(28*($B$5/MAX(1,$B$26)),$B$5-(28*($B$5/MAX(1,$B$26))))))),NA())</f>
        <v>#N/A</v>
      </c>
      <c r="FE174" t="e">
        <f>IF(AND($B$21=1,(12*$B$66)&lt;$B$62),$B$145+$B$144*(IF((12*$B$66)&lt;$B$80,$B$83,$B$82)),NA())</f>
        <v>#N/A</v>
      </c>
      <c r="FF174" t="e">
        <f>IF(AND($B$21=1,(12*$B$66)&lt;$B$62),$B$146+$B$144*((12*$B$66)),NA())</f>
        <v>#N/A</v>
      </c>
      <c r="GG174" t="e">
        <f>IF(AND($B$20=1,($B$19+11*$B$64)&lt;$B$10-0.3),$B$151+$B$150*(MAX(IF(($B$19+11*$B$64)&lt;=$B$9,0,(($B$19+11*$B$64)-$B$9)/$B$8),MIN(($B$5-IF(($B$19+11*$B$64)&lt;=$B$9,0,(($B$19+11*$B$64)-$B$9)/$B$8)),IF(($B$19+11*$B$64)&lt;$B$111,$B$114,$B$113)))),NA())</f>
        <v>#N/A</v>
      </c>
      <c r="GH174" t="e">
        <f>IF(AND($B$20=1,($B$19+11*$B$64)&lt;$B$10-0.3),$B$152+$B$150*(($B$19+11*$B$64)),NA())</f>
        <v>#N/A</v>
      </c>
      <c r="GI174" t="e">
        <f>IF(AND($B$21=1,(12*$B$66)&lt;IF($B$63=1,$B$10-0.2,$B$62)),$B$151+$B$150*(MAX(IF((12*$B$66)&lt;=$B$9,0,((12*$B$66)-$B$9)/$B$8),MIN(($B$5-IF((12*$B$66)&lt;=$B$9,0,((12*$B$66)-$B$9)/$B$8)),IF((12*$B$66)&lt;$B$111,$B$114,$B$113)))),NA())</f>
        <v>#N/A</v>
      </c>
      <c r="GJ174" t="e">
        <f>IF(AND($B$21=1,(12*$B$66)&lt;IF($B$63=1,$B$10-0.2,$B$62)),$B$152+$B$150*((12*$B$66)),NA())</f>
        <v>#N/A</v>
      </c>
      <c r="HI174" t="e">
        <f>IF(28&lt;=$B$16-1,$B$157+$B$156*($B$6+$B$46),NA())</f>
        <v>#N/A</v>
      </c>
      <c r="HJ174" t="e">
        <f>IF(28&lt;=$B$16-1,$B$158+$B$156*(28*($B$5/2)/MAX(1,$B$16-1)),NA())</f>
        <v>#N/A</v>
      </c>
      <c r="HM174" t="e">
        <f>IF(AND(29&lt;=$B$12,1&lt;=$B$25),$B$157+$B$156*((29-1)*$B$13+1*$B$13/($B$25+1)),NA())</f>
        <v>#N/A</v>
      </c>
      <c r="HN174" t="e">
        <f>IF(AND(29&lt;=$B$12,1&lt;=$B$25),$B$158+$B$156*($B$5),NA())</f>
        <v>#N/A</v>
      </c>
      <c r="HQ174" t="e">
        <f>IF(AND(3&lt;=$B$23,5&lt;=$B$24),$B$157+$B$156*(IF(3=1,1,IF(3=$B$23,$B$12,5*(3-1)))*$B$13),NA())</f>
        <v>#N/A</v>
      </c>
      <c r="HR174" t="e">
        <f>IF(AND(3&lt;=$B$23,5&lt;=$B$24),$B$158+$B$156*((0*$B$5/2+5*($B$5/2)/$B$24)),NA())</f>
        <v>#N/A</v>
      </c>
      <c r="HS174" t="e">
        <f>IF(AND(8&lt;=$B$12,$B$51&gt;0),$B$157+$B$156*(((8-0.5)*$B$13)+($B$51*$B$13)/2),NA())</f>
        <v>#N/A</v>
      </c>
      <c r="HT174" t="e">
        <f>IF(AND(8&lt;=$B$12,$B$51&gt;0),$B$158+$B$156*((0*$B$5/2+0.6*$B$159)),NA())</f>
        <v>#N/A</v>
      </c>
      <c r="KI174" t="e">
        <f>IF(AND($B$21=1,15*$B$67&gt;$B$59,15*$B$67&lt;$B$178-$B$59,OR($B$63=0,ABS(15*$B$67-$B$178/2)&gt;$B$59/2)),$B$182+$B$181*($B$177*1/4-$B$60/2),NA())</f>
        <v>#N/A</v>
      </c>
      <c r="KJ174" t="e">
        <f>IF(AND($B$21=1,15*$B$67&gt;$B$59,15*$B$67&lt;$B$178-$B$59,OR($B$63=0,ABS(15*$B$67-$B$178/2)&gt;$B$59/2)),$B$183+$B$181*(15*$B$67),NA())</f>
        <v>#N/A</v>
      </c>
    </row>
    <row r="175">
      <c r="A175" t="inlineStr">
        <is>
          <t>d6_oy</t>
        </is>
      </c>
      <c r="B175">
        <f>10+((100-10-6)-$B$173*$B$172)/2-$B$173*($B$160-0.1)</f>
        <v>51.3601</v>
      </c>
      <c r="K175" t="e">
        <f>IF(9&lt;=$B$12,$B$133+$B$132*($B$13*9+$B$27/2),NA())</f>
        <v>#N/A</v>
      </c>
      <c r="L175" t="e">
        <f>IF(9&lt;=$B$12,$B$134+$B$132*($B$5+$B$27/2),NA())</f>
        <v>#N/A</v>
      </c>
      <c r="EA175" t="e">
        <f>NA()</f>
        <v>#N/A</v>
      </c>
      <c r="EB175" t="e">
        <f>NA()</f>
        <v>#N/A</v>
      </c>
      <c r="FE175" t="e">
        <f>IF(AND(AND($B$21=1,(12*$B$66)&lt;$B$62),(12*$B$66)&gt;=$B$80),$B$145+$B$144*($B$82),NA())</f>
        <v>#N/A</v>
      </c>
      <c r="FF175" t="e">
        <f>IF(AND(AND($B$21=1,(12*$B$66)&lt;$B$62),(12*$B$66)&gt;=$B$80),$B$146+$B$144*((12*$B$66)),NA())</f>
        <v>#N/A</v>
      </c>
      <c r="GG175" t="e">
        <f>IF(AND(AND($B$20=1,($B$19+11*$B$64)&lt;$B$10-0.3),($B$19+11*$B$64)&gt;=$B$111),$B$151+$B$150*(MAX(IF(($B$19+11*$B$64)&lt;=$B$9,0,(($B$19+11*$B$64)-$B$9)/$B$8),MIN(($B$5-IF(($B$19+11*$B$64)&lt;=$B$9,0,(($B$19+11*$B$64)-$B$9)/$B$8)),$B$113))),NA())</f>
        <v>#N/A</v>
      </c>
      <c r="GH175" t="e">
        <f>IF(AND(AND($B$20=1,($B$19+11*$B$64)&lt;$B$10-0.3),($B$19+11*$B$64)&gt;=$B$111),$B$152+$B$150*(($B$19+11*$B$64)),NA())</f>
        <v>#N/A</v>
      </c>
      <c r="GI175" t="e">
        <f>IF(AND(AND($B$21=1,(12*$B$66)&lt;IF($B$63=1,$B$10-0.2,$B$62)),(12*$B$66)&gt;=$B$111),$B$151+$B$150*(MAX(IF((12*$B$66)&lt;=$B$9,0,((12*$B$66)-$B$9)/$B$8),MIN(($B$5-IF((12*$B$66)&lt;=$B$9,0,((12*$B$66)-$B$9)/$B$8)),$B$113))),NA())</f>
        <v>#N/A</v>
      </c>
      <c r="GJ175" t="e">
        <f>IF(AND(AND($B$21=1,(12*$B$66)&lt;IF($B$63=1,$B$10-0.2,$B$62)),(12*$B$66)&gt;=$B$111),$B$152+$B$150*((12*$B$66)),NA())</f>
        <v>#N/A</v>
      </c>
      <c r="HI175" t="e">
        <f>NA()</f>
        <v>#N/A</v>
      </c>
      <c r="HJ175" t="e">
        <f>NA()</f>
        <v>#N/A</v>
      </c>
      <c r="HM175" t="e">
        <f>NA()</f>
        <v>#N/A</v>
      </c>
      <c r="HN175" t="e">
        <f>NA()</f>
        <v>#N/A</v>
      </c>
      <c r="HQ175" t="e">
        <f>NA()</f>
        <v>#N/A</v>
      </c>
      <c r="HR175" t="e">
        <f>NA()</f>
        <v>#N/A</v>
      </c>
      <c r="HS175" t="e">
        <f>IF(AND(8&lt;=$B$12,$B$51&gt;0),$B$157+$B$156*(((8-0.5)*$B$13)+($B$51*$B$13)/2),NA())</f>
        <v>#N/A</v>
      </c>
      <c r="HT175" t="e">
        <f>IF(AND(8&lt;=$B$12,$B$51&gt;0),$B$158+$B$156*((0*$B$5/2+$B$5/2-0.6*$B$159)),NA())</f>
        <v>#N/A</v>
      </c>
      <c r="KI175" t="e">
        <f>NA()</f>
        <v>#N/A</v>
      </c>
      <c r="KJ175" t="e">
        <f>NA()</f>
        <v>#N/A</v>
      </c>
    </row>
    <row r="176">
      <c r="A176" t="inlineStr">
        <is>
          <t>d6_u</t>
        </is>
      </c>
      <c r="B176">
        <f>1/$B$173</f>
        <v>0.0390686044694484</v>
      </c>
      <c r="K176" t="e">
        <f>IF(9&lt;=$B$12,$B$133+$B$132*($B$13*9-$B$27/2),NA())</f>
        <v>#N/A</v>
      </c>
      <c r="L176" t="e">
        <f>IF(9&lt;=$B$12,$B$134+$B$132*($B$5+$B$27/2),NA())</f>
        <v>#N/A</v>
      </c>
      <c r="EA176" t="e">
        <f>IF(AND($B$18=1,29&lt;=$B$26),$B$139+$B$138*(28*($B$5/MAX(1,$B$26))),NA())</f>
        <v>#N/A</v>
      </c>
      <c r="EB176" t="e">
        <f>IF(AND($B$18=1,29&lt;=$B$26),$B$140+$B$138*(IF(29&lt;=$B$26/2,($B$9+$B$8*MIN(28*($B$5/MAX(1,$B$26)),$B$5-(28*($B$5/MAX(1,$B$26))))),$B$7)),NA())</f>
        <v>#N/A</v>
      </c>
      <c r="FE176" t="e">
        <f>IF(AND($B$21=1,(12*$B$66)&lt;$B$62),$B$145+$B$144*(IF((12*$B$66)&lt;$B$80,$B$84,$B$82)),NA())</f>
        <v>#N/A</v>
      </c>
      <c r="FF176" t="e">
        <f>IF(AND($B$21=1,(12*$B$66)&lt;$B$62),$B$146+$B$144*((12*$B$66)),NA())</f>
        <v>#N/A</v>
      </c>
      <c r="GG176" t="e">
        <f>IF(AND($B$20=1,($B$19+11*$B$64)&lt;$B$10-0.3),$B$151+$B$150*(MAX(IF(($B$19+11*$B$64)&lt;=$B$9,0,(($B$19+11*$B$64)-$B$9)/$B$8),MIN(($B$5-IF(($B$19+11*$B$64)&lt;=$B$9,0,(($B$19+11*$B$64)-$B$9)/$B$8)),IF(($B$19+11*$B$64)&lt;$B$111,$B$115,$B$113)))),NA())</f>
        <v>#N/A</v>
      </c>
      <c r="GH176" t="e">
        <f>IF(AND($B$20=1,($B$19+11*$B$64)&lt;$B$10-0.3),$B$152+$B$150*(($B$19+11*$B$64)),NA())</f>
        <v>#N/A</v>
      </c>
      <c r="GI176" t="e">
        <f>IF(AND($B$21=1,(12*$B$66)&lt;IF($B$63=1,$B$10-0.2,$B$62)),$B$151+$B$150*(MAX(IF((12*$B$66)&lt;=$B$9,0,((12*$B$66)-$B$9)/$B$8),MIN(($B$5-IF((12*$B$66)&lt;=$B$9,0,((12*$B$66)-$B$9)/$B$8)),IF((12*$B$66)&lt;$B$111,$B$115,$B$113)))),NA())</f>
        <v>#N/A</v>
      </c>
      <c r="GJ176" t="e">
        <f>IF(AND($B$21=1,(12*$B$66)&lt;IF($B$63=1,$B$10-0.2,$B$62)),$B$152+$B$150*((12*$B$66)),NA())</f>
        <v>#N/A</v>
      </c>
      <c r="HI176" t="e">
        <f>IF(28&lt;=$B$16-1,$B$157+$B$156*(-$B$46),NA())</f>
        <v>#N/A</v>
      </c>
      <c r="HJ176" t="e">
        <f>IF(28&lt;=$B$16-1,$B$158+$B$156*($B$5-28*($B$5/2)/MAX(1,$B$16-1)),NA())</f>
        <v>#N/A</v>
      </c>
      <c r="HM176" t="e">
        <f>IF(AND(29&lt;=$B$12,2&lt;=$B$25),$B$157+$B$156*((29-1)*$B$13+2*$B$13/($B$25+1)),NA())</f>
        <v>#N/A</v>
      </c>
      <c r="HN176" t="e">
        <f>IF(AND(29&lt;=$B$12,2&lt;=$B$25),$B$158+$B$156*(0),NA())</f>
        <v>#N/A</v>
      </c>
      <c r="HQ176" t="e">
        <f>IF(AND(3&lt;=$B$23,5&lt;=$B$24),$B$157+$B$156*((IF(3=1,1,IF(3=$B$23,$B$12,5*(3-1)))-1)*$B$13),NA())</f>
        <v>#N/A</v>
      </c>
      <c r="HR176" t="e">
        <f>IF(AND(3&lt;=$B$23,5&lt;=$B$24),$B$158+$B$156*((0*$B$5/2+5*($B$5/2)/$B$24)),NA())</f>
        <v>#N/A</v>
      </c>
      <c r="HS176" t="e">
        <f>IF(AND(8&lt;=$B$12,$B$51&gt;0),$B$157+$B$156*(((8-0.5)*$B$13)-($B$51*$B$13)/2),NA())</f>
        <v>#N/A</v>
      </c>
      <c r="HT176" t="e">
        <f>IF(AND(8&lt;=$B$12,$B$51&gt;0),$B$158+$B$156*((0*$B$5/2+$B$5/2-0.6*$B$159)),NA())</f>
        <v>#N/A</v>
      </c>
      <c r="KI176" t="e">
        <f>IF(AND($B$21=1,15*$B$67&gt;$B$59,15*$B$67&lt;$B$178-$B$59,OR($B$63=0,ABS(15*$B$67-$B$178/2)&gt;$B$59/2)),$B$182+$B$181*($B$177*1/4+$B$60/2),NA())</f>
        <v>#N/A</v>
      </c>
      <c r="KJ176" t="e">
        <f>IF(AND($B$21=1,15*$B$67&gt;$B$59,15*$B$67&lt;$B$178-$B$59,OR($B$63=0,ABS(15*$B$67-$B$178/2)&gt;$B$59/2)),$B$183+$B$181*(15*$B$67),NA())</f>
        <v>#N/A</v>
      </c>
    </row>
    <row r="177">
      <c r="A177" t="inlineStr">
        <is>
          <t>p7_e</t>
        </is>
      </c>
      <c r="B177">
        <f>$B$13</f>
        <v>5.71428571428571</v>
      </c>
      <c r="K177" t="e">
        <f>IF(9&lt;=$B$12,$B$133+$B$132*($B$13*9-$B$27/2),NA())</f>
        <v>#N/A</v>
      </c>
      <c r="L177" t="e">
        <f>IF(9&lt;=$B$12,$B$134+$B$132*($B$5-$B$27/2),NA())</f>
        <v>#N/A</v>
      </c>
      <c r="EA177" t="e">
        <f>IF(AND($B$18=1,29&lt;=$B$26),$B$139+$B$138*(29*($B$5/MAX(1,$B$26))),NA())</f>
        <v>#N/A</v>
      </c>
      <c r="EB177" t="e">
        <f>IF(AND($B$18=1,29&lt;=$B$26),$B$140+$B$138*(IF(29&lt;=$B$26/2,$B$7,($B$9+$B$8*MIN(29*($B$5/MAX(1,$B$26)),$B$5-(29*($B$5/MAX(1,$B$26))))))),NA())</f>
        <v>#N/A</v>
      </c>
      <c r="FE177" t="e">
        <f>IF(AND($B$21=1,(12*$B$66)&lt;$B$62),$B$145+$B$144*(IF((12*$B$66)&lt;$B$87,$B$90,$B$89)),NA())</f>
        <v>#N/A</v>
      </c>
      <c r="FF177" t="e">
        <f>IF(AND($B$21=1,(12*$B$66)&lt;$B$62),$B$146+$B$144*((12*$B$66)),NA())</f>
        <v>#N/A</v>
      </c>
      <c r="GG177" t="e">
        <f>IF(AND($B$20=1,($B$19+11*$B$64)&lt;$B$10-0.3),$B$151+$B$150*(MAX(IF(($B$19+11*$B$64)&lt;=$B$9,0,(($B$19+11*$B$64)-$B$9)/$B$8),MIN(($B$5-IF(($B$19+11*$B$64)&lt;=$B$9,0,(($B$19+11*$B$64)-$B$9)/$B$8)),IF(($B$19+11*$B$64)&lt;$B$118,$B$121,$B$120)))),NA())</f>
        <v>#N/A</v>
      </c>
      <c r="GH177" t="e">
        <f>IF(AND($B$20=1,($B$19+11*$B$64)&lt;$B$10-0.3),$B$152+$B$150*(($B$19+11*$B$64)),NA())</f>
        <v>#N/A</v>
      </c>
      <c r="GI177" t="e">
        <f>IF(AND($B$21=1,(12*$B$66)&lt;IF($B$63=1,$B$10-0.2,$B$62)),$B$151+$B$150*(MAX(IF((12*$B$66)&lt;=$B$9,0,((12*$B$66)-$B$9)/$B$8),MIN(($B$5-IF((12*$B$66)&lt;=$B$9,0,((12*$B$66)-$B$9)/$B$8)),IF((12*$B$66)&lt;$B$118,$B$121,$B$120)))),NA())</f>
        <v>#N/A</v>
      </c>
      <c r="GJ177" t="e">
        <f>IF(AND($B$21=1,(12*$B$66)&lt;IF($B$63=1,$B$10-0.2,$B$62)),$B$152+$B$150*((12*$B$66)),NA())</f>
        <v>#N/A</v>
      </c>
      <c r="HI177" t="e">
        <f>IF(28&lt;=$B$16-1,$B$157+$B$156*($B$6+$B$46),NA())</f>
        <v>#N/A</v>
      </c>
      <c r="HJ177" t="e">
        <f>IF(28&lt;=$B$16-1,$B$158+$B$156*($B$5-28*($B$5/2)/MAX(1,$B$16-1)),NA())</f>
        <v>#N/A</v>
      </c>
      <c r="HM177" t="e">
        <f>IF(AND(29&lt;=$B$12,2&lt;=$B$25),$B$157+$B$156*((29-1)*$B$13+2*$B$13/($B$25+1)),NA())</f>
        <v>#N/A</v>
      </c>
      <c r="HN177" t="e">
        <f>IF(AND(29&lt;=$B$12,2&lt;=$B$25),$B$158+$B$156*($B$5),NA())</f>
        <v>#N/A</v>
      </c>
      <c r="HQ177" t="e">
        <f>IF(AND(3&lt;=$B$23,5&lt;=$B$24),$B$157+$B$156*(IF(3=1,1,IF(3=$B$23,$B$12,5*(3-1)))*$B$13),NA())</f>
        <v>#N/A</v>
      </c>
      <c r="HR177" t="e">
        <f>IF(AND(3&lt;=$B$23,5&lt;=$B$24),$B$158+$B$156*((0*$B$5/2+(5-1)*($B$5/2)/$B$24)),NA())</f>
        <v>#N/A</v>
      </c>
      <c r="HS177" t="e">
        <f>IF(AND(8&lt;=$B$12,$B$51&gt;0),$B$157+$B$156*(((8-0.5)*$B$13)-($B$51*$B$13)/2),NA())</f>
        <v>#N/A</v>
      </c>
      <c r="HT177" t="e">
        <f>IF(AND(8&lt;=$B$12,$B$51&gt;0),$B$158+$B$156*((0*$B$5/2+0.6*$B$159)),NA())</f>
        <v>#N/A</v>
      </c>
      <c r="KI177" t="e">
        <f>IF(AND($B$21=1,15*$B$67&gt;$B$59,15*$B$67&lt;$B$178-$B$59,OR($B$63=0,ABS(15*$B$67-$B$178/2)&gt;$B$59/2)),$B$182+$B$181*($B$177*2/4-$B$60/2),NA())</f>
        <v>#N/A</v>
      </c>
      <c r="KJ177" t="e">
        <f>IF(AND($B$21=1,15*$B$67&gt;$B$59,15*$B$67&lt;$B$178-$B$59,OR($B$63=0,ABS(15*$B$67-$B$178/2)&gt;$B$59/2)),$B$183+$B$181*(15*$B$67),NA())</f>
        <v>#N/A</v>
      </c>
    </row>
    <row r="178">
      <c r="A178" t="inlineStr">
        <is>
          <t>p7_h</t>
        </is>
      </c>
      <c r="B178">
        <f>MAX(0.5,$B$62)</f>
        <v>0.5</v>
      </c>
      <c r="K178" t="e">
        <f>NA()</f>
        <v>#N/A</v>
      </c>
      <c r="L178" t="e">
        <f>NA()</f>
        <v>#N/A</v>
      </c>
      <c r="EA178" t="e">
        <f>NA()</f>
        <v>#N/A</v>
      </c>
      <c r="EB178" t="e">
        <f>NA()</f>
        <v>#N/A</v>
      </c>
      <c r="FE178" t="e">
        <f>IF(AND(AND($B$21=1,(12*$B$66)&lt;$B$62),(12*$B$66)&gt;=$B$87),$B$145+$B$144*($B$89),NA())</f>
        <v>#N/A</v>
      </c>
      <c r="FF178" t="e">
        <f>IF(AND(AND($B$21=1,(12*$B$66)&lt;$B$62),(12*$B$66)&gt;=$B$87),$B$146+$B$144*((12*$B$66)),NA())</f>
        <v>#N/A</v>
      </c>
      <c r="GG178" t="e">
        <f>IF(AND(AND($B$20=1,($B$19+11*$B$64)&lt;$B$10-0.3),($B$19+11*$B$64)&gt;=$B$118),$B$151+$B$150*(MAX(IF(($B$19+11*$B$64)&lt;=$B$9,0,(($B$19+11*$B$64)-$B$9)/$B$8),MIN(($B$5-IF(($B$19+11*$B$64)&lt;=$B$9,0,(($B$19+11*$B$64)-$B$9)/$B$8)),$B$120))),NA())</f>
        <v>#N/A</v>
      </c>
      <c r="GH178" t="e">
        <f>IF(AND(AND($B$20=1,($B$19+11*$B$64)&lt;$B$10-0.3),($B$19+11*$B$64)&gt;=$B$118),$B$152+$B$150*(($B$19+11*$B$64)),NA())</f>
        <v>#N/A</v>
      </c>
      <c r="GI178" t="e">
        <f>IF(AND(AND($B$21=1,(12*$B$66)&lt;IF($B$63=1,$B$10-0.2,$B$62)),(12*$B$66)&gt;=$B$118),$B$151+$B$150*(MAX(IF((12*$B$66)&lt;=$B$9,0,((12*$B$66)-$B$9)/$B$8),MIN(($B$5-IF((12*$B$66)&lt;=$B$9,0,((12*$B$66)-$B$9)/$B$8)),$B$120))),NA())</f>
        <v>#N/A</v>
      </c>
      <c r="GJ178" t="e">
        <f>IF(AND(AND($B$21=1,(12*$B$66)&lt;IF($B$63=1,$B$10-0.2,$B$62)),(12*$B$66)&gt;=$B$118),$B$152+$B$150*((12*$B$66)),NA())</f>
        <v>#N/A</v>
      </c>
      <c r="HI178" t="e">
        <f>NA()</f>
        <v>#N/A</v>
      </c>
      <c r="HJ178" t="e">
        <f>NA()</f>
        <v>#N/A</v>
      </c>
      <c r="HM178" t="e">
        <f>NA()</f>
        <v>#N/A</v>
      </c>
      <c r="HN178" t="e">
        <f>NA()</f>
        <v>#N/A</v>
      </c>
      <c r="HQ178" t="e">
        <f>NA()</f>
        <v>#N/A</v>
      </c>
      <c r="HR178" t="e">
        <f>NA()</f>
        <v>#N/A</v>
      </c>
      <c r="HS178" t="e">
        <f>NA()</f>
        <v>#N/A</v>
      </c>
      <c r="HT178" t="e">
        <f>NA()</f>
        <v>#N/A</v>
      </c>
      <c r="KI178" t="e">
        <f>NA()</f>
        <v>#N/A</v>
      </c>
      <c r="KJ178" t="e">
        <f>NA()</f>
        <v>#N/A</v>
      </c>
    </row>
    <row r="179">
      <c r="A179" t="inlineStr">
        <is>
          <t>d7_dx</t>
        </is>
      </c>
      <c r="B179">
        <f>MAX(0.001,($B$177)-(0))</f>
        <v>5.71428571428571</v>
      </c>
      <c r="K179" t="e">
        <f>IF(AND(9&lt;=$B$12,$B$45=1),$B$133+$B$132*($B$13*9-$B$27/2),NA())</f>
        <v>#N/A</v>
      </c>
      <c r="L179" t="e">
        <f>IF(AND(9&lt;=$B$12,$B$45=1),$B$134+$B$132*($B$5/2-$B$27/2),NA())</f>
        <v>#N/A</v>
      </c>
      <c r="EA179" t="e">
        <f>IF(AND($B$18=1,30&lt;=$B$26),$B$139+$B$138*(29*($B$5/MAX(1,$B$26))),NA())</f>
        <v>#N/A</v>
      </c>
      <c r="EB179" t="e">
        <f>IF(AND($B$18=1,30&lt;=$B$26),$B$140+$B$138*(IF(30&lt;=$B$26/2,($B$9+$B$8*MIN(29*($B$5/MAX(1,$B$26)),$B$5-(29*($B$5/MAX(1,$B$26))))),$B$7)),NA())</f>
        <v>#N/A</v>
      </c>
      <c r="FE179" t="e">
        <f>IF(AND($B$21=1,(12*$B$66)&lt;$B$62),$B$145+$B$144*(IF((12*$B$66)&lt;$B$87,$B$91,$B$89)),NA())</f>
        <v>#N/A</v>
      </c>
      <c r="FF179" t="e">
        <f>IF(AND($B$21=1,(12*$B$66)&lt;$B$62),$B$146+$B$144*((12*$B$66)),NA())</f>
        <v>#N/A</v>
      </c>
      <c r="GG179" t="e">
        <f>IF(AND($B$20=1,($B$19+11*$B$64)&lt;$B$10-0.3),$B$151+$B$150*(MAX(IF(($B$19+11*$B$64)&lt;=$B$9,0,(($B$19+11*$B$64)-$B$9)/$B$8),MIN(($B$5-IF(($B$19+11*$B$64)&lt;=$B$9,0,(($B$19+11*$B$64)-$B$9)/$B$8)),IF(($B$19+11*$B$64)&lt;$B$118,$B$122,$B$120)))),NA())</f>
        <v>#N/A</v>
      </c>
      <c r="GH179" t="e">
        <f>IF(AND($B$20=1,($B$19+11*$B$64)&lt;$B$10-0.3),$B$152+$B$150*(($B$19+11*$B$64)),NA())</f>
        <v>#N/A</v>
      </c>
      <c r="GI179" t="e">
        <f>IF(AND($B$21=1,(12*$B$66)&lt;IF($B$63=1,$B$10-0.2,$B$62)),$B$151+$B$150*(MAX(IF((12*$B$66)&lt;=$B$9,0,((12*$B$66)-$B$9)/$B$8),MIN(($B$5-IF((12*$B$66)&lt;=$B$9,0,((12*$B$66)-$B$9)/$B$8)),IF((12*$B$66)&lt;$B$118,$B$122,$B$120)))),NA())</f>
        <v>#N/A</v>
      </c>
      <c r="GJ179" t="e">
        <f>IF(AND($B$21=1,(12*$B$66)&lt;IF($B$63=1,$B$10-0.2,$B$62)),$B$152+$B$150*((12*$B$66)),NA())</f>
        <v>#N/A</v>
      </c>
      <c r="HI179" t="e">
        <f>IF(29&lt;=$B$16-1,$B$157+$B$156*(-$B$46),NA())</f>
        <v>#N/A</v>
      </c>
      <c r="HJ179" t="e">
        <f>IF(29&lt;=$B$16-1,$B$158+$B$156*(29*($B$5/2)/MAX(1,$B$16-1)),NA())</f>
        <v>#N/A</v>
      </c>
      <c r="HM179" t="e">
        <f>IF(AND(30&lt;=$B$12,1&lt;=$B$25),$B$157+$B$156*((30-1)*$B$13+1*$B$13/($B$25+1)),NA())</f>
        <v>#N/A</v>
      </c>
      <c r="HN179" t="e">
        <f>IF(AND(30&lt;=$B$12,1&lt;=$B$25),$B$158+$B$156*(0),NA())</f>
        <v>#N/A</v>
      </c>
      <c r="HQ179" t="e">
        <f>IF(AND(3&lt;=$B$23,6&lt;=$B$24),$B$157+$B$156*((IF(3=1,1,IF(3=$B$23,$B$12,5*(3-1)))-1)*$B$13),NA())</f>
        <v>#N/A</v>
      </c>
      <c r="HR179" t="e">
        <f>IF(AND(3&lt;=$B$23,6&lt;=$B$24),$B$158+$B$156*((0*$B$5/2+(6-1)*($B$5/2)/$B$24)),NA())</f>
        <v>#N/A</v>
      </c>
      <c r="HS179" t="e">
        <f>IF(AND(8&lt;=$B$12,$B$51&gt;0),$B$157+$B$156*(((8-0.5)*$B$13)-($B$51*$B$13)/2),NA())</f>
        <v>#N/A</v>
      </c>
      <c r="HT179" t="e">
        <f>IF(AND(8&lt;=$B$12,$B$51&gt;0),$B$158+$B$156*((0*$B$5/2+0.6*$B$159)),NA())</f>
        <v>#N/A</v>
      </c>
      <c r="KI179" t="e">
        <f>IF(AND($B$21=1,15*$B$67&gt;$B$59,15*$B$67&lt;$B$178-$B$59,OR($B$63=0,ABS(15*$B$67-$B$178/2)&gt;$B$59/2)),$B$182+$B$181*($B$177*2/4+$B$60/2),NA())</f>
        <v>#N/A</v>
      </c>
      <c r="KJ179" t="e">
        <f>IF(AND($B$21=1,15*$B$67&gt;$B$59,15*$B$67&lt;$B$178-$B$59,OR($B$63=0,ABS(15*$B$67-$B$178/2)&gt;$B$59/2)),$B$183+$B$181*(15*$B$67),NA())</f>
        <v>#N/A</v>
      </c>
    </row>
    <row r="180">
      <c r="A180" t="inlineStr">
        <is>
          <t>d7_dy</t>
        </is>
      </c>
      <c r="B180">
        <f>MAX(0.001,($B$178+0.5)-(0))</f>
        <v>1</v>
      </c>
      <c r="K180" t="e">
        <f>IF(AND(9&lt;=$B$12,$B$45=1),$B$133+$B$132*($B$13*9+$B$27/2),NA())</f>
        <v>#N/A</v>
      </c>
      <c r="L180" t="e">
        <f>IF(AND(9&lt;=$B$12,$B$45=1),$B$134+$B$132*($B$5/2-$B$27/2),NA())</f>
        <v>#N/A</v>
      </c>
      <c r="EA180" t="e">
        <f>IF(AND($B$18=1,30&lt;=$B$26),$B$139+$B$138*(30*($B$5/MAX(1,$B$26))),NA())</f>
        <v>#N/A</v>
      </c>
      <c r="EB180" t="e">
        <f>IF(AND($B$18=1,30&lt;=$B$26),$B$140+$B$138*(IF(30&lt;=$B$26/2,$B$7,($B$9+$B$8*MIN(30*($B$5/MAX(1,$B$26)),$B$5-(30*($B$5/MAX(1,$B$26))))))),NA())</f>
        <v>#N/A</v>
      </c>
      <c r="FE180" t="e">
        <f>IF(AND($B$21=1,(12*$B$66)&lt;$B$62),$B$145+$B$144*(IF((12*$B$66)&lt;$B$94,$B$97,$B$96)),NA())</f>
        <v>#N/A</v>
      </c>
      <c r="FF180" t="e">
        <f>IF(AND($B$21=1,(12*$B$66)&lt;$B$62),$B$146+$B$144*((12*$B$66)),NA())</f>
        <v>#N/A</v>
      </c>
      <c r="GG180" t="e">
        <f>IF(AND($B$20=1,($B$19+11*$B$64)&lt;$B$10-0.3),$B$151+$B$150*(MAX(IF(($B$19+11*$B$64)&lt;=$B$9,0,(($B$19+11*$B$64)-$B$9)/$B$8),MIN(($B$5-IF(($B$19+11*$B$64)&lt;=$B$9,0,(($B$19+11*$B$64)-$B$9)/$B$8)),IF(($B$19+11*$B$64)&lt;$B$125,$B$128,$B$127)))),NA())</f>
        <v>#N/A</v>
      </c>
      <c r="GH180" t="e">
        <f>IF(AND($B$20=1,($B$19+11*$B$64)&lt;$B$10-0.3),$B$152+$B$150*(($B$19+11*$B$64)),NA())</f>
        <v>#N/A</v>
      </c>
      <c r="GI180" t="e">
        <f>IF(AND($B$21=1,(12*$B$66)&lt;IF($B$63=1,$B$10-0.2,$B$62)),$B$151+$B$150*(MAX(IF((12*$B$66)&lt;=$B$9,0,((12*$B$66)-$B$9)/$B$8),MIN(($B$5-IF((12*$B$66)&lt;=$B$9,0,((12*$B$66)-$B$9)/$B$8)),IF((12*$B$66)&lt;$B$125,$B$128,$B$127)))),NA())</f>
        <v>#N/A</v>
      </c>
      <c r="GJ180" t="e">
        <f>IF(AND($B$21=1,(12*$B$66)&lt;IF($B$63=1,$B$10-0.2,$B$62)),$B$152+$B$150*((12*$B$66)),NA())</f>
        <v>#N/A</v>
      </c>
      <c r="HI180" t="e">
        <f>IF(29&lt;=$B$16-1,$B$157+$B$156*($B$6+$B$46),NA())</f>
        <v>#N/A</v>
      </c>
      <c r="HJ180" t="e">
        <f>IF(29&lt;=$B$16-1,$B$158+$B$156*(29*($B$5/2)/MAX(1,$B$16-1)),NA())</f>
        <v>#N/A</v>
      </c>
      <c r="HM180" t="e">
        <f>IF(AND(30&lt;=$B$12,1&lt;=$B$25),$B$157+$B$156*((30-1)*$B$13+1*$B$13/($B$25+1)),NA())</f>
        <v>#N/A</v>
      </c>
      <c r="HN180" t="e">
        <f>IF(AND(30&lt;=$B$12,1&lt;=$B$25),$B$158+$B$156*($B$5),NA())</f>
        <v>#N/A</v>
      </c>
      <c r="HQ180" t="e">
        <f>IF(AND(3&lt;=$B$23,6&lt;=$B$24),$B$157+$B$156*(IF(3=1,1,IF(3=$B$23,$B$12,5*(3-1)))*$B$13),NA())</f>
        <v>#N/A</v>
      </c>
      <c r="HR180" t="e">
        <f>IF(AND(3&lt;=$B$23,6&lt;=$B$24),$B$158+$B$156*((0*$B$5/2+6*($B$5/2)/$B$24)),NA())</f>
        <v>#N/A</v>
      </c>
      <c r="HS180" t="e">
        <f>IF(AND(8&lt;=$B$12,$B$51&gt;0),$B$157+$B$156*(((8-0.5)*$B$13)+($B$51*$B$13)/2),NA())</f>
        <v>#N/A</v>
      </c>
      <c r="HT180" t="e">
        <f>IF(AND(8&lt;=$B$12,$B$51&gt;0),$B$158+$B$156*((0*$B$5/2+0.6*$B$159)+(((0*$B$5/2+$B$5/2-0.6*$B$159))-((0*$B$5/2+0.6*$B$159)))/4),NA())</f>
        <v>#N/A</v>
      </c>
      <c r="KI180" t="e">
        <f>IF(AND($B$21=1,15*$B$67&gt;$B$59,15*$B$67&lt;$B$178-$B$59,OR($B$63=0,ABS(15*$B$67-$B$178/2)&gt;$B$59/2)),$B$182+$B$181*($B$177*3/4-$B$60/2),NA())</f>
        <v>#N/A</v>
      </c>
      <c r="KJ180" t="e">
        <f>IF(AND($B$21=1,15*$B$67&gt;$B$59,15*$B$67&lt;$B$178-$B$59,OR($B$63=0,ABS(15*$B$67-$B$178/2)&gt;$B$59/2)),$B$183+$B$181*(15*$B$67),NA())</f>
        <v>#N/A</v>
      </c>
    </row>
    <row r="181">
      <c r="A181" t="inlineStr">
        <is>
          <t>d7_s</t>
        </is>
      </c>
      <c r="B181">
        <f>MIN((193.182-16-58)/$B$179,(100-12-8)/$B$180)</f>
        <v>20.85685</v>
      </c>
      <c r="K181" t="e">
        <f>IF(AND(9&lt;=$B$12,$B$45=1),$B$133+$B$132*($B$13*9+$B$27/2),NA())</f>
        <v>#N/A</v>
      </c>
      <c r="L181" t="e">
        <f>IF(AND(9&lt;=$B$12,$B$45=1),$B$134+$B$132*($B$5/2+$B$27/2),NA())</f>
        <v>#N/A</v>
      </c>
      <c r="EA181" t="e">
        <f>NA()</f>
        <v>#N/A</v>
      </c>
      <c r="EB181" t="e">
        <f>NA()</f>
        <v>#N/A</v>
      </c>
      <c r="FE181" t="e">
        <f>IF(AND(AND($B$21=1,(12*$B$66)&lt;$B$62),(12*$B$66)&gt;=$B$94),$B$145+$B$144*($B$96),NA())</f>
        <v>#N/A</v>
      </c>
      <c r="FF181" t="e">
        <f>IF(AND(AND($B$21=1,(12*$B$66)&lt;$B$62),(12*$B$66)&gt;=$B$94),$B$146+$B$144*((12*$B$66)),NA())</f>
        <v>#N/A</v>
      </c>
      <c r="GG181" t="e">
        <f>IF(AND(AND($B$20=1,($B$19+11*$B$64)&lt;$B$10-0.3),($B$19+11*$B$64)&gt;=$B$125),$B$151+$B$150*(MAX(IF(($B$19+11*$B$64)&lt;=$B$9,0,(($B$19+11*$B$64)-$B$9)/$B$8),MIN(($B$5-IF(($B$19+11*$B$64)&lt;=$B$9,0,(($B$19+11*$B$64)-$B$9)/$B$8)),$B$127))),NA())</f>
        <v>#N/A</v>
      </c>
      <c r="GH181" t="e">
        <f>IF(AND(AND($B$20=1,($B$19+11*$B$64)&lt;$B$10-0.3),($B$19+11*$B$64)&gt;=$B$125),$B$152+$B$150*(($B$19+11*$B$64)),NA())</f>
        <v>#N/A</v>
      </c>
      <c r="GI181" t="e">
        <f>IF(AND(AND($B$21=1,(12*$B$66)&lt;IF($B$63=1,$B$10-0.2,$B$62)),(12*$B$66)&gt;=$B$125),$B$151+$B$150*(MAX(IF((12*$B$66)&lt;=$B$9,0,((12*$B$66)-$B$9)/$B$8),MIN(($B$5-IF((12*$B$66)&lt;=$B$9,0,((12*$B$66)-$B$9)/$B$8)),$B$127))),NA())</f>
        <v>#N/A</v>
      </c>
      <c r="GJ181" t="e">
        <f>IF(AND(AND($B$21=1,(12*$B$66)&lt;IF($B$63=1,$B$10-0.2,$B$62)),(12*$B$66)&gt;=$B$125),$B$152+$B$150*((12*$B$66)),NA())</f>
        <v>#N/A</v>
      </c>
      <c r="HI181" t="e">
        <f>NA()</f>
        <v>#N/A</v>
      </c>
      <c r="HJ181" t="e">
        <f>NA()</f>
        <v>#N/A</v>
      </c>
      <c r="HM181" t="e">
        <f>NA()</f>
        <v>#N/A</v>
      </c>
      <c r="HN181" t="e">
        <f>NA()</f>
        <v>#N/A</v>
      </c>
      <c r="HQ181" t="e">
        <f>NA()</f>
        <v>#N/A</v>
      </c>
      <c r="HR181" t="e">
        <f>NA()</f>
        <v>#N/A</v>
      </c>
      <c r="HS181" t="e">
        <f>IF(AND(8&lt;=$B$12,$B$51&gt;0),$B$157+$B$156*(((8-0.5)*$B$13)-($B$51*$B$13)/2),NA())</f>
        <v>#N/A</v>
      </c>
      <c r="HT181" t="e">
        <f>IF(AND(8&lt;=$B$12,$B$51&gt;0),$B$158+$B$156*((0*$B$5/2+0.6*$B$159)+(((0*$B$5/2+$B$5/2-0.6*$B$159))-((0*$B$5/2+0.6*$B$159)))/2),NA())</f>
        <v>#N/A</v>
      </c>
      <c r="KI181" t="e">
        <f>NA()</f>
        <v>#N/A</v>
      </c>
      <c r="KJ181" t="e">
        <f>NA()</f>
        <v>#N/A</v>
      </c>
    </row>
    <row r="182">
      <c r="A182" t="inlineStr">
        <is>
          <t>d7_ox</t>
        </is>
      </c>
      <c r="B182">
        <f>16+((193.182-16-58)-$B$181*$B$179)/2-$B$181*(0)</f>
        <v>16</v>
      </c>
      <c r="K182" t="e">
        <f>IF(AND(9&lt;=$B$12,$B$45=1),$B$133+$B$132*($B$13*9-$B$27/2),NA())</f>
        <v>#N/A</v>
      </c>
      <c r="L182" t="e">
        <f>IF(AND(9&lt;=$B$12,$B$45=1),$B$134+$B$132*($B$5/2+$B$27/2),NA())</f>
        <v>#N/A</v>
      </c>
      <c r="FE182" t="e">
        <f>IF(AND($B$21=1,(12*$B$66)&lt;$B$62),$B$145+$B$144*(IF((12*$B$66)&lt;$B$94,$B$98,$B$96)),NA())</f>
        <v>#N/A</v>
      </c>
      <c r="FF182" t="e">
        <f>IF(AND($B$21=1,(12*$B$66)&lt;$B$62),$B$146+$B$144*((12*$B$66)),NA())</f>
        <v>#N/A</v>
      </c>
      <c r="GG182" t="e">
        <f>IF(AND($B$20=1,($B$19+11*$B$64)&lt;$B$10-0.3),$B$151+$B$150*(MAX(IF(($B$19+11*$B$64)&lt;=$B$9,0,(($B$19+11*$B$64)-$B$9)/$B$8),MIN(($B$5-IF(($B$19+11*$B$64)&lt;=$B$9,0,(($B$19+11*$B$64)-$B$9)/$B$8)),IF(($B$19+11*$B$64)&lt;$B$125,$B$129,$B$127)))),NA())</f>
        <v>#N/A</v>
      </c>
      <c r="GH182" t="e">
        <f>IF(AND($B$20=1,($B$19+11*$B$64)&lt;$B$10-0.3),$B$152+$B$150*(($B$19+11*$B$64)),NA())</f>
        <v>#N/A</v>
      </c>
      <c r="GI182" t="e">
        <f>IF(AND($B$21=1,(12*$B$66)&lt;IF($B$63=1,$B$10-0.2,$B$62)),$B$151+$B$150*(MAX(IF((12*$B$66)&lt;=$B$9,0,((12*$B$66)-$B$9)/$B$8),MIN(($B$5-IF((12*$B$66)&lt;=$B$9,0,((12*$B$66)-$B$9)/$B$8)),IF((12*$B$66)&lt;$B$125,$B$129,$B$127)))),NA())</f>
        <v>#N/A</v>
      </c>
      <c r="GJ182" t="e">
        <f>IF(AND($B$21=1,(12*$B$66)&lt;IF($B$63=1,$B$10-0.2,$B$62)),$B$152+$B$150*((12*$B$66)),NA())</f>
        <v>#N/A</v>
      </c>
      <c r="HI182" t="e">
        <f>IF(29&lt;=$B$16-1,$B$157+$B$156*(-$B$46),NA())</f>
        <v>#N/A</v>
      </c>
      <c r="HJ182" t="e">
        <f>IF(29&lt;=$B$16-1,$B$158+$B$156*($B$5-29*($B$5/2)/MAX(1,$B$16-1)),NA())</f>
        <v>#N/A</v>
      </c>
      <c r="HM182" t="e">
        <f>IF(AND(30&lt;=$B$12,2&lt;=$B$25),$B$157+$B$156*((30-1)*$B$13+2*$B$13/($B$25+1)),NA())</f>
        <v>#N/A</v>
      </c>
      <c r="HN182" t="e">
        <f>IF(AND(30&lt;=$B$12,2&lt;=$B$25),$B$158+$B$156*(0),NA())</f>
        <v>#N/A</v>
      </c>
      <c r="HQ182" t="e">
        <f>IF(AND(3&lt;=$B$23,6&lt;=$B$24),$B$157+$B$156*((IF(3=1,1,IF(3=$B$23,$B$12,5*(3-1)))-1)*$B$13),NA())</f>
        <v>#N/A</v>
      </c>
      <c r="HR182" t="e">
        <f>IF(AND(3&lt;=$B$23,6&lt;=$B$24),$B$158+$B$156*((0*$B$5/2+6*($B$5/2)/$B$24)),NA())</f>
        <v>#N/A</v>
      </c>
      <c r="HS182" t="e">
        <f>IF(AND(8&lt;=$B$12,$B$51&gt;0),$B$157+$B$156*(((8-0.5)*$B$13)+($B$51*$B$13)/2),NA())</f>
        <v>#N/A</v>
      </c>
      <c r="HT182" t="e">
        <f>IF(AND(8&lt;=$B$12,$B$51&gt;0),$B$158+$B$156*((0*$B$5/2+0.6*$B$159)+3*(((0*$B$5/2+$B$5/2-0.6*$B$159))-((0*$B$5/2+0.6*$B$159)))/4),NA())</f>
        <v>#N/A</v>
      </c>
      <c r="KI182" t="e">
        <f>IF(AND($B$21=1,15*$B$67&gt;$B$59,15*$B$67&lt;$B$178-$B$59,OR($B$63=0,ABS(15*$B$67-$B$178/2)&gt;$B$59/2)),$B$182+$B$181*($B$177*3/4+$B$60/2),NA())</f>
        <v>#N/A</v>
      </c>
      <c r="KJ182" t="e">
        <f>IF(AND($B$21=1,15*$B$67&gt;$B$59,15*$B$67&lt;$B$178-$B$59,OR($B$63=0,ABS(15*$B$67-$B$178/2)&gt;$B$59/2)),$B$183+$B$181*(15*$B$67),NA())</f>
        <v>#N/A</v>
      </c>
    </row>
    <row r="183">
      <c r="A183" t="inlineStr">
        <is>
          <t>d7_oy</t>
        </is>
      </c>
      <c r="B183">
        <f>12+((100-12-8)-$B$181*$B$180)/2-$B$181*(0)</f>
        <v>41.571575</v>
      </c>
      <c r="K183" t="e">
        <f>IF(AND(9&lt;=$B$12,$B$45=1),$B$133+$B$132*($B$13*9-$B$27/2),NA())</f>
        <v>#N/A</v>
      </c>
      <c r="L183" t="e">
        <f>IF(AND(9&lt;=$B$12,$B$45=1),$B$134+$B$132*($B$5/2-$B$27/2),NA())</f>
        <v>#N/A</v>
      </c>
      <c r="FE183" t="e">
        <f>IF(AND($B$21=1,(12*$B$66)&lt;$B$62),$B$145+$B$144*($B$6),NA())</f>
        <v>#N/A</v>
      </c>
      <c r="FF183" t="e">
        <f>IF(AND($B$21=1,(12*$B$66)&lt;$B$62),$B$146+$B$144*((12*$B$66)),NA())</f>
        <v>#N/A</v>
      </c>
      <c r="GG183" t="e">
        <f>IF(AND($B$20=1,($B$19+11*$B$64)&lt;$B$10-0.3),$B$151+$B$150*(($B$5-IF(($B$19+11*$B$64)&lt;=$B$9,0,(($B$19+11*$B$64)-$B$9)/$B$8))),NA())</f>
        <v>#N/A</v>
      </c>
      <c r="GH183" t="e">
        <f>IF(AND($B$20=1,($B$19+11*$B$64)&lt;$B$10-0.3),$B$152+$B$150*(($B$19+11*$B$64)),NA())</f>
        <v>#N/A</v>
      </c>
      <c r="GI183" t="e">
        <f>IF(AND($B$21=1,(12*$B$66)&lt;IF($B$63=1,$B$10-0.2,$B$62)),$B$151+$B$150*(($B$5-IF((12*$B$66)&lt;=$B$9,0,((12*$B$66)-$B$9)/$B$8))),NA())</f>
        <v>#N/A</v>
      </c>
      <c r="GJ183" t="e">
        <f>IF(AND($B$21=1,(12*$B$66)&lt;IF($B$63=1,$B$10-0.2,$B$62)),$B$152+$B$150*((12*$B$66)),NA())</f>
        <v>#N/A</v>
      </c>
      <c r="HI183" t="e">
        <f>IF(29&lt;=$B$16-1,$B$157+$B$156*($B$6+$B$46),NA())</f>
        <v>#N/A</v>
      </c>
      <c r="HJ183" t="e">
        <f>IF(29&lt;=$B$16-1,$B$158+$B$156*($B$5-29*($B$5/2)/MAX(1,$B$16-1)),NA())</f>
        <v>#N/A</v>
      </c>
      <c r="HM183" t="e">
        <f>IF(AND(30&lt;=$B$12,2&lt;=$B$25),$B$157+$B$156*((30-1)*$B$13+2*$B$13/($B$25+1)),NA())</f>
        <v>#N/A</v>
      </c>
      <c r="HN183" t="e">
        <f>IF(AND(30&lt;=$B$12,2&lt;=$B$25),$B$158+$B$156*($B$5),NA())</f>
        <v>#N/A</v>
      </c>
      <c r="HQ183" t="e">
        <f>IF(AND(3&lt;=$B$23,6&lt;=$B$24),$B$157+$B$156*(IF(3=1,1,IF(3=$B$23,$B$12,5*(3-1)))*$B$13),NA())</f>
        <v>#N/A</v>
      </c>
      <c r="HR183" t="e">
        <f>IF(AND(3&lt;=$B$23,6&lt;=$B$24),$B$158+$B$156*((0*$B$5/2+(6-1)*($B$5/2)/$B$24)),NA())</f>
        <v>#N/A</v>
      </c>
      <c r="HS183" t="e">
        <f>IF(AND(8&lt;=$B$12,$B$51&gt;0),$B$157+$B$156*(((8-0.5)*$B$13)-($B$51*$B$13)/2),NA())</f>
        <v>#N/A</v>
      </c>
      <c r="HT183" t="e">
        <f>IF(AND(8&lt;=$B$12,$B$51&gt;0),$B$158+$B$156*((0*$B$5/2+$B$5/2-0.6*$B$159)),NA())</f>
        <v>#N/A</v>
      </c>
      <c r="KI183" t="e">
        <f>IF(AND($B$21=1,15*$B$67&gt;$B$59,15*$B$67&lt;$B$178-$B$59,OR($B$63=0,ABS(15*$B$67-$B$178/2)&gt;$B$59/2)),$B$182+$B$181*($B$177),NA())</f>
        <v>#N/A</v>
      </c>
      <c r="KJ183" t="e">
        <f>IF(AND($B$21=1,15*$B$67&gt;$B$59,15*$B$67&lt;$B$178-$B$59,OR($B$63=0,ABS(15*$B$67-$B$178/2)&gt;$B$59/2)),$B$183+$B$181*(15*$B$67),NA())</f>
        <v>#N/A</v>
      </c>
    </row>
    <row r="184">
      <c r="A184" t="inlineStr">
        <is>
          <t>d7_u</t>
        </is>
      </c>
      <c r="B184">
        <f>1/$B$181</f>
        <v>0.0479458786921323</v>
      </c>
      <c r="K184" t="e">
        <f>NA()</f>
        <v>#N/A</v>
      </c>
      <c r="L184" t="e">
        <f>NA()</f>
        <v>#N/A</v>
      </c>
      <c r="FE184" t="e">
        <f>NA()</f>
        <v>#N/A</v>
      </c>
      <c r="FF184" t="e">
        <f>NA()</f>
        <v>#N/A</v>
      </c>
      <c r="GG184" t="e">
        <f>NA()</f>
        <v>#N/A</v>
      </c>
      <c r="GH184" t="e">
        <f>NA()</f>
        <v>#N/A</v>
      </c>
      <c r="GI184" t="e">
        <f>NA()</f>
        <v>#N/A</v>
      </c>
      <c r="GJ184" t="e">
        <f>NA()</f>
        <v>#N/A</v>
      </c>
      <c r="HI184" t="e">
        <f>NA()</f>
        <v>#N/A</v>
      </c>
      <c r="HJ184" t="e">
        <f>NA()</f>
        <v>#N/A</v>
      </c>
      <c r="HM184" t="e">
        <f>NA()</f>
        <v>#N/A</v>
      </c>
      <c r="HN184" t="e">
        <f>NA()</f>
        <v>#N/A</v>
      </c>
      <c r="HQ184" t="e">
        <f>NA()</f>
        <v>#N/A</v>
      </c>
      <c r="HR184" t="e">
        <f>NA()</f>
        <v>#N/A</v>
      </c>
      <c r="HS184" t="e">
        <f>NA()</f>
        <v>#N/A</v>
      </c>
      <c r="HT184" t="e">
        <f>NA()</f>
        <v>#N/A</v>
      </c>
      <c r="KI184" t="e">
        <f>NA()</f>
        <v>#N/A</v>
      </c>
      <c r="KJ184" t="e">
        <f>NA()</f>
        <v>#N/A</v>
      </c>
    </row>
    <row r="185">
      <c r="K185" t="e">
        <f>IF(10&lt;=$B$12,$B$133+$B$132*($B$13*10-$B$27/2),NA())</f>
        <v>#N/A</v>
      </c>
      <c r="L185" t="e">
        <f>IF(10&lt;=$B$12,$B$134+$B$132*(0-$B$27/2),NA())</f>
        <v>#N/A</v>
      </c>
      <c r="FE185" t="e">
        <f>IF(AND($B$21=1,(13*$B$66)&lt;$B$62),$B$145+$B$144*(0),NA())</f>
        <v>#N/A</v>
      </c>
      <c r="FF185" t="e">
        <f>IF(AND($B$21=1,(13*$B$66)&lt;$B$62),$B$146+$B$144*((13*$B$66)),NA())</f>
        <v>#N/A</v>
      </c>
      <c r="GG185" t="e">
        <f>IF(AND($B$20=1,($B$19+12*$B$64)&lt;$B$10-0.3),$B$151+$B$150*(IF(($B$19+12*$B$64)&lt;=$B$9,0,(($B$19+12*$B$64)-$B$9)/$B$8)),NA())</f>
        <v>#N/A</v>
      </c>
      <c r="GH185" t="e">
        <f>IF(AND($B$20=1,($B$19+12*$B$64)&lt;$B$10-0.3),$B$152+$B$150*(($B$19+12*$B$64)),NA())</f>
        <v>#N/A</v>
      </c>
      <c r="GI185" t="e">
        <f>IF(AND($B$21=1,(13*$B$66)&lt;IF($B$63=1,$B$10-0.2,$B$62)),$B$151+$B$150*(IF((13*$B$66)&lt;=$B$9,0,((13*$B$66)-$B$9)/$B$8)),NA())</f>
        <v>#N/A</v>
      </c>
      <c r="GJ185" t="e">
        <f>IF(AND($B$21=1,(13*$B$66)&lt;IF($B$63=1,$B$10-0.2,$B$62)),$B$152+$B$150*((13*$B$66)),NA())</f>
        <v>#N/A</v>
      </c>
      <c r="HM185" t="e">
        <f>IF(AND(31&lt;=$B$12,1&lt;=$B$25),$B$157+$B$156*((31-1)*$B$13+1*$B$13/($B$25+1)),NA())</f>
        <v>#N/A</v>
      </c>
      <c r="HN185" t="e">
        <f>IF(AND(31&lt;=$B$12,1&lt;=$B$25),$B$158+$B$156*(0),NA())</f>
        <v>#N/A</v>
      </c>
      <c r="HQ185">
        <f>IF(AND(3&lt;=$B$23,1&lt;=$B$24),$B$157+$B$156*((IF(3=1,1,IF(3=$B$23,$B$12,5*(3-1)))-1)*$B$13),NA())</f>
        <v>152.876714285714</v>
      </c>
      <c r="HR185">
        <f>IF(AND(3&lt;=$B$23,1&lt;=$B$24),$B$158+$B$156*((1*$B$5/2+(1-1)*($B$5/2)/$B$24)),NA())</f>
        <v>52</v>
      </c>
      <c r="HS185" t="e">
        <f>IF(AND(8&lt;=$B$12,$B$51&gt;0),$B$157+$B$156*(((8-0.5)*$B$13)-($B$51*$B$13)/2),NA())</f>
        <v>#N/A</v>
      </c>
      <c r="HT185" t="e">
        <f>IF(AND(8&lt;=$B$12,$B$51&gt;0),$B$158+$B$156*((1*$B$5/2+0.6*$B$159)),NA())</f>
        <v>#N/A</v>
      </c>
      <c r="KI185" t="e">
        <f>IF(AND($B$21=1,16*$B$67&gt;$B$59,16*$B$67&lt;$B$178-$B$59,OR($B$63=0,ABS(16*$B$67-$B$178/2)&gt;$B$59/2)),$B$182+$B$181*(0),NA())</f>
        <v>#N/A</v>
      </c>
      <c r="KJ185" t="e">
        <f>IF(AND($B$21=1,16*$B$67&gt;$B$59,16*$B$67&lt;$B$178-$B$59,OR($B$63=0,ABS(16*$B$67-$B$178/2)&gt;$B$59/2)),$B$183+$B$181*(16*$B$67),NA())</f>
        <v>#N/A</v>
      </c>
    </row>
    <row r="186">
      <c r="K186" t="e">
        <f>IF(10&lt;=$B$12,$B$133+$B$132*($B$13*10+$B$27/2),NA())</f>
        <v>#N/A</v>
      </c>
      <c r="L186" t="e">
        <f>IF(10&lt;=$B$12,$B$134+$B$132*(0-$B$27/2),NA())</f>
        <v>#N/A</v>
      </c>
      <c r="FE186" t="e">
        <f>IF(AND($B$21=1,(13*$B$66)&lt;$B$62),$B$145+$B$144*(IF((13*$B$66)&lt;$B$73,$B$76,$B$75)),NA())</f>
        <v>#N/A</v>
      </c>
      <c r="FF186" t="e">
        <f>IF(AND($B$21=1,(13*$B$66)&lt;$B$62),$B$146+$B$144*((13*$B$66)),NA())</f>
        <v>#N/A</v>
      </c>
      <c r="GG186" t="e">
        <f>IF(AND($B$20=1,($B$19+12*$B$64)&lt;$B$10-0.3),$B$151+$B$150*(MAX(IF(($B$19+12*$B$64)&lt;=$B$9,0,(($B$19+12*$B$64)-$B$9)/$B$8),MIN(($B$5-IF(($B$19+12*$B$64)&lt;=$B$9,0,(($B$19+12*$B$64)-$B$9)/$B$8)),IF(($B$19+12*$B$64)&lt;$B$104,$B$107,$B$106)))),NA())</f>
        <v>#N/A</v>
      </c>
      <c r="GH186" t="e">
        <f>IF(AND($B$20=1,($B$19+12*$B$64)&lt;$B$10-0.3),$B$152+$B$150*(($B$19+12*$B$64)),NA())</f>
        <v>#N/A</v>
      </c>
      <c r="GI186" t="e">
        <f>IF(AND($B$21=1,(13*$B$66)&lt;IF($B$63=1,$B$10-0.2,$B$62)),$B$151+$B$150*(MAX(IF((13*$B$66)&lt;=$B$9,0,((13*$B$66)-$B$9)/$B$8),MIN(($B$5-IF((13*$B$66)&lt;=$B$9,0,((13*$B$66)-$B$9)/$B$8)),IF((13*$B$66)&lt;$B$104,$B$107,$B$106)))),NA())</f>
        <v>#N/A</v>
      </c>
      <c r="GJ186" t="e">
        <f>IF(AND($B$21=1,(13*$B$66)&lt;IF($B$63=1,$B$10-0.2,$B$62)),$B$152+$B$150*((13*$B$66)),NA())</f>
        <v>#N/A</v>
      </c>
      <c r="HM186" t="e">
        <f>IF(AND(31&lt;=$B$12,1&lt;=$B$25),$B$157+$B$156*((31-1)*$B$13+1*$B$13/($B$25+1)),NA())</f>
        <v>#N/A</v>
      </c>
      <c r="HN186" t="e">
        <f>IF(AND(31&lt;=$B$12,1&lt;=$B$25),$B$158+$B$156*($B$5),NA())</f>
        <v>#N/A</v>
      </c>
      <c r="HQ186">
        <f>IF(AND(3&lt;=$B$23,1&lt;=$B$24),$B$157+$B$156*(IF(3=1,1,IF(3=$B$23,$B$12,5*(3-1)))*$B$13),NA())</f>
        <v>174.591</v>
      </c>
      <c r="HR186">
        <f>IF(AND(3&lt;=$B$23,1&lt;=$B$24),$B$158+$B$156*((1*$B$5/2+1*($B$5/2)/$B$24)),NA())</f>
        <v>71</v>
      </c>
      <c r="HS186" t="e">
        <f>IF(AND(8&lt;=$B$12,$B$51&gt;0),$B$157+$B$156*(((8-0.5)*$B$13)+($B$51*$B$13)/2),NA())</f>
        <v>#N/A</v>
      </c>
      <c r="HT186" t="e">
        <f>IF(AND(8&lt;=$B$12,$B$51&gt;0),$B$158+$B$156*((1*$B$5/2+0.6*$B$159)),NA())</f>
        <v>#N/A</v>
      </c>
      <c r="KI186" t="e">
        <f>IF(AND($B$21=1,16*$B$67&gt;$B$59,16*$B$67&lt;$B$178-$B$59,OR($B$63=0,ABS(16*$B$67-$B$178/2)&gt;$B$59/2)),$B$182+$B$181*($B$177*1/4-$B$60/2),NA())</f>
        <v>#N/A</v>
      </c>
      <c r="KJ186" t="e">
        <f>IF(AND($B$21=1,16*$B$67&gt;$B$59,16*$B$67&lt;$B$178-$B$59,OR($B$63=0,ABS(16*$B$67-$B$178/2)&gt;$B$59/2)),$B$183+$B$181*(16*$B$67),NA())</f>
        <v>#N/A</v>
      </c>
    </row>
    <row r="187">
      <c r="K187" t="e">
        <f>IF(10&lt;=$B$12,$B$133+$B$132*($B$13*10+$B$27/2),NA())</f>
        <v>#N/A</v>
      </c>
      <c r="L187" t="e">
        <f>IF(10&lt;=$B$12,$B$134+$B$132*(0+$B$27/2),NA())</f>
        <v>#N/A</v>
      </c>
      <c r="FE187" t="e">
        <f>IF(AND(AND($B$21=1,(13*$B$66)&lt;$B$62),(13*$B$66)&gt;=$B$73),$B$145+$B$144*($B$75),NA())</f>
        <v>#N/A</v>
      </c>
      <c r="FF187" t="e">
        <f>IF(AND(AND($B$21=1,(13*$B$66)&lt;$B$62),(13*$B$66)&gt;=$B$73),$B$146+$B$144*((13*$B$66)),NA())</f>
        <v>#N/A</v>
      </c>
      <c r="GG187" t="e">
        <f>IF(AND(AND($B$20=1,($B$19+12*$B$64)&lt;$B$10-0.3),($B$19+12*$B$64)&gt;=$B$104),$B$151+$B$150*(MAX(IF(($B$19+12*$B$64)&lt;=$B$9,0,(($B$19+12*$B$64)-$B$9)/$B$8),MIN(($B$5-IF(($B$19+12*$B$64)&lt;=$B$9,0,(($B$19+12*$B$64)-$B$9)/$B$8)),$B$106))),NA())</f>
        <v>#N/A</v>
      </c>
      <c r="GH187" t="e">
        <f>IF(AND(AND($B$20=1,($B$19+12*$B$64)&lt;$B$10-0.3),($B$19+12*$B$64)&gt;=$B$104),$B$152+$B$150*(($B$19+12*$B$64)),NA())</f>
        <v>#N/A</v>
      </c>
      <c r="GI187" t="e">
        <f>IF(AND(AND($B$21=1,(13*$B$66)&lt;IF($B$63=1,$B$10-0.2,$B$62)),(13*$B$66)&gt;=$B$104),$B$151+$B$150*(MAX(IF((13*$B$66)&lt;=$B$9,0,((13*$B$66)-$B$9)/$B$8),MIN(($B$5-IF((13*$B$66)&lt;=$B$9,0,((13*$B$66)-$B$9)/$B$8)),$B$106))),NA())</f>
        <v>#N/A</v>
      </c>
      <c r="GJ187" t="e">
        <f>IF(AND(AND($B$21=1,(13*$B$66)&lt;IF($B$63=1,$B$10-0.2,$B$62)),(13*$B$66)&gt;=$B$104),$B$152+$B$150*((13*$B$66)),NA())</f>
        <v>#N/A</v>
      </c>
      <c r="HM187" t="e">
        <f>NA()</f>
        <v>#N/A</v>
      </c>
      <c r="HN187" t="e">
        <f>NA()</f>
        <v>#N/A</v>
      </c>
      <c r="HQ187" t="e">
        <f>NA()</f>
        <v>#N/A</v>
      </c>
      <c r="HR187" t="e">
        <f>NA()</f>
        <v>#N/A</v>
      </c>
      <c r="HS187" t="e">
        <f>IF(AND(8&lt;=$B$12,$B$51&gt;0),$B$157+$B$156*(((8-0.5)*$B$13)+($B$51*$B$13)/2),NA())</f>
        <v>#N/A</v>
      </c>
      <c r="HT187" t="e">
        <f>IF(AND(8&lt;=$B$12,$B$51&gt;0),$B$158+$B$156*((1*$B$5/2+$B$5/2-0.6*$B$159)),NA())</f>
        <v>#N/A</v>
      </c>
      <c r="KI187" t="e">
        <f>NA()</f>
        <v>#N/A</v>
      </c>
      <c r="KJ187" t="e">
        <f>NA()</f>
        <v>#N/A</v>
      </c>
    </row>
    <row r="188">
      <c r="K188" t="e">
        <f>IF(10&lt;=$B$12,$B$133+$B$132*($B$13*10-$B$27/2),NA())</f>
        <v>#N/A</v>
      </c>
      <c r="L188" t="e">
        <f>IF(10&lt;=$B$12,$B$134+$B$132*(0+$B$27/2),NA())</f>
        <v>#N/A</v>
      </c>
      <c r="FE188" t="e">
        <f>IF(AND($B$21=1,(13*$B$66)&lt;$B$62),$B$145+$B$144*(IF((13*$B$66)&lt;$B$73,$B$77,$B$75)),NA())</f>
        <v>#N/A</v>
      </c>
      <c r="FF188" t="e">
        <f>IF(AND($B$21=1,(13*$B$66)&lt;$B$62),$B$146+$B$144*((13*$B$66)),NA())</f>
        <v>#N/A</v>
      </c>
      <c r="GG188" t="e">
        <f>IF(AND($B$20=1,($B$19+12*$B$64)&lt;$B$10-0.3),$B$151+$B$150*(MAX(IF(($B$19+12*$B$64)&lt;=$B$9,0,(($B$19+12*$B$64)-$B$9)/$B$8),MIN(($B$5-IF(($B$19+12*$B$64)&lt;=$B$9,0,(($B$19+12*$B$64)-$B$9)/$B$8)),IF(($B$19+12*$B$64)&lt;$B$104,$B$108,$B$106)))),NA())</f>
        <v>#N/A</v>
      </c>
      <c r="GH188" t="e">
        <f>IF(AND($B$20=1,($B$19+12*$B$64)&lt;$B$10-0.3),$B$152+$B$150*(($B$19+12*$B$64)),NA())</f>
        <v>#N/A</v>
      </c>
      <c r="GI188" t="e">
        <f>IF(AND($B$21=1,(13*$B$66)&lt;IF($B$63=1,$B$10-0.2,$B$62)),$B$151+$B$150*(MAX(IF((13*$B$66)&lt;=$B$9,0,((13*$B$66)-$B$9)/$B$8),MIN(($B$5-IF((13*$B$66)&lt;=$B$9,0,((13*$B$66)-$B$9)/$B$8)),IF((13*$B$66)&lt;$B$104,$B$108,$B$106)))),NA())</f>
        <v>#N/A</v>
      </c>
      <c r="GJ188" t="e">
        <f>IF(AND($B$21=1,(13*$B$66)&lt;IF($B$63=1,$B$10-0.2,$B$62)),$B$152+$B$150*((13*$B$66)),NA())</f>
        <v>#N/A</v>
      </c>
      <c r="HM188" t="e">
        <f>IF(AND(31&lt;=$B$12,2&lt;=$B$25),$B$157+$B$156*((31-1)*$B$13+2*$B$13/($B$25+1)),NA())</f>
        <v>#N/A</v>
      </c>
      <c r="HN188" t="e">
        <f>IF(AND(31&lt;=$B$12,2&lt;=$B$25),$B$158+$B$156*(0),NA())</f>
        <v>#N/A</v>
      </c>
      <c r="HQ188">
        <f>IF(AND(3&lt;=$B$23,1&lt;=$B$24),$B$157+$B$156*((IF(3=1,1,IF(3=$B$23,$B$12,5*(3-1)))-1)*$B$13),NA())</f>
        <v>152.876714285714</v>
      </c>
      <c r="HR188">
        <f>IF(AND(3&lt;=$B$23,1&lt;=$B$24),$B$158+$B$156*((1*$B$5/2+1*($B$5/2)/$B$24)),NA())</f>
        <v>71</v>
      </c>
      <c r="HS188" t="e">
        <f>IF(AND(8&lt;=$B$12,$B$51&gt;0),$B$157+$B$156*(((8-0.5)*$B$13)-($B$51*$B$13)/2),NA())</f>
        <v>#N/A</v>
      </c>
      <c r="HT188" t="e">
        <f>IF(AND(8&lt;=$B$12,$B$51&gt;0),$B$158+$B$156*((1*$B$5/2+$B$5/2-0.6*$B$159)),NA())</f>
        <v>#N/A</v>
      </c>
      <c r="KI188" t="e">
        <f>IF(AND($B$21=1,16*$B$67&gt;$B$59,16*$B$67&lt;$B$178-$B$59,OR($B$63=0,ABS(16*$B$67-$B$178/2)&gt;$B$59/2)),$B$182+$B$181*($B$177*1/4+$B$60/2),NA())</f>
        <v>#N/A</v>
      </c>
      <c r="KJ188" t="e">
        <f>IF(AND($B$21=1,16*$B$67&gt;$B$59,16*$B$67&lt;$B$178-$B$59,OR($B$63=0,ABS(16*$B$67-$B$178/2)&gt;$B$59/2)),$B$183+$B$181*(16*$B$67),NA())</f>
        <v>#N/A</v>
      </c>
    </row>
    <row r="189">
      <c r="K189" t="e">
        <f>IF(10&lt;=$B$12,$B$133+$B$132*($B$13*10-$B$27/2),NA())</f>
        <v>#N/A</v>
      </c>
      <c r="L189" t="e">
        <f>IF(10&lt;=$B$12,$B$134+$B$132*(0-$B$27/2),NA())</f>
        <v>#N/A</v>
      </c>
      <c r="FE189" t="e">
        <f>IF(AND($B$21=1,(13*$B$66)&lt;$B$62),$B$145+$B$144*(IF((13*$B$66)&lt;$B$80,$B$83,$B$82)),NA())</f>
        <v>#N/A</v>
      </c>
      <c r="FF189" t="e">
        <f>IF(AND($B$21=1,(13*$B$66)&lt;$B$62),$B$146+$B$144*((13*$B$66)),NA())</f>
        <v>#N/A</v>
      </c>
      <c r="GG189" t="e">
        <f>IF(AND($B$20=1,($B$19+12*$B$64)&lt;$B$10-0.3),$B$151+$B$150*(MAX(IF(($B$19+12*$B$64)&lt;=$B$9,0,(($B$19+12*$B$64)-$B$9)/$B$8),MIN(($B$5-IF(($B$19+12*$B$64)&lt;=$B$9,0,(($B$19+12*$B$64)-$B$9)/$B$8)),IF(($B$19+12*$B$64)&lt;$B$111,$B$114,$B$113)))),NA())</f>
        <v>#N/A</v>
      </c>
      <c r="GH189" t="e">
        <f>IF(AND($B$20=1,($B$19+12*$B$64)&lt;$B$10-0.3),$B$152+$B$150*(($B$19+12*$B$64)),NA())</f>
        <v>#N/A</v>
      </c>
      <c r="GI189" t="e">
        <f>IF(AND($B$21=1,(13*$B$66)&lt;IF($B$63=1,$B$10-0.2,$B$62)),$B$151+$B$150*(MAX(IF((13*$B$66)&lt;=$B$9,0,((13*$B$66)-$B$9)/$B$8),MIN(($B$5-IF((13*$B$66)&lt;=$B$9,0,((13*$B$66)-$B$9)/$B$8)),IF((13*$B$66)&lt;$B$111,$B$114,$B$113)))),NA())</f>
        <v>#N/A</v>
      </c>
      <c r="GJ189" t="e">
        <f>IF(AND($B$21=1,(13*$B$66)&lt;IF($B$63=1,$B$10-0.2,$B$62)),$B$152+$B$150*((13*$B$66)),NA())</f>
        <v>#N/A</v>
      </c>
      <c r="HM189" t="e">
        <f>IF(AND(31&lt;=$B$12,2&lt;=$B$25),$B$157+$B$156*((31-1)*$B$13+2*$B$13/($B$25+1)),NA())</f>
        <v>#N/A</v>
      </c>
      <c r="HN189" t="e">
        <f>IF(AND(31&lt;=$B$12,2&lt;=$B$25),$B$158+$B$156*($B$5),NA())</f>
        <v>#N/A</v>
      </c>
      <c r="HQ189">
        <f>IF(AND(3&lt;=$B$23,1&lt;=$B$24),$B$157+$B$156*(IF(3=1,1,IF(3=$B$23,$B$12,5*(3-1)))*$B$13),NA())</f>
        <v>174.591</v>
      </c>
      <c r="HR189">
        <f>IF(AND(3&lt;=$B$23,1&lt;=$B$24),$B$158+$B$156*((1*$B$5/2+(1-1)*($B$5/2)/$B$24)),NA())</f>
        <v>52</v>
      </c>
      <c r="HS189" t="e">
        <f>IF(AND(8&lt;=$B$12,$B$51&gt;0),$B$157+$B$156*(((8-0.5)*$B$13)-($B$51*$B$13)/2),NA())</f>
        <v>#N/A</v>
      </c>
      <c r="HT189" t="e">
        <f>IF(AND(8&lt;=$B$12,$B$51&gt;0),$B$158+$B$156*((1*$B$5/2+0.6*$B$159)),NA())</f>
        <v>#N/A</v>
      </c>
      <c r="KI189" t="e">
        <f>IF(AND($B$21=1,16*$B$67&gt;$B$59,16*$B$67&lt;$B$178-$B$59,OR($B$63=0,ABS(16*$B$67-$B$178/2)&gt;$B$59/2)),$B$182+$B$181*($B$177*2/4-$B$60/2),NA())</f>
        <v>#N/A</v>
      </c>
      <c r="KJ189" t="e">
        <f>IF(AND($B$21=1,16*$B$67&gt;$B$59,16*$B$67&lt;$B$178-$B$59,OR($B$63=0,ABS(16*$B$67-$B$178/2)&gt;$B$59/2)),$B$183+$B$181*(16*$B$67),NA())</f>
        <v>#N/A</v>
      </c>
    </row>
    <row r="190">
      <c r="K190" t="e">
        <f>NA()</f>
        <v>#N/A</v>
      </c>
      <c r="L190" t="e">
        <f>NA()</f>
        <v>#N/A</v>
      </c>
      <c r="FE190" t="e">
        <f>IF(AND(AND($B$21=1,(13*$B$66)&lt;$B$62),(13*$B$66)&gt;=$B$80),$B$145+$B$144*($B$82),NA())</f>
        <v>#N/A</v>
      </c>
      <c r="FF190" t="e">
        <f>IF(AND(AND($B$21=1,(13*$B$66)&lt;$B$62),(13*$B$66)&gt;=$B$80),$B$146+$B$144*((13*$B$66)),NA())</f>
        <v>#N/A</v>
      </c>
      <c r="GG190" t="e">
        <f>IF(AND(AND($B$20=1,($B$19+12*$B$64)&lt;$B$10-0.3),($B$19+12*$B$64)&gt;=$B$111),$B$151+$B$150*(MAX(IF(($B$19+12*$B$64)&lt;=$B$9,0,(($B$19+12*$B$64)-$B$9)/$B$8),MIN(($B$5-IF(($B$19+12*$B$64)&lt;=$B$9,0,(($B$19+12*$B$64)-$B$9)/$B$8)),$B$113))),NA())</f>
        <v>#N/A</v>
      </c>
      <c r="GH190" t="e">
        <f>IF(AND(AND($B$20=1,($B$19+12*$B$64)&lt;$B$10-0.3),($B$19+12*$B$64)&gt;=$B$111),$B$152+$B$150*(($B$19+12*$B$64)),NA())</f>
        <v>#N/A</v>
      </c>
      <c r="GI190" t="e">
        <f>IF(AND(AND($B$21=1,(13*$B$66)&lt;IF($B$63=1,$B$10-0.2,$B$62)),(13*$B$66)&gt;=$B$111),$B$151+$B$150*(MAX(IF((13*$B$66)&lt;=$B$9,0,((13*$B$66)-$B$9)/$B$8),MIN(($B$5-IF((13*$B$66)&lt;=$B$9,0,((13*$B$66)-$B$9)/$B$8)),$B$113))),NA())</f>
        <v>#N/A</v>
      </c>
      <c r="GJ190" t="e">
        <f>IF(AND(AND($B$21=1,(13*$B$66)&lt;IF($B$63=1,$B$10-0.2,$B$62)),(13*$B$66)&gt;=$B$111),$B$152+$B$150*((13*$B$66)),NA())</f>
        <v>#N/A</v>
      </c>
      <c r="HM190" t="e">
        <f>NA()</f>
        <v>#N/A</v>
      </c>
      <c r="HN190" t="e">
        <f>NA()</f>
        <v>#N/A</v>
      </c>
      <c r="HQ190" t="e">
        <f>NA()</f>
        <v>#N/A</v>
      </c>
      <c r="HR190" t="e">
        <f>NA()</f>
        <v>#N/A</v>
      </c>
      <c r="HS190" t="e">
        <f>NA()</f>
        <v>#N/A</v>
      </c>
      <c r="HT190" t="e">
        <f>NA()</f>
        <v>#N/A</v>
      </c>
      <c r="KI190" t="e">
        <f>NA()</f>
        <v>#N/A</v>
      </c>
      <c r="KJ190" t="e">
        <f>NA()</f>
        <v>#N/A</v>
      </c>
    </row>
    <row r="191">
      <c r="K191" t="e">
        <f>IF(10&lt;=$B$12,$B$133+$B$132*($B$13*10-$B$27/2),NA())</f>
        <v>#N/A</v>
      </c>
      <c r="L191" t="e">
        <f>IF(10&lt;=$B$12,$B$134+$B$132*($B$5-$B$27/2),NA())</f>
        <v>#N/A</v>
      </c>
      <c r="FE191" t="e">
        <f>IF(AND($B$21=1,(13*$B$66)&lt;$B$62),$B$145+$B$144*(IF((13*$B$66)&lt;$B$80,$B$84,$B$82)),NA())</f>
        <v>#N/A</v>
      </c>
      <c r="FF191" t="e">
        <f>IF(AND($B$21=1,(13*$B$66)&lt;$B$62),$B$146+$B$144*((13*$B$66)),NA())</f>
        <v>#N/A</v>
      </c>
      <c r="GG191" t="e">
        <f>IF(AND($B$20=1,($B$19+12*$B$64)&lt;$B$10-0.3),$B$151+$B$150*(MAX(IF(($B$19+12*$B$64)&lt;=$B$9,0,(($B$19+12*$B$64)-$B$9)/$B$8),MIN(($B$5-IF(($B$19+12*$B$64)&lt;=$B$9,0,(($B$19+12*$B$64)-$B$9)/$B$8)),IF(($B$19+12*$B$64)&lt;$B$111,$B$115,$B$113)))),NA())</f>
        <v>#N/A</v>
      </c>
      <c r="GH191" t="e">
        <f>IF(AND($B$20=1,($B$19+12*$B$64)&lt;$B$10-0.3),$B$152+$B$150*(($B$19+12*$B$64)),NA())</f>
        <v>#N/A</v>
      </c>
      <c r="GI191" t="e">
        <f>IF(AND($B$21=1,(13*$B$66)&lt;IF($B$63=1,$B$10-0.2,$B$62)),$B$151+$B$150*(MAX(IF((13*$B$66)&lt;=$B$9,0,((13*$B$66)-$B$9)/$B$8),MIN(($B$5-IF((13*$B$66)&lt;=$B$9,0,((13*$B$66)-$B$9)/$B$8)),IF((13*$B$66)&lt;$B$111,$B$115,$B$113)))),NA())</f>
        <v>#N/A</v>
      </c>
      <c r="GJ191" t="e">
        <f>IF(AND($B$21=1,(13*$B$66)&lt;IF($B$63=1,$B$10-0.2,$B$62)),$B$152+$B$150*((13*$B$66)),NA())</f>
        <v>#N/A</v>
      </c>
      <c r="HM191" t="e">
        <f>IF(AND(32&lt;=$B$12,1&lt;=$B$25),$B$157+$B$156*((32-1)*$B$13+1*$B$13/($B$25+1)),NA())</f>
        <v>#N/A</v>
      </c>
      <c r="HN191" t="e">
        <f>IF(AND(32&lt;=$B$12,1&lt;=$B$25),$B$158+$B$156*(0),NA())</f>
        <v>#N/A</v>
      </c>
      <c r="HQ191">
        <f>IF(AND(3&lt;=$B$23,2&lt;=$B$24),$B$157+$B$156*((IF(3=1,1,IF(3=$B$23,$B$12,5*(3-1)))-1)*$B$13),NA())</f>
        <v>152.876714285714</v>
      </c>
      <c r="HR191">
        <f>IF(AND(3&lt;=$B$23,2&lt;=$B$24),$B$158+$B$156*((1*$B$5/2+(2-1)*($B$5/2)/$B$24)),NA())</f>
        <v>71</v>
      </c>
      <c r="HS191" t="e">
        <f>IF(AND(8&lt;=$B$12,$B$51&gt;0),$B$157+$B$156*(((8-0.5)*$B$13)-($B$51*$B$13)/2),NA())</f>
        <v>#N/A</v>
      </c>
      <c r="HT191" t="e">
        <f>IF(AND(8&lt;=$B$12,$B$51&gt;0),$B$158+$B$156*((1*$B$5/2+0.6*$B$159)),NA())</f>
        <v>#N/A</v>
      </c>
      <c r="KI191" t="e">
        <f>IF(AND($B$21=1,16*$B$67&gt;$B$59,16*$B$67&lt;$B$178-$B$59,OR($B$63=0,ABS(16*$B$67-$B$178/2)&gt;$B$59/2)),$B$182+$B$181*($B$177*2/4+$B$60/2),NA())</f>
        <v>#N/A</v>
      </c>
      <c r="KJ191" t="e">
        <f>IF(AND($B$21=1,16*$B$67&gt;$B$59,16*$B$67&lt;$B$178-$B$59,OR($B$63=0,ABS(16*$B$67-$B$178/2)&gt;$B$59/2)),$B$183+$B$181*(16*$B$67),NA())</f>
        <v>#N/A</v>
      </c>
    </row>
    <row r="192">
      <c r="K192" t="e">
        <f>IF(10&lt;=$B$12,$B$133+$B$132*($B$13*10+$B$27/2),NA())</f>
        <v>#N/A</v>
      </c>
      <c r="L192" t="e">
        <f>IF(10&lt;=$B$12,$B$134+$B$132*($B$5-$B$27/2),NA())</f>
        <v>#N/A</v>
      </c>
      <c r="FE192" t="e">
        <f>IF(AND($B$21=1,(13*$B$66)&lt;$B$62),$B$145+$B$144*(IF((13*$B$66)&lt;$B$87,$B$90,$B$89)),NA())</f>
        <v>#N/A</v>
      </c>
      <c r="FF192" t="e">
        <f>IF(AND($B$21=1,(13*$B$66)&lt;$B$62),$B$146+$B$144*((13*$B$66)),NA())</f>
        <v>#N/A</v>
      </c>
      <c r="GG192" t="e">
        <f>IF(AND($B$20=1,($B$19+12*$B$64)&lt;$B$10-0.3),$B$151+$B$150*(MAX(IF(($B$19+12*$B$64)&lt;=$B$9,0,(($B$19+12*$B$64)-$B$9)/$B$8),MIN(($B$5-IF(($B$19+12*$B$64)&lt;=$B$9,0,(($B$19+12*$B$64)-$B$9)/$B$8)),IF(($B$19+12*$B$64)&lt;$B$118,$B$121,$B$120)))),NA())</f>
        <v>#N/A</v>
      </c>
      <c r="GH192" t="e">
        <f>IF(AND($B$20=1,($B$19+12*$B$64)&lt;$B$10-0.3),$B$152+$B$150*(($B$19+12*$B$64)),NA())</f>
        <v>#N/A</v>
      </c>
      <c r="GI192" t="e">
        <f>IF(AND($B$21=1,(13*$B$66)&lt;IF($B$63=1,$B$10-0.2,$B$62)),$B$151+$B$150*(MAX(IF((13*$B$66)&lt;=$B$9,0,((13*$B$66)-$B$9)/$B$8),MIN(($B$5-IF((13*$B$66)&lt;=$B$9,0,((13*$B$66)-$B$9)/$B$8)),IF((13*$B$66)&lt;$B$118,$B$121,$B$120)))),NA())</f>
        <v>#N/A</v>
      </c>
      <c r="GJ192" t="e">
        <f>IF(AND($B$21=1,(13*$B$66)&lt;IF($B$63=1,$B$10-0.2,$B$62)),$B$152+$B$150*((13*$B$66)),NA())</f>
        <v>#N/A</v>
      </c>
      <c r="HM192" t="e">
        <f>IF(AND(32&lt;=$B$12,1&lt;=$B$25),$B$157+$B$156*((32-1)*$B$13+1*$B$13/($B$25+1)),NA())</f>
        <v>#N/A</v>
      </c>
      <c r="HN192" t="e">
        <f>IF(AND(32&lt;=$B$12,1&lt;=$B$25),$B$158+$B$156*($B$5),NA())</f>
        <v>#N/A</v>
      </c>
      <c r="HQ192">
        <f>IF(AND(3&lt;=$B$23,2&lt;=$B$24),$B$157+$B$156*(IF(3=1,1,IF(3=$B$23,$B$12,5*(3-1)))*$B$13),NA())</f>
        <v>174.591</v>
      </c>
      <c r="HR192">
        <f>IF(AND(3&lt;=$B$23,2&lt;=$B$24),$B$158+$B$156*((1*$B$5/2+2*($B$5/2)/$B$24)),NA())</f>
        <v>90</v>
      </c>
      <c r="HS192" t="e">
        <f>IF(AND(8&lt;=$B$12,$B$51&gt;0),$B$157+$B$156*(((8-0.5)*$B$13)+($B$51*$B$13)/2),NA())</f>
        <v>#N/A</v>
      </c>
      <c r="HT192" t="e">
        <f>IF(AND(8&lt;=$B$12,$B$51&gt;0),$B$158+$B$156*((1*$B$5/2+0.6*$B$159)+(((1*$B$5/2+$B$5/2-0.6*$B$159))-((1*$B$5/2+0.6*$B$159)))/4),NA())</f>
        <v>#N/A</v>
      </c>
      <c r="KI192" t="e">
        <f>IF(AND($B$21=1,16*$B$67&gt;$B$59,16*$B$67&lt;$B$178-$B$59,OR($B$63=0,ABS(16*$B$67-$B$178/2)&gt;$B$59/2)),$B$182+$B$181*($B$177*3/4-$B$60/2),NA())</f>
        <v>#N/A</v>
      </c>
      <c r="KJ192" t="e">
        <f>IF(AND($B$21=1,16*$B$67&gt;$B$59,16*$B$67&lt;$B$178-$B$59,OR($B$63=0,ABS(16*$B$67-$B$178/2)&gt;$B$59/2)),$B$183+$B$181*(16*$B$67),NA())</f>
        <v>#N/A</v>
      </c>
    </row>
    <row r="193">
      <c r="K193" t="e">
        <f>IF(10&lt;=$B$12,$B$133+$B$132*($B$13*10+$B$27/2),NA())</f>
        <v>#N/A</v>
      </c>
      <c r="L193" t="e">
        <f>IF(10&lt;=$B$12,$B$134+$B$132*($B$5+$B$27/2),NA())</f>
        <v>#N/A</v>
      </c>
      <c r="FE193" t="e">
        <f>IF(AND(AND($B$21=1,(13*$B$66)&lt;$B$62),(13*$B$66)&gt;=$B$87),$B$145+$B$144*($B$89),NA())</f>
        <v>#N/A</v>
      </c>
      <c r="FF193" t="e">
        <f>IF(AND(AND($B$21=1,(13*$B$66)&lt;$B$62),(13*$B$66)&gt;=$B$87),$B$146+$B$144*((13*$B$66)),NA())</f>
        <v>#N/A</v>
      </c>
      <c r="GG193" t="e">
        <f>IF(AND(AND($B$20=1,($B$19+12*$B$64)&lt;$B$10-0.3),($B$19+12*$B$64)&gt;=$B$118),$B$151+$B$150*(MAX(IF(($B$19+12*$B$64)&lt;=$B$9,0,(($B$19+12*$B$64)-$B$9)/$B$8),MIN(($B$5-IF(($B$19+12*$B$64)&lt;=$B$9,0,(($B$19+12*$B$64)-$B$9)/$B$8)),$B$120))),NA())</f>
        <v>#N/A</v>
      </c>
      <c r="GH193" t="e">
        <f>IF(AND(AND($B$20=1,($B$19+12*$B$64)&lt;$B$10-0.3),($B$19+12*$B$64)&gt;=$B$118),$B$152+$B$150*(($B$19+12*$B$64)),NA())</f>
        <v>#N/A</v>
      </c>
      <c r="GI193" t="e">
        <f>IF(AND(AND($B$21=1,(13*$B$66)&lt;IF($B$63=1,$B$10-0.2,$B$62)),(13*$B$66)&gt;=$B$118),$B$151+$B$150*(MAX(IF((13*$B$66)&lt;=$B$9,0,((13*$B$66)-$B$9)/$B$8),MIN(($B$5-IF((13*$B$66)&lt;=$B$9,0,((13*$B$66)-$B$9)/$B$8)),$B$120))),NA())</f>
        <v>#N/A</v>
      </c>
      <c r="GJ193" t="e">
        <f>IF(AND(AND($B$21=1,(13*$B$66)&lt;IF($B$63=1,$B$10-0.2,$B$62)),(13*$B$66)&gt;=$B$118),$B$152+$B$150*((13*$B$66)),NA())</f>
        <v>#N/A</v>
      </c>
      <c r="HM193" t="e">
        <f>NA()</f>
        <v>#N/A</v>
      </c>
      <c r="HN193" t="e">
        <f>NA()</f>
        <v>#N/A</v>
      </c>
      <c r="HQ193" t="e">
        <f>NA()</f>
        <v>#N/A</v>
      </c>
      <c r="HR193" t="e">
        <f>NA()</f>
        <v>#N/A</v>
      </c>
      <c r="HS193" t="e">
        <f>IF(AND(8&lt;=$B$12,$B$51&gt;0),$B$157+$B$156*(((8-0.5)*$B$13)-($B$51*$B$13)/2),NA())</f>
        <v>#N/A</v>
      </c>
      <c r="HT193" t="e">
        <f>IF(AND(8&lt;=$B$12,$B$51&gt;0),$B$158+$B$156*((1*$B$5/2+0.6*$B$159)+(((1*$B$5/2+$B$5/2-0.6*$B$159))-((1*$B$5/2+0.6*$B$159)))/2),NA())</f>
        <v>#N/A</v>
      </c>
      <c r="KI193" t="e">
        <f>NA()</f>
        <v>#N/A</v>
      </c>
      <c r="KJ193" t="e">
        <f>NA()</f>
        <v>#N/A</v>
      </c>
    </row>
    <row r="194">
      <c r="K194" t="e">
        <f>IF(10&lt;=$B$12,$B$133+$B$132*($B$13*10-$B$27/2),NA())</f>
        <v>#N/A</v>
      </c>
      <c r="L194" t="e">
        <f>IF(10&lt;=$B$12,$B$134+$B$132*($B$5+$B$27/2),NA())</f>
        <v>#N/A</v>
      </c>
      <c r="FE194" t="e">
        <f>IF(AND($B$21=1,(13*$B$66)&lt;$B$62),$B$145+$B$144*(IF((13*$B$66)&lt;$B$87,$B$91,$B$89)),NA())</f>
        <v>#N/A</v>
      </c>
      <c r="FF194" t="e">
        <f>IF(AND($B$21=1,(13*$B$66)&lt;$B$62),$B$146+$B$144*((13*$B$66)),NA())</f>
        <v>#N/A</v>
      </c>
      <c r="GG194" t="e">
        <f>IF(AND($B$20=1,($B$19+12*$B$64)&lt;$B$10-0.3),$B$151+$B$150*(MAX(IF(($B$19+12*$B$64)&lt;=$B$9,0,(($B$19+12*$B$64)-$B$9)/$B$8),MIN(($B$5-IF(($B$19+12*$B$64)&lt;=$B$9,0,(($B$19+12*$B$64)-$B$9)/$B$8)),IF(($B$19+12*$B$64)&lt;$B$118,$B$122,$B$120)))),NA())</f>
        <v>#N/A</v>
      </c>
      <c r="GH194" t="e">
        <f>IF(AND($B$20=1,($B$19+12*$B$64)&lt;$B$10-0.3),$B$152+$B$150*(($B$19+12*$B$64)),NA())</f>
        <v>#N/A</v>
      </c>
      <c r="GI194" t="e">
        <f>IF(AND($B$21=1,(13*$B$66)&lt;IF($B$63=1,$B$10-0.2,$B$62)),$B$151+$B$150*(MAX(IF((13*$B$66)&lt;=$B$9,0,((13*$B$66)-$B$9)/$B$8),MIN(($B$5-IF((13*$B$66)&lt;=$B$9,0,((13*$B$66)-$B$9)/$B$8)),IF((13*$B$66)&lt;$B$118,$B$122,$B$120)))),NA())</f>
        <v>#N/A</v>
      </c>
      <c r="GJ194" t="e">
        <f>IF(AND($B$21=1,(13*$B$66)&lt;IF($B$63=1,$B$10-0.2,$B$62)),$B$152+$B$150*((13*$B$66)),NA())</f>
        <v>#N/A</v>
      </c>
      <c r="HM194" t="e">
        <f>IF(AND(32&lt;=$B$12,2&lt;=$B$25),$B$157+$B$156*((32-1)*$B$13+2*$B$13/($B$25+1)),NA())</f>
        <v>#N/A</v>
      </c>
      <c r="HN194" t="e">
        <f>IF(AND(32&lt;=$B$12,2&lt;=$B$25),$B$158+$B$156*(0),NA())</f>
        <v>#N/A</v>
      </c>
      <c r="HQ194">
        <f>IF(AND(3&lt;=$B$23,2&lt;=$B$24),$B$157+$B$156*((IF(3=1,1,IF(3=$B$23,$B$12,5*(3-1)))-1)*$B$13),NA())</f>
        <v>152.876714285714</v>
      </c>
      <c r="HR194">
        <f>IF(AND(3&lt;=$B$23,2&lt;=$B$24),$B$158+$B$156*((1*$B$5/2+2*($B$5/2)/$B$24)),NA())</f>
        <v>90</v>
      </c>
      <c r="HS194" t="e">
        <f>IF(AND(8&lt;=$B$12,$B$51&gt;0),$B$157+$B$156*(((8-0.5)*$B$13)+($B$51*$B$13)/2),NA())</f>
        <v>#N/A</v>
      </c>
      <c r="HT194" t="e">
        <f>IF(AND(8&lt;=$B$12,$B$51&gt;0),$B$158+$B$156*((1*$B$5/2+0.6*$B$159)+3*(((1*$B$5/2+$B$5/2-0.6*$B$159))-((1*$B$5/2+0.6*$B$159)))/4),NA())</f>
        <v>#N/A</v>
      </c>
      <c r="KI194" t="e">
        <f>IF(AND($B$21=1,16*$B$67&gt;$B$59,16*$B$67&lt;$B$178-$B$59,OR($B$63=0,ABS(16*$B$67-$B$178/2)&gt;$B$59/2)),$B$182+$B$181*($B$177*3/4+$B$60/2),NA())</f>
        <v>#N/A</v>
      </c>
      <c r="KJ194" t="e">
        <f>IF(AND($B$21=1,16*$B$67&gt;$B$59,16*$B$67&lt;$B$178-$B$59,OR($B$63=0,ABS(16*$B$67-$B$178/2)&gt;$B$59/2)),$B$183+$B$181*(16*$B$67),NA())</f>
        <v>#N/A</v>
      </c>
    </row>
    <row r="195">
      <c r="K195" t="e">
        <f>IF(10&lt;=$B$12,$B$133+$B$132*($B$13*10-$B$27/2),NA())</f>
        <v>#N/A</v>
      </c>
      <c r="L195" t="e">
        <f>IF(10&lt;=$B$12,$B$134+$B$132*($B$5-$B$27/2),NA())</f>
        <v>#N/A</v>
      </c>
      <c r="FE195" t="e">
        <f>IF(AND($B$21=1,(13*$B$66)&lt;$B$62),$B$145+$B$144*(IF((13*$B$66)&lt;$B$94,$B$97,$B$96)),NA())</f>
        <v>#N/A</v>
      </c>
      <c r="FF195" t="e">
        <f>IF(AND($B$21=1,(13*$B$66)&lt;$B$62),$B$146+$B$144*((13*$B$66)),NA())</f>
        <v>#N/A</v>
      </c>
      <c r="GG195" t="e">
        <f>IF(AND($B$20=1,($B$19+12*$B$64)&lt;$B$10-0.3),$B$151+$B$150*(MAX(IF(($B$19+12*$B$64)&lt;=$B$9,0,(($B$19+12*$B$64)-$B$9)/$B$8),MIN(($B$5-IF(($B$19+12*$B$64)&lt;=$B$9,0,(($B$19+12*$B$64)-$B$9)/$B$8)),IF(($B$19+12*$B$64)&lt;$B$125,$B$128,$B$127)))),NA())</f>
        <v>#N/A</v>
      </c>
      <c r="GH195" t="e">
        <f>IF(AND($B$20=1,($B$19+12*$B$64)&lt;$B$10-0.3),$B$152+$B$150*(($B$19+12*$B$64)),NA())</f>
        <v>#N/A</v>
      </c>
      <c r="GI195" t="e">
        <f>IF(AND($B$21=1,(13*$B$66)&lt;IF($B$63=1,$B$10-0.2,$B$62)),$B$151+$B$150*(MAX(IF((13*$B$66)&lt;=$B$9,0,((13*$B$66)-$B$9)/$B$8),MIN(($B$5-IF((13*$B$66)&lt;=$B$9,0,((13*$B$66)-$B$9)/$B$8)),IF((13*$B$66)&lt;$B$125,$B$128,$B$127)))),NA())</f>
        <v>#N/A</v>
      </c>
      <c r="GJ195" t="e">
        <f>IF(AND($B$21=1,(13*$B$66)&lt;IF($B$63=1,$B$10-0.2,$B$62)),$B$152+$B$150*((13*$B$66)),NA())</f>
        <v>#N/A</v>
      </c>
      <c r="HM195" t="e">
        <f>IF(AND(32&lt;=$B$12,2&lt;=$B$25),$B$157+$B$156*((32-1)*$B$13+2*$B$13/($B$25+1)),NA())</f>
        <v>#N/A</v>
      </c>
      <c r="HN195" t="e">
        <f>IF(AND(32&lt;=$B$12,2&lt;=$B$25),$B$158+$B$156*($B$5),NA())</f>
        <v>#N/A</v>
      </c>
      <c r="HQ195">
        <f>IF(AND(3&lt;=$B$23,2&lt;=$B$24),$B$157+$B$156*(IF(3=1,1,IF(3=$B$23,$B$12,5*(3-1)))*$B$13),NA())</f>
        <v>174.591</v>
      </c>
      <c r="HR195">
        <f>IF(AND(3&lt;=$B$23,2&lt;=$B$24),$B$158+$B$156*((1*$B$5/2+(2-1)*($B$5/2)/$B$24)),NA())</f>
        <v>71</v>
      </c>
      <c r="HS195" t="e">
        <f>IF(AND(8&lt;=$B$12,$B$51&gt;0),$B$157+$B$156*(((8-0.5)*$B$13)-($B$51*$B$13)/2),NA())</f>
        <v>#N/A</v>
      </c>
      <c r="HT195" t="e">
        <f>IF(AND(8&lt;=$B$12,$B$51&gt;0),$B$158+$B$156*((1*$B$5/2+$B$5/2-0.6*$B$159)),NA())</f>
        <v>#N/A</v>
      </c>
      <c r="KI195" t="e">
        <f>IF(AND($B$21=1,16*$B$67&gt;$B$59,16*$B$67&lt;$B$178-$B$59,OR($B$63=0,ABS(16*$B$67-$B$178/2)&gt;$B$59/2)),$B$182+$B$181*($B$177),NA())</f>
        <v>#N/A</v>
      </c>
      <c r="KJ195" t="e">
        <f>IF(AND($B$21=1,16*$B$67&gt;$B$59,16*$B$67&lt;$B$178-$B$59,OR($B$63=0,ABS(16*$B$67-$B$178/2)&gt;$B$59/2)),$B$183+$B$181*(16*$B$67),NA())</f>
        <v>#N/A</v>
      </c>
    </row>
    <row r="196">
      <c r="K196" t="e">
        <f>NA()</f>
        <v>#N/A</v>
      </c>
      <c r="L196" t="e">
        <f>NA()</f>
        <v>#N/A</v>
      </c>
      <c r="FE196" t="e">
        <f>IF(AND(AND($B$21=1,(13*$B$66)&lt;$B$62),(13*$B$66)&gt;=$B$94),$B$145+$B$144*($B$96),NA())</f>
        <v>#N/A</v>
      </c>
      <c r="FF196" t="e">
        <f>IF(AND(AND($B$21=1,(13*$B$66)&lt;$B$62),(13*$B$66)&gt;=$B$94),$B$146+$B$144*((13*$B$66)),NA())</f>
        <v>#N/A</v>
      </c>
      <c r="GG196" t="e">
        <f>IF(AND(AND($B$20=1,($B$19+12*$B$64)&lt;$B$10-0.3),($B$19+12*$B$64)&gt;=$B$125),$B$151+$B$150*(MAX(IF(($B$19+12*$B$64)&lt;=$B$9,0,(($B$19+12*$B$64)-$B$9)/$B$8),MIN(($B$5-IF(($B$19+12*$B$64)&lt;=$B$9,0,(($B$19+12*$B$64)-$B$9)/$B$8)),$B$127))),NA())</f>
        <v>#N/A</v>
      </c>
      <c r="GH196" t="e">
        <f>IF(AND(AND($B$20=1,($B$19+12*$B$64)&lt;$B$10-0.3),($B$19+12*$B$64)&gt;=$B$125),$B$152+$B$150*(($B$19+12*$B$64)),NA())</f>
        <v>#N/A</v>
      </c>
      <c r="GI196" t="e">
        <f>IF(AND(AND($B$21=1,(13*$B$66)&lt;IF($B$63=1,$B$10-0.2,$B$62)),(13*$B$66)&gt;=$B$125),$B$151+$B$150*(MAX(IF((13*$B$66)&lt;=$B$9,0,((13*$B$66)-$B$9)/$B$8),MIN(($B$5-IF((13*$B$66)&lt;=$B$9,0,((13*$B$66)-$B$9)/$B$8)),$B$127))),NA())</f>
        <v>#N/A</v>
      </c>
      <c r="GJ196" t="e">
        <f>IF(AND(AND($B$21=1,(13*$B$66)&lt;IF($B$63=1,$B$10-0.2,$B$62)),(13*$B$66)&gt;=$B$125),$B$152+$B$150*((13*$B$66)),NA())</f>
        <v>#N/A</v>
      </c>
      <c r="HM196" t="e">
        <f>NA()</f>
        <v>#N/A</v>
      </c>
      <c r="HN196" t="e">
        <f>NA()</f>
        <v>#N/A</v>
      </c>
      <c r="HQ196" t="e">
        <f>NA()</f>
        <v>#N/A</v>
      </c>
      <c r="HR196" t="e">
        <f>NA()</f>
        <v>#N/A</v>
      </c>
      <c r="HS196" t="e">
        <f>NA()</f>
        <v>#N/A</v>
      </c>
      <c r="HT196" t="e">
        <f>NA()</f>
        <v>#N/A</v>
      </c>
      <c r="KI196" t="e">
        <f>NA()</f>
        <v>#N/A</v>
      </c>
      <c r="KJ196" t="e">
        <f>NA()</f>
        <v>#N/A</v>
      </c>
    </row>
    <row r="197">
      <c r="K197" t="e">
        <f>IF(AND(10&lt;=$B$12,$B$45=1),$B$133+$B$132*($B$13*10-$B$27/2),NA())</f>
        <v>#N/A</v>
      </c>
      <c r="L197" t="e">
        <f>IF(AND(10&lt;=$B$12,$B$45=1),$B$134+$B$132*($B$5/2-$B$27/2),NA())</f>
        <v>#N/A</v>
      </c>
      <c r="FE197" t="e">
        <f>IF(AND($B$21=1,(13*$B$66)&lt;$B$62),$B$145+$B$144*(IF((13*$B$66)&lt;$B$94,$B$98,$B$96)),NA())</f>
        <v>#N/A</v>
      </c>
      <c r="FF197" t="e">
        <f>IF(AND($B$21=1,(13*$B$66)&lt;$B$62),$B$146+$B$144*((13*$B$66)),NA())</f>
        <v>#N/A</v>
      </c>
      <c r="GG197" t="e">
        <f>IF(AND($B$20=1,($B$19+12*$B$64)&lt;$B$10-0.3),$B$151+$B$150*(MAX(IF(($B$19+12*$B$64)&lt;=$B$9,0,(($B$19+12*$B$64)-$B$9)/$B$8),MIN(($B$5-IF(($B$19+12*$B$64)&lt;=$B$9,0,(($B$19+12*$B$64)-$B$9)/$B$8)),IF(($B$19+12*$B$64)&lt;$B$125,$B$129,$B$127)))),NA())</f>
        <v>#N/A</v>
      </c>
      <c r="GH197" t="e">
        <f>IF(AND($B$20=1,($B$19+12*$B$64)&lt;$B$10-0.3),$B$152+$B$150*(($B$19+12*$B$64)),NA())</f>
        <v>#N/A</v>
      </c>
      <c r="GI197" t="e">
        <f>IF(AND($B$21=1,(13*$B$66)&lt;IF($B$63=1,$B$10-0.2,$B$62)),$B$151+$B$150*(MAX(IF((13*$B$66)&lt;=$B$9,0,((13*$B$66)-$B$9)/$B$8),MIN(($B$5-IF((13*$B$66)&lt;=$B$9,0,((13*$B$66)-$B$9)/$B$8)),IF((13*$B$66)&lt;$B$125,$B$129,$B$127)))),NA())</f>
        <v>#N/A</v>
      </c>
      <c r="GJ197" t="e">
        <f>IF(AND($B$21=1,(13*$B$66)&lt;IF($B$63=1,$B$10-0.2,$B$62)),$B$152+$B$150*((13*$B$66)),NA())</f>
        <v>#N/A</v>
      </c>
      <c r="HM197" t="e">
        <f>IF(AND(33&lt;=$B$12,1&lt;=$B$25),$B$157+$B$156*((33-1)*$B$13+1*$B$13/($B$25+1)),NA())</f>
        <v>#N/A</v>
      </c>
      <c r="HN197" t="e">
        <f>IF(AND(33&lt;=$B$12,1&lt;=$B$25),$B$158+$B$156*(0),NA())</f>
        <v>#N/A</v>
      </c>
      <c r="HQ197" t="e">
        <f>IF(AND(3&lt;=$B$23,3&lt;=$B$24),$B$157+$B$156*((IF(3=1,1,IF(3=$B$23,$B$12,5*(3-1)))-1)*$B$13),NA())</f>
        <v>#N/A</v>
      </c>
      <c r="HR197" t="e">
        <f>IF(AND(3&lt;=$B$23,3&lt;=$B$24),$B$158+$B$156*((1*$B$5/2+(3-1)*($B$5/2)/$B$24)),NA())</f>
        <v>#N/A</v>
      </c>
      <c r="HS197" t="e">
        <f>IF(AND(9&lt;=$B$12,$B$51&gt;0),$B$157+$B$156*(((9-0.5)*$B$13)-($B$51*$B$13)/2),NA())</f>
        <v>#N/A</v>
      </c>
      <c r="HT197" t="e">
        <f>IF(AND(9&lt;=$B$12,$B$51&gt;0),$B$158+$B$156*((0*$B$5/2+0.6*$B$159)),NA())</f>
        <v>#N/A</v>
      </c>
      <c r="KI197" t="e">
        <f>IF(AND($B$21=1,17*$B$67&gt;$B$59,17*$B$67&lt;$B$178-$B$59,OR($B$63=0,ABS(17*$B$67-$B$178/2)&gt;$B$59/2)),$B$182+$B$181*(0),NA())</f>
        <v>#N/A</v>
      </c>
      <c r="KJ197" t="e">
        <f>IF(AND($B$21=1,17*$B$67&gt;$B$59,17*$B$67&lt;$B$178-$B$59,OR($B$63=0,ABS(17*$B$67-$B$178/2)&gt;$B$59/2)),$B$183+$B$181*(17*$B$67),NA())</f>
        <v>#N/A</v>
      </c>
    </row>
    <row r="198">
      <c r="K198" t="e">
        <f>IF(AND(10&lt;=$B$12,$B$45=1),$B$133+$B$132*($B$13*10+$B$27/2),NA())</f>
        <v>#N/A</v>
      </c>
      <c r="L198" t="e">
        <f>IF(AND(10&lt;=$B$12,$B$45=1),$B$134+$B$132*($B$5/2-$B$27/2),NA())</f>
        <v>#N/A</v>
      </c>
      <c r="FE198" t="e">
        <f>IF(AND($B$21=1,(13*$B$66)&lt;$B$62),$B$145+$B$144*($B$6),NA())</f>
        <v>#N/A</v>
      </c>
      <c r="FF198" t="e">
        <f>IF(AND($B$21=1,(13*$B$66)&lt;$B$62),$B$146+$B$144*((13*$B$66)),NA())</f>
        <v>#N/A</v>
      </c>
      <c r="GG198" t="e">
        <f>IF(AND($B$20=1,($B$19+12*$B$64)&lt;$B$10-0.3),$B$151+$B$150*(($B$5-IF(($B$19+12*$B$64)&lt;=$B$9,0,(($B$19+12*$B$64)-$B$9)/$B$8))),NA())</f>
        <v>#N/A</v>
      </c>
      <c r="GH198" t="e">
        <f>IF(AND($B$20=1,($B$19+12*$B$64)&lt;$B$10-0.3),$B$152+$B$150*(($B$19+12*$B$64)),NA())</f>
        <v>#N/A</v>
      </c>
      <c r="GI198" t="e">
        <f>IF(AND($B$21=1,(13*$B$66)&lt;IF($B$63=1,$B$10-0.2,$B$62)),$B$151+$B$150*(($B$5-IF((13*$B$66)&lt;=$B$9,0,((13*$B$66)-$B$9)/$B$8))),NA())</f>
        <v>#N/A</v>
      </c>
      <c r="GJ198" t="e">
        <f>IF(AND($B$21=1,(13*$B$66)&lt;IF($B$63=1,$B$10-0.2,$B$62)),$B$152+$B$150*((13*$B$66)),NA())</f>
        <v>#N/A</v>
      </c>
      <c r="HM198" t="e">
        <f>IF(AND(33&lt;=$B$12,1&lt;=$B$25),$B$157+$B$156*((33-1)*$B$13+1*$B$13/($B$25+1)),NA())</f>
        <v>#N/A</v>
      </c>
      <c r="HN198" t="e">
        <f>IF(AND(33&lt;=$B$12,1&lt;=$B$25),$B$158+$B$156*($B$5),NA())</f>
        <v>#N/A</v>
      </c>
      <c r="HQ198" t="e">
        <f>IF(AND(3&lt;=$B$23,3&lt;=$B$24),$B$157+$B$156*(IF(3=1,1,IF(3=$B$23,$B$12,5*(3-1)))*$B$13),NA())</f>
        <v>#N/A</v>
      </c>
      <c r="HR198" t="e">
        <f>IF(AND(3&lt;=$B$23,3&lt;=$B$24),$B$158+$B$156*((1*$B$5/2+3*($B$5/2)/$B$24)),NA())</f>
        <v>#N/A</v>
      </c>
      <c r="HS198" t="e">
        <f>IF(AND(9&lt;=$B$12,$B$51&gt;0),$B$157+$B$156*(((9-0.5)*$B$13)+($B$51*$B$13)/2),NA())</f>
        <v>#N/A</v>
      </c>
      <c r="HT198" t="e">
        <f>IF(AND(9&lt;=$B$12,$B$51&gt;0),$B$158+$B$156*((0*$B$5/2+0.6*$B$159)),NA())</f>
        <v>#N/A</v>
      </c>
      <c r="KI198" t="e">
        <f>IF(AND($B$21=1,17*$B$67&gt;$B$59,17*$B$67&lt;$B$178-$B$59,OR($B$63=0,ABS(17*$B$67-$B$178/2)&gt;$B$59/2)),$B$182+$B$181*($B$177*1/4-$B$60/2),NA())</f>
        <v>#N/A</v>
      </c>
      <c r="KJ198" t="e">
        <f>IF(AND($B$21=1,17*$B$67&gt;$B$59,17*$B$67&lt;$B$178-$B$59,OR($B$63=0,ABS(17*$B$67-$B$178/2)&gt;$B$59/2)),$B$183+$B$181*(17*$B$67),NA())</f>
        <v>#N/A</v>
      </c>
    </row>
    <row r="199">
      <c r="K199" t="e">
        <f>IF(AND(10&lt;=$B$12,$B$45=1),$B$133+$B$132*($B$13*10+$B$27/2),NA())</f>
        <v>#N/A</v>
      </c>
      <c r="L199" t="e">
        <f>IF(AND(10&lt;=$B$12,$B$45=1),$B$134+$B$132*($B$5/2+$B$27/2),NA())</f>
        <v>#N/A</v>
      </c>
      <c r="FE199" t="e">
        <f>NA()</f>
        <v>#N/A</v>
      </c>
      <c r="FF199" t="e">
        <f>NA()</f>
        <v>#N/A</v>
      </c>
      <c r="GG199" t="e">
        <f>NA()</f>
        <v>#N/A</v>
      </c>
      <c r="GH199" t="e">
        <f>NA()</f>
        <v>#N/A</v>
      </c>
      <c r="GI199" t="e">
        <f>NA()</f>
        <v>#N/A</v>
      </c>
      <c r="GJ199" t="e">
        <f>NA()</f>
        <v>#N/A</v>
      </c>
      <c r="HM199" t="e">
        <f>NA()</f>
        <v>#N/A</v>
      </c>
      <c r="HN199" t="e">
        <f>NA()</f>
        <v>#N/A</v>
      </c>
      <c r="HQ199" t="e">
        <f>NA()</f>
        <v>#N/A</v>
      </c>
      <c r="HR199" t="e">
        <f>NA()</f>
        <v>#N/A</v>
      </c>
      <c r="HS199" t="e">
        <f>IF(AND(9&lt;=$B$12,$B$51&gt;0),$B$157+$B$156*(((9-0.5)*$B$13)+($B$51*$B$13)/2),NA())</f>
        <v>#N/A</v>
      </c>
      <c r="HT199" t="e">
        <f>IF(AND(9&lt;=$B$12,$B$51&gt;0),$B$158+$B$156*((0*$B$5/2+$B$5/2-0.6*$B$159)),NA())</f>
        <v>#N/A</v>
      </c>
      <c r="KI199" t="e">
        <f>NA()</f>
        <v>#N/A</v>
      </c>
      <c r="KJ199" t="e">
        <f>NA()</f>
        <v>#N/A</v>
      </c>
    </row>
    <row r="200">
      <c r="K200" t="e">
        <f>IF(AND(10&lt;=$B$12,$B$45=1),$B$133+$B$132*($B$13*10-$B$27/2),NA())</f>
        <v>#N/A</v>
      </c>
      <c r="L200" t="e">
        <f>IF(AND(10&lt;=$B$12,$B$45=1),$B$134+$B$132*($B$5/2+$B$27/2),NA())</f>
        <v>#N/A</v>
      </c>
      <c r="FE200" t="e">
        <f>IF(AND($B$21=1,(14*$B$66)&lt;$B$62),$B$145+$B$144*(0),NA())</f>
        <v>#N/A</v>
      </c>
      <c r="FF200" t="e">
        <f>IF(AND($B$21=1,(14*$B$66)&lt;$B$62),$B$146+$B$144*((14*$B$66)),NA())</f>
        <v>#N/A</v>
      </c>
      <c r="GG200" t="e">
        <f>IF(AND($B$20=1,($B$19+13*$B$64)&lt;$B$10-0.3),$B$151+$B$150*(IF(($B$19+13*$B$64)&lt;=$B$9,0,(($B$19+13*$B$64)-$B$9)/$B$8)),NA())</f>
        <v>#N/A</v>
      </c>
      <c r="GH200" t="e">
        <f>IF(AND($B$20=1,($B$19+13*$B$64)&lt;$B$10-0.3),$B$152+$B$150*(($B$19+13*$B$64)),NA())</f>
        <v>#N/A</v>
      </c>
      <c r="GI200" t="e">
        <f>IF(AND($B$21=1,(14*$B$66)&lt;IF($B$63=1,$B$10-0.2,$B$62)),$B$151+$B$150*(IF((14*$B$66)&lt;=$B$9,0,((14*$B$66)-$B$9)/$B$8)),NA())</f>
        <v>#N/A</v>
      </c>
      <c r="GJ200" t="e">
        <f>IF(AND($B$21=1,(14*$B$66)&lt;IF($B$63=1,$B$10-0.2,$B$62)),$B$152+$B$150*((14*$B$66)),NA())</f>
        <v>#N/A</v>
      </c>
      <c r="HM200" t="e">
        <f>IF(AND(33&lt;=$B$12,2&lt;=$B$25),$B$157+$B$156*((33-1)*$B$13+2*$B$13/($B$25+1)),NA())</f>
        <v>#N/A</v>
      </c>
      <c r="HN200" t="e">
        <f>IF(AND(33&lt;=$B$12,2&lt;=$B$25),$B$158+$B$156*(0),NA())</f>
        <v>#N/A</v>
      </c>
      <c r="HQ200" t="e">
        <f>IF(AND(3&lt;=$B$23,3&lt;=$B$24),$B$157+$B$156*((IF(3=1,1,IF(3=$B$23,$B$12,5*(3-1)))-1)*$B$13),NA())</f>
        <v>#N/A</v>
      </c>
      <c r="HR200" t="e">
        <f>IF(AND(3&lt;=$B$23,3&lt;=$B$24),$B$158+$B$156*((1*$B$5/2+3*($B$5/2)/$B$24)),NA())</f>
        <v>#N/A</v>
      </c>
      <c r="HS200" t="e">
        <f>IF(AND(9&lt;=$B$12,$B$51&gt;0),$B$157+$B$156*(((9-0.5)*$B$13)-($B$51*$B$13)/2),NA())</f>
        <v>#N/A</v>
      </c>
      <c r="HT200" t="e">
        <f>IF(AND(9&lt;=$B$12,$B$51&gt;0),$B$158+$B$156*((0*$B$5/2+$B$5/2-0.6*$B$159)),NA())</f>
        <v>#N/A</v>
      </c>
      <c r="KI200" t="e">
        <f>IF(AND($B$21=1,17*$B$67&gt;$B$59,17*$B$67&lt;$B$178-$B$59,OR($B$63=0,ABS(17*$B$67-$B$178/2)&gt;$B$59/2)),$B$182+$B$181*($B$177*1/4+$B$60/2),NA())</f>
        <v>#N/A</v>
      </c>
      <c r="KJ200" t="e">
        <f>IF(AND($B$21=1,17*$B$67&gt;$B$59,17*$B$67&lt;$B$178-$B$59,OR($B$63=0,ABS(17*$B$67-$B$178/2)&gt;$B$59/2)),$B$183+$B$181*(17*$B$67),NA())</f>
        <v>#N/A</v>
      </c>
    </row>
    <row r="201">
      <c r="K201" t="e">
        <f>IF(AND(10&lt;=$B$12,$B$45=1),$B$133+$B$132*($B$13*10-$B$27/2),NA())</f>
        <v>#N/A</v>
      </c>
      <c r="L201" t="e">
        <f>IF(AND(10&lt;=$B$12,$B$45=1),$B$134+$B$132*($B$5/2-$B$27/2),NA())</f>
        <v>#N/A</v>
      </c>
      <c r="FE201" t="e">
        <f>IF(AND($B$21=1,(14*$B$66)&lt;$B$62),$B$145+$B$144*(IF((14*$B$66)&lt;$B$73,$B$76,$B$75)),NA())</f>
        <v>#N/A</v>
      </c>
      <c r="FF201" t="e">
        <f>IF(AND($B$21=1,(14*$B$66)&lt;$B$62),$B$146+$B$144*((14*$B$66)),NA())</f>
        <v>#N/A</v>
      </c>
      <c r="GG201" t="e">
        <f>IF(AND($B$20=1,($B$19+13*$B$64)&lt;$B$10-0.3),$B$151+$B$150*(MAX(IF(($B$19+13*$B$64)&lt;=$B$9,0,(($B$19+13*$B$64)-$B$9)/$B$8),MIN(($B$5-IF(($B$19+13*$B$64)&lt;=$B$9,0,(($B$19+13*$B$64)-$B$9)/$B$8)),IF(($B$19+13*$B$64)&lt;$B$104,$B$107,$B$106)))),NA())</f>
        <v>#N/A</v>
      </c>
      <c r="GH201" t="e">
        <f>IF(AND($B$20=1,($B$19+13*$B$64)&lt;$B$10-0.3),$B$152+$B$150*(($B$19+13*$B$64)),NA())</f>
        <v>#N/A</v>
      </c>
      <c r="GI201" t="e">
        <f>IF(AND($B$21=1,(14*$B$66)&lt;IF($B$63=1,$B$10-0.2,$B$62)),$B$151+$B$150*(MAX(IF((14*$B$66)&lt;=$B$9,0,((14*$B$66)-$B$9)/$B$8),MIN(($B$5-IF((14*$B$66)&lt;=$B$9,0,((14*$B$66)-$B$9)/$B$8)),IF((14*$B$66)&lt;$B$104,$B$107,$B$106)))),NA())</f>
        <v>#N/A</v>
      </c>
      <c r="GJ201" t="e">
        <f>IF(AND($B$21=1,(14*$B$66)&lt;IF($B$63=1,$B$10-0.2,$B$62)),$B$152+$B$150*((14*$B$66)),NA())</f>
        <v>#N/A</v>
      </c>
      <c r="HM201" t="e">
        <f>IF(AND(33&lt;=$B$12,2&lt;=$B$25),$B$157+$B$156*((33-1)*$B$13+2*$B$13/($B$25+1)),NA())</f>
        <v>#N/A</v>
      </c>
      <c r="HN201" t="e">
        <f>IF(AND(33&lt;=$B$12,2&lt;=$B$25),$B$158+$B$156*($B$5),NA())</f>
        <v>#N/A</v>
      </c>
      <c r="HQ201" t="e">
        <f>IF(AND(3&lt;=$B$23,3&lt;=$B$24),$B$157+$B$156*(IF(3=1,1,IF(3=$B$23,$B$12,5*(3-1)))*$B$13),NA())</f>
        <v>#N/A</v>
      </c>
      <c r="HR201" t="e">
        <f>IF(AND(3&lt;=$B$23,3&lt;=$B$24),$B$158+$B$156*((1*$B$5/2+(3-1)*($B$5/2)/$B$24)),NA())</f>
        <v>#N/A</v>
      </c>
      <c r="HS201" t="e">
        <f>IF(AND(9&lt;=$B$12,$B$51&gt;0),$B$157+$B$156*(((9-0.5)*$B$13)-($B$51*$B$13)/2),NA())</f>
        <v>#N/A</v>
      </c>
      <c r="HT201" t="e">
        <f>IF(AND(9&lt;=$B$12,$B$51&gt;0),$B$158+$B$156*((0*$B$5/2+0.6*$B$159)),NA())</f>
        <v>#N/A</v>
      </c>
      <c r="KI201" t="e">
        <f>IF(AND($B$21=1,17*$B$67&gt;$B$59,17*$B$67&lt;$B$178-$B$59,OR($B$63=0,ABS(17*$B$67-$B$178/2)&gt;$B$59/2)),$B$182+$B$181*($B$177*2/4-$B$60/2),NA())</f>
        <v>#N/A</v>
      </c>
      <c r="KJ201" t="e">
        <f>IF(AND($B$21=1,17*$B$67&gt;$B$59,17*$B$67&lt;$B$178-$B$59,OR($B$63=0,ABS(17*$B$67-$B$178/2)&gt;$B$59/2)),$B$183+$B$181*(17*$B$67),NA())</f>
        <v>#N/A</v>
      </c>
    </row>
    <row r="202">
      <c r="K202" t="e">
        <f>NA()</f>
        <v>#N/A</v>
      </c>
      <c r="L202" t="e">
        <f>NA()</f>
        <v>#N/A</v>
      </c>
      <c r="FE202" t="e">
        <f>IF(AND(AND($B$21=1,(14*$B$66)&lt;$B$62),(14*$B$66)&gt;=$B$73),$B$145+$B$144*($B$75),NA())</f>
        <v>#N/A</v>
      </c>
      <c r="FF202" t="e">
        <f>IF(AND(AND($B$21=1,(14*$B$66)&lt;$B$62),(14*$B$66)&gt;=$B$73),$B$146+$B$144*((14*$B$66)),NA())</f>
        <v>#N/A</v>
      </c>
      <c r="GG202" t="e">
        <f>IF(AND(AND($B$20=1,($B$19+13*$B$64)&lt;$B$10-0.3),($B$19+13*$B$64)&gt;=$B$104),$B$151+$B$150*(MAX(IF(($B$19+13*$B$64)&lt;=$B$9,0,(($B$19+13*$B$64)-$B$9)/$B$8),MIN(($B$5-IF(($B$19+13*$B$64)&lt;=$B$9,0,(($B$19+13*$B$64)-$B$9)/$B$8)),$B$106))),NA())</f>
        <v>#N/A</v>
      </c>
      <c r="GH202" t="e">
        <f>IF(AND(AND($B$20=1,($B$19+13*$B$64)&lt;$B$10-0.3),($B$19+13*$B$64)&gt;=$B$104),$B$152+$B$150*(($B$19+13*$B$64)),NA())</f>
        <v>#N/A</v>
      </c>
      <c r="GI202" t="e">
        <f>IF(AND(AND($B$21=1,(14*$B$66)&lt;IF($B$63=1,$B$10-0.2,$B$62)),(14*$B$66)&gt;=$B$104),$B$151+$B$150*(MAX(IF((14*$B$66)&lt;=$B$9,0,((14*$B$66)-$B$9)/$B$8),MIN(($B$5-IF((14*$B$66)&lt;=$B$9,0,((14*$B$66)-$B$9)/$B$8)),$B$106))),NA())</f>
        <v>#N/A</v>
      </c>
      <c r="GJ202" t="e">
        <f>IF(AND(AND($B$21=1,(14*$B$66)&lt;IF($B$63=1,$B$10-0.2,$B$62)),(14*$B$66)&gt;=$B$104),$B$152+$B$150*((14*$B$66)),NA())</f>
        <v>#N/A</v>
      </c>
      <c r="HM202" t="e">
        <f>NA()</f>
        <v>#N/A</v>
      </c>
      <c r="HN202" t="e">
        <f>NA()</f>
        <v>#N/A</v>
      </c>
      <c r="HQ202" t="e">
        <f>NA()</f>
        <v>#N/A</v>
      </c>
      <c r="HR202" t="e">
        <f>NA()</f>
        <v>#N/A</v>
      </c>
      <c r="HS202" t="e">
        <f>NA()</f>
        <v>#N/A</v>
      </c>
      <c r="HT202" t="e">
        <f>NA()</f>
        <v>#N/A</v>
      </c>
      <c r="KI202" t="e">
        <f>NA()</f>
        <v>#N/A</v>
      </c>
      <c r="KJ202" t="e">
        <f>NA()</f>
        <v>#N/A</v>
      </c>
    </row>
    <row r="203">
      <c r="K203" t="e">
        <f>IF(11&lt;=$B$12,$B$133+$B$132*($B$13*11-$B$27/2),NA())</f>
        <v>#N/A</v>
      </c>
      <c r="L203" t="e">
        <f>IF(11&lt;=$B$12,$B$134+$B$132*(0-$B$27/2),NA())</f>
        <v>#N/A</v>
      </c>
      <c r="FE203" t="e">
        <f>IF(AND($B$21=1,(14*$B$66)&lt;$B$62),$B$145+$B$144*(IF((14*$B$66)&lt;$B$73,$B$77,$B$75)),NA())</f>
        <v>#N/A</v>
      </c>
      <c r="FF203" t="e">
        <f>IF(AND($B$21=1,(14*$B$66)&lt;$B$62),$B$146+$B$144*((14*$B$66)),NA())</f>
        <v>#N/A</v>
      </c>
      <c r="GG203" t="e">
        <f>IF(AND($B$20=1,($B$19+13*$B$64)&lt;$B$10-0.3),$B$151+$B$150*(MAX(IF(($B$19+13*$B$64)&lt;=$B$9,0,(($B$19+13*$B$64)-$B$9)/$B$8),MIN(($B$5-IF(($B$19+13*$B$64)&lt;=$B$9,0,(($B$19+13*$B$64)-$B$9)/$B$8)),IF(($B$19+13*$B$64)&lt;$B$104,$B$108,$B$106)))),NA())</f>
        <v>#N/A</v>
      </c>
      <c r="GH203" t="e">
        <f>IF(AND($B$20=1,($B$19+13*$B$64)&lt;$B$10-0.3),$B$152+$B$150*(($B$19+13*$B$64)),NA())</f>
        <v>#N/A</v>
      </c>
      <c r="GI203" t="e">
        <f>IF(AND($B$21=1,(14*$B$66)&lt;IF($B$63=1,$B$10-0.2,$B$62)),$B$151+$B$150*(MAX(IF((14*$B$66)&lt;=$B$9,0,((14*$B$66)-$B$9)/$B$8),MIN(($B$5-IF((14*$B$66)&lt;=$B$9,0,((14*$B$66)-$B$9)/$B$8)),IF((14*$B$66)&lt;$B$104,$B$108,$B$106)))),NA())</f>
        <v>#N/A</v>
      </c>
      <c r="GJ203" t="e">
        <f>IF(AND($B$21=1,(14*$B$66)&lt;IF($B$63=1,$B$10-0.2,$B$62)),$B$152+$B$150*((14*$B$66)),NA())</f>
        <v>#N/A</v>
      </c>
      <c r="HM203" t="e">
        <f>IF(AND(34&lt;=$B$12,1&lt;=$B$25),$B$157+$B$156*((34-1)*$B$13+1*$B$13/($B$25+1)),NA())</f>
        <v>#N/A</v>
      </c>
      <c r="HN203" t="e">
        <f>IF(AND(34&lt;=$B$12,1&lt;=$B$25),$B$158+$B$156*(0),NA())</f>
        <v>#N/A</v>
      </c>
      <c r="HQ203" t="e">
        <f>IF(AND(3&lt;=$B$23,4&lt;=$B$24),$B$157+$B$156*((IF(3=1,1,IF(3=$B$23,$B$12,5*(3-1)))-1)*$B$13),NA())</f>
        <v>#N/A</v>
      </c>
      <c r="HR203" t="e">
        <f>IF(AND(3&lt;=$B$23,4&lt;=$B$24),$B$158+$B$156*((1*$B$5/2+(4-1)*($B$5/2)/$B$24)),NA())</f>
        <v>#N/A</v>
      </c>
      <c r="HS203" t="e">
        <f>IF(AND(9&lt;=$B$12,$B$51&gt;0),$B$157+$B$156*(((9-0.5)*$B$13)-($B$51*$B$13)/2),NA())</f>
        <v>#N/A</v>
      </c>
      <c r="HT203" t="e">
        <f>IF(AND(9&lt;=$B$12,$B$51&gt;0),$B$158+$B$156*((0*$B$5/2+0.6*$B$159)),NA())</f>
        <v>#N/A</v>
      </c>
      <c r="KI203" t="e">
        <f>IF(AND($B$21=1,17*$B$67&gt;$B$59,17*$B$67&lt;$B$178-$B$59,OR($B$63=0,ABS(17*$B$67-$B$178/2)&gt;$B$59/2)),$B$182+$B$181*($B$177*2/4+$B$60/2),NA())</f>
        <v>#N/A</v>
      </c>
      <c r="KJ203" t="e">
        <f>IF(AND($B$21=1,17*$B$67&gt;$B$59,17*$B$67&lt;$B$178-$B$59,OR($B$63=0,ABS(17*$B$67-$B$178/2)&gt;$B$59/2)),$B$183+$B$181*(17*$B$67),NA())</f>
        <v>#N/A</v>
      </c>
    </row>
    <row r="204">
      <c r="K204" t="e">
        <f>IF(11&lt;=$B$12,$B$133+$B$132*($B$13*11+$B$27/2),NA())</f>
        <v>#N/A</v>
      </c>
      <c r="L204" t="e">
        <f>IF(11&lt;=$B$12,$B$134+$B$132*(0-$B$27/2),NA())</f>
        <v>#N/A</v>
      </c>
      <c r="FE204" t="e">
        <f>IF(AND($B$21=1,(14*$B$66)&lt;$B$62),$B$145+$B$144*(IF((14*$B$66)&lt;$B$80,$B$83,$B$82)),NA())</f>
        <v>#N/A</v>
      </c>
      <c r="FF204" t="e">
        <f>IF(AND($B$21=1,(14*$B$66)&lt;$B$62),$B$146+$B$144*((14*$B$66)),NA())</f>
        <v>#N/A</v>
      </c>
      <c r="GG204" t="e">
        <f>IF(AND($B$20=1,($B$19+13*$B$64)&lt;$B$10-0.3),$B$151+$B$150*(MAX(IF(($B$19+13*$B$64)&lt;=$B$9,0,(($B$19+13*$B$64)-$B$9)/$B$8),MIN(($B$5-IF(($B$19+13*$B$64)&lt;=$B$9,0,(($B$19+13*$B$64)-$B$9)/$B$8)),IF(($B$19+13*$B$64)&lt;$B$111,$B$114,$B$113)))),NA())</f>
        <v>#N/A</v>
      </c>
      <c r="GH204" t="e">
        <f>IF(AND($B$20=1,($B$19+13*$B$64)&lt;$B$10-0.3),$B$152+$B$150*(($B$19+13*$B$64)),NA())</f>
        <v>#N/A</v>
      </c>
      <c r="GI204" t="e">
        <f>IF(AND($B$21=1,(14*$B$66)&lt;IF($B$63=1,$B$10-0.2,$B$62)),$B$151+$B$150*(MAX(IF((14*$B$66)&lt;=$B$9,0,((14*$B$66)-$B$9)/$B$8),MIN(($B$5-IF((14*$B$66)&lt;=$B$9,0,((14*$B$66)-$B$9)/$B$8)),IF((14*$B$66)&lt;$B$111,$B$114,$B$113)))),NA())</f>
        <v>#N/A</v>
      </c>
      <c r="GJ204" t="e">
        <f>IF(AND($B$21=1,(14*$B$66)&lt;IF($B$63=1,$B$10-0.2,$B$62)),$B$152+$B$150*((14*$B$66)),NA())</f>
        <v>#N/A</v>
      </c>
      <c r="HM204" t="e">
        <f>IF(AND(34&lt;=$B$12,1&lt;=$B$25),$B$157+$B$156*((34-1)*$B$13+1*$B$13/($B$25+1)),NA())</f>
        <v>#N/A</v>
      </c>
      <c r="HN204" t="e">
        <f>IF(AND(34&lt;=$B$12,1&lt;=$B$25),$B$158+$B$156*($B$5),NA())</f>
        <v>#N/A</v>
      </c>
      <c r="HQ204" t="e">
        <f>IF(AND(3&lt;=$B$23,4&lt;=$B$24),$B$157+$B$156*(IF(3=1,1,IF(3=$B$23,$B$12,5*(3-1)))*$B$13),NA())</f>
        <v>#N/A</v>
      </c>
      <c r="HR204" t="e">
        <f>IF(AND(3&lt;=$B$23,4&lt;=$B$24),$B$158+$B$156*((1*$B$5/2+4*($B$5/2)/$B$24)),NA())</f>
        <v>#N/A</v>
      </c>
      <c r="HS204" t="e">
        <f>IF(AND(9&lt;=$B$12,$B$51&gt;0),$B$157+$B$156*(((9-0.5)*$B$13)+($B$51*$B$13)/2),NA())</f>
        <v>#N/A</v>
      </c>
      <c r="HT204" t="e">
        <f>IF(AND(9&lt;=$B$12,$B$51&gt;0),$B$158+$B$156*((0*$B$5/2+0.6*$B$159)+(((0*$B$5/2+$B$5/2-0.6*$B$159))-((0*$B$5/2+0.6*$B$159)))/4),NA())</f>
        <v>#N/A</v>
      </c>
      <c r="KI204" t="e">
        <f>IF(AND($B$21=1,17*$B$67&gt;$B$59,17*$B$67&lt;$B$178-$B$59,OR($B$63=0,ABS(17*$B$67-$B$178/2)&gt;$B$59/2)),$B$182+$B$181*($B$177*3/4-$B$60/2),NA())</f>
        <v>#N/A</v>
      </c>
      <c r="KJ204" t="e">
        <f>IF(AND($B$21=1,17*$B$67&gt;$B$59,17*$B$67&lt;$B$178-$B$59,OR($B$63=0,ABS(17*$B$67-$B$178/2)&gt;$B$59/2)),$B$183+$B$181*(17*$B$67),NA())</f>
        <v>#N/A</v>
      </c>
    </row>
    <row r="205">
      <c r="K205" t="e">
        <f>IF(11&lt;=$B$12,$B$133+$B$132*($B$13*11+$B$27/2),NA())</f>
        <v>#N/A</v>
      </c>
      <c r="L205" t="e">
        <f>IF(11&lt;=$B$12,$B$134+$B$132*(0+$B$27/2),NA())</f>
        <v>#N/A</v>
      </c>
      <c r="FE205" t="e">
        <f>IF(AND(AND($B$21=1,(14*$B$66)&lt;$B$62),(14*$B$66)&gt;=$B$80),$B$145+$B$144*($B$82),NA())</f>
        <v>#N/A</v>
      </c>
      <c r="FF205" t="e">
        <f>IF(AND(AND($B$21=1,(14*$B$66)&lt;$B$62),(14*$B$66)&gt;=$B$80),$B$146+$B$144*((14*$B$66)),NA())</f>
        <v>#N/A</v>
      </c>
      <c r="GG205" t="e">
        <f>IF(AND(AND($B$20=1,($B$19+13*$B$64)&lt;$B$10-0.3),($B$19+13*$B$64)&gt;=$B$111),$B$151+$B$150*(MAX(IF(($B$19+13*$B$64)&lt;=$B$9,0,(($B$19+13*$B$64)-$B$9)/$B$8),MIN(($B$5-IF(($B$19+13*$B$64)&lt;=$B$9,0,(($B$19+13*$B$64)-$B$9)/$B$8)),$B$113))),NA())</f>
        <v>#N/A</v>
      </c>
      <c r="GH205" t="e">
        <f>IF(AND(AND($B$20=1,($B$19+13*$B$64)&lt;$B$10-0.3),($B$19+13*$B$64)&gt;=$B$111),$B$152+$B$150*(($B$19+13*$B$64)),NA())</f>
        <v>#N/A</v>
      </c>
      <c r="GI205" t="e">
        <f>IF(AND(AND($B$21=1,(14*$B$66)&lt;IF($B$63=1,$B$10-0.2,$B$62)),(14*$B$66)&gt;=$B$111),$B$151+$B$150*(MAX(IF((14*$B$66)&lt;=$B$9,0,((14*$B$66)-$B$9)/$B$8),MIN(($B$5-IF((14*$B$66)&lt;=$B$9,0,((14*$B$66)-$B$9)/$B$8)),$B$113))),NA())</f>
        <v>#N/A</v>
      </c>
      <c r="GJ205" t="e">
        <f>IF(AND(AND($B$21=1,(14*$B$66)&lt;IF($B$63=1,$B$10-0.2,$B$62)),(14*$B$66)&gt;=$B$111),$B$152+$B$150*((14*$B$66)),NA())</f>
        <v>#N/A</v>
      </c>
      <c r="HM205" t="e">
        <f>NA()</f>
        <v>#N/A</v>
      </c>
      <c r="HN205" t="e">
        <f>NA()</f>
        <v>#N/A</v>
      </c>
      <c r="HQ205" t="e">
        <f>NA()</f>
        <v>#N/A</v>
      </c>
      <c r="HR205" t="e">
        <f>NA()</f>
        <v>#N/A</v>
      </c>
      <c r="HS205" t="e">
        <f>IF(AND(9&lt;=$B$12,$B$51&gt;0),$B$157+$B$156*(((9-0.5)*$B$13)-($B$51*$B$13)/2),NA())</f>
        <v>#N/A</v>
      </c>
      <c r="HT205" t="e">
        <f>IF(AND(9&lt;=$B$12,$B$51&gt;0),$B$158+$B$156*((0*$B$5/2+0.6*$B$159)+(((0*$B$5/2+$B$5/2-0.6*$B$159))-((0*$B$5/2+0.6*$B$159)))/2),NA())</f>
        <v>#N/A</v>
      </c>
      <c r="KI205" t="e">
        <f>NA()</f>
        <v>#N/A</v>
      </c>
      <c r="KJ205" t="e">
        <f>NA()</f>
        <v>#N/A</v>
      </c>
    </row>
    <row r="206">
      <c r="K206" t="e">
        <f>IF(11&lt;=$B$12,$B$133+$B$132*($B$13*11-$B$27/2),NA())</f>
        <v>#N/A</v>
      </c>
      <c r="L206" t="e">
        <f>IF(11&lt;=$B$12,$B$134+$B$132*(0+$B$27/2),NA())</f>
        <v>#N/A</v>
      </c>
      <c r="FE206" t="e">
        <f>IF(AND($B$21=1,(14*$B$66)&lt;$B$62),$B$145+$B$144*(IF((14*$B$66)&lt;$B$80,$B$84,$B$82)),NA())</f>
        <v>#N/A</v>
      </c>
      <c r="FF206" t="e">
        <f>IF(AND($B$21=1,(14*$B$66)&lt;$B$62),$B$146+$B$144*((14*$B$66)),NA())</f>
        <v>#N/A</v>
      </c>
      <c r="GG206" t="e">
        <f>IF(AND($B$20=1,($B$19+13*$B$64)&lt;$B$10-0.3),$B$151+$B$150*(MAX(IF(($B$19+13*$B$64)&lt;=$B$9,0,(($B$19+13*$B$64)-$B$9)/$B$8),MIN(($B$5-IF(($B$19+13*$B$64)&lt;=$B$9,0,(($B$19+13*$B$64)-$B$9)/$B$8)),IF(($B$19+13*$B$64)&lt;$B$111,$B$115,$B$113)))),NA())</f>
        <v>#N/A</v>
      </c>
      <c r="GH206" t="e">
        <f>IF(AND($B$20=1,($B$19+13*$B$64)&lt;$B$10-0.3),$B$152+$B$150*(($B$19+13*$B$64)),NA())</f>
        <v>#N/A</v>
      </c>
      <c r="GI206" t="e">
        <f>IF(AND($B$21=1,(14*$B$66)&lt;IF($B$63=1,$B$10-0.2,$B$62)),$B$151+$B$150*(MAX(IF((14*$B$66)&lt;=$B$9,0,((14*$B$66)-$B$9)/$B$8),MIN(($B$5-IF((14*$B$66)&lt;=$B$9,0,((14*$B$66)-$B$9)/$B$8)),IF((14*$B$66)&lt;$B$111,$B$115,$B$113)))),NA())</f>
        <v>#N/A</v>
      </c>
      <c r="GJ206" t="e">
        <f>IF(AND($B$21=1,(14*$B$66)&lt;IF($B$63=1,$B$10-0.2,$B$62)),$B$152+$B$150*((14*$B$66)),NA())</f>
        <v>#N/A</v>
      </c>
      <c r="HM206" t="e">
        <f>IF(AND(34&lt;=$B$12,2&lt;=$B$25),$B$157+$B$156*((34-1)*$B$13+2*$B$13/($B$25+1)),NA())</f>
        <v>#N/A</v>
      </c>
      <c r="HN206" t="e">
        <f>IF(AND(34&lt;=$B$12,2&lt;=$B$25),$B$158+$B$156*(0),NA())</f>
        <v>#N/A</v>
      </c>
      <c r="HQ206" t="e">
        <f>IF(AND(3&lt;=$B$23,4&lt;=$B$24),$B$157+$B$156*((IF(3=1,1,IF(3=$B$23,$B$12,5*(3-1)))-1)*$B$13),NA())</f>
        <v>#N/A</v>
      </c>
      <c r="HR206" t="e">
        <f>IF(AND(3&lt;=$B$23,4&lt;=$B$24),$B$158+$B$156*((1*$B$5/2+4*($B$5/2)/$B$24)),NA())</f>
        <v>#N/A</v>
      </c>
      <c r="HS206" t="e">
        <f>IF(AND(9&lt;=$B$12,$B$51&gt;0),$B$157+$B$156*(((9-0.5)*$B$13)+($B$51*$B$13)/2),NA())</f>
        <v>#N/A</v>
      </c>
      <c r="HT206" t="e">
        <f>IF(AND(9&lt;=$B$12,$B$51&gt;0),$B$158+$B$156*((0*$B$5/2+0.6*$B$159)+3*(((0*$B$5/2+$B$5/2-0.6*$B$159))-((0*$B$5/2+0.6*$B$159)))/4),NA())</f>
        <v>#N/A</v>
      </c>
      <c r="KI206" t="e">
        <f>IF(AND($B$21=1,17*$B$67&gt;$B$59,17*$B$67&lt;$B$178-$B$59,OR($B$63=0,ABS(17*$B$67-$B$178/2)&gt;$B$59/2)),$B$182+$B$181*($B$177*3/4+$B$60/2),NA())</f>
        <v>#N/A</v>
      </c>
      <c r="KJ206" t="e">
        <f>IF(AND($B$21=1,17*$B$67&gt;$B$59,17*$B$67&lt;$B$178-$B$59,OR($B$63=0,ABS(17*$B$67-$B$178/2)&gt;$B$59/2)),$B$183+$B$181*(17*$B$67),NA())</f>
        <v>#N/A</v>
      </c>
    </row>
    <row r="207">
      <c r="K207" t="e">
        <f>IF(11&lt;=$B$12,$B$133+$B$132*($B$13*11-$B$27/2),NA())</f>
        <v>#N/A</v>
      </c>
      <c r="L207" t="e">
        <f>IF(11&lt;=$B$12,$B$134+$B$132*(0-$B$27/2),NA())</f>
        <v>#N/A</v>
      </c>
      <c r="FE207" t="e">
        <f>IF(AND($B$21=1,(14*$B$66)&lt;$B$62),$B$145+$B$144*(IF((14*$B$66)&lt;$B$87,$B$90,$B$89)),NA())</f>
        <v>#N/A</v>
      </c>
      <c r="FF207" t="e">
        <f>IF(AND($B$21=1,(14*$B$66)&lt;$B$62),$B$146+$B$144*((14*$B$66)),NA())</f>
        <v>#N/A</v>
      </c>
      <c r="GG207" t="e">
        <f>IF(AND($B$20=1,($B$19+13*$B$64)&lt;$B$10-0.3),$B$151+$B$150*(MAX(IF(($B$19+13*$B$64)&lt;=$B$9,0,(($B$19+13*$B$64)-$B$9)/$B$8),MIN(($B$5-IF(($B$19+13*$B$64)&lt;=$B$9,0,(($B$19+13*$B$64)-$B$9)/$B$8)),IF(($B$19+13*$B$64)&lt;$B$118,$B$121,$B$120)))),NA())</f>
        <v>#N/A</v>
      </c>
      <c r="GH207" t="e">
        <f>IF(AND($B$20=1,($B$19+13*$B$64)&lt;$B$10-0.3),$B$152+$B$150*(($B$19+13*$B$64)),NA())</f>
        <v>#N/A</v>
      </c>
      <c r="GI207" t="e">
        <f>IF(AND($B$21=1,(14*$B$66)&lt;IF($B$63=1,$B$10-0.2,$B$62)),$B$151+$B$150*(MAX(IF((14*$B$66)&lt;=$B$9,0,((14*$B$66)-$B$9)/$B$8),MIN(($B$5-IF((14*$B$66)&lt;=$B$9,0,((14*$B$66)-$B$9)/$B$8)),IF((14*$B$66)&lt;$B$118,$B$121,$B$120)))),NA())</f>
        <v>#N/A</v>
      </c>
      <c r="GJ207" t="e">
        <f>IF(AND($B$21=1,(14*$B$66)&lt;IF($B$63=1,$B$10-0.2,$B$62)),$B$152+$B$150*((14*$B$66)),NA())</f>
        <v>#N/A</v>
      </c>
      <c r="HM207" t="e">
        <f>IF(AND(34&lt;=$B$12,2&lt;=$B$25),$B$157+$B$156*((34-1)*$B$13+2*$B$13/($B$25+1)),NA())</f>
        <v>#N/A</v>
      </c>
      <c r="HN207" t="e">
        <f>IF(AND(34&lt;=$B$12,2&lt;=$B$25),$B$158+$B$156*($B$5),NA())</f>
        <v>#N/A</v>
      </c>
      <c r="HQ207" t="e">
        <f>IF(AND(3&lt;=$B$23,4&lt;=$B$24),$B$157+$B$156*(IF(3=1,1,IF(3=$B$23,$B$12,5*(3-1)))*$B$13),NA())</f>
        <v>#N/A</v>
      </c>
      <c r="HR207" t="e">
        <f>IF(AND(3&lt;=$B$23,4&lt;=$B$24),$B$158+$B$156*((1*$B$5/2+(4-1)*($B$5/2)/$B$24)),NA())</f>
        <v>#N/A</v>
      </c>
      <c r="HS207" t="e">
        <f>IF(AND(9&lt;=$B$12,$B$51&gt;0),$B$157+$B$156*(((9-0.5)*$B$13)-($B$51*$B$13)/2),NA())</f>
        <v>#N/A</v>
      </c>
      <c r="HT207" t="e">
        <f>IF(AND(9&lt;=$B$12,$B$51&gt;0),$B$158+$B$156*((0*$B$5/2+$B$5/2-0.6*$B$159)),NA())</f>
        <v>#N/A</v>
      </c>
      <c r="KI207" t="e">
        <f>IF(AND($B$21=1,17*$B$67&gt;$B$59,17*$B$67&lt;$B$178-$B$59,OR($B$63=0,ABS(17*$B$67-$B$178/2)&gt;$B$59/2)),$B$182+$B$181*($B$177),NA())</f>
        <v>#N/A</v>
      </c>
      <c r="KJ207" t="e">
        <f>IF(AND($B$21=1,17*$B$67&gt;$B$59,17*$B$67&lt;$B$178-$B$59,OR($B$63=0,ABS(17*$B$67-$B$178/2)&gt;$B$59/2)),$B$183+$B$181*(17*$B$67),NA())</f>
        <v>#N/A</v>
      </c>
    </row>
    <row r="208">
      <c r="K208" t="e">
        <f>NA()</f>
        <v>#N/A</v>
      </c>
      <c r="L208" t="e">
        <f>NA()</f>
        <v>#N/A</v>
      </c>
      <c r="FE208" t="e">
        <f>IF(AND(AND($B$21=1,(14*$B$66)&lt;$B$62),(14*$B$66)&gt;=$B$87),$B$145+$B$144*($B$89),NA())</f>
        <v>#N/A</v>
      </c>
      <c r="FF208" t="e">
        <f>IF(AND(AND($B$21=1,(14*$B$66)&lt;$B$62),(14*$B$66)&gt;=$B$87),$B$146+$B$144*((14*$B$66)),NA())</f>
        <v>#N/A</v>
      </c>
      <c r="GG208" t="e">
        <f>IF(AND(AND($B$20=1,($B$19+13*$B$64)&lt;$B$10-0.3),($B$19+13*$B$64)&gt;=$B$118),$B$151+$B$150*(MAX(IF(($B$19+13*$B$64)&lt;=$B$9,0,(($B$19+13*$B$64)-$B$9)/$B$8),MIN(($B$5-IF(($B$19+13*$B$64)&lt;=$B$9,0,(($B$19+13*$B$64)-$B$9)/$B$8)),$B$120))),NA())</f>
        <v>#N/A</v>
      </c>
      <c r="GH208" t="e">
        <f>IF(AND(AND($B$20=1,($B$19+13*$B$64)&lt;$B$10-0.3),($B$19+13*$B$64)&gt;=$B$118),$B$152+$B$150*(($B$19+13*$B$64)),NA())</f>
        <v>#N/A</v>
      </c>
      <c r="GI208" t="e">
        <f>IF(AND(AND($B$21=1,(14*$B$66)&lt;IF($B$63=1,$B$10-0.2,$B$62)),(14*$B$66)&gt;=$B$118),$B$151+$B$150*(MAX(IF((14*$B$66)&lt;=$B$9,0,((14*$B$66)-$B$9)/$B$8),MIN(($B$5-IF((14*$B$66)&lt;=$B$9,0,((14*$B$66)-$B$9)/$B$8)),$B$120))),NA())</f>
        <v>#N/A</v>
      </c>
      <c r="GJ208" t="e">
        <f>IF(AND(AND($B$21=1,(14*$B$66)&lt;IF($B$63=1,$B$10-0.2,$B$62)),(14*$B$66)&gt;=$B$118),$B$152+$B$150*((14*$B$66)),NA())</f>
        <v>#N/A</v>
      </c>
      <c r="HM208" t="e">
        <f>NA()</f>
        <v>#N/A</v>
      </c>
      <c r="HN208" t="e">
        <f>NA()</f>
        <v>#N/A</v>
      </c>
      <c r="HQ208" t="e">
        <f>NA()</f>
        <v>#N/A</v>
      </c>
      <c r="HR208" t="e">
        <f>NA()</f>
        <v>#N/A</v>
      </c>
      <c r="HS208" t="e">
        <f>NA()</f>
        <v>#N/A</v>
      </c>
      <c r="HT208" t="e">
        <f>NA()</f>
        <v>#N/A</v>
      </c>
      <c r="KI208" t="e">
        <f>NA()</f>
        <v>#N/A</v>
      </c>
      <c r="KJ208" t="e">
        <f>NA()</f>
        <v>#N/A</v>
      </c>
    </row>
    <row r="209">
      <c r="K209" t="e">
        <f>IF(11&lt;=$B$12,$B$133+$B$132*($B$13*11-$B$27/2),NA())</f>
        <v>#N/A</v>
      </c>
      <c r="L209" t="e">
        <f>IF(11&lt;=$B$12,$B$134+$B$132*($B$5-$B$27/2),NA())</f>
        <v>#N/A</v>
      </c>
      <c r="FE209" t="e">
        <f>IF(AND($B$21=1,(14*$B$66)&lt;$B$62),$B$145+$B$144*(IF((14*$B$66)&lt;$B$87,$B$91,$B$89)),NA())</f>
        <v>#N/A</v>
      </c>
      <c r="FF209" t="e">
        <f>IF(AND($B$21=1,(14*$B$66)&lt;$B$62),$B$146+$B$144*((14*$B$66)),NA())</f>
        <v>#N/A</v>
      </c>
      <c r="GG209" t="e">
        <f>IF(AND($B$20=1,($B$19+13*$B$64)&lt;$B$10-0.3),$B$151+$B$150*(MAX(IF(($B$19+13*$B$64)&lt;=$B$9,0,(($B$19+13*$B$64)-$B$9)/$B$8),MIN(($B$5-IF(($B$19+13*$B$64)&lt;=$B$9,0,(($B$19+13*$B$64)-$B$9)/$B$8)),IF(($B$19+13*$B$64)&lt;$B$118,$B$122,$B$120)))),NA())</f>
        <v>#N/A</v>
      </c>
      <c r="GH209" t="e">
        <f>IF(AND($B$20=1,($B$19+13*$B$64)&lt;$B$10-0.3),$B$152+$B$150*(($B$19+13*$B$64)),NA())</f>
        <v>#N/A</v>
      </c>
      <c r="GI209" t="e">
        <f>IF(AND($B$21=1,(14*$B$66)&lt;IF($B$63=1,$B$10-0.2,$B$62)),$B$151+$B$150*(MAX(IF((14*$B$66)&lt;=$B$9,0,((14*$B$66)-$B$9)/$B$8),MIN(($B$5-IF((14*$B$66)&lt;=$B$9,0,((14*$B$66)-$B$9)/$B$8)),IF((14*$B$66)&lt;$B$118,$B$122,$B$120)))),NA())</f>
        <v>#N/A</v>
      </c>
      <c r="GJ209" t="e">
        <f>IF(AND($B$21=1,(14*$B$66)&lt;IF($B$63=1,$B$10-0.2,$B$62)),$B$152+$B$150*((14*$B$66)),NA())</f>
        <v>#N/A</v>
      </c>
      <c r="HM209" t="e">
        <f>IF(AND(35&lt;=$B$12,1&lt;=$B$25),$B$157+$B$156*((35-1)*$B$13+1*$B$13/($B$25+1)),NA())</f>
        <v>#N/A</v>
      </c>
      <c r="HN209" t="e">
        <f>IF(AND(35&lt;=$B$12,1&lt;=$B$25),$B$158+$B$156*(0),NA())</f>
        <v>#N/A</v>
      </c>
      <c r="HQ209" t="e">
        <f>IF(AND(3&lt;=$B$23,5&lt;=$B$24),$B$157+$B$156*((IF(3=1,1,IF(3=$B$23,$B$12,5*(3-1)))-1)*$B$13),NA())</f>
        <v>#N/A</v>
      </c>
      <c r="HR209" t="e">
        <f>IF(AND(3&lt;=$B$23,5&lt;=$B$24),$B$158+$B$156*((1*$B$5/2+(5-1)*($B$5/2)/$B$24)),NA())</f>
        <v>#N/A</v>
      </c>
      <c r="HS209" t="e">
        <f>IF(AND(9&lt;=$B$12,$B$51&gt;0),$B$157+$B$156*(((9-0.5)*$B$13)-($B$51*$B$13)/2),NA())</f>
        <v>#N/A</v>
      </c>
      <c r="HT209" t="e">
        <f>IF(AND(9&lt;=$B$12,$B$51&gt;0),$B$158+$B$156*((1*$B$5/2+0.6*$B$159)),NA())</f>
        <v>#N/A</v>
      </c>
      <c r="KI209" t="e">
        <f>IF(AND($B$21=1,18*$B$67&gt;$B$59,18*$B$67&lt;$B$178-$B$59,OR($B$63=0,ABS(18*$B$67-$B$178/2)&gt;$B$59/2)),$B$182+$B$181*(0),NA())</f>
        <v>#N/A</v>
      </c>
      <c r="KJ209" t="e">
        <f>IF(AND($B$21=1,18*$B$67&gt;$B$59,18*$B$67&lt;$B$178-$B$59,OR($B$63=0,ABS(18*$B$67-$B$178/2)&gt;$B$59/2)),$B$183+$B$181*(18*$B$67),NA())</f>
        <v>#N/A</v>
      </c>
    </row>
    <row r="210">
      <c r="K210" t="e">
        <f>IF(11&lt;=$B$12,$B$133+$B$132*($B$13*11+$B$27/2),NA())</f>
        <v>#N/A</v>
      </c>
      <c r="L210" t="e">
        <f>IF(11&lt;=$B$12,$B$134+$B$132*($B$5-$B$27/2),NA())</f>
        <v>#N/A</v>
      </c>
      <c r="FE210" t="e">
        <f>IF(AND($B$21=1,(14*$B$66)&lt;$B$62),$B$145+$B$144*(IF((14*$B$66)&lt;$B$94,$B$97,$B$96)),NA())</f>
        <v>#N/A</v>
      </c>
      <c r="FF210" t="e">
        <f>IF(AND($B$21=1,(14*$B$66)&lt;$B$62),$B$146+$B$144*((14*$B$66)),NA())</f>
        <v>#N/A</v>
      </c>
      <c r="GG210" t="e">
        <f>IF(AND($B$20=1,($B$19+13*$B$64)&lt;$B$10-0.3),$B$151+$B$150*(MAX(IF(($B$19+13*$B$64)&lt;=$B$9,0,(($B$19+13*$B$64)-$B$9)/$B$8),MIN(($B$5-IF(($B$19+13*$B$64)&lt;=$B$9,0,(($B$19+13*$B$64)-$B$9)/$B$8)),IF(($B$19+13*$B$64)&lt;$B$125,$B$128,$B$127)))),NA())</f>
        <v>#N/A</v>
      </c>
      <c r="GH210" t="e">
        <f>IF(AND($B$20=1,($B$19+13*$B$64)&lt;$B$10-0.3),$B$152+$B$150*(($B$19+13*$B$64)),NA())</f>
        <v>#N/A</v>
      </c>
      <c r="GI210" t="e">
        <f>IF(AND($B$21=1,(14*$B$66)&lt;IF($B$63=1,$B$10-0.2,$B$62)),$B$151+$B$150*(MAX(IF((14*$B$66)&lt;=$B$9,0,((14*$B$66)-$B$9)/$B$8),MIN(($B$5-IF((14*$B$66)&lt;=$B$9,0,((14*$B$66)-$B$9)/$B$8)),IF((14*$B$66)&lt;$B$125,$B$128,$B$127)))),NA())</f>
        <v>#N/A</v>
      </c>
      <c r="GJ210" t="e">
        <f>IF(AND($B$21=1,(14*$B$66)&lt;IF($B$63=1,$B$10-0.2,$B$62)),$B$152+$B$150*((14*$B$66)),NA())</f>
        <v>#N/A</v>
      </c>
      <c r="HM210" t="e">
        <f>IF(AND(35&lt;=$B$12,1&lt;=$B$25),$B$157+$B$156*((35-1)*$B$13+1*$B$13/($B$25+1)),NA())</f>
        <v>#N/A</v>
      </c>
      <c r="HN210" t="e">
        <f>IF(AND(35&lt;=$B$12,1&lt;=$B$25),$B$158+$B$156*($B$5),NA())</f>
        <v>#N/A</v>
      </c>
      <c r="HQ210" t="e">
        <f>IF(AND(3&lt;=$B$23,5&lt;=$B$24),$B$157+$B$156*(IF(3=1,1,IF(3=$B$23,$B$12,5*(3-1)))*$B$13),NA())</f>
        <v>#N/A</v>
      </c>
      <c r="HR210" t="e">
        <f>IF(AND(3&lt;=$B$23,5&lt;=$B$24),$B$158+$B$156*((1*$B$5/2+5*($B$5/2)/$B$24)),NA())</f>
        <v>#N/A</v>
      </c>
      <c r="HS210" t="e">
        <f>IF(AND(9&lt;=$B$12,$B$51&gt;0),$B$157+$B$156*(((9-0.5)*$B$13)+($B$51*$B$13)/2),NA())</f>
        <v>#N/A</v>
      </c>
      <c r="HT210" t="e">
        <f>IF(AND(9&lt;=$B$12,$B$51&gt;0),$B$158+$B$156*((1*$B$5/2+0.6*$B$159)),NA())</f>
        <v>#N/A</v>
      </c>
      <c r="KI210" t="e">
        <f>IF(AND($B$21=1,18*$B$67&gt;$B$59,18*$B$67&lt;$B$178-$B$59,OR($B$63=0,ABS(18*$B$67-$B$178/2)&gt;$B$59/2)),$B$182+$B$181*($B$177*1/4-$B$60/2),NA())</f>
        <v>#N/A</v>
      </c>
      <c r="KJ210" t="e">
        <f>IF(AND($B$21=1,18*$B$67&gt;$B$59,18*$B$67&lt;$B$178-$B$59,OR($B$63=0,ABS(18*$B$67-$B$178/2)&gt;$B$59/2)),$B$183+$B$181*(18*$B$67),NA())</f>
        <v>#N/A</v>
      </c>
    </row>
    <row r="211">
      <c r="K211" t="e">
        <f>IF(11&lt;=$B$12,$B$133+$B$132*($B$13*11+$B$27/2),NA())</f>
        <v>#N/A</v>
      </c>
      <c r="L211" t="e">
        <f>IF(11&lt;=$B$12,$B$134+$B$132*($B$5+$B$27/2),NA())</f>
        <v>#N/A</v>
      </c>
      <c r="FE211" t="e">
        <f>IF(AND(AND($B$21=1,(14*$B$66)&lt;$B$62),(14*$B$66)&gt;=$B$94),$B$145+$B$144*($B$96),NA())</f>
        <v>#N/A</v>
      </c>
      <c r="FF211" t="e">
        <f>IF(AND(AND($B$21=1,(14*$B$66)&lt;$B$62),(14*$B$66)&gt;=$B$94),$B$146+$B$144*((14*$B$66)),NA())</f>
        <v>#N/A</v>
      </c>
      <c r="GG211" t="e">
        <f>IF(AND(AND($B$20=1,($B$19+13*$B$64)&lt;$B$10-0.3),($B$19+13*$B$64)&gt;=$B$125),$B$151+$B$150*(MAX(IF(($B$19+13*$B$64)&lt;=$B$9,0,(($B$19+13*$B$64)-$B$9)/$B$8),MIN(($B$5-IF(($B$19+13*$B$64)&lt;=$B$9,0,(($B$19+13*$B$64)-$B$9)/$B$8)),$B$127))),NA())</f>
        <v>#N/A</v>
      </c>
      <c r="GH211" t="e">
        <f>IF(AND(AND($B$20=1,($B$19+13*$B$64)&lt;$B$10-0.3),($B$19+13*$B$64)&gt;=$B$125),$B$152+$B$150*(($B$19+13*$B$64)),NA())</f>
        <v>#N/A</v>
      </c>
      <c r="GI211" t="e">
        <f>IF(AND(AND($B$21=1,(14*$B$66)&lt;IF($B$63=1,$B$10-0.2,$B$62)),(14*$B$66)&gt;=$B$125),$B$151+$B$150*(MAX(IF((14*$B$66)&lt;=$B$9,0,((14*$B$66)-$B$9)/$B$8),MIN(($B$5-IF((14*$B$66)&lt;=$B$9,0,((14*$B$66)-$B$9)/$B$8)),$B$127))),NA())</f>
        <v>#N/A</v>
      </c>
      <c r="GJ211" t="e">
        <f>IF(AND(AND($B$21=1,(14*$B$66)&lt;IF($B$63=1,$B$10-0.2,$B$62)),(14*$B$66)&gt;=$B$125),$B$152+$B$150*((14*$B$66)),NA())</f>
        <v>#N/A</v>
      </c>
      <c r="HM211" t="e">
        <f>NA()</f>
        <v>#N/A</v>
      </c>
      <c r="HN211" t="e">
        <f>NA()</f>
        <v>#N/A</v>
      </c>
      <c r="HQ211" t="e">
        <f>NA()</f>
        <v>#N/A</v>
      </c>
      <c r="HR211" t="e">
        <f>NA()</f>
        <v>#N/A</v>
      </c>
      <c r="HS211" t="e">
        <f>IF(AND(9&lt;=$B$12,$B$51&gt;0),$B$157+$B$156*(((9-0.5)*$B$13)+($B$51*$B$13)/2),NA())</f>
        <v>#N/A</v>
      </c>
      <c r="HT211" t="e">
        <f>IF(AND(9&lt;=$B$12,$B$51&gt;0),$B$158+$B$156*((1*$B$5/2+$B$5/2-0.6*$B$159)),NA())</f>
        <v>#N/A</v>
      </c>
      <c r="KI211" t="e">
        <f>NA()</f>
        <v>#N/A</v>
      </c>
      <c r="KJ211" t="e">
        <f>NA()</f>
        <v>#N/A</v>
      </c>
    </row>
    <row r="212">
      <c r="K212" t="e">
        <f>IF(11&lt;=$B$12,$B$133+$B$132*($B$13*11-$B$27/2),NA())</f>
        <v>#N/A</v>
      </c>
      <c r="L212" t="e">
        <f>IF(11&lt;=$B$12,$B$134+$B$132*($B$5+$B$27/2),NA())</f>
        <v>#N/A</v>
      </c>
      <c r="FE212" t="e">
        <f>IF(AND($B$21=1,(14*$B$66)&lt;$B$62),$B$145+$B$144*(IF((14*$B$66)&lt;$B$94,$B$98,$B$96)),NA())</f>
        <v>#N/A</v>
      </c>
      <c r="FF212" t="e">
        <f>IF(AND($B$21=1,(14*$B$66)&lt;$B$62),$B$146+$B$144*((14*$B$66)),NA())</f>
        <v>#N/A</v>
      </c>
      <c r="GG212" t="e">
        <f>IF(AND($B$20=1,($B$19+13*$B$64)&lt;$B$10-0.3),$B$151+$B$150*(MAX(IF(($B$19+13*$B$64)&lt;=$B$9,0,(($B$19+13*$B$64)-$B$9)/$B$8),MIN(($B$5-IF(($B$19+13*$B$64)&lt;=$B$9,0,(($B$19+13*$B$64)-$B$9)/$B$8)),IF(($B$19+13*$B$64)&lt;$B$125,$B$129,$B$127)))),NA())</f>
        <v>#N/A</v>
      </c>
      <c r="GH212" t="e">
        <f>IF(AND($B$20=1,($B$19+13*$B$64)&lt;$B$10-0.3),$B$152+$B$150*(($B$19+13*$B$64)),NA())</f>
        <v>#N/A</v>
      </c>
      <c r="GI212" t="e">
        <f>IF(AND($B$21=1,(14*$B$66)&lt;IF($B$63=1,$B$10-0.2,$B$62)),$B$151+$B$150*(MAX(IF((14*$B$66)&lt;=$B$9,0,((14*$B$66)-$B$9)/$B$8),MIN(($B$5-IF((14*$B$66)&lt;=$B$9,0,((14*$B$66)-$B$9)/$B$8)),IF((14*$B$66)&lt;$B$125,$B$129,$B$127)))),NA())</f>
        <v>#N/A</v>
      </c>
      <c r="GJ212" t="e">
        <f>IF(AND($B$21=1,(14*$B$66)&lt;IF($B$63=1,$B$10-0.2,$B$62)),$B$152+$B$150*((14*$B$66)),NA())</f>
        <v>#N/A</v>
      </c>
      <c r="HM212" t="e">
        <f>IF(AND(35&lt;=$B$12,2&lt;=$B$25),$B$157+$B$156*((35-1)*$B$13+2*$B$13/($B$25+1)),NA())</f>
        <v>#N/A</v>
      </c>
      <c r="HN212" t="e">
        <f>IF(AND(35&lt;=$B$12,2&lt;=$B$25),$B$158+$B$156*(0),NA())</f>
        <v>#N/A</v>
      </c>
      <c r="HQ212" t="e">
        <f>IF(AND(3&lt;=$B$23,5&lt;=$B$24),$B$157+$B$156*((IF(3=1,1,IF(3=$B$23,$B$12,5*(3-1)))-1)*$B$13),NA())</f>
        <v>#N/A</v>
      </c>
      <c r="HR212" t="e">
        <f>IF(AND(3&lt;=$B$23,5&lt;=$B$24),$B$158+$B$156*((1*$B$5/2+5*($B$5/2)/$B$24)),NA())</f>
        <v>#N/A</v>
      </c>
      <c r="HS212" t="e">
        <f>IF(AND(9&lt;=$B$12,$B$51&gt;0),$B$157+$B$156*(((9-0.5)*$B$13)-($B$51*$B$13)/2),NA())</f>
        <v>#N/A</v>
      </c>
      <c r="HT212" t="e">
        <f>IF(AND(9&lt;=$B$12,$B$51&gt;0),$B$158+$B$156*((1*$B$5/2+$B$5/2-0.6*$B$159)),NA())</f>
        <v>#N/A</v>
      </c>
      <c r="KI212" t="e">
        <f>IF(AND($B$21=1,18*$B$67&gt;$B$59,18*$B$67&lt;$B$178-$B$59,OR($B$63=0,ABS(18*$B$67-$B$178/2)&gt;$B$59/2)),$B$182+$B$181*($B$177*1/4+$B$60/2),NA())</f>
        <v>#N/A</v>
      </c>
      <c r="KJ212" t="e">
        <f>IF(AND($B$21=1,18*$B$67&gt;$B$59,18*$B$67&lt;$B$178-$B$59,OR($B$63=0,ABS(18*$B$67-$B$178/2)&gt;$B$59/2)),$B$183+$B$181*(18*$B$67),NA())</f>
        <v>#N/A</v>
      </c>
    </row>
    <row r="213">
      <c r="K213" t="e">
        <f>IF(11&lt;=$B$12,$B$133+$B$132*($B$13*11-$B$27/2),NA())</f>
        <v>#N/A</v>
      </c>
      <c r="L213" t="e">
        <f>IF(11&lt;=$B$12,$B$134+$B$132*($B$5-$B$27/2),NA())</f>
        <v>#N/A</v>
      </c>
      <c r="FE213" t="e">
        <f>IF(AND($B$21=1,(14*$B$66)&lt;$B$62),$B$145+$B$144*($B$6),NA())</f>
        <v>#N/A</v>
      </c>
      <c r="FF213" t="e">
        <f>IF(AND($B$21=1,(14*$B$66)&lt;$B$62),$B$146+$B$144*((14*$B$66)),NA())</f>
        <v>#N/A</v>
      </c>
      <c r="GG213" t="e">
        <f>IF(AND($B$20=1,($B$19+13*$B$64)&lt;$B$10-0.3),$B$151+$B$150*(($B$5-IF(($B$19+13*$B$64)&lt;=$B$9,0,(($B$19+13*$B$64)-$B$9)/$B$8))),NA())</f>
        <v>#N/A</v>
      </c>
      <c r="GH213" t="e">
        <f>IF(AND($B$20=1,($B$19+13*$B$64)&lt;$B$10-0.3),$B$152+$B$150*(($B$19+13*$B$64)),NA())</f>
        <v>#N/A</v>
      </c>
      <c r="GI213" t="e">
        <f>IF(AND($B$21=1,(14*$B$66)&lt;IF($B$63=1,$B$10-0.2,$B$62)),$B$151+$B$150*(($B$5-IF((14*$B$66)&lt;=$B$9,0,((14*$B$66)-$B$9)/$B$8))),NA())</f>
        <v>#N/A</v>
      </c>
      <c r="GJ213" t="e">
        <f>IF(AND($B$21=1,(14*$B$66)&lt;IF($B$63=1,$B$10-0.2,$B$62)),$B$152+$B$150*((14*$B$66)),NA())</f>
        <v>#N/A</v>
      </c>
      <c r="HM213" t="e">
        <f>IF(AND(35&lt;=$B$12,2&lt;=$B$25),$B$157+$B$156*((35-1)*$B$13+2*$B$13/($B$25+1)),NA())</f>
        <v>#N/A</v>
      </c>
      <c r="HN213" t="e">
        <f>IF(AND(35&lt;=$B$12,2&lt;=$B$25),$B$158+$B$156*($B$5),NA())</f>
        <v>#N/A</v>
      </c>
      <c r="HQ213" t="e">
        <f>IF(AND(3&lt;=$B$23,5&lt;=$B$24),$B$157+$B$156*(IF(3=1,1,IF(3=$B$23,$B$12,5*(3-1)))*$B$13),NA())</f>
        <v>#N/A</v>
      </c>
      <c r="HR213" t="e">
        <f>IF(AND(3&lt;=$B$23,5&lt;=$B$24),$B$158+$B$156*((1*$B$5/2+(5-1)*($B$5/2)/$B$24)),NA())</f>
        <v>#N/A</v>
      </c>
      <c r="HS213" t="e">
        <f>IF(AND(9&lt;=$B$12,$B$51&gt;0),$B$157+$B$156*(((9-0.5)*$B$13)-($B$51*$B$13)/2),NA())</f>
        <v>#N/A</v>
      </c>
      <c r="HT213" t="e">
        <f>IF(AND(9&lt;=$B$12,$B$51&gt;0),$B$158+$B$156*((1*$B$5/2+0.6*$B$159)),NA())</f>
        <v>#N/A</v>
      </c>
      <c r="KI213" t="e">
        <f>IF(AND($B$21=1,18*$B$67&gt;$B$59,18*$B$67&lt;$B$178-$B$59,OR($B$63=0,ABS(18*$B$67-$B$178/2)&gt;$B$59/2)),$B$182+$B$181*($B$177*2/4-$B$60/2),NA())</f>
        <v>#N/A</v>
      </c>
      <c r="KJ213" t="e">
        <f>IF(AND($B$21=1,18*$B$67&gt;$B$59,18*$B$67&lt;$B$178-$B$59,OR($B$63=0,ABS(18*$B$67-$B$178/2)&gt;$B$59/2)),$B$183+$B$181*(18*$B$67),NA())</f>
        <v>#N/A</v>
      </c>
    </row>
    <row r="214">
      <c r="K214" t="e">
        <f>NA()</f>
        <v>#N/A</v>
      </c>
      <c r="L214" t="e">
        <f>NA()</f>
        <v>#N/A</v>
      </c>
      <c r="FE214" t="e">
        <f>NA()</f>
        <v>#N/A</v>
      </c>
      <c r="FF214" t="e">
        <f>NA()</f>
        <v>#N/A</v>
      </c>
      <c r="GG214" t="e">
        <f>NA()</f>
        <v>#N/A</v>
      </c>
      <c r="GH214" t="e">
        <f>NA()</f>
        <v>#N/A</v>
      </c>
      <c r="GI214" t="e">
        <f>NA()</f>
        <v>#N/A</v>
      </c>
      <c r="GJ214" t="e">
        <f>NA()</f>
        <v>#N/A</v>
      </c>
      <c r="HM214" t="e">
        <f>NA()</f>
        <v>#N/A</v>
      </c>
      <c r="HN214" t="e">
        <f>NA()</f>
        <v>#N/A</v>
      </c>
      <c r="HQ214" t="e">
        <f>NA()</f>
        <v>#N/A</v>
      </c>
      <c r="HR214" t="e">
        <f>NA()</f>
        <v>#N/A</v>
      </c>
      <c r="HS214" t="e">
        <f>NA()</f>
        <v>#N/A</v>
      </c>
      <c r="HT214" t="e">
        <f>NA()</f>
        <v>#N/A</v>
      </c>
      <c r="KI214" t="e">
        <f>NA()</f>
        <v>#N/A</v>
      </c>
      <c r="KJ214" t="e">
        <f>NA()</f>
        <v>#N/A</v>
      </c>
    </row>
    <row r="215">
      <c r="K215" t="e">
        <f>IF(AND(11&lt;=$B$12,$B$45=1),$B$133+$B$132*($B$13*11-$B$27/2),NA())</f>
        <v>#N/A</v>
      </c>
      <c r="L215" t="e">
        <f>IF(AND(11&lt;=$B$12,$B$45=1),$B$134+$B$132*($B$5/2-$B$27/2),NA())</f>
        <v>#N/A</v>
      </c>
      <c r="FE215" t="e">
        <f>IF(AND($B$21=1,(15*$B$66)&lt;$B$62),$B$145+$B$144*(0),NA())</f>
        <v>#N/A</v>
      </c>
      <c r="FF215" t="e">
        <f>IF(AND($B$21=1,(15*$B$66)&lt;$B$62),$B$146+$B$144*((15*$B$66)),NA())</f>
        <v>#N/A</v>
      </c>
      <c r="GG215" t="e">
        <f>IF(AND($B$20=1,($B$19+14*$B$64)&lt;$B$10-0.3),$B$151+$B$150*(IF(($B$19+14*$B$64)&lt;=$B$9,0,(($B$19+14*$B$64)-$B$9)/$B$8)),NA())</f>
        <v>#N/A</v>
      </c>
      <c r="GH215" t="e">
        <f>IF(AND($B$20=1,($B$19+14*$B$64)&lt;$B$10-0.3),$B$152+$B$150*(($B$19+14*$B$64)),NA())</f>
        <v>#N/A</v>
      </c>
      <c r="GI215" t="e">
        <f>IF(AND($B$21=1,(15*$B$66)&lt;IF($B$63=1,$B$10-0.2,$B$62)),$B$151+$B$150*(IF((15*$B$66)&lt;=$B$9,0,((15*$B$66)-$B$9)/$B$8)),NA())</f>
        <v>#N/A</v>
      </c>
      <c r="GJ215" t="e">
        <f>IF(AND($B$21=1,(15*$B$66)&lt;IF($B$63=1,$B$10-0.2,$B$62)),$B$152+$B$150*((15*$B$66)),NA())</f>
        <v>#N/A</v>
      </c>
      <c r="HM215" t="e">
        <f>IF(AND(36&lt;=$B$12,1&lt;=$B$25),$B$157+$B$156*((36-1)*$B$13+1*$B$13/($B$25+1)),NA())</f>
        <v>#N/A</v>
      </c>
      <c r="HN215" t="e">
        <f>IF(AND(36&lt;=$B$12,1&lt;=$B$25),$B$158+$B$156*(0),NA())</f>
        <v>#N/A</v>
      </c>
      <c r="HQ215" t="e">
        <f>IF(AND(3&lt;=$B$23,6&lt;=$B$24),$B$157+$B$156*((IF(3=1,1,IF(3=$B$23,$B$12,5*(3-1)))-1)*$B$13),NA())</f>
        <v>#N/A</v>
      </c>
      <c r="HR215" t="e">
        <f>IF(AND(3&lt;=$B$23,6&lt;=$B$24),$B$158+$B$156*((1*$B$5/2+(6-1)*($B$5/2)/$B$24)),NA())</f>
        <v>#N/A</v>
      </c>
      <c r="HS215" t="e">
        <f>IF(AND(9&lt;=$B$12,$B$51&gt;0),$B$157+$B$156*(((9-0.5)*$B$13)-($B$51*$B$13)/2),NA())</f>
        <v>#N/A</v>
      </c>
      <c r="HT215" t="e">
        <f>IF(AND(9&lt;=$B$12,$B$51&gt;0),$B$158+$B$156*((1*$B$5/2+0.6*$B$159)),NA())</f>
        <v>#N/A</v>
      </c>
      <c r="KI215" t="e">
        <f>IF(AND($B$21=1,18*$B$67&gt;$B$59,18*$B$67&lt;$B$178-$B$59,OR($B$63=0,ABS(18*$B$67-$B$178/2)&gt;$B$59/2)),$B$182+$B$181*($B$177*2/4+$B$60/2),NA())</f>
        <v>#N/A</v>
      </c>
      <c r="KJ215" t="e">
        <f>IF(AND($B$21=1,18*$B$67&gt;$B$59,18*$B$67&lt;$B$178-$B$59,OR($B$63=0,ABS(18*$B$67-$B$178/2)&gt;$B$59/2)),$B$183+$B$181*(18*$B$67),NA())</f>
        <v>#N/A</v>
      </c>
    </row>
    <row r="216">
      <c r="K216" t="e">
        <f>IF(AND(11&lt;=$B$12,$B$45=1),$B$133+$B$132*($B$13*11+$B$27/2),NA())</f>
        <v>#N/A</v>
      </c>
      <c r="L216" t="e">
        <f>IF(AND(11&lt;=$B$12,$B$45=1),$B$134+$B$132*($B$5/2-$B$27/2),NA())</f>
        <v>#N/A</v>
      </c>
      <c r="FE216" t="e">
        <f>IF(AND($B$21=1,(15*$B$66)&lt;$B$62),$B$145+$B$144*(IF((15*$B$66)&lt;$B$73,$B$76,$B$75)),NA())</f>
        <v>#N/A</v>
      </c>
      <c r="FF216" t="e">
        <f>IF(AND($B$21=1,(15*$B$66)&lt;$B$62),$B$146+$B$144*((15*$B$66)),NA())</f>
        <v>#N/A</v>
      </c>
      <c r="GG216" t="e">
        <f>IF(AND($B$20=1,($B$19+14*$B$64)&lt;$B$10-0.3),$B$151+$B$150*(MAX(IF(($B$19+14*$B$64)&lt;=$B$9,0,(($B$19+14*$B$64)-$B$9)/$B$8),MIN(($B$5-IF(($B$19+14*$B$64)&lt;=$B$9,0,(($B$19+14*$B$64)-$B$9)/$B$8)),IF(($B$19+14*$B$64)&lt;$B$104,$B$107,$B$106)))),NA())</f>
        <v>#N/A</v>
      </c>
      <c r="GH216" t="e">
        <f>IF(AND($B$20=1,($B$19+14*$B$64)&lt;$B$10-0.3),$B$152+$B$150*(($B$19+14*$B$64)),NA())</f>
        <v>#N/A</v>
      </c>
      <c r="GI216" t="e">
        <f>IF(AND($B$21=1,(15*$B$66)&lt;IF($B$63=1,$B$10-0.2,$B$62)),$B$151+$B$150*(MAX(IF((15*$B$66)&lt;=$B$9,0,((15*$B$66)-$B$9)/$B$8),MIN(($B$5-IF((15*$B$66)&lt;=$B$9,0,((15*$B$66)-$B$9)/$B$8)),IF((15*$B$66)&lt;$B$104,$B$107,$B$106)))),NA())</f>
        <v>#N/A</v>
      </c>
      <c r="GJ216" t="e">
        <f>IF(AND($B$21=1,(15*$B$66)&lt;IF($B$63=1,$B$10-0.2,$B$62)),$B$152+$B$150*((15*$B$66)),NA())</f>
        <v>#N/A</v>
      </c>
      <c r="HM216" t="e">
        <f>IF(AND(36&lt;=$B$12,1&lt;=$B$25),$B$157+$B$156*((36-1)*$B$13+1*$B$13/($B$25+1)),NA())</f>
        <v>#N/A</v>
      </c>
      <c r="HN216" t="e">
        <f>IF(AND(36&lt;=$B$12,1&lt;=$B$25),$B$158+$B$156*($B$5),NA())</f>
        <v>#N/A</v>
      </c>
      <c r="HQ216" t="e">
        <f>IF(AND(3&lt;=$B$23,6&lt;=$B$24),$B$157+$B$156*(IF(3=1,1,IF(3=$B$23,$B$12,5*(3-1)))*$B$13),NA())</f>
        <v>#N/A</v>
      </c>
      <c r="HR216" t="e">
        <f>IF(AND(3&lt;=$B$23,6&lt;=$B$24),$B$158+$B$156*((1*$B$5/2+6*($B$5/2)/$B$24)),NA())</f>
        <v>#N/A</v>
      </c>
      <c r="HS216" t="e">
        <f>IF(AND(9&lt;=$B$12,$B$51&gt;0),$B$157+$B$156*(((9-0.5)*$B$13)+($B$51*$B$13)/2),NA())</f>
        <v>#N/A</v>
      </c>
      <c r="HT216" t="e">
        <f>IF(AND(9&lt;=$B$12,$B$51&gt;0),$B$158+$B$156*((1*$B$5/2+0.6*$B$159)+(((1*$B$5/2+$B$5/2-0.6*$B$159))-((1*$B$5/2+0.6*$B$159)))/4),NA())</f>
        <v>#N/A</v>
      </c>
      <c r="KI216" t="e">
        <f>IF(AND($B$21=1,18*$B$67&gt;$B$59,18*$B$67&lt;$B$178-$B$59,OR($B$63=0,ABS(18*$B$67-$B$178/2)&gt;$B$59/2)),$B$182+$B$181*($B$177*3/4-$B$60/2),NA())</f>
        <v>#N/A</v>
      </c>
      <c r="KJ216" t="e">
        <f>IF(AND($B$21=1,18*$B$67&gt;$B$59,18*$B$67&lt;$B$178-$B$59,OR($B$63=0,ABS(18*$B$67-$B$178/2)&gt;$B$59/2)),$B$183+$B$181*(18*$B$67),NA())</f>
        <v>#N/A</v>
      </c>
    </row>
    <row r="217">
      <c r="K217" t="e">
        <f>IF(AND(11&lt;=$B$12,$B$45=1),$B$133+$B$132*($B$13*11+$B$27/2),NA())</f>
        <v>#N/A</v>
      </c>
      <c r="L217" t="e">
        <f>IF(AND(11&lt;=$B$12,$B$45=1),$B$134+$B$132*($B$5/2+$B$27/2),NA())</f>
        <v>#N/A</v>
      </c>
      <c r="FE217" t="e">
        <f>IF(AND(AND($B$21=1,(15*$B$66)&lt;$B$62),(15*$B$66)&gt;=$B$73),$B$145+$B$144*($B$75),NA())</f>
        <v>#N/A</v>
      </c>
      <c r="FF217" t="e">
        <f>IF(AND(AND($B$21=1,(15*$B$66)&lt;$B$62),(15*$B$66)&gt;=$B$73),$B$146+$B$144*((15*$B$66)),NA())</f>
        <v>#N/A</v>
      </c>
      <c r="GG217" t="e">
        <f>IF(AND(AND($B$20=1,($B$19+14*$B$64)&lt;$B$10-0.3),($B$19+14*$B$64)&gt;=$B$104),$B$151+$B$150*(MAX(IF(($B$19+14*$B$64)&lt;=$B$9,0,(($B$19+14*$B$64)-$B$9)/$B$8),MIN(($B$5-IF(($B$19+14*$B$64)&lt;=$B$9,0,(($B$19+14*$B$64)-$B$9)/$B$8)),$B$106))),NA())</f>
        <v>#N/A</v>
      </c>
      <c r="GH217" t="e">
        <f>IF(AND(AND($B$20=1,($B$19+14*$B$64)&lt;$B$10-0.3),($B$19+14*$B$64)&gt;=$B$104),$B$152+$B$150*(($B$19+14*$B$64)),NA())</f>
        <v>#N/A</v>
      </c>
      <c r="GI217" t="e">
        <f>IF(AND(AND($B$21=1,(15*$B$66)&lt;IF($B$63=1,$B$10-0.2,$B$62)),(15*$B$66)&gt;=$B$104),$B$151+$B$150*(MAX(IF((15*$B$66)&lt;=$B$9,0,((15*$B$66)-$B$9)/$B$8),MIN(($B$5-IF((15*$B$66)&lt;=$B$9,0,((15*$B$66)-$B$9)/$B$8)),$B$106))),NA())</f>
        <v>#N/A</v>
      </c>
      <c r="GJ217" t="e">
        <f>IF(AND(AND($B$21=1,(15*$B$66)&lt;IF($B$63=1,$B$10-0.2,$B$62)),(15*$B$66)&gt;=$B$104),$B$152+$B$150*((15*$B$66)),NA())</f>
        <v>#N/A</v>
      </c>
      <c r="HM217" t="e">
        <f>NA()</f>
        <v>#N/A</v>
      </c>
      <c r="HN217" t="e">
        <f>NA()</f>
        <v>#N/A</v>
      </c>
      <c r="HQ217" t="e">
        <f>NA()</f>
        <v>#N/A</v>
      </c>
      <c r="HR217" t="e">
        <f>NA()</f>
        <v>#N/A</v>
      </c>
      <c r="HS217" t="e">
        <f>IF(AND(9&lt;=$B$12,$B$51&gt;0),$B$157+$B$156*(((9-0.5)*$B$13)-($B$51*$B$13)/2),NA())</f>
        <v>#N/A</v>
      </c>
      <c r="HT217" t="e">
        <f>IF(AND(9&lt;=$B$12,$B$51&gt;0),$B$158+$B$156*((1*$B$5/2+0.6*$B$159)+(((1*$B$5/2+$B$5/2-0.6*$B$159))-((1*$B$5/2+0.6*$B$159)))/2),NA())</f>
        <v>#N/A</v>
      </c>
      <c r="KI217" t="e">
        <f>NA()</f>
        <v>#N/A</v>
      </c>
      <c r="KJ217" t="e">
        <f>NA()</f>
        <v>#N/A</v>
      </c>
    </row>
    <row r="218">
      <c r="K218" t="e">
        <f>IF(AND(11&lt;=$B$12,$B$45=1),$B$133+$B$132*($B$13*11-$B$27/2),NA())</f>
        <v>#N/A</v>
      </c>
      <c r="L218" t="e">
        <f>IF(AND(11&lt;=$B$12,$B$45=1),$B$134+$B$132*($B$5/2+$B$27/2),NA())</f>
        <v>#N/A</v>
      </c>
      <c r="FE218" t="e">
        <f>IF(AND($B$21=1,(15*$B$66)&lt;$B$62),$B$145+$B$144*(IF((15*$B$66)&lt;$B$73,$B$77,$B$75)),NA())</f>
        <v>#N/A</v>
      </c>
      <c r="FF218" t="e">
        <f>IF(AND($B$21=1,(15*$B$66)&lt;$B$62),$B$146+$B$144*((15*$B$66)),NA())</f>
        <v>#N/A</v>
      </c>
      <c r="GG218" t="e">
        <f>IF(AND($B$20=1,($B$19+14*$B$64)&lt;$B$10-0.3),$B$151+$B$150*(MAX(IF(($B$19+14*$B$64)&lt;=$B$9,0,(($B$19+14*$B$64)-$B$9)/$B$8),MIN(($B$5-IF(($B$19+14*$B$64)&lt;=$B$9,0,(($B$19+14*$B$64)-$B$9)/$B$8)),IF(($B$19+14*$B$64)&lt;$B$104,$B$108,$B$106)))),NA())</f>
        <v>#N/A</v>
      </c>
      <c r="GH218" t="e">
        <f>IF(AND($B$20=1,($B$19+14*$B$64)&lt;$B$10-0.3),$B$152+$B$150*(($B$19+14*$B$64)),NA())</f>
        <v>#N/A</v>
      </c>
      <c r="GI218" t="e">
        <f>IF(AND($B$21=1,(15*$B$66)&lt;IF($B$63=1,$B$10-0.2,$B$62)),$B$151+$B$150*(MAX(IF((15*$B$66)&lt;=$B$9,0,((15*$B$66)-$B$9)/$B$8),MIN(($B$5-IF((15*$B$66)&lt;=$B$9,0,((15*$B$66)-$B$9)/$B$8)),IF((15*$B$66)&lt;$B$104,$B$108,$B$106)))),NA())</f>
        <v>#N/A</v>
      </c>
      <c r="GJ218" t="e">
        <f>IF(AND($B$21=1,(15*$B$66)&lt;IF($B$63=1,$B$10-0.2,$B$62)),$B$152+$B$150*((15*$B$66)),NA())</f>
        <v>#N/A</v>
      </c>
      <c r="HM218" t="e">
        <f>IF(AND(36&lt;=$B$12,2&lt;=$B$25),$B$157+$B$156*((36-1)*$B$13+2*$B$13/($B$25+1)),NA())</f>
        <v>#N/A</v>
      </c>
      <c r="HN218" t="e">
        <f>IF(AND(36&lt;=$B$12,2&lt;=$B$25),$B$158+$B$156*(0),NA())</f>
        <v>#N/A</v>
      </c>
      <c r="HQ218" t="e">
        <f>IF(AND(3&lt;=$B$23,6&lt;=$B$24),$B$157+$B$156*((IF(3=1,1,IF(3=$B$23,$B$12,5*(3-1)))-1)*$B$13),NA())</f>
        <v>#N/A</v>
      </c>
      <c r="HR218" t="e">
        <f>IF(AND(3&lt;=$B$23,6&lt;=$B$24),$B$158+$B$156*((1*$B$5/2+6*($B$5/2)/$B$24)),NA())</f>
        <v>#N/A</v>
      </c>
      <c r="HS218" t="e">
        <f>IF(AND(9&lt;=$B$12,$B$51&gt;0),$B$157+$B$156*(((9-0.5)*$B$13)+($B$51*$B$13)/2),NA())</f>
        <v>#N/A</v>
      </c>
      <c r="HT218" t="e">
        <f>IF(AND(9&lt;=$B$12,$B$51&gt;0),$B$158+$B$156*((1*$B$5/2+0.6*$B$159)+3*(((1*$B$5/2+$B$5/2-0.6*$B$159))-((1*$B$5/2+0.6*$B$159)))/4),NA())</f>
        <v>#N/A</v>
      </c>
      <c r="KI218" t="e">
        <f>IF(AND($B$21=1,18*$B$67&gt;$B$59,18*$B$67&lt;$B$178-$B$59,OR($B$63=0,ABS(18*$B$67-$B$178/2)&gt;$B$59/2)),$B$182+$B$181*($B$177*3/4+$B$60/2),NA())</f>
        <v>#N/A</v>
      </c>
      <c r="KJ218" t="e">
        <f>IF(AND($B$21=1,18*$B$67&gt;$B$59,18*$B$67&lt;$B$178-$B$59,OR($B$63=0,ABS(18*$B$67-$B$178/2)&gt;$B$59/2)),$B$183+$B$181*(18*$B$67),NA())</f>
        <v>#N/A</v>
      </c>
    </row>
    <row r="219">
      <c r="K219" t="e">
        <f>IF(AND(11&lt;=$B$12,$B$45=1),$B$133+$B$132*($B$13*11-$B$27/2),NA())</f>
        <v>#N/A</v>
      </c>
      <c r="L219" t="e">
        <f>IF(AND(11&lt;=$B$12,$B$45=1),$B$134+$B$132*($B$5/2-$B$27/2),NA())</f>
        <v>#N/A</v>
      </c>
      <c r="FE219" t="e">
        <f>IF(AND($B$21=1,(15*$B$66)&lt;$B$62),$B$145+$B$144*(IF((15*$B$66)&lt;$B$80,$B$83,$B$82)),NA())</f>
        <v>#N/A</v>
      </c>
      <c r="FF219" t="e">
        <f>IF(AND($B$21=1,(15*$B$66)&lt;$B$62),$B$146+$B$144*((15*$B$66)),NA())</f>
        <v>#N/A</v>
      </c>
      <c r="GG219" t="e">
        <f>IF(AND($B$20=1,($B$19+14*$B$64)&lt;$B$10-0.3),$B$151+$B$150*(MAX(IF(($B$19+14*$B$64)&lt;=$B$9,0,(($B$19+14*$B$64)-$B$9)/$B$8),MIN(($B$5-IF(($B$19+14*$B$64)&lt;=$B$9,0,(($B$19+14*$B$64)-$B$9)/$B$8)),IF(($B$19+14*$B$64)&lt;$B$111,$B$114,$B$113)))),NA())</f>
        <v>#N/A</v>
      </c>
      <c r="GH219" t="e">
        <f>IF(AND($B$20=1,($B$19+14*$B$64)&lt;$B$10-0.3),$B$152+$B$150*(($B$19+14*$B$64)),NA())</f>
        <v>#N/A</v>
      </c>
      <c r="GI219" t="e">
        <f>IF(AND($B$21=1,(15*$B$66)&lt;IF($B$63=1,$B$10-0.2,$B$62)),$B$151+$B$150*(MAX(IF((15*$B$66)&lt;=$B$9,0,((15*$B$66)-$B$9)/$B$8),MIN(($B$5-IF((15*$B$66)&lt;=$B$9,0,((15*$B$66)-$B$9)/$B$8)),IF((15*$B$66)&lt;$B$111,$B$114,$B$113)))),NA())</f>
        <v>#N/A</v>
      </c>
      <c r="GJ219" t="e">
        <f>IF(AND($B$21=1,(15*$B$66)&lt;IF($B$63=1,$B$10-0.2,$B$62)),$B$152+$B$150*((15*$B$66)),NA())</f>
        <v>#N/A</v>
      </c>
      <c r="HM219" t="e">
        <f>IF(AND(36&lt;=$B$12,2&lt;=$B$25),$B$157+$B$156*((36-1)*$B$13+2*$B$13/($B$25+1)),NA())</f>
        <v>#N/A</v>
      </c>
      <c r="HN219" t="e">
        <f>IF(AND(36&lt;=$B$12,2&lt;=$B$25),$B$158+$B$156*($B$5),NA())</f>
        <v>#N/A</v>
      </c>
      <c r="HQ219" t="e">
        <f>IF(AND(3&lt;=$B$23,6&lt;=$B$24),$B$157+$B$156*(IF(3=1,1,IF(3=$B$23,$B$12,5*(3-1)))*$B$13),NA())</f>
        <v>#N/A</v>
      </c>
      <c r="HR219" t="e">
        <f>IF(AND(3&lt;=$B$23,6&lt;=$B$24),$B$158+$B$156*((1*$B$5/2+(6-1)*($B$5/2)/$B$24)),NA())</f>
        <v>#N/A</v>
      </c>
      <c r="HS219" t="e">
        <f>IF(AND(9&lt;=$B$12,$B$51&gt;0),$B$157+$B$156*(((9-0.5)*$B$13)-($B$51*$B$13)/2),NA())</f>
        <v>#N/A</v>
      </c>
      <c r="HT219" t="e">
        <f>IF(AND(9&lt;=$B$12,$B$51&gt;0),$B$158+$B$156*((1*$B$5/2+$B$5/2-0.6*$B$159)),NA())</f>
        <v>#N/A</v>
      </c>
      <c r="KI219" t="e">
        <f>IF(AND($B$21=1,18*$B$67&gt;$B$59,18*$B$67&lt;$B$178-$B$59,OR($B$63=0,ABS(18*$B$67-$B$178/2)&gt;$B$59/2)),$B$182+$B$181*($B$177),NA())</f>
        <v>#N/A</v>
      </c>
      <c r="KJ219" t="e">
        <f>IF(AND($B$21=1,18*$B$67&gt;$B$59,18*$B$67&lt;$B$178-$B$59,OR($B$63=0,ABS(18*$B$67-$B$178/2)&gt;$B$59/2)),$B$183+$B$181*(18*$B$67),NA())</f>
        <v>#N/A</v>
      </c>
    </row>
    <row r="220">
      <c r="K220" t="e">
        <f>NA()</f>
        <v>#N/A</v>
      </c>
      <c r="L220" t="e">
        <f>NA()</f>
        <v>#N/A</v>
      </c>
      <c r="FE220" t="e">
        <f>IF(AND(AND($B$21=1,(15*$B$66)&lt;$B$62),(15*$B$66)&gt;=$B$80),$B$145+$B$144*($B$82),NA())</f>
        <v>#N/A</v>
      </c>
      <c r="FF220" t="e">
        <f>IF(AND(AND($B$21=1,(15*$B$66)&lt;$B$62),(15*$B$66)&gt;=$B$80),$B$146+$B$144*((15*$B$66)),NA())</f>
        <v>#N/A</v>
      </c>
      <c r="GG220" t="e">
        <f>IF(AND(AND($B$20=1,($B$19+14*$B$64)&lt;$B$10-0.3),($B$19+14*$B$64)&gt;=$B$111),$B$151+$B$150*(MAX(IF(($B$19+14*$B$64)&lt;=$B$9,0,(($B$19+14*$B$64)-$B$9)/$B$8),MIN(($B$5-IF(($B$19+14*$B$64)&lt;=$B$9,0,(($B$19+14*$B$64)-$B$9)/$B$8)),$B$113))),NA())</f>
        <v>#N/A</v>
      </c>
      <c r="GH220" t="e">
        <f>IF(AND(AND($B$20=1,($B$19+14*$B$64)&lt;$B$10-0.3),($B$19+14*$B$64)&gt;=$B$111),$B$152+$B$150*(($B$19+14*$B$64)),NA())</f>
        <v>#N/A</v>
      </c>
      <c r="GI220" t="e">
        <f>IF(AND(AND($B$21=1,(15*$B$66)&lt;IF($B$63=1,$B$10-0.2,$B$62)),(15*$B$66)&gt;=$B$111),$B$151+$B$150*(MAX(IF((15*$B$66)&lt;=$B$9,0,((15*$B$66)-$B$9)/$B$8),MIN(($B$5-IF((15*$B$66)&lt;=$B$9,0,((15*$B$66)-$B$9)/$B$8)),$B$113))),NA())</f>
        <v>#N/A</v>
      </c>
      <c r="GJ220" t="e">
        <f>IF(AND(AND($B$21=1,(15*$B$66)&lt;IF($B$63=1,$B$10-0.2,$B$62)),(15*$B$66)&gt;=$B$111),$B$152+$B$150*((15*$B$66)),NA())</f>
        <v>#N/A</v>
      </c>
      <c r="HM220" t="e">
        <f>NA()</f>
        <v>#N/A</v>
      </c>
      <c r="HN220" t="e">
        <f>NA()</f>
        <v>#N/A</v>
      </c>
      <c r="HQ220" t="e">
        <f>NA()</f>
        <v>#N/A</v>
      </c>
      <c r="HR220" t="e">
        <f>NA()</f>
        <v>#N/A</v>
      </c>
      <c r="HS220" t="e">
        <f>NA()</f>
        <v>#N/A</v>
      </c>
      <c r="HT220" t="e">
        <f>NA()</f>
        <v>#N/A</v>
      </c>
      <c r="KI220" t="e">
        <f>NA()</f>
        <v>#N/A</v>
      </c>
      <c r="KJ220" t="e">
        <f>NA()</f>
        <v>#N/A</v>
      </c>
    </row>
    <row r="221">
      <c r="K221" t="e">
        <f>IF(12&lt;=$B$12,$B$133+$B$132*($B$13*12-$B$27/2),NA())</f>
        <v>#N/A</v>
      </c>
      <c r="L221" t="e">
        <f>IF(12&lt;=$B$12,$B$134+$B$132*(0-$B$27/2),NA())</f>
        <v>#N/A</v>
      </c>
      <c r="FE221" t="e">
        <f>IF(AND($B$21=1,(15*$B$66)&lt;$B$62),$B$145+$B$144*(IF((15*$B$66)&lt;$B$80,$B$84,$B$82)),NA())</f>
        <v>#N/A</v>
      </c>
      <c r="FF221" t="e">
        <f>IF(AND($B$21=1,(15*$B$66)&lt;$B$62),$B$146+$B$144*((15*$B$66)),NA())</f>
        <v>#N/A</v>
      </c>
      <c r="GG221" t="e">
        <f>IF(AND($B$20=1,($B$19+14*$B$64)&lt;$B$10-0.3),$B$151+$B$150*(MAX(IF(($B$19+14*$B$64)&lt;=$B$9,0,(($B$19+14*$B$64)-$B$9)/$B$8),MIN(($B$5-IF(($B$19+14*$B$64)&lt;=$B$9,0,(($B$19+14*$B$64)-$B$9)/$B$8)),IF(($B$19+14*$B$64)&lt;$B$111,$B$115,$B$113)))),NA())</f>
        <v>#N/A</v>
      </c>
      <c r="GH221" t="e">
        <f>IF(AND($B$20=1,($B$19+14*$B$64)&lt;$B$10-0.3),$B$152+$B$150*(($B$19+14*$B$64)),NA())</f>
        <v>#N/A</v>
      </c>
      <c r="GI221" t="e">
        <f>IF(AND($B$21=1,(15*$B$66)&lt;IF($B$63=1,$B$10-0.2,$B$62)),$B$151+$B$150*(MAX(IF((15*$B$66)&lt;=$B$9,0,((15*$B$66)-$B$9)/$B$8),MIN(($B$5-IF((15*$B$66)&lt;=$B$9,0,((15*$B$66)-$B$9)/$B$8)),IF((15*$B$66)&lt;$B$111,$B$115,$B$113)))),NA())</f>
        <v>#N/A</v>
      </c>
      <c r="GJ221" t="e">
        <f>IF(AND($B$21=1,(15*$B$66)&lt;IF($B$63=1,$B$10-0.2,$B$62)),$B$152+$B$150*((15*$B$66)),NA())</f>
        <v>#N/A</v>
      </c>
      <c r="HM221" t="e">
        <f>IF(AND(37&lt;=$B$12,1&lt;=$B$25),$B$157+$B$156*((37-1)*$B$13+1*$B$13/($B$25+1)),NA())</f>
        <v>#N/A</v>
      </c>
      <c r="HN221" t="e">
        <f>IF(AND(37&lt;=$B$12,1&lt;=$B$25),$B$158+$B$156*(0),NA())</f>
        <v>#N/A</v>
      </c>
      <c r="HQ221" t="e">
        <f>IF(AND(4&lt;=$B$23,1&lt;=$B$24),$B$157+$B$156*((IF(4=1,1,IF(4=$B$23,$B$12,5*(4-1)))-1)*$B$13),NA())</f>
        <v>#N/A</v>
      </c>
      <c r="HR221" t="e">
        <f>IF(AND(4&lt;=$B$23,1&lt;=$B$24),$B$158+$B$156*((0*$B$5/2+(1-1)*($B$5/2)/$B$24)),NA())</f>
        <v>#N/A</v>
      </c>
      <c r="HS221" t="e">
        <f>IF(AND(10&lt;=$B$12,$B$51&gt;0),$B$157+$B$156*(((10-0.5)*$B$13)-($B$51*$B$13)/2),NA())</f>
        <v>#N/A</v>
      </c>
      <c r="HT221" t="e">
        <f>IF(AND(10&lt;=$B$12,$B$51&gt;0),$B$158+$B$156*((0*$B$5/2+0.6*$B$159)),NA())</f>
        <v>#N/A</v>
      </c>
      <c r="KI221" t="e">
        <f>IF(AND($B$21=1,19*$B$67&gt;$B$59,19*$B$67&lt;$B$178-$B$59,OR($B$63=0,ABS(19*$B$67-$B$178/2)&gt;$B$59/2)),$B$182+$B$181*(0),NA())</f>
        <v>#N/A</v>
      </c>
      <c r="KJ221" t="e">
        <f>IF(AND($B$21=1,19*$B$67&gt;$B$59,19*$B$67&lt;$B$178-$B$59,OR($B$63=0,ABS(19*$B$67-$B$178/2)&gt;$B$59/2)),$B$183+$B$181*(19*$B$67),NA())</f>
        <v>#N/A</v>
      </c>
    </row>
    <row r="222">
      <c r="K222" t="e">
        <f>IF(12&lt;=$B$12,$B$133+$B$132*($B$13*12+$B$27/2),NA())</f>
        <v>#N/A</v>
      </c>
      <c r="L222" t="e">
        <f>IF(12&lt;=$B$12,$B$134+$B$132*(0-$B$27/2),NA())</f>
        <v>#N/A</v>
      </c>
      <c r="FE222" t="e">
        <f>IF(AND($B$21=1,(15*$B$66)&lt;$B$62),$B$145+$B$144*(IF((15*$B$66)&lt;$B$87,$B$90,$B$89)),NA())</f>
        <v>#N/A</v>
      </c>
      <c r="FF222" t="e">
        <f>IF(AND($B$21=1,(15*$B$66)&lt;$B$62),$B$146+$B$144*((15*$B$66)),NA())</f>
        <v>#N/A</v>
      </c>
      <c r="GG222" t="e">
        <f>IF(AND($B$20=1,($B$19+14*$B$64)&lt;$B$10-0.3),$B$151+$B$150*(MAX(IF(($B$19+14*$B$64)&lt;=$B$9,0,(($B$19+14*$B$64)-$B$9)/$B$8),MIN(($B$5-IF(($B$19+14*$B$64)&lt;=$B$9,0,(($B$19+14*$B$64)-$B$9)/$B$8)),IF(($B$19+14*$B$64)&lt;$B$118,$B$121,$B$120)))),NA())</f>
        <v>#N/A</v>
      </c>
      <c r="GH222" t="e">
        <f>IF(AND($B$20=1,($B$19+14*$B$64)&lt;$B$10-0.3),$B$152+$B$150*(($B$19+14*$B$64)),NA())</f>
        <v>#N/A</v>
      </c>
      <c r="GI222" t="e">
        <f>IF(AND($B$21=1,(15*$B$66)&lt;IF($B$63=1,$B$10-0.2,$B$62)),$B$151+$B$150*(MAX(IF((15*$B$66)&lt;=$B$9,0,((15*$B$66)-$B$9)/$B$8),MIN(($B$5-IF((15*$B$66)&lt;=$B$9,0,((15*$B$66)-$B$9)/$B$8)),IF((15*$B$66)&lt;$B$118,$B$121,$B$120)))),NA())</f>
        <v>#N/A</v>
      </c>
      <c r="GJ222" t="e">
        <f>IF(AND($B$21=1,(15*$B$66)&lt;IF($B$63=1,$B$10-0.2,$B$62)),$B$152+$B$150*((15*$B$66)),NA())</f>
        <v>#N/A</v>
      </c>
      <c r="HM222" t="e">
        <f>IF(AND(37&lt;=$B$12,1&lt;=$B$25),$B$157+$B$156*((37-1)*$B$13+1*$B$13/($B$25+1)),NA())</f>
        <v>#N/A</v>
      </c>
      <c r="HN222" t="e">
        <f>IF(AND(37&lt;=$B$12,1&lt;=$B$25),$B$158+$B$156*($B$5),NA())</f>
        <v>#N/A</v>
      </c>
      <c r="HQ222" t="e">
        <f>IF(AND(4&lt;=$B$23,1&lt;=$B$24),$B$157+$B$156*(IF(4=1,1,IF(4=$B$23,$B$12,5*(4-1)))*$B$13),NA())</f>
        <v>#N/A</v>
      </c>
      <c r="HR222" t="e">
        <f>IF(AND(4&lt;=$B$23,1&lt;=$B$24),$B$158+$B$156*((0*$B$5/2+1*($B$5/2)/$B$24)),NA())</f>
        <v>#N/A</v>
      </c>
      <c r="HS222" t="e">
        <f>IF(AND(10&lt;=$B$12,$B$51&gt;0),$B$157+$B$156*(((10-0.5)*$B$13)+($B$51*$B$13)/2),NA())</f>
        <v>#N/A</v>
      </c>
      <c r="HT222" t="e">
        <f>IF(AND(10&lt;=$B$12,$B$51&gt;0),$B$158+$B$156*((0*$B$5/2+0.6*$B$159)),NA())</f>
        <v>#N/A</v>
      </c>
      <c r="KI222" t="e">
        <f>IF(AND($B$21=1,19*$B$67&gt;$B$59,19*$B$67&lt;$B$178-$B$59,OR($B$63=0,ABS(19*$B$67-$B$178/2)&gt;$B$59/2)),$B$182+$B$181*($B$177*1/4-$B$60/2),NA())</f>
        <v>#N/A</v>
      </c>
      <c r="KJ222" t="e">
        <f>IF(AND($B$21=1,19*$B$67&gt;$B$59,19*$B$67&lt;$B$178-$B$59,OR($B$63=0,ABS(19*$B$67-$B$178/2)&gt;$B$59/2)),$B$183+$B$181*(19*$B$67),NA())</f>
        <v>#N/A</v>
      </c>
    </row>
    <row r="223">
      <c r="K223" t="e">
        <f>IF(12&lt;=$B$12,$B$133+$B$132*($B$13*12+$B$27/2),NA())</f>
        <v>#N/A</v>
      </c>
      <c r="L223" t="e">
        <f>IF(12&lt;=$B$12,$B$134+$B$132*(0+$B$27/2),NA())</f>
        <v>#N/A</v>
      </c>
      <c r="FE223" t="e">
        <f>IF(AND(AND($B$21=1,(15*$B$66)&lt;$B$62),(15*$B$66)&gt;=$B$87),$B$145+$B$144*($B$89),NA())</f>
        <v>#N/A</v>
      </c>
      <c r="FF223" t="e">
        <f>IF(AND(AND($B$21=1,(15*$B$66)&lt;$B$62),(15*$B$66)&gt;=$B$87),$B$146+$B$144*((15*$B$66)),NA())</f>
        <v>#N/A</v>
      </c>
      <c r="GG223" t="e">
        <f>IF(AND(AND($B$20=1,($B$19+14*$B$64)&lt;$B$10-0.3),($B$19+14*$B$64)&gt;=$B$118),$B$151+$B$150*(MAX(IF(($B$19+14*$B$64)&lt;=$B$9,0,(($B$19+14*$B$64)-$B$9)/$B$8),MIN(($B$5-IF(($B$19+14*$B$64)&lt;=$B$9,0,(($B$19+14*$B$64)-$B$9)/$B$8)),$B$120))),NA())</f>
        <v>#N/A</v>
      </c>
      <c r="GH223" t="e">
        <f>IF(AND(AND($B$20=1,($B$19+14*$B$64)&lt;$B$10-0.3),($B$19+14*$B$64)&gt;=$B$118),$B$152+$B$150*(($B$19+14*$B$64)),NA())</f>
        <v>#N/A</v>
      </c>
      <c r="GI223" t="e">
        <f>IF(AND(AND($B$21=1,(15*$B$66)&lt;IF($B$63=1,$B$10-0.2,$B$62)),(15*$B$66)&gt;=$B$118),$B$151+$B$150*(MAX(IF((15*$B$66)&lt;=$B$9,0,((15*$B$66)-$B$9)/$B$8),MIN(($B$5-IF((15*$B$66)&lt;=$B$9,0,((15*$B$66)-$B$9)/$B$8)),$B$120))),NA())</f>
        <v>#N/A</v>
      </c>
      <c r="GJ223" t="e">
        <f>IF(AND(AND($B$21=1,(15*$B$66)&lt;IF($B$63=1,$B$10-0.2,$B$62)),(15*$B$66)&gt;=$B$118),$B$152+$B$150*((15*$B$66)),NA())</f>
        <v>#N/A</v>
      </c>
      <c r="HM223" t="e">
        <f>NA()</f>
        <v>#N/A</v>
      </c>
      <c r="HN223" t="e">
        <f>NA()</f>
        <v>#N/A</v>
      </c>
      <c r="HQ223" t="e">
        <f>NA()</f>
        <v>#N/A</v>
      </c>
      <c r="HR223" t="e">
        <f>NA()</f>
        <v>#N/A</v>
      </c>
      <c r="HS223" t="e">
        <f>IF(AND(10&lt;=$B$12,$B$51&gt;0),$B$157+$B$156*(((10-0.5)*$B$13)+($B$51*$B$13)/2),NA())</f>
        <v>#N/A</v>
      </c>
      <c r="HT223" t="e">
        <f>IF(AND(10&lt;=$B$12,$B$51&gt;0),$B$158+$B$156*((0*$B$5/2+$B$5/2-0.6*$B$159)),NA())</f>
        <v>#N/A</v>
      </c>
      <c r="KI223" t="e">
        <f>NA()</f>
        <v>#N/A</v>
      </c>
      <c r="KJ223" t="e">
        <f>NA()</f>
        <v>#N/A</v>
      </c>
    </row>
    <row r="224">
      <c r="K224" t="e">
        <f>IF(12&lt;=$B$12,$B$133+$B$132*($B$13*12-$B$27/2),NA())</f>
        <v>#N/A</v>
      </c>
      <c r="L224" t="e">
        <f>IF(12&lt;=$B$12,$B$134+$B$132*(0+$B$27/2),NA())</f>
        <v>#N/A</v>
      </c>
      <c r="FE224" t="e">
        <f>IF(AND($B$21=1,(15*$B$66)&lt;$B$62),$B$145+$B$144*(IF((15*$B$66)&lt;$B$87,$B$91,$B$89)),NA())</f>
        <v>#N/A</v>
      </c>
      <c r="FF224" t="e">
        <f>IF(AND($B$21=1,(15*$B$66)&lt;$B$62),$B$146+$B$144*((15*$B$66)),NA())</f>
        <v>#N/A</v>
      </c>
      <c r="GG224" t="e">
        <f>IF(AND($B$20=1,($B$19+14*$B$64)&lt;$B$10-0.3),$B$151+$B$150*(MAX(IF(($B$19+14*$B$64)&lt;=$B$9,0,(($B$19+14*$B$64)-$B$9)/$B$8),MIN(($B$5-IF(($B$19+14*$B$64)&lt;=$B$9,0,(($B$19+14*$B$64)-$B$9)/$B$8)),IF(($B$19+14*$B$64)&lt;$B$118,$B$122,$B$120)))),NA())</f>
        <v>#N/A</v>
      </c>
      <c r="GH224" t="e">
        <f>IF(AND($B$20=1,($B$19+14*$B$64)&lt;$B$10-0.3),$B$152+$B$150*(($B$19+14*$B$64)),NA())</f>
        <v>#N/A</v>
      </c>
      <c r="GI224" t="e">
        <f>IF(AND($B$21=1,(15*$B$66)&lt;IF($B$63=1,$B$10-0.2,$B$62)),$B$151+$B$150*(MAX(IF((15*$B$66)&lt;=$B$9,0,((15*$B$66)-$B$9)/$B$8),MIN(($B$5-IF((15*$B$66)&lt;=$B$9,0,((15*$B$66)-$B$9)/$B$8)),IF((15*$B$66)&lt;$B$118,$B$122,$B$120)))),NA())</f>
        <v>#N/A</v>
      </c>
      <c r="GJ224" t="e">
        <f>IF(AND($B$21=1,(15*$B$66)&lt;IF($B$63=1,$B$10-0.2,$B$62)),$B$152+$B$150*((15*$B$66)),NA())</f>
        <v>#N/A</v>
      </c>
      <c r="HM224" t="e">
        <f>IF(AND(37&lt;=$B$12,2&lt;=$B$25),$B$157+$B$156*((37-1)*$B$13+2*$B$13/($B$25+1)),NA())</f>
        <v>#N/A</v>
      </c>
      <c r="HN224" t="e">
        <f>IF(AND(37&lt;=$B$12,2&lt;=$B$25),$B$158+$B$156*(0),NA())</f>
        <v>#N/A</v>
      </c>
      <c r="HQ224" t="e">
        <f>IF(AND(4&lt;=$B$23,1&lt;=$B$24),$B$157+$B$156*((IF(4=1,1,IF(4=$B$23,$B$12,5*(4-1)))-1)*$B$13),NA())</f>
        <v>#N/A</v>
      </c>
      <c r="HR224" t="e">
        <f>IF(AND(4&lt;=$B$23,1&lt;=$B$24),$B$158+$B$156*((0*$B$5/2+1*($B$5/2)/$B$24)),NA())</f>
        <v>#N/A</v>
      </c>
      <c r="HS224" t="e">
        <f>IF(AND(10&lt;=$B$12,$B$51&gt;0),$B$157+$B$156*(((10-0.5)*$B$13)-($B$51*$B$13)/2),NA())</f>
        <v>#N/A</v>
      </c>
      <c r="HT224" t="e">
        <f>IF(AND(10&lt;=$B$12,$B$51&gt;0),$B$158+$B$156*((0*$B$5/2+$B$5/2-0.6*$B$159)),NA())</f>
        <v>#N/A</v>
      </c>
      <c r="KI224" t="e">
        <f>IF(AND($B$21=1,19*$B$67&gt;$B$59,19*$B$67&lt;$B$178-$B$59,OR($B$63=0,ABS(19*$B$67-$B$178/2)&gt;$B$59/2)),$B$182+$B$181*($B$177*1/4+$B$60/2),NA())</f>
        <v>#N/A</v>
      </c>
      <c r="KJ224" t="e">
        <f>IF(AND($B$21=1,19*$B$67&gt;$B$59,19*$B$67&lt;$B$178-$B$59,OR($B$63=0,ABS(19*$B$67-$B$178/2)&gt;$B$59/2)),$B$183+$B$181*(19*$B$67),NA())</f>
        <v>#N/A</v>
      </c>
    </row>
    <row r="225">
      <c r="K225" t="e">
        <f>IF(12&lt;=$B$12,$B$133+$B$132*($B$13*12-$B$27/2),NA())</f>
        <v>#N/A</v>
      </c>
      <c r="L225" t="e">
        <f>IF(12&lt;=$B$12,$B$134+$B$132*(0-$B$27/2),NA())</f>
        <v>#N/A</v>
      </c>
      <c r="FE225" t="e">
        <f>IF(AND($B$21=1,(15*$B$66)&lt;$B$62),$B$145+$B$144*(IF((15*$B$66)&lt;$B$94,$B$97,$B$96)),NA())</f>
        <v>#N/A</v>
      </c>
      <c r="FF225" t="e">
        <f>IF(AND($B$21=1,(15*$B$66)&lt;$B$62),$B$146+$B$144*((15*$B$66)),NA())</f>
        <v>#N/A</v>
      </c>
      <c r="GG225" t="e">
        <f>IF(AND($B$20=1,($B$19+14*$B$64)&lt;$B$10-0.3),$B$151+$B$150*(MAX(IF(($B$19+14*$B$64)&lt;=$B$9,0,(($B$19+14*$B$64)-$B$9)/$B$8),MIN(($B$5-IF(($B$19+14*$B$64)&lt;=$B$9,0,(($B$19+14*$B$64)-$B$9)/$B$8)),IF(($B$19+14*$B$64)&lt;$B$125,$B$128,$B$127)))),NA())</f>
        <v>#N/A</v>
      </c>
      <c r="GH225" t="e">
        <f>IF(AND($B$20=1,($B$19+14*$B$64)&lt;$B$10-0.3),$B$152+$B$150*(($B$19+14*$B$64)),NA())</f>
        <v>#N/A</v>
      </c>
      <c r="GI225" t="e">
        <f>IF(AND($B$21=1,(15*$B$66)&lt;IF($B$63=1,$B$10-0.2,$B$62)),$B$151+$B$150*(MAX(IF((15*$B$66)&lt;=$B$9,0,((15*$B$66)-$B$9)/$B$8),MIN(($B$5-IF((15*$B$66)&lt;=$B$9,0,((15*$B$66)-$B$9)/$B$8)),IF((15*$B$66)&lt;$B$125,$B$128,$B$127)))),NA())</f>
        <v>#N/A</v>
      </c>
      <c r="GJ225" t="e">
        <f>IF(AND($B$21=1,(15*$B$66)&lt;IF($B$63=1,$B$10-0.2,$B$62)),$B$152+$B$150*((15*$B$66)),NA())</f>
        <v>#N/A</v>
      </c>
      <c r="HM225" t="e">
        <f>IF(AND(37&lt;=$B$12,2&lt;=$B$25),$B$157+$B$156*((37-1)*$B$13+2*$B$13/($B$25+1)),NA())</f>
        <v>#N/A</v>
      </c>
      <c r="HN225" t="e">
        <f>IF(AND(37&lt;=$B$12,2&lt;=$B$25),$B$158+$B$156*($B$5),NA())</f>
        <v>#N/A</v>
      </c>
      <c r="HQ225" t="e">
        <f>IF(AND(4&lt;=$B$23,1&lt;=$B$24),$B$157+$B$156*(IF(4=1,1,IF(4=$B$23,$B$12,5*(4-1)))*$B$13),NA())</f>
        <v>#N/A</v>
      </c>
      <c r="HR225" t="e">
        <f>IF(AND(4&lt;=$B$23,1&lt;=$B$24),$B$158+$B$156*((0*$B$5/2+(1-1)*($B$5/2)/$B$24)),NA())</f>
        <v>#N/A</v>
      </c>
      <c r="HS225" t="e">
        <f>IF(AND(10&lt;=$B$12,$B$51&gt;0),$B$157+$B$156*(((10-0.5)*$B$13)-($B$51*$B$13)/2),NA())</f>
        <v>#N/A</v>
      </c>
      <c r="HT225" t="e">
        <f>IF(AND(10&lt;=$B$12,$B$51&gt;0),$B$158+$B$156*((0*$B$5/2+0.6*$B$159)),NA())</f>
        <v>#N/A</v>
      </c>
      <c r="KI225" t="e">
        <f>IF(AND($B$21=1,19*$B$67&gt;$B$59,19*$B$67&lt;$B$178-$B$59,OR($B$63=0,ABS(19*$B$67-$B$178/2)&gt;$B$59/2)),$B$182+$B$181*($B$177*2/4-$B$60/2),NA())</f>
        <v>#N/A</v>
      </c>
      <c r="KJ225" t="e">
        <f>IF(AND($B$21=1,19*$B$67&gt;$B$59,19*$B$67&lt;$B$178-$B$59,OR($B$63=0,ABS(19*$B$67-$B$178/2)&gt;$B$59/2)),$B$183+$B$181*(19*$B$67),NA())</f>
        <v>#N/A</v>
      </c>
    </row>
    <row r="226">
      <c r="K226" t="e">
        <f>NA()</f>
        <v>#N/A</v>
      </c>
      <c r="L226" t="e">
        <f>NA()</f>
        <v>#N/A</v>
      </c>
      <c r="FE226" t="e">
        <f>IF(AND(AND($B$21=1,(15*$B$66)&lt;$B$62),(15*$B$66)&gt;=$B$94),$B$145+$B$144*($B$96),NA())</f>
        <v>#N/A</v>
      </c>
      <c r="FF226" t="e">
        <f>IF(AND(AND($B$21=1,(15*$B$66)&lt;$B$62),(15*$B$66)&gt;=$B$94),$B$146+$B$144*((15*$B$66)),NA())</f>
        <v>#N/A</v>
      </c>
      <c r="GG226" t="e">
        <f>IF(AND(AND($B$20=1,($B$19+14*$B$64)&lt;$B$10-0.3),($B$19+14*$B$64)&gt;=$B$125),$B$151+$B$150*(MAX(IF(($B$19+14*$B$64)&lt;=$B$9,0,(($B$19+14*$B$64)-$B$9)/$B$8),MIN(($B$5-IF(($B$19+14*$B$64)&lt;=$B$9,0,(($B$19+14*$B$64)-$B$9)/$B$8)),$B$127))),NA())</f>
        <v>#N/A</v>
      </c>
      <c r="GH226" t="e">
        <f>IF(AND(AND($B$20=1,($B$19+14*$B$64)&lt;$B$10-0.3),($B$19+14*$B$64)&gt;=$B$125),$B$152+$B$150*(($B$19+14*$B$64)),NA())</f>
        <v>#N/A</v>
      </c>
      <c r="GI226" t="e">
        <f>IF(AND(AND($B$21=1,(15*$B$66)&lt;IF($B$63=1,$B$10-0.2,$B$62)),(15*$B$66)&gt;=$B$125),$B$151+$B$150*(MAX(IF((15*$B$66)&lt;=$B$9,0,((15*$B$66)-$B$9)/$B$8),MIN(($B$5-IF((15*$B$66)&lt;=$B$9,0,((15*$B$66)-$B$9)/$B$8)),$B$127))),NA())</f>
        <v>#N/A</v>
      </c>
      <c r="GJ226" t="e">
        <f>IF(AND(AND($B$21=1,(15*$B$66)&lt;IF($B$63=1,$B$10-0.2,$B$62)),(15*$B$66)&gt;=$B$125),$B$152+$B$150*((15*$B$66)),NA())</f>
        <v>#N/A</v>
      </c>
      <c r="HM226" t="e">
        <f>NA()</f>
        <v>#N/A</v>
      </c>
      <c r="HN226" t="e">
        <f>NA()</f>
        <v>#N/A</v>
      </c>
      <c r="HQ226" t="e">
        <f>NA()</f>
        <v>#N/A</v>
      </c>
      <c r="HR226" t="e">
        <f>NA()</f>
        <v>#N/A</v>
      </c>
      <c r="HS226" t="e">
        <f>NA()</f>
        <v>#N/A</v>
      </c>
      <c r="HT226" t="e">
        <f>NA()</f>
        <v>#N/A</v>
      </c>
      <c r="KI226" t="e">
        <f>NA()</f>
        <v>#N/A</v>
      </c>
      <c r="KJ226" t="e">
        <f>NA()</f>
        <v>#N/A</v>
      </c>
    </row>
    <row r="227">
      <c r="K227" t="e">
        <f>IF(12&lt;=$B$12,$B$133+$B$132*($B$13*12-$B$27/2),NA())</f>
        <v>#N/A</v>
      </c>
      <c r="L227" t="e">
        <f>IF(12&lt;=$B$12,$B$134+$B$132*($B$5-$B$27/2),NA())</f>
        <v>#N/A</v>
      </c>
      <c r="FE227" t="e">
        <f>IF(AND($B$21=1,(15*$B$66)&lt;$B$62),$B$145+$B$144*(IF((15*$B$66)&lt;$B$94,$B$98,$B$96)),NA())</f>
        <v>#N/A</v>
      </c>
      <c r="FF227" t="e">
        <f>IF(AND($B$21=1,(15*$B$66)&lt;$B$62),$B$146+$B$144*((15*$B$66)),NA())</f>
        <v>#N/A</v>
      </c>
      <c r="GG227" t="e">
        <f>IF(AND($B$20=1,($B$19+14*$B$64)&lt;$B$10-0.3),$B$151+$B$150*(MAX(IF(($B$19+14*$B$64)&lt;=$B$9,0,(($B$19+14*$B$64)-$B$9)/$B$8),MIN(($B$5-IF(($B$19+14*$B$64)&lt;=$B$9,0,(($B$19+14*$B$64)-$B$9)/$B$8)),IF(($B$19+14*$B$64)&lt;$B$125,$B$129,$B$127)))),NA())</f>
        <v>#N/A</v>
      </c>
      <c r="GH227" t="e">
        <f>IF(AND($B$20=1,($B$19+14*$B$64)&lt;$B$10-0.3),$B$152+$B$150*(($B$19+14*$B$64)),NA())</f>
        <v>#N/A</v>
      </c>
      <c r="GI227" t="e">
        <f>IF(AND($B$21=1,(15*$B$66)&lt;IF($B$63=1,$B$10-0.2,$B$62)),$B$151+$B$150*(MAX(IF((15*$B$66)&lt;=$B$9,0,((15*$B$66)-$B$9)/$B$8),MIN(($B$5-IF((15*$B$66)&lt;=$B$9,0,((15*$B$66)-$B$9)/$B$8)),IF((15*$B$66)&lt;$B$125,$B$129,$B$127)))),NA())</f>
        <v>#N/A</v>
      </c>
      <c r="GJ227" t="e">
        <f>IF(AND($B$21=1,(15*$B$66)&lt;IF($B$63=1,$B$10-0.2,$B$62)),$B$152+$B$150*((15*$B$66)),NA())</f>
        <v>#N/A</v>
      </c>
      <c r="HM227" t="e">
        <f>IF(AND(38&lt;=$B$12,1&lt;=$B$25),$B$157+$B$156*((38-1)*$B$13+1*$B$13/($B$25+1)),NA())</f>
        <v>#N/A</v>
      </c>
      <c r="HN227" t="e">
        <f>IF(AND(38&lt;=$B$12,1&lt;=$B$25),$B$158+$B$156*(0),NA())</f>
        <v>#N/A</v>
      </c>
      <c r="HQ227" t="e">
        <f>IF(AND(4&lt;=$B$23,2&lt;=$B$24),$B$157+$B$156*((IF(4=1,1,IF(4=$B$23,$B$12,5*(4-1)))-1)*$B$13),NA())</f>
        <v>#N/A</v>
      </c>
      <c r="HR227" t="e">
        <f>IF(AND(4&lt;=$B$23,2&lt;=$B$24),$B$158+$B$156*((0*$B$5/2+(2-1)*($B$5/2)/$B$24)),NA())</f>
        <v>#N/A</v>
      </c>
      <c r="HS227" t="e">
        <f>IF(AND(10&lt;=$B$12,$B$51&gt;0),$B$157+$B$156*(((10-0.5)*$B$13)-($B$51*$B$13)/2),NA())</f>
        <v>#N/A</v>
      </c>
      <c r="HT227" t="e">
        <f>IF(AND(10&lt;=$B$12,$B$51&gt;0),$B$158+$B$156*((0*$B$5/2+0.6*$B$159)),NA())</f>
        <v>#N/A</v>
      </c>
      <c r="KI227" t="e">
        <f>IF(AND($B$21=1,19*$B$67&gt;$B$59,19*$B$67&lt;$B$178-$B$59,OR($B$63=0,ABS(19*$B$67-$B$178/2)&gt;$B$59/2)),$B$182+$B$181*($B$177*2/4+$B$60/2),NA())</f>
        <v>#N/A</v>
      </c>
      <c r="KJ227" t="e">
        <f>IF(AND($B$21=1,19*$B$67&gt;$B$59,19*$B$67&lt;$B$178-$B$59,OR($B$63=0,ABS(19*$B$67-$B$178/2)&gt;$B$59/2)),$B$183+$B$181*(19*$B$67),NA())</f>
        <v>#N/A</v>
      </c>
    </row>
    <row r="228">
      <c r="K228" t="e">
        <f>IF(12&lt;=$B$12,$B$133+$B$132*($B$13*12+$B$27/2),NA())</f>
        <v>#N/A</v>
      </c>
      <c r="L228" t="e">
        <f>IF(12&lt;=$B$12,$B$134+$B$132*($B$5-$B$27/2),NA())</f>
        <v>#N/A</v>
      </c>
      <c r="FE228" t="e">
        <f>IF(AND($B$21=1,(15*$B$66)&lt;$B$62),$B$145+$B$144*($B$6),NA())</f>
        <v>#N/A</v>
      </c>
      <c r="FF228" t="e">
        <f>IF(AND($B$21=1,(15*$B$66)&lt;$B$62),$B$146+$B$144*((15*$B$66)),NA())</f>
        <v>#N/A</v>
      </c>
      <c r="GG228" t="e">
        <f>IF(AND($B$20=1,($B$19+14*$B$64)&lt;$B$10-0.3),$B$151+$B$150*(($B$5-IF(($B$19+14*$B$64)&lt;=$B$9,0,(($B$19+14*$B$64)-$B$9)/$B$8))),NA())</f>
        <v>#N/A</v>
      </c>
      <c r="GH228" t="e">
        <f>IF(AND($B$20=1,($B$19+14*$B$64)&lt;$B$10-0.3),$B$152+$B$150*(($B$19+14*$B$64)),NA())</f>
        <v>#N/A</v>
      </c>
      <c r="GI228" t="e">
        <f>IF(AND($B$21=1,(15*$B$66)&lt;IF($B$63=1,$B$10-0.2,$B$62)),$B$151+$B$150*(($B$5-IF((15*$B$66)&lt;=$B$9,0,((15*$B$66)-$B$9)/$B$8))),NA())</f>
        <v>#N/A</v>
      </c>
      <c r="GJ228" t="e">
        <f>IF(AND($B$21=1,(15*$B$66)&lt;IF($B$63=1,$B$10-0.2,$B$62)),$B$152+$B$150*((15*$B$66)),NA())</f>
        <v>#N/A</v>
      </c>
      <c r="HM228" t="e">
        <f>IF(AND(38&lt;=$B$12,1&lt;=$B$25),$B$157+$B$156*((38-1)*$B$13+1*$B$13/($B$25+1)),NA())</f>
        <v>#N/A</v>
      </c>
      <c r="HN228" t="e">
        <f>IF(AND(38&lt;=$B$12,1&lt;=$B$25),$B$158+$B$156*($B$5),NA())</f>
        <v>#N/A</v>
      </c>
      <c r="HQ228" t="e">
        <f>IF(AND(4&lt;=$B$23,2&lt;=$B$24),$B$157+$B$156*(IF(4=1,1,IF(4=$B$23,$B$12,5*(4-1)))*$B$13),NA())</f>
        <v>#N/A</v>
      </c>
      <c r="HR228" t="e">
        <f>IF(AND(4&lt;=$B$23,2&lt;=$B$24),$B$158+$B$156*((0*$B$5/2+2*($B$5/2)/$B$24)),NA())</f>
        <v>#N/A</v>
      </c>
      <c r="HS228" t="e">
        <f>IF(AND(10&lt;=$B$12,$B$51&gt;0),$B$157+$B$156*(((10-0.5)*$B$13)+($B$51*$B$13)/2),NA())</f>
        <v>#N/A</v>
      </c>
      <c r="HT228" t="e">
        <f>IF(AND(10&lt;=$B$12,$B$51&gt;0),$B$158+$B$156*((0*$B$5/2+0.6*$B$159)+(((0*$B$5/2+$B$5/2-0.6*$B$159))-((0*$B$5/2+0.6*$B$159)))/4),NA())</f>
        <v>#N/A</v>
      </c>
      <c r="KI228" t="e">
        <f>IF(AND($B$21=1,19*$B$67&gt;$B$59,19*$B$67&lt;$B$178-$B$59,OR($B$63=0,ABS(19*$B$67-$B$178/2)&gt;$B$59/2)),$B$182+$B$181*($B$177*3/4-$B$60/2),NA())</f>
        <v>#N/A</v>
      </c>
      <c r="KJ228" t="e">
        <f>IF(AND($B$21=1,19*$B$67&gt;$B$59,19*$B$67&lt;$B$178-$B$59,OR($B$63=0,ABS(19*$B$67-$B$178/2)&gt;$B$59/2)),$B$183+$B$181*(19*$B$67),NA())</f>
        <v>#N/A</v>
      </c>
    </row>
    <row r="229">
      <c r="K229" t="e">
        <f>IF(12&lt;=$B$12,$B$133+$B$132*($B$13*12+$B$27/2),NA())</f>
        <v>#N/A</v>
      </c>
      <c r="L229" t="e">
        <f>IF(12&lt;=$B$12,$B$134+$B$132*($B$5+$B$27/2),NA())</f>
        <v>#N/A</v>
      </c>
      <c r="FE229" t="e">
        <f>NA()</f>
        <v>#N/A</v>
      </c>
      <c r="FF229" t="e">
        <f>NA()</f>
        <v>#N/A</v>
      </c>
      <c r="GG229" t="e">
        <f>NA()</f>
        <v>#N/A</v>
      </c>
      <c r="GH229" t="e">
        <f>NA()</f>
        <v>#N/A</v>
      </c>
      <c r="GI229" t="e">
        <f>NA()</f>
        <v>#N/A</v>
      </c>
      <c r="GJ229" t="e">
        <f>NA()</f>
        <v>#N/A</v>
      </c>
      <c r="HM229" t="e">
        <f>NA()</f>
        <v>#N/A</v>
      </c>
      <c r="HN229" t="e">
        <f>NA()</f>
        <v>#N/A</v>
      </c>
      <c r="HQ229" t="e">
        <f>NA()</f>
        <v>#N/A</v>
      </c>
      <c r="HR229" t="e">
        <f>NA()</f>
        <v>#N/A</v>
      </c>
      <c r="HS229" t="e">
        <f>IF(AND(10&lt;=$B$12,$B$51&gt;0),$B$157+$B$156*(((10-0.5)*$B$13)-($B$51*$B$13)/2),NA())</f>
        <v>#N/A</v>
      </c>
      <c r="HT229" t="e">
        <f>IF(AND(10&lt;=$B$12,$B$51&gt;0),$B$158+$B$156*((0*$B$5/2+0.6*$B$159)+(((0*$B$5/2+$B$5/2-0.6*$B$159))-((0*$B$5/2+0.6*$B$159)))/2),NA())</f>
        <v>#N/A</v>
      </c>
      <c r="KI229" t="e">
        <f>NA()</f>
        <v>#N/A</v>
      </c>
      <c r="KJ229" t="e">
        <f>NA()</f>
        <v>#N/A</v>
      </c>
    </row>
    <row r="230">
      <c r="K230" t="e">
        <f>IF(12&lt;=$B$12,$B$133+$B$132*($B$13*12-$B$27/2),NA())</f>
        <v>#N/A</v>
      </c>
      <c r="L230" t="e">
        <f>IF(12&lt;=$B$12,$B$134+$B$132*($B$5+$B$27/2),NA())</f>
        <v>#N/A</v>
      </c>
      <c r="FE230" t="e">
        <f>IF(AND($B$21=1,(16*$B$66)&lt;$B$62),$B$145+$B$144*(0),NA())</f>
        <v>#N/A</v>
      </c>
      <c r="FF230" t="e">
        <f>IF(AND($B$21=1,(16*$B$66)&lt;$B$62),$B$146+$B$144*((16*$B$66)),NA())</f>
        <v>#N/A</v>
      </c>
      <c r="GG230" t="e">
        <f>IF(AND($B$20=1,($B$19+15*$B$64)&lt;$B$10-0.3),$B$151+$B$150*(IF(($B$19+15*$B$64)&lt;=$B$9,0,(($B$19+15*$B$64)-$B$9)/$B$8)),NA())</f>
        <v>#N/A</v>
      </c>
      <c r="GH230" t="e">
        <f>IF(AND($B$20=1,($B$19+15*$B$64)&lt;$B$10-0.3),$B$152+$B$150*(($B$19+15*$B$64)),NA())</f>
        <v>#N/A</v>
      </c>
      <c r="GI230" t="e">
        <f>IF(AND($B$21=1,(16*$B$66)&lt;IF($B$63=1,$B$10-0.2,$B$62)),$B$151+$B$150*(IF((16*$B$66)&lt;=$B$9,0,((16*$B$66)-$B$9)/$B$8)),NA())</f>
        <v>#N/A</v>
      </c>
      <c r="GJ230" t="e">
        <f>IF(AND($B$21=1,(16*$B$66)&lt;IF($B$63=1,$B$10-0.2,$B$62)),$B$152+$B$150*((16*$B$66)),NA())</f>
        <v>#N/A</v>
      </c>
      <c r="HM230" t="e">
        <f>IF(AND(38&lt;=$B$12,2&lt;=$B$25),$B$157+$B$156*((38-1)*$B$13+2*$B$13/($B$25+1)),NA())</f>
        <v>#N/A</v>
      </c>
      <c r="HN230" t="e">
        <f>IF(AND(38&lt;=$B$12,2&lt;=$B$25),$B$158+$B$156*(0),NA())</f>
        <v>#N/A</v>
      </c>
      <c r="HQ230" t="e">
        <f>IF(AND(4&lt;=$B$23,2&lt;=$B$24),$B$157+$B$156*((IF(4=1,1,IF(4=$B$23,$B$12,5*(4-1)))-1)*$B$13),NA())</f>
        <v>#N/A</v>
      </c>
      <c r="HR230" t="e">
        <f>IF(AND(4&lt;=$B$23,2&lt;=$B$24),$B$158+$B$156*((0*$B$5/2+2*($B$5/2)/$B$24)),NA())</f>
        <v>#N/A</v>
      </c>
      <c r="HS230" t="e">
        <f>IF(AND(10&lt;=$B$12,$B$51&gt;0),$B$157+$B$156*(((10-0.5)*$B$13)+($B$51*$B$13)/2),NA())</f>
        <v>#N/A</v>
      </c>
      <c r="HT230" t="e">
        <f>IF(AND(10&lt;=$B$12,$B$51&gt;0),$B$158+$B$156*((0*$B$5/2+0.6*$B$159)+3*(((0*$B$5/2+$B$5/2-0.6*$B$159))-((0*$B$5/2+0.6*$B$159)))/4),NA())</f>
        <v>#N/A</v>
      </c>
      <c r="KI230" t="e">
        <f>IF(AND($B$21=1,19*$B$67&gt;$B$59,19*$B$67&lt;$B$178-$B$59,OR($B$63=0,ABS(19*$B$67-$B$178/2)&gt;$B$59/2)),$B$182+$B$181*($B$177*3/4+$B$60/2),NA())</f>
        <v>#N/A</v>
      </c>
      <c r="KJ230" t="e">
        <f>IF(AND($B$21=1,19*$B$67&gt;$B$59,19*$B$67&lt;$B$178-$B$59,OR($B$63=0,ABS(19*$B$67-$B$178/2)&gt;$B$59/2)),$B$183+$B$181*(19*$B$67),NA())</f>
        <v>#N/A</v>
      </c>
    </row>
    <row r="231">
      <c r="K231" t="e">
        <f>IF(12&lt;=$B$12,$B$133+$B$132*($B$13*12-$B$27/2),NA())</f>
        <v>#N/A</v>
      </c>
      <c r="L231" t="e">
        <f>IF(12&lt;=$B$12,$B$134+$B$132*($B$5-$B$27/2),NA())</f>
        <v>#N/A</v>
      </c>
      <c r="FE231" t="e">
        <f>IF(AND($B$21=1,(16*$B$66)&lt;$B$62),$B$145+$B$144*(IF((16*$B$66)&lt;$B$73,$B$76,$B$75)),NA())</f>
        <v>#N/A</v>
      </c>
      <c r="FF231" t="e">
        <f>IF(AND($B$21=1,(16*$B$66)&lt;$B$62),$B$146+$B$144*((16*$B$66)),NA())</f>
        <v>#N/A</v>
      </c>
      <c r="GG231" t="e">
        <f>IF(AND($B$20=1,($B$19+15*$B$64)&lt;$B$10-0.3),$B$151+$B$150*(MAX(IF(($B$19+15*$B$64)&lt;=$B$9,0,(($B$19+15*$B$64)-$B$9)/$B$8),MIN(($B$5-IF(($B$19+15*$B$64)&lt;=$B$9,0,(($B$19+15*$B$64)-$B$9)/$B$8)),IF(($B$19+15*$B$64)&lt;$B$104,$B$107,$B$106)))),NA())</f>
        <v>#N/A</v>
      </c>
      <c r="GH231" t="e">
        <f>IF(AND($B$20=1,($B$19+15*$B$64)&lt;$B$10-0.3),$B$152+$B$150*(($B$19+15*$B$64)),NA())</f>
        <v>#N/A</v>
      </c>
      <c r="GI231" t="e">
        <f>IF(AND($B$21=1,(16*$B$66)&lt;IF($B$63=1,$B$10-0.2,$B$62)),$B$151+$B$150*(MAX(IF((16*$B$66)&lt;=$B$9,0,((16*$B$66)-$B$9)/$B$8),MIN(($B$5-IF((16*$B$66)&lt;=$B$9,0,((16*$B$66)-$B$9)/$B$8)),IF((16*$B$66)&lt;$B$104,$B$107,$B$106)))),NA())</f>
        <v>#N/A</v>
      </c>
      <c r="GJ231" t="e">
        <f>IF(AND($B$21=1,(16*$B$66)&lt;IF($B$63=1,$B$10-0.2,$B$62)),$B$152+$B$150*((16*$B$66)),NA())</f>
        <v>#N/A</v>
      </c>
      <c r="HM231" t="e">
        <f>IF(AND(38&lt;=$B$12,2&lt;=$B$25),$B$157+$B$156*((38-1)*$B$13+2*$B$13/($B$25+1)),NA())</f>
        <v>#N/A</v>
      </c>
      <c r="HN231" t="e">
        <f>IF(AND(38&lt;=$B$12,2&lt;=$B$25),$B$158+$B$156*($B$5),NA())</f>
        <v>#N/A</v>
      </c>
      <c r="HQ231" t="e">
        <f>IF(AND(4&lt;=$B$23,2&lt;=$B$24),$B$157+$B$156*(IF(4=1,1,IF(4=$B$23,$B$12,5*(4-1)))*$B$13),NA())</f>
        <v>#N/A</v>
      </c>
      <c r="HR231" t="e">
        <f>IF(AND(4&lt;=$B$23,2&lt;=$B$24),$B$158+$B$156*((0*$B$5/2+(2-1)*($B$5/2)/$B$24)),NA())</f>
        <v>#N/A</v>
      </c>
      <c r="HS231" t="e">
        <f>IF(AND(10&lt;=$B$12,$B$51&gt;0),$B$157+$B$156*(((10-0.5)*$B$13)-($B$51*$B$13)/2),NA())</f>
        <v>#N/A</v>
      </c>
      <c r="HT231" t="e">
        <f>IF(AND(10&lt;=$B$12,$B$51&gt;0),$B$158+$B$156*((0*$B$5/2+$B$5/2-0.6*$B$159)),NA())</f>
        <v>#N/A</v>
      </c>
      <c r="KI231" t="e">
        <f>IF(AND($B$21=1,19*$B$67&gt;$B$59,19*$B$67&lt;$B$178-$B$59,OR($B$63=0,ABS(19*$B$67-$B$178/2)&gt;$B$59/2)),$B$182+$B$181*($B$177),NA())</f>
        <v>#N/A</v>
      </c>
      <c r="KJ231" t="e">
        <f>IF(AND($B$21=1,19*$B$67&gt;$B$59,19*$B$67&lt;$B$178-$B$59,OR($B$63=0,ABS(19*$B$67-$B$178/2)&gt;$B$59/2)),$B$183+$B$181*(19*$B$67),NA())</f>
        <v>#N/A</v>
      </c>
    </row>
    <row r="232">
      <c r="K232" t="e">
        <f>NA()</f>
        <v>#N/A</v>
      </c>
      <c r="L232" t="e">
        <f>NA()</f>
        <v>#N/A</v>
      </c>
      <c r="FE232" t="e">
        <f>IF(AND(AND($B$21=1,(16*$B$66)&lt;$B$62),(16*$B$66)&gt;=$B$73),$B$145+$B$144*($B$75),NA())</f>
        <v>#N/A</v>
      </c>
      <c r="FF232" t="e">
        <f>IF(AND(AND($B$21=1,(16*$B$66)&lt;$B$62),(16*$B$66)&gt;=$B$73),$B$146+$B$144*((16*$B$66)),NA())</f>
        <v>#N/A</v>
      </c>
      <c r="GG232" t="e">
        <f>IF(AND(AND($B$20=1,($B$19+15*$B$64)&lt;$B$10-0.3),($B$19+15*$B$64)&gt;=$B$104),$B$151+$B$150*(MAX(IF(($B$19+15*$B$64)&lt;=$B$9,0,(($B$19+15*$B$64)-$B$9)/$B$8),MIN(($B$5-IF(($B$19+15*$B$64)&lt;=$B$9,0,(($B$19+15*$B$64)-$B$9)/$B$8)),$B$106))),NA())</f>
        <v>#N/A</v>
      </c>
      <c r="GH232" t="e">
        <f>IF(AND(AND($B$20=1,($B$19+15*$B$64)&lt;$B$10-0.3),($B$19+15*$B$64)&gt;=$B$104),$B$152+$B$150*(($B$19+15*$B$64)),NA())</f>
        <v>#N/A</v>
      </c>
      <c r="GI232" t="e">
        <f>IF(AND(AND($B$21=1,(16*$B$66)&lt;IF($B$63=1,$B$10-0.2,$B$62)),(16*$B$66)&gt;=$B$104),$B$151+$B$150*(MAX(IF((16*$B$66)&lt;=$B$9,0,((16*$B$66)-$B$9)/$B$8),MIN(($B$5-IF((16*$B$66)&lt;=$B$9,0,((16*$B$66)-$B$9)/$B$8)),$B$106))),NA())</f>
        <v>#N/A</v>
      </c>
      <c r="GJ232" t="e">
        <f>IF(AND(AND($B$21=1,(16*$B$66)&lt;IF($B$63=1,$B$10-0.2,$B$62)),(16*$B$66)&gt;=$B$104),$B$152+$B$150*((16*$B$66)),NA())</f>
        <v>#N/A</v>
      </c>
      <c r="HM232" t="e">
        <f>NA()</f>
        <v>#N/A</v>
      </c>
      <c r="HN232" t="e">
        <f>NA()</f>
        <v>#N/A</v>
      </c>
      <c r="HQ232" t="e">
        <f>NA()</f>
        <v>#N/A</v>
      </c>
      <c r="HR232" t="e">
        <f>NA()</f>
        <v>#N/A</v>
      </c>
      <c r="HS232" t="e">
        <f>NA()</f>
        <v>#N/A</v>
      </c>
      <c r="HT232" t="e">
        <f>NA()</f>
        <v>#N/A</v>
      </c>
      <c r="KI232" t="e">
        <f>NA()</f>
        <v>#N/A</v>
      </c>
      <c r="KJ232" t="e">
        <f>NA()</f>
        <v>#N/A</v>
      </c>
    </row>
    <row r="233">
      <c r="K233" t="e">
        <f>IF(AND(12&lt;=$B$12,$B$45=1),$B$133+$B$132*($B$13*12-$B$27/2),NA())</f>
        <v>#N/A</v>
      </c>
      <c r="L233" t="e">
        <f>IF(AND(12&lt;=$B$12,$B$45=1),$B$134+$B$132*($B$5/2-$B$27/2),NA())</f>
        <v>#N/A</v>
      </c>
      <c r="FE233" t="e">
        <f>IF(AND($B$21=1,(16*$B$66)&lt;$B$62),$B$145+$B$144*(IF((16*$B$66)&lt;$B$73,$B$77,$B$75)),NA())</f>
        <v>#N/A</v>
      </c>
      <c r="FF233" t="e">
        <f>IF(AND($B$21=1,(16*$B$66)&lt;$B$62),$B$146+$B$144*((16*$B$66)),NA())</f>
        <v>#N/A</v>
      </c>
      <c r="GG233" t="e">
        <f>IF(AND($B$20=1,($B$19+15*$B$64)&lt;$B$10-0.3),$B$151+$B$150*(MAX(IF(($B$19+15*$B$64)&lt;=$B$9,0,(($B$19+15*$B$64)-$B$9)/$B$8),MIN(($B$5-IF(($B$19+15*$B$64)&lt;=$B$9,0,(($B$19+15*$B$64)-$B$9)/$B$8)),IF(($B$19+15*$B$64)&lt;$B$104,$B$108,$B$106)))),NA())</f>
        <v>#N/A</v>
      </c>
      <c r="GH233" t="e">
        <f>IF(AND($B$20=1,($B$19+15*$B$64)&lt;$B$10-0.3),$B$152+$B$150*(($B$19+15*$B$64)),NA())</f>
        <v>#N/A</v>
      </c>
      <c r="GI233" t="e">
        <f>IF(AND($B$21=1,(16*$B$66)&lt;IF($B$63=1,$B$10-0.2,$B$62)),$B$151+$B$150*(MAX(IF((16*$B$66)&lt;=$B$9,0,((16*$B$66)-$B$9)/$B$8),MIN(($B$5-IF((16*$B$66)&lt;=$B$9,0,((16*$B$66)-$B$9)/$B$8)),IF((16*$B$66)&lt;$B$104,$B$108,$B$106)))),NA())</f>
        <v>#N/A</v>
      </c>
      <c r="GJ233" t="e">
        <f>IF(AND($B$21=1,(16*$B$66)&lt;IF($B$63=1,$B$10-0.2,$B$62)),$B$152+$B$150*((16*$B$66)),NA())</f>
        <v>#N/A</v>
      </c>
      <c r="HM233" t="e">
        <f>IF(AND(39&lt;=$B$12,1&lt;=$B$25),$B$157+$B$156*((39-1)*$B$13+1*$B$13/($B$25+1)),NA())</f>
        <v>#N/A</v>
      </c>
      <c r="HN233" t="e">
        <f>IF(AND(39&lt;=$B$12,1&lt;=$B$25),$B$158+$B$156*(0),NA())</f>
        <v>#N/A</v>
      </c>
      <c r="HQ233" t="e">
        <f>IF(AND(4&lt;=$B$23,3&lt;=$B$24),$B$157+$B$156*((IF(4=1,1,IF(4=$B$23,$B$12,5*(4-1)))-1)*$B$13),NA())</f>
        <v>#N/A</v>
      </c>
      <c r="HR233" t="e">
        <f>IF(AND(4&lt;=$B$23,3&lt;=$B$24),$B$158+$B$156*((0*$B$5/2+(3-1)*($B$5/2)/$B$24)),NA())</f>
        <v>#N/A</v>
      </c>
      <c r="HS233" t="e">
        <f>IF(AND(10&lt;=$B$12,$B$51&gt;0),$B$157+$B$156*(((10-0.5)*$B$13)-($B$51*$B$13)/2),NA())</f>
        <v>#N/A</v>
      </c>
      <c r="HT233" t="e">
        <f>IF(AND(10&lt;=$B$12,$B$51&gt;0),$B$158+$B$156*((1*$B$5/2+0.6*$B$159)),NA())</f>
        <v>#N/A</v>
      </c>
      <c r="KI233" t="e">
        <f>IF(AND($B$21=1,20*$B$67&gt;$B$59,20*$B$67&lt;$B$178-$B$59,OR($B$63=0,ABS(20*$B$67-$B$178/2)&gt;$B$59/2)),$B$182+$B$181*(0),NA())</f>
        <v>#N/A</v>
      </c>
      <c r="KJ233" t="e">
        <f>IF(AND($B$21=1,20*$B$67&gt;$B$59,20*$B$67&lt;$B$178-$B$59,OR($B$63=0,ABS(20*$B$67-$B$178/2)&gt;$B$59/2)),$B$183+$B$181*(20*$B$67),NA())</f>
        <v>#N/A</v>
      </c>
    </row>
    <row r="234">
      <c r="K234" t="e">
        <f>IF(AND(12&lt;=$B$12,$B$45=1),$B$133+$B$132*($B$13*12+$B$27/2),NA())</f>
        <v>#N/A</v>
      </c>
      <c r="L234" t="e">
        <f>IF(AND(12&lt;=$B$12,$B$45=1),$B$134+$B$132*($B$5/2-$B$27/2),NA())</f>
        <v>#N/A</v>
      </c>
      <c r="FE234" t="e">
        <f>IF(AND($B$21=1,(16*$B$66)&lt;$B$62),$B$145+$B$144*(IF((16*$B$66)&lt;$B$80,$B$83,$B$82)),NA())</f>
        <v>#N/A</v>
      </c>
      <c r="FF234" t="e">
        <f>IF(AND($B$21=1,(16*$B$66)&lt;$B$62),$B$146+$B$144*((16*$B$66)),NA())</f>
        <v>#N/A</v>
      </c>
      <c r="GG234" t="e">
        <f>IF(AND($B$20=1,($B$19+15*$B$64)&lt;$B$10-0.3),$B$151+$B$150*(MAX(IF(($B$19+15*$B$64)&lt;=$B$9,0,(($B$19+15*$B$64)-$B$9)/$B$8),MIN(($B$5-IF(($B$19+15*$B$64)&lt;=$B$9,0,(($B$19+15*$B$64)-$B$9)/$B$8)),IF(($B$19+15*$B$64)&lt;$B$111,$B$114,$B$113)))),NA())</f>
        <v>#N/A</v>
      </c>
      <c r="GH234" t="e">
        <f>IF(AND($B$20=1,($B$19+15*$B$64)&lt;$B$10-0.3),$B$152+$B$150*(($B$19+15*$B$64)),NA())</f>
        <v>#N/A</v>
      </c>
      <c r="GI234" t="e">
        <f>IF(AND($B$21=1,(16*$B$66)&lt;IF($B$63=1,$B$10-0.2,$B$62)),$B$151+$B$150*(MAX(IF((16*$B$66)&lt;=$B$9,0,((16*$B$66)-$B$9)/$B$8),MIN(($B$5-IF((16*$B$66)&lt;=$B$9,0,((16*$B$66)-$B$9)/$B$8)),IF((16*$B$66)&lt;$B$111,$B$114,$B$113)))),NA())</f>
        <v>#N/A</v>
      </c>
      <c r="GJ234" t="e">
        <f>IF(AND($B$21=1,(16*$B$66)&lt;IF($B$63=1,$B$10-0.2,$B$62)),$B$152+$B$150*((16*$B$66)),NA())</f>
        <v>#N/A</v>
      </c>
      <c r="HM234" t="e">
        <f>IF(AND(39&lt;=$B$12,1&lt;=$B$25),$B$157+$B$156*((39-1)*$B$13+1*$B$13/($B$25+1)),NA())</f>
        <v>#N/A</v>
      </c>
      <c r="HN234" t="e">
        <f>IF(AND(39&lt;=$B$12,1&lt;=$B$25),$B$158+$B$156*($B$5),NA())</f>
        <v>#N/A</v>
      </c>
      <c r="HQ234" t="e">
        <f>IF(AND(4&lt;=$B$23,3&lt;=$B$24),$B$157+$B$156*(IF(4=1,1,IF(4=$B$23,$B$12,5*(4-1)))*$B$13),NA())</f>
        <v>#N/A</v>
      </c>
      <c r="HR234" t="e">
        <f>IF(AND(4&lt;=$B$23,3&lt;=$B$24),$B$158+$B$156*((0*$B$5/2+3*($B$5/2)/$B$24)),NA())</f>
        <v>#N/A</v>
      </c>
      <c r="HS234" t="e">
        <f>IF(AND(10&lt;=$B$12,$B$51&gt;0),$B$157+$B$156*(((10-0.5)*$B$13)+($B$51*$B$13)/2),NA())</f>
        <v>#N/A</v>
      </c>
      <c r="HT234" t="e">
        <f>IF(AND(10&lt;=$B$12,$B$51&gt;0),$B$158+$B$156*((1*$B$5/2+0.6*$B$159)),NA())</f>
        <v>#N/A</v>
      </c>
      <c r="KI234" t="e">
        <f>IF(AND($B$21=1,20*$B$67&gt;$B$59,20*$B$67&lt;$B$178-$B$59,OR($B$63=0,ABS(20*$B$67-$B$178/2)&gt;$B$59/2)),$B$182+$B$181*($B$177*1/4-$B$60/2),NA())</f>
        <v>#N/A</v>
      </c>
      <c r="KJ234" t="e">
        <f>IF(AND($B$21=1,20*$B$67&gt;$B$59,20*$B$67&lt;$B$178-$B$59,OR($B$63=0,ABS(20*$B$67-$B$178/2)&gt;$B$59/2)),$B$183+$B$181*(20*$B$67),NA())</f>
        <v>#N/A</v>
      </c>
    </row>
    <row r="235">
      <c r="K235" t="e">
        <f>IF(AND(12&lt;=$B$12,$B$45=1),$B$133+$B$132*($B$13*12+$B$27/2),NA())</f>
        <v>#N/A</v>
      </c>
      <c r="L235" t="e">
        <f>IF(AND(12&lt;=$B$12,$B$45=1),$B$134+$B$132*($B$5/2+$B$27/2),NA())</f>
        <v>#N/A</v>
      </c>
      <c r="FE235" t="e">
        <f>IF(AND(AND($B$21=1,(16*$B$66)&lt;$B$62),(16*$B$66)&gt;=$B$80),$B$145+$B$144*($B$82),NA())</f>
        <v>#N/A</v>
      </c>
      <c r="FF235" t="e">
        <f>IF(AND(AND($B$21=1,(16*$B$66)&lt;$B$62),(16*$B$66)&gt;=$B$80),$B$146+$B$144*((16*$B$66)),NA())</f>
        <v>#N/A</v>
      </c>
      <c r="GG235" t="e">
        <f>IF(AND(AND($B$20=1,($B$19+15*$B$64)&lt;$B$10-0.3),($B$19+15*$B$64)&gt;=$B$111),$B$151+$B$150*(MAX(IF(($B$19+15*$B$64)&lt;=$B$9,0,(($B$19+15*$B$64)-$B$9)/$B$8),MIN(($B$5-IF(($B$19+15*$B$64)&lt;=$B$9,0,(($B$19+15*$B$64)-$B$9)/$B$8)),$B$113))),NA())</f>
        <v>#N/A</v>
      </c>
      <c r="GH235" t="e">
        <f>IF(AND(AND($B$20=1,($B$19+15*$B$64)&lt;$B$10-0.3),($B$19+15*$B$64)&gt;=$B$111),$B$152+$B$150*(($B$19+15*$B$64)),NA())</f>
        <v>#N/A</v>
      </c>
      <c r="GI235" t="e">
        <f>IF(AND(AND($B$21=1,(16*$B$66)&lt;IF($B$63=1,$B$10-0.2,$B$62)),(16*$B$66)&gt;=$B$111),$B$151+$B$150*(MAX(IF((16*$B$66)&lt;=$B$9,0,((16*$B$66)-$B$9)/$B$8),MIN(($B$5-IF((16*$B$66)&lt;=$B$9,0,((16*$B$66)-$B$9)/$B$8)),$B$113))),NA())</f>
        <v>#N/A</v>
      </c>
      <c r="GJ235" t="e">
        <f>IF(AND(AND($B$21=1,(16*$B$66)&lt;IF($B$63=1,$B$10-0.2,$B$62)),(16*$B$66)&gt;=$B$111),$B$152+$B$150*((16*$B$66)),NA())</f>
        <v>#N/A</v>
      </c>
      <c r="HM235" t="e">
        <f>NA()</f>
        <v>#N/A</v>
      </c>
      <c r="HN235" t="e">
        <f>NA()</f>
        <v>#N/A</v>
      </c>
      <c r="HQ235" t="e">
        <f>NA()</f>
        <v>#N/A</v>
      </c>
      <c r="HR235" t="e">
        <f>NA()</f>
        <v>#N/A</v>
      </c>
      <c r="HS235" t="e">
        <f>IF(AND(10&lt;=$B$12,$B$51&gt;0),$B$157+$B$156*(((10-0.5)*$B$13)+($B$51*$B$13)/2),NA())</f>
        <v>#N/A</v>
      </c>
      <c r="HT235" t="e">
        <f>IF(AND(10&lt;=$B$12,$B$51&gt;0),$B$158+$B$156*((1*$B$5/2+$B$5/2-0.6*$B$159)),NA())</f>
        <v>#N/A</v>
      </c>
      <c r="KI235" t="e">
        <f>NA()</f>
        <v>#N/A</v>
      </c>
      <c r="KJ235" t="e">
        <f>NA()</f>
        <v>#N/A</v>
      </c>
    </row>
    <row r="236">
      <c r="K236" t="e">
        <f>IF(AND(12&lt;=$B$12,$B$45=1),$B$133+$B$132*($B$13*12-$B$27/2),NA())</f>
        <v>#N/A</v>
      </c>
      <c r="L236" t="e">
        <f>IF(AND(12&lt;=$B$12,$B$45=1),$B$134+$B$132*($B$5/2+$B$27/2),NA())</f>
        <v>#N/A</v>
      </c>
      <c r="FE236" t="e">
        <f>IF(AND($B$21=1,(16*$B$66)&lt;$B$62),$B$145+$B$144*(IF((16*$B$66)&lt;$B$80,$B$84,$B$82)),NA())</f>
        <v>#N/A</v>
      </c>
      <c r="FF236" t="e">
        <f>IF(AND($B$21=1,(16*$B$66)&lt;$B$62),$B$146+$B$144*((16*$B$66)),NA())</f>
        <v>#N/A</v>
      </c>
      <c r="GG236" t="e">
        <f>IF(AND($B$20=1,($B$19+15*$B$64)&lt;$B$10-0.3),$B$151+$B$150*(MAX(IF(($B$19+15*$B$64)&lt;=$B$9,0,(($B$19+15*$B$64)-$B$9)/$B$8),MIN(($B$5-IF(($B$19+15*$B$64)&lt;=$B$9,0,(($B$19+15*$B$64)-$B$9)/$B$8)),IF(($B$19+15*$B$64)&lt;$B$111,$B$115,$B$113)))),NA())</f>
        <v>#N/A</v>
      </c>
      <c r="GH236" t="e">
        <f>IF(AND($B$20=1,($B$19+15*$B$64)&lt;$B$10-0.3),$B$152+$B$150*(($B$19+15*$B$64)),NA())</f>
        <v>#N/A</v>
      </c>
      <c r="GI236" t="e">
        <f>IF(AND($B$21=1,(16*$B$66)&lt;IF($B$63=1,$B$10-0.2,$B$62)),$B$151+$B$150*(MAX(IF((16*$B$66)&lt;=$B$9,0,((16*$B$66)-$B$9)/$B$8),MIN(($B$5-IF((16*$B$66)&lt;=$B$9,0,((16*$B$66)-$B$9)/$B$8)),IF((16*$B$66)&lt;$B$111,$B$115,$B$113)))),NA())</f>
        <v>#N/A</v>
      </c>
      <c r="GJ236" t="e">
        <f>IF(AND($B$21=1,(16*$B$66)&lt;IF($B$63=1,$B$10-0.2,$B$62)),$B$152+$B$150*((16*$B$66)),NA())</f>
        <v>#N/A</v>
      </c>
      <c r="HM236" t="e">
        <f>IF(AND(39&lt;=$B$12,2&lt;=$B$25),$B$157+$B$156*((39-1)*$B$13+2*$B$13/($B$25+1)),NA())</f>
        <v>#N/A</v>
      </c>
      <c r="HN236" t="e">
        <f>IF(AND(39&lt;=$B$12,2&lt;=$B$25),$B$158+$B$156*(0),NA())</f>
        <v>#N/A</v>
      </c>
      <c r="HQ236" t="e">
        <f>IF(AND(4&lt;=$B$23,3&lt;=$B$24),$B$157+$B$156*((IF(4=1,1,IF(4=$B$23,$B$12,5*(4-1)))-1)*$B$13),NA())</f>
        <v>#N/A</v>
      </c>
      <c r="HR236" t="e">
        <f>IF(AND(4&lt;=$B$23,3&lt;=$B$24),$B$158+$B$156*((0*$B$5/2+3*($B$5/2)/$B$24)),NA())</f>
        <v>#N/A</v>
      </c>
      <c r="HS236" t="e">
        <f>IF(AND(10&lt;=$B$12,$B$51&gt;0),$B$157+$B$156*(((10-0.5)*$B$13)-($B$51*$B$13)/2),NA())</f>
        <v>#N/A</v>
      </c>
      <c r="HT236" t="e">
        <f>IF(AND(10&lt;=$B$12,$B$51&gt;0),$B$158+$B$156*((1*$B$5/2+$B$5/2-0.6*$B$159)),NA())</f>
        <v>#N/A</v>
      </c>
      <c r="KI236" t="e">
        <f>IF(AND($B$21=1,20*$B$67&gt;$B$59,20*$B$67&lt;$B$178-$B$59,OR($B$63=0,ABS(20*$B$67-$B$178/2)&gt;$B$59/2)),$B$182+$B$181*($B$177*1/4+$B$60/2),NA())</f>
        <v>#N/A</v>
      </c>
      <c r="KJ236" t="e">
        <f>IF(AND($B$21=1,20*$B$67&gt;$B$59,20*$B$67&lt;$B$178-$B$59,OR($B$63=0,ABS(20*$B$67-$B$178/2)&gt;$B$59/2)),$B$183+$B$181*(20*$B$67),NA())</f>
        <v>#N/A</v>
      </c>
    </row>
    <row r="237">
      <c r="K237" t="e">
        <f>IF(AND(12&lt;=$B$12,$B$45=1),$B$133+$B$132*($B$13*12-$B$27/2),NA())</f>
        <v>#N/A</v>
      </c>
      <c r="L237" t="e">
        <f>IF(AND(12&lt;=$B$12,$B$45=1),$B$134+$B$132*($B$5/2-$B$27/2),NA())</f>
        <v>#N/A</v>
      </c>
      <c r="FE237" t="e">
        <f>IF(AND($B$21=1,(16*$B$66)&lt;$B$62),$B$145+$B$144*(IF((16*$B$66)&lt;$B$87,$B$90,$B$89)),NA())</f>
        <v>#N/A</v>
      </c>
      <c r="FF237" t="e">
        <f>IF(AND($B$21=1,(16*$B$66)&lt;$B$62),$B$146+$B$144*((16*$B$66)),NA())</f>
        <v>#N/A</v>
      </c>
      <c r="GG237" t="e">
        <f>IF(AND($B$20=1,($B$19+15*$B$64)&lt;$B$10-0.3),$B$151+$B$150*(MAX(IF(($B$19+15*$B$64)&lt;=$B$9,0,(($B$19+15*$B$64)-$B$9)/$B$8),MIN(($B$5-IF(($B$19+15*$B$64)&lt;=$B$9,0,(($B$19+15*$B$64)-$B$9)/$B$8)),IF(($B$19+15*$B$64)&lt;$B$118,$B$121,$B$120)))),NA())</f>
        <v>#N/A</v>
      </c>
      <c r="GH237" t="e">
        <f>IF(AND($B$20=1,($B$19+15*$B$64)&lt;$B$10-0.3),$B$152+$B$150*(($B$19+15*$B$64)),NA())</f>
        <v>#N/A</v>
      </c>
      <c r="GI237" t="e">
        <f>IF(AND($B$21=1,(16*$B$66)&lt;IF($B$63=1,$B$10-0.2,$B$62)),$B$151+$B$150*(MAX(IF((16*$B$66)&lt;=$B$9,0,((16*$B$66)-$B$9)/$B$8),MIN(($B$5-IF((16*$B$66)&lt;=$B$9,0,((16*$B$66)-$B$9)/$B$8)),IF((16*$B$66)&lt;$B$118,$B$121,$B$120)))),NA())</f>
        <v>#N/A</v>
      </c>
      <c r="GJ237" t="e">
        <f>IF(AND($B$21=1,(16*$B$66)&lt;IF($B$63=1,$B$10-0.2,$B$62)),$B$152+$B$150*((16*$B$66)),NA())</f>
        <v>#N/A</v>
      </c>
      <c r="HM237" t="e">
        <f>IF(AND(39&lt;=$B$12,2&lt;=$B$25),$B$157+$B$156*((39-1)*$B$13+2*$B$13/($B$25+1)),NA())</f>
        <v>#N/A</v>
      </c>
      <c r="HN237" t="e">
        <f>IF(AND(39&lt;=$B$12,2&lt;=$B$25),$B$158+$B$156*($B$5),NA())</f>
        <v>#N/A</v>
      </c>
      <c r="HQ237" t="e">
        <f>IF(AND(4&lt;=$B$23,3&lt;=$B$24),$B$157+$B$156*(IF(4=1,1,IF(4=$B$23,$B$12,5*(4-1)))*$B$13),NA())</f>
        <v>#N/A</v>
      </c>
      <c r="HR237" t="e">
        <f>IF(AND(4&lt;=$B$23,3&lt;=$B$24),$B$158+$B$156*((0*$B$5/2+(3-1)*($B$5/2)/$B$24)),NA())</f>
        <v>#N/A</v>
      </c>
      <c r="HS237" t="e">
        <f>IF(AND(10&lt;=$B$12,$B$51&gt;0),$B$157+$B$156*(((10-0.5)*$B$13)-($B$51*$B$13)/2),NA())</f>
        <v>#N/A</v>
      </c>
      <c r="HT237" t="e">
        <f>IF(AND(10&lt;=$B$12,$B$51&gt;0),$B$158+$B$156*((1*$B$5/2+0.6*$B$159)),NA())</f>
        <v>#N/A</v>
      </c>
      <c r="KI237" t="e">
        <f>IF(AND($B$21=1,20*$B$67&gt;$B$59,20*$B$67&lt;$B$178-$B$59,OR($B$63=0,ABS(20*$B$67-$B$178/2)&gt;$B$59/2)),$B$182+$B$181*($B$177*2/4-$B$60/2),NA())</f>
        <v>#N/A</v>
      </c>
      <c r="KJ237" t="e">
        <f>IF(AND($B$21=1,20*$B$67&gt;$B$59,20*$B$67&lt;$B$178-$B$59,OR($B$63=0,ABS(20*$B$67-$B$178/2)&gt;$B$59/2)),$B$183+$B$181*(20*$B$67),NA())</f>
        <v>#N/A</v>
      </c>
    </row>
    <row r="238">
      <c r="K238" t="e">
        <f>NA()</f>
        <v>#N/A</v>
      </c>
      <c r="L238" t="e">
        <f>NA()</f>
        <v>#N/A</v>
      </c>
      <c r="FE238" t="e">
        <f>IF(AND(AND($B$21=1,(16*$B$66)&lt;$B$62),(16*$B$66)&gt;=$B$87),$B$145+$B$144*($B$89),NA())</f>
        <v>#N/A</v>
      </c>
      <c r="FF238" t="e">
        <f>IF(AND(AND($B$21=1,(16*$B$66)&lt;$B$62),(16*$B$66)&gt;=$B$87),$B$146+$B$144*((16*$B$66)),NA())</f>
        <v>#N/A</v>
      </c>
      <c r="GG238" t="e">
        <f>IF(AND(AND($B$20=1,($B$19+15*$B$64)&lt;$B$10-0.3),($B$19+15*$B$64)&gt;=$B$118),$B$151+$B$150*(MAX(IF(($B$19+15*$B$64)&lt;=$B$9,0,(($B$19+15*$B$64)-$B$9)/$B$8),MIN(($B$5-IF(($B$19+15*$B$64)&lt;=$B$9,0,(($B$19+15*$B$64)-$B$9)/$B$8)),$B$120))),NA())</f>
        <v>#N/A</v>
      </c>
      <c r="GH238" t="e">
        <f>IF(AND(AND($B$20=1,($B$19+15*$B$64)&lt;$B$10-0.3),($B$19+15*$B$64)&gt;=$B$118),$B$152+$B$150*(($B$19+15*$B$64)),NA())</f>
        <v>#N/A</v>
      </c>
      <c r="GI238" t="e">
        <f>IF(AND(AND($B$21=1,(16*$B$66)&lt;IF($B$63=1,$B$10-0.2,$B$62)),(16*$B$66)&gt;=$B$118),$B$151+$B$150*(MAX(IF((16*$B$66)&lt;=$B$9,0,((16*$B$66)-$B$9)/$B$8),MIN(($B$5-IF((16*$B$66)&lt;=$B$9,0,((16*$B$66)-$B$9)/$B$8)),$B$120))),NA())</f>
        <v>#N/A</v>
      </c>
      <c r="GJ238" t="e">
        <f>IF(AND(AND($B$21=1,(16*$B$66)&lt;IF($B$63=1,$B$10-0.2,$B$62)),(16*$B$66)&gt;=$B$118),$B$152+$B$150*((16*$B$66)),NA())</f>
        <v>#N/A</v>
      </c>
      <c r="HM238" t="e">
        <f>NA()</f>
        <v>#N/A</v>
      </c>
      <c r="HN238" t="e">
        <f>NA()</f>
        <v>#N/A</v>
      </c>
      <c r="HQ238" t="e">
        <f>NA()</f>
        <v>#N/A</v>
      </c>
      <c r="HR238" t="e">
        <f>NA()</f>
        <v>#N/A</v>
      </c>
      <c r="HS238" t="e">
        <f>NA()</f>
        <v>#N/A</v>
      </c>
      <c r="HT238" t="e">
        <f>NA()</f>
        <v>#N/A</v>
      </c>
      <c r="KI238" t="e">
        <f>NA()</f>
        <v>#N/A</v>
      </c>
      <c r="KJ238" t="e">
        <f>NA()</f>
        <v>#N/A</v>
      </c>
    </row>
    <row r="239">
      <c r="K239" t="e">
        <f>IF(13&lt;=$B$12,$B$133+$B$132*($B$13*13-$B$27/2),NA())</f>
        <v>#N/A</v>
      </c>
      <c r="L239" t="e">
        <f>IF(13&lt;=$B$12,$B$134+$B$132*(0-$B$27/2),NA())</f>
        <v>#N/A</v>
      </c>
      <c r="FE239" t="e">
        <f>IF(AND($B$21=1,(16*$B$66)&lt;$B$62),$B$145+$B$144*(IF((16*$B$66)&lt;$B$87,$B$91,$B$89)),NA())</f>
        <v>#N/A</v>
      </c>
      <c r="FF239" t="e">
        <f>IF(AND($B$21=1,(16*$B$66)&lt;$B$62),$B$146+$B$144*((16*$B$66)),NA())</f>
        <v>#N/A</v>
      </c>
      <c r="GG239" t="e">
        <f>IF(AND($B$20=1,($B$19+15*$B$64)&lt;$B$10-0.3),$B$151+$B$150*(MAX(IF(($B$19+15*$B$64)&lt;=$B$9,0,(($B$19+15*$B$64)-$B$9)/$B$8),MIN(($B$5-IF(($B$19+15*$B$64)&lt;=$B$9,0,(($B$19+15*$B$64)-$B$9)/$B$8)),IF(($B$19+15*$B$64)&lt;$B$118,$B$122,$B$120)))),NA())</f>
        <v>#N/A</v>
      </c>
      <c r="GH239" t="e">
        <f>IF(AND($B$20=1,($B$19+15*$B$64)&lt;$B$10-0.3),$B$152+$B$150*(($B$19+15*$B$64)),NA())</f>
        <v>#N/A</v>
      </c>
      <c r="GI239" t="e">
        <f>IF(AND($B$21=1,(16*$B$66)&lt;IF($B$63=1,$B$10-0.2,$B$62)),$B$151+$B$150*(MAX(IF((16*$B$66)&lt;=$B$9,0,((16*$B$66)-$B$9)/$B$8),MIN(($B$5-IF((16*$B$66)&lt;=$B$9,0,((16*$B$66)-$B$9)/$B$8)),IF((16*$B$66)&lt;$B$118,$B$122,$B$120)))),NA())</f>
        <v>#N/A</v>
      </c>
      <c r="GJ239" t="e">
        <f>IF(AND($B$21=1,(16*$B$66)&lt;IF($B$63=1,$B$10-0.2,$B$62)),$B$152+$B$150*((16*$B$66)),NA())</f>
        <v>#N/A</v>
      </c>
      <c r="HM239" t="e">
        <f>IF(AND(40&lt;=$B$12,1&lt;=$B$25),$B$157+$B$156*((40-1)*$B$13+1*$B$13/($B$25+1)),NA())</f>
        <v>#N/A</v>
      </c>
      <c r="HN239" t="e">
        <f>IF(AND(40&lt;=$B$12,1&lt;=$B$25),$B$158+$B$156*(0),NA())</f>
        <v>#N/A</v>
      </c>
      <c r="HQ239" t="e">
        <f>IF(AND(4&lt;=$B$23,4&lt;=$B$24),$B$157+$B$156*((IF(4=1,1,IF(4=$B$23,$B$12,5*(4-1)))-1)*$B$13),NA())</f>
        <v>#N/A</v>
      </c>
      <c r="HR239" t="e">
        <f>IF(AND(4&lt;=$B$23,4&lt;=$B$24),$B$158+$B$156*((0*$B$5/2+(4-1)*($B$5/2)/$B$24)),NA())</f>
        <v>#N/A</v>
      </c>
      <c r="HS239" t="e">
        <f>IF(AND(10&lt;=$B$12,$B$51&gt;0),$B$157+$B$156*(((10-0.5)*$B$13)-($B$51*$B$13)/2),NA())</f>
        <v>#N/A</v>
      </c>
      <c r="HT239" t="e">
        <f>IF(AND(10&lt;=$B$12,$B$51&gt;0),$B$158+$B$156*((1*$B$5/2+0.6*$B$159)),NA())</f>
        <v>#N/A</v>
      </c>
      <c r="KI239" t="e">
        <f>IF(AND($B$21=1,20*$B$67&gt;$B$59,20*$B$67&lt;$B$178-$B$59,OR($B$63=0,ABS(20*$B$67-$B$178/2)&gt;$B$59/2)),$B$182+$B$181*($B$177*2/4+$B$60/2),NA())</f>
        <v>#N/A</v>
      </c>
      <c r="KJ239" t="e">
        <f>IF(AND($B$21=1,20*$B$67&gt;$B$59,20*$B$67&lt;$B$178-$B$59,OR($B$63=0,ABS(20*$B$67-$B$178/2)&gt;$B$59/2)),$B$183+$B$181*(20*$B$67),NA())</f>
        <v>#N/A</v>
      </c>
    </row>
    <row r="240">
      <c r="K240" t="e">
        <f>IF(13&lt;=$B$12,$B$133+$B$132*($B$13*13+$B$27/2),NA())</f>
        <v>#N/A</v>
      </c>
      <c r="L240" t="e">
        <f>IF(13&lt;=$B$12,$B$134+$B$132*(0-$B$27/2),NA())</f>
        <v>#N/A</v>
      </c>
      <c r="FE240" t="e">
        <f>IF(AND($B$21=1,(16*$B$66)&lt;$B$62),$B$145+$B$144*(IF((16*$B$66)&lt;$B$94,$B$97,$B$96)),NA())</f>
        <v>#N/A</v>
      </c>
      <c r="FF240" t="e">
        <f>IF(AND($B$21=1,(16*$B$66)&lt;$B$62),$B$146+$B$144*((16*$B$66)),NA())</f>
        <v>#N/A</v>
      </c>
      <c r="GG240" t="e">
        <f>IF(AND($B$20=1,($B$19+15*$B$64)&lt;$B$10-0.3),$B$151+$B$150*(MAX(IF(($B$19+15*$B$64)&lt;=$B$9,0,(($B$19+15*$B$64)-$B$9)/$B$8),MIN(($B$5-IF(($B$19+15*$B$64)&lt;=$B$9,0,(($B$19+15*$B$64)-$B$9)/$B$8)),IF(($B$19+15*$B$64)&lt;$B$125,$B$128,$B$127)))),NA())</f>
        <v>#N/A</v>
      </c>
      <c r="GH240" t="e">
        <f>IF(AND($B$20=1,($B$19+15*$B$64)&lt;$B$10-0.3),$B$152+$B$150*(($B$19+15*$B$64)),NA())</f>
        <v>#N/A</v>
      </c>
      <c r="GI240" t="e">
        <f>IF(AND($B$21=1,(16*$B$66)&lt;IF($B$63=1,$B$10-0.2,$B$62)),$B$151+$B$150*(MAX(IF((16*$B$66)&lt;=$B$9,0,((16*$B$66)-$B$9)/$B$8),MIN(($B$5-IF((16*$B$66)&lt;=$B$9,0,((16*$B$66)-$B$9)/$B$8)),IF((16*$B$66)&lt;$B$125,$B$128,$B$127)))),NA())</f>
        <v>#N/A</v>
      </c>
      <c r="GJ240" t="e">
        <f>IF(AND($B$21=1,(16*$B$66)&lt;IF($B$63=1,$B$10-0.2,$B$62)),$B$152+$B$150*((16*$B$66)),NA())</f>
        <v>#N/A</v>
      </c>
      <c r="HM240" t="e">
        <f>IF(AND(40&lt;=$B$12,1&lt;=$B$25),$B$157+$B$156*((40-1)*$B$13+1*$B$13/($B$25+1)),NA())</f>
        <v>#N/A</v>
      </c>
      <c r="HN240" t="e">
        <f>IF(AND(40&lt;=$B$12,1&lt;=$B$25),$B$158+$B$156*($B$5),NA())</f>
        <v>#N/A</v>
      </c>
      <c r="HQ240" t="e">
        <f>IF(AND(4&lt;=$B$23,4&lt;=$B$24),$B$157+$B$156*(IF(4=1,1,IF(4=$B$23,$B$12,5*(4-1)))*$B$13),NA())</f>
        <v>#N/A</v>
      </c>
      <c r="HR240" t="e">
        <f>IF(AND(4&lt;=$B$23,4&lt;=$B$24),$B$158+$B$156*((0*$B$5/2+4*($B$5/2)/$B$24)),NA())</f>
        <v>#N/A</v>
      </c>
      <c r="HS240" t="e">
        <f>IF(AND(10&lt;=$B$12,$B$51&gt;0),$B$157+$B$156*(((10-0.5)*$B$13)+($B$51*$B$13)/2),NA())</f>
        <v>#N/A</v>
      </c>
      <c r="HT240" t="e">
        <f>IF(AND(10&lt;=$B$12,$B$51&gt;0),$B$158+$B$156*((1*$B$5/2+0.6*$B$159)+(((1*$B$5/2+$B$5/2-0.6*$B$159))-((1*$B$5/2+0.6*$B$159)))/4),NA())</f>
        <v>#N/A</v>
      </c>
      <c r="KI240" t="e">
        <f>IF(AND($B$21=1,20*$B$67&gt;$B$59,20*$B$67&lt;$B$178-$B$59,OR($B$63=0,ABS(20*$B$67-$B$178/2)&gt;$B$59/2)),$B$182+$B$181*($B$177*3/4-$B$60/2),NA())</f>
        <v>#N/A</v>
      </c>
      <c r="KJ240" t="e">
        <f>IF(AND($B$21=1,20*$B$67&gt;$B$59,20*$B$67&lt;$B$178-$B$59,OR($B$63=0,ABS(20*$B$67-$B$178/2)&gt;$B$59/2)),$B$183+$B$181*(20*$B$67),NA())</f>
        <v>#N/A</v>
      </c>
    </row>
    <row r="241">
      <c r="K241" t="e">
        <f>IF(13&lt;=$B$12,$B$133+$B$132*($B$13*13+$B$27/2),NA())</f>
        <v>#N/A</v>
      </c>
      <c r="L241" t="e">
        <f>IF(13&lt;=$B$12,$B$134+$B$132*(0+$B$27/2),NA())</f>
        <v>#N/A</v>
      </c>
      <c r="FE241" t="e">
        <f>IF(AND(AND($B$21=1,(16*$B$66)&lt;$B$62),(16*$B$66)&gt;=$B$94),$B$145+$B$144*($B$96),NA())</f>
        <v>#N/A</v>
      </c>
      <c r="FF241" t="e">
        <f>IF(AND(AND($B$21=1,(16*$B$66)&lt;$B$62),(16*$B$66)&gt;=$B$94),$B$146+$B$144*((16*$B$66)),NA())</f>
        <v>#N/A</v>
      </c>
      <c r="GG241" t="e">
        <f>IF(AND(AND($B$20=1,($B$19+15*$B$64)&lt;$B$10-0.3),($B$19+15*$B$64)&gt;=$B$125),$B$151+$B$150*(MAX(IF(($B$19+15*$B$64)&lt;=$B$9,0,(($B$19+15*$B$64)-$B$9)/$B$8),MIN(($B$5-IF(($B$19+15*$B$64)&lt;=$B$9,0,(($B$19+15*$B$64)-$B$9)/$B$8)),$B$127))),NA())</f>
        <v>#N/A</v>
      </c>
      <c r="GH241" t="e">
        <f>IF(AND(AND($B$20=1,($B$19+15*$B$64)&lt;$B$10-0.3),($B$19+15*$B$64)&gt;=$B$125),$B$152+$B$150*(($B$19+15*$B$64)),NA())</f>
        <v>#N/A</v>
      </c>
      <c r="GI241" t="e">
        <f>IF(AND(AND($B$21=1,(16*$B$66)&lt;IF($B$63=1,$B$10-0.2,$B$62)),(16*$B$66)&gt;=$B$125),$B$151+$B$150*(MAX(IF((16*$B$66)&lt;=$B$9,0,((16*$B$66)-$B$9)/$B$8),MIN(($B$5-IF((16*$B$66)&lt;=$B$9,0,((16*$B$66)-$B$9)/$B$8)),$B$127))),NA())</f>
        <v>#N/A</v>
      </c>
      <c r="GJ241" t="e">
        <f>IF(AND(AND($B$21=1,(16*$B$66)&lt;IF($B$63=1,$B$10-0.2,$B$62)),(16*$B$66)&gt;=$B$125),$B$152+$B$150*((16*$B$66)),NA())</f>
        <v>#N/A</v>
      </c>
      <c r="HM241" t="e">
        <f>NA()</f>
        <v>#N/A</v>
      </c>
      <c r="HN241" t="e">
        <f>NA()</f>
        <v>#N/A</v>
      </c>
      <c r="HQ241" t="e">
        <f>NA()</f>
        <v>#N/A</v>
      </c>
      <c r="HR241" t="e">
        <f>NA()</f>
        <v>#N/A</v>
      </c>
      <c r="HS241" t="e">
        <f>IF(AND(10&lt;=$B$12,$B$51&gt;0),$B$157+$B$156*(((10-0.5)*$B$13)-($B$51*$B$13)/2),NA())</f>
        <v>#N/A</v>
      </c>
      <c r="HT241" t="e">
        <f>IF(AND(10&lt;=$B$12,$B$51&gt;0),$B$158+$B$156*((1*$B$5/2+0.6*$B$159)+(((1*$B$5/2+$B$5/2-0.6*$B$159))-((1*$B$5/2+0.6*$B$159)))/2),NA())</f>
        <v>#N/A</v>
      </c>
      <c r="KI241" t="e">
        <f>NA()</f>
        <v>#N/A</v>
      </c>
      <c r="KJ241" t="e">
        <f>NA()</f>
        <v>#N/A</v>
      </c>
    </row>
    <row r="242">
      <c r="K242" t="e">
        <f>IF(13&lt;=$B$12,$B$133+$B$132*($B$13*13-$B$27/2),NA())</f>
        <v>#N/A</v>
      </c>
      <c r="L242" t="e">
        <f>IF(13&lt;=$B$12,$B$134+$B$132*(0+$B$27/2),NA())</f>
        <v>#N/A</v>
      </c>
      <c r="FE242" t="e">
        <f>IF(AND($B$21=1,(16*$B$66)&lt;$B$62),$B$145+$B$144*(IF((16*$B$66)&lt;$B$94,$B$98,$B$96)),NA())</f>
        <v>#N/A</v>
      </c>
      <c r="FF242" t="e">
        <f>IF(AND($B$21=1,(16*$B$66)&lt;$B$62),$B$146+$B$144*((16*$B$66)),NA())</f>
        <v>#N/A</v>
      </c>
      <c r="GG242" t="e">
        <f>IF(AND($B$20=1,($B$19+15*$B$64)&lt;$B$10-0.3),$B$151+$B$150*(MAX(IF(($B$19+15*$B$64)&lt;=$B$9,0,(($B$19+15*$B$64)-$B$9)/$B$8),MIN(($B$5-IF(($B$19+15*$B$64)&lt;=$B$9,0,(($B$19+15*$B$64)-$B$9)/$B$8)),IF(($B$19+15*$B$64)&lt;$B$125,$B$129,$B$127)))),NA())</f>
        <v>#N/A</v>
      </c>
      <c r="GH242" t="e">
        <f>IF(AND($B$20=1,($B$19+15*$B$64)&lt;$B$10-0.3),$B$152+$B$150*(($B$19+15*$B$64)),NA())</f>
        <v>#N/A</v>
      </c>
      <c r="GI242" t="e">
        <f>IF(AND($B$21=1,(16*$B$66)&lt;IF($B$63=1,$B$10-0.2,$B$62)),$B$151+$B$150*(MAX(IF((16*$B$66)&lt;=$B$9,0,((16*$B$66)-$B$9)/$B$8),MIN(($B$5-IF((16*$B$66)&lt;=$B$9,0,((16*$B$66)-$B$9)/$B$8)),IF((16*$B$66)&lt;$B$125,$B$129,$B$127)))),NA())</f>
        <v>#N/A</v>
      </c>
      <c r="GJ242" t="e">
        <f>IF(AND($B$21=1,(16*$B$66)&lt;IF($B$63=1,$B$10-0.2,$B$62)),$B$152+$B$150*((16*$B$66)),NA())</f>
        <v>#N/A</v>
      </c>
      <c r="HM242" t="e">
        <f>IF(AND(40&lt;=$B$12,2&lt;=$B$25),$B$157+$B$156*((40-1)*$B$13+2*$B$13/($B$25+1)),NA())</f>
        <v>#N/A</v>
      </c>
      <c r="HN242" t="e">
        <f>IF(AND(40&lt;=$B$12,2&lt;=$B$25),$B$158+$B$156*(0),NA())</f>
        <v>#N/A</v>
      </c>
      <c r="HQ242" t="e">
        <f>IF(AND(4&lt;=$B$23,4&lt;=$B$24),$B$157+$B$156*((IF(4=1,1,IF(4=$B$23,$B$12,5*(4-1)))-1)*$B$13),NA())</f>
        <v>#N/A</v>
      </c>
      <c r="HR242" t="e">
        <f>IF(AND(4&lt;=$B$23,4&lt;=$B$24),$B$158+$B$156*((0*$B$5/2+4*($B$5/2)/$B$24)),NA())</f>
        <v>#N/A</v>
      </c>
      <c r="HS242" t="e">
        <f>IF(AND(10&lt;=$B$12,$B$51&gt;0),$B$157+$B$156*(((10-0.5)*$B$13)+($B$51*$B$13)/2),NA())</f>
        <v>#N/A</v>
      </c>
      <c r="HT242" t="e">
        <f>IF(AND(10&lt;=$B$12,$B$51&gt;0),$B$158+$B$156*((1*$B$5/2+0.6*$B$159)+3*(((1*$B$5/2+$B$5/2-0.6*$B$159))-((1*$B$5/2+0.6*$B$159)))/4),NA())</f>
        <v>#N/A</v>
      </c>
      <c r="KI242" t="e">
        <f>IF(AND($B$21=1,20*$B$67&gt;$B$59,20*$B$67&lt;$B$178-$B$59,OR($B$63=0,ABS(20*$B$67-$B$178/2)&gt;$B$59/2)),$B$182+$B$181*($B$177*3/4+$B$60/2),NA())</f>
        <v>#N/A</v>
      </c>
      <c r="KJ242" t="e">
        <f>IF(AND($B$21=1,20*$B$67&gt;$B$59,20*$B$67&lt;$B$178-$B$59,OR($B$63=0,ABS(20*$B$67-$B$178/2)&gt;$B$59/2)),$B$183+$B$181*(20*$B$67),NA())</f>
        <v>#N/A</v>
      </c>
    </row>
    <row r="243">
      <c r="K243" t="e">
        <f>IF(13&lt;=$B$12,$B$133+$B$132*($B$13*13-$B$27/2),NA())</f>
        <v>#N/A</v>
      </c>
      <c r="L243" t="e">
        <f>IF(13&lt;=$B$12,$B$134+$B$132*(0-$B$27/2),NA())</f>
        <v>#N/A</v>
      </c>
      <c r="FE243" t="e">
        <f>IF(AND($B$21=1,(16*$B$66)&lt;$B$62),$B$145+$B$144*($B$6),NA())</f>
        <v>#N/A</v>
      </c>
      <c r="FF243" t="e">
        <f>IF(AND($B$21=1,(16*$B$66)&lt;$B$62),$B$146+$B$144*((16*$B$66)),NA())</f>
        <v>#N/A</v>
      </c>
      <c r="GG243" t="e">
        <f>IF(AND($B$20=1,($B$19+15*$B$64)&lt;$B$10-0.3),$B$151+$B$150*(($B$5-IF(($B$19+15*$B$64)&lt;=$B$9,0,(($B$19+15*$B$64)-$B$9)/$B$8))),NA())</f>
        <v>#N/A</v>
      </c>
      <c r="GH243" t="e">
        <f>IF(AND($B$20=1,($B$19+15*$B$64)&lt;$B$10-0.3),$B$152+$B$150*(($B$19+15*$B$64)),NA())</f>
        <v>#N/A</v>
      </c>
      <c r="GI243" t="e">
        <f>IF(AND($B$21=1,(16*$B$66)&lt;IF($B$63=1,$B$10-0.2,$B$62)),$B$151+$B$150*(($B$5-IF((16*$B$66)&lt;=$B$9,0,((16*$B$66)-$B$9)/$B$8))),NA())</f>
        <v>#N/A</v>
      </c>
      <c r="GJ243" t="e">
        <f>IF(AND($B$21=1,(16*$B$66)&lt;IF($B$63=1,$B$10-0.2,$B$62)),$B$152+$B$150*((16*$B$66)),NA())</f>
        <v>#N/A</v>
      </c>
      <c r="HM243" t="e">
        <f>IF(AND(40&lt;=$B$12,2&lt;=$B$25),$B$157+$B$156*((40-1)*$B$13+2*$B$13/($B$25+1)),NA())</f>
        <v>#N/A</v>
      </c>
      <c r="HN243" t="e">
        <f>IF(AND(40&lt;=$B$12,2&lt;=$B$25),$B$158+$B$156*($B$5),NA())</f>
        <v>#N/A</v>
      </c>
      <c r="HQ243" t="e">
        <f>IF(AND(4&lt;=$B$23,4&lt;=$B$24),$B$157+$B$156*(IF(4=1,1,IF(4=$B$23,$B$12,5*(4-1)))*$B$13),NA())</f>
        <v>#N/A</v>
      </c>
      <c r="HR243" t="e">
        <f>IF(AND(4&lt;=$B$23,4&lt;=$B$24),$B$158+$B$156*((0*$B$5/2+(4-1)*($B$5/2)/$B$24)),NA())</f>
        <v>#N/A</v>
      </c>
      <c r="HS243" t="e">
        <f>IF(AND(10&lt;=$B$12,$B$51&gt;0),$B$157+$B$156*(((10-0.5)*$B$13)-($B$51*$B$13)/2),NA())</f>
        <v>#N/A</v>
      </c>
      <c r="HT243" t="e">
        <f>IF(AND(10&lt;=$B$12,$B$51&gt;0),$B$158+$B$156*((1*$B$5/2+$B$5/2-0.6*$B$159)),NA())</f>
        <v>#N/A</v>
      </c>
      <c r="KI243" t="e">
        <f>IF(AND($B$21=1,20*$B$67&gt;$B$59,20*$B$67&lt;$B$178-$B$59,OR($B$63=0,ABS(20*$B$67-$B$178/2)&gt;$B$59/2)),$B$182+$B$181*($B$177),NA())</f>
        <v>#N/A</v>
      </c>
      <c r="KJ243" t="e">
        <f>IF(AND($B$21=1,20*$B$67&gt;$B$59,20*$B$67&lt;$B$178-$B$59,OR($B$63=0,ABS(20*$B$67-$B$178/2)&gt;$B$59/2)),$B$183+$B$181*(20*$B$67),NA())</f>
        <v>#N/A</v>
      </c>
    </row>
    <row r="244">
      <c r="K244" t="e">
        <f>NA()</f>
        <v>#N/A</v>
      </c>
      <c r="L244" t="e">
        <f>NA()</f>
        <v>#N/A</v>
      </c>
      <c r="FE244" t="e">
        <f>NA()</f>
        <v>#N/A</v>
      </c>
      <c r="FF244" t="e">
        <f>NA()</f>
        <v>#N/A</v>
      </c>
      <c r="GG244" t="e">
        <f>NA()</f>
        <v>#N/A</v>
      </c>
      <c r="GH244" t="e">
        <f>NA()</f>
        <v>#N/A</v>
      </c>
      <c r="GI244" t="e">
        <f>NA()</f>
        <v>#N/A</v>
      </c>
      <c r="GJ244" t="e">
        <f>NA()</f>
        <v>#N/A</v>
      </c>
      <c r="HM244" t="e">
        <f>NA()</f>
        <v>#N/A</v>
      </c>
      <c r="HN244" t="e">
        <f>NA()</f>
        <v>#N/A</v>
      </c>
      <c r="HQ244" t="e">
        <f>NA()</f>
        <v>#N/A</v>
      </c>
      <c r="HR244" t="e">
        <f>NA()</f>
        <v>#N/A</v>
      </c>
      <c r="HS244" t="e">
        <f>NA()</f>
        <v>#N/A</v>
      </c>
      <c r="HT244" t="e">
        <f>NA()</f>
        <v>#N/A</v>
      </c>
      <c r="KI244" t="e">
        <f>NA()</f>
        <v>#N/A</v>
      </c>
      <c r="KJ244" t="e">
        <f>NA()</f>
        <v>#N/A</v>
      </c>
    </row>
    <row r="245">
      <c r="K245" t="e">
        <f>IF(13&lt;=$B$12,$B$133+$B$132*($B$13*13-$B$27/2),NA())</f>
        <v>#N/A</v>
      </c>
      <c r="L245" t="e">
        <f>IF(13&lt;=$B$12,$B$134+$B$132*($B$5-$B$27/2),NA())</f>
        <v>#N/A</v>
      </c>
      <c r="FE245" t="e">
        <f>IF(AND($B$21=1,(17*$B$66)&lt;$B$62),$B$145+$B$144*(0),NA())</f>
        <v>#N/A</v>
      </c>
      <c r="FF245" t="e">
        <f>IF(AND($B$21=1,(17*$B$66)&lt;$B$62),$B$146+$B$144*((17*$B$66)),NA())</f>
        <v>#N/A</v>
      </c>
      <c r="GI245" t="e">
        <f>IF(AND($B$21=1,(17*$B$66)&lt;IF($B$63=1,$B$10-0.2,$B$62)),$B$151+$B$150*(IF((17*$B$66)&lt;=$B$9,0,((17*$B$66)-$B$9)/$B$8)),NA())</f>
        <v>#N/A</v>
      </c>
      <c r="GJ245" t="e">
        <f>IF(AND($B$21=1,(17*$B$66)&lt;IF($B$63=1,$B$10-0.2,$B$62)),$B$152+$B$150*((17*$B$66)),NA())</f>
        <v>#N/A</v>
      </c>
      <c r="HQ245" t="e">
        <f>IF(AND(4&lt;=$B$23,5&lt;=$B$24),$B$157+$B$156*((IF(4=1,1,IF(4=$B$23,$B$12,5*(4-1)))-1)*$B$13),NA())</f>
        <v>#N/A</v>
      </c>
      <c r="HR245" t="e">
        <f>IF(AND(4&lt;=$B$23,5&lt;=$B$24),$B$158+$B$156*((0*$B$5/2+(5-1)*($B$5/2)/$B$24)),NA())</f>
        <v>#N/A</v>
      </c>
      <c r="HS245" t="e">
        <f>IF(AND(11&lt;=$B$12,$B$51&gt;0),$B$157+$B$156*(((11-0.5)*$B$13)-($B$51*$B$13)/2),NA())</f>
        <v>#N/A</v>
      </c>
      <c r="HT245" t="e">
        <f>IF(AND(11&lt;=$B$12,$B$51&gt;0),$B$158+$B$156*((0*$B$5/2+0.6*$B$159)),NA())</f>
        <v>#N/A</v>
      </c>
      <c r="KI245" t="e">
        <f>IF(AND($B$21=1,21*$B$67&gt;$B$59,21*$B$67&lt;$B$178-$B$59,OR($B$63=0,ABS(21*$B$67-$B$178/2)&gt;$B$59/2)),$B$182+$B$181*(0),NA())</f>
        <v>#N/A</v>
      </c>
      <c r="KJ245" t="e">
        <f>IF(AND($B$21=1,21*$B$67&gt;$B$59,21*$B$67&lt;$B$178-$B$59,OR($B$63=0,ABS(21*$B$67-$B$178/2)&gt;$B$59/2)),$B$183+$B$181*(21*$B$67),NA())</f>
        <v>#N/A</v>
      </c>
    </row>
    <row r="246">
      <c r="K246" t="e">
        <f>IF(13&lt;=$B$12,$B$133+$B$132*($B$13*13+$B$27/2),NA())</f>
        <v>#N/A</v>
      </c>
      <c r="L246" t="e">
        <f>IF(13&lt;=$B$12,$B$134+$B$132*($B$5-$B$27/2),NA())</f>
        <v>#N/A</v>
      </c>
      <c r="FE246" t="e">
        <f>IF(AND($B$21=1,(17*$B$66)&lt;$B$62),$B$145+$B$144*(IF((17*$B$66)&lt;$B$73,$B$76,$B$75)),NA())</f>
        <v>#N/A</v>
      </c>
      <c r="FF246" t="e">
        <f>IF(AND($B$21=1,(17*$B$66)&lt;$B$62),$B$146+$B$144*((17*$B$66)),NA())</f>
        <v>#N/A</v>
      </c>
      <c r="GI246" t="e">
        <f>IF(AND($B$21=1,(17*$B$66)&lt;IF($B$63=1,$B$10-0.2,$B$62)),$B$151+$B$150*(MAX(IF((17*$B$66)&lt;=$B$9,0,((17*$B$66)-$B$9)/$B$8),MIN(($B$5-IF((17*$B$66)&lt;=$B$9,0,((17*$B$66)-$B$9)/$B$8)),IF((17*$B$66)&lt;$B$104,$B$107,$B$106)))),NA())</f>
        <v>#N/A</v>
      </c>
      <c r="GJ246" t="e">
        <f>IF(AND($B$21=1,(17*$B$66)&lt;IF($B$63=1,$B$10-0.2,$B$62)),$B$152+$B$150*((17*$B$66)),NA())</f>
        <v>#N/A</v>
      </c>
      <c r="HQ246" t="e">
        <f>IF(AND(4&lt;=$B$23,5&lt;=$B$24),$B$157+$B$156*(IF(4=1,1,IF(4=$B$23,$B$12,5*(4-1)))*$B$13),NA())</f>
        <v>#N/A</v>
      </c>
      <c r="HR246" t="e">
        <f>IF(AND(4&lt;=$B$23,5&lt;=$B$24),$B$158+$B$156*((0*$B$5/2+5*($B$5/2)/$B$24)),NA())</f>
        <v>#N/A</v>
      </c>
      <c r="HS246" t="e">
        <f>IF(AND(11&lt;=$B$12,$B$51&gt;0),$B$157+$B$156*(((11-0.5)*$B$13)+($B$51*$B$13)/2),NA())</f>
        <v>#N/A</v>
      </c>
      <c r="HT246" t="e">
        <f>IF(AND(11&lt;=$B$12,$B$51&gt;0),$B$158+$B$156*((0*$B$5/2+0.6*$B$159)),NA())</f>
        <v>#N/A</v>
      </c>
      <c r="KI246" t="e">
        <f>IF(AND($B$21=1,21*$B$67&gt;$B$59,21*$B$67&lt;$B$178-$B$59,OR($B$63=0,ABS(21*$B$67-$B$178/2)&gt;$B$59/2)),$B$182+$B$181*($B$177*1/4-$B$60/2),NA())</f>
        <v>#N/A</v>
      </c>
      <c r="KJ246" t="e">
        <f>IF(AND($B$21=1,21*$B$67&gt;$B$59,21*$B$67&lt;$B$178-$B$59,OR($B$63=0,ABS(21*$B$67-$B$178/2)&gt;$B$59/2)),$B$183+$B$181*(21*$B$67),NA())</f>
        <v>#N/A</v>
      </c>
    </row>
    <row r="247">
      <c r="K247" t="e">
        <f>IF(13&lt;=$B$12,$B$133+$B$132*($B$13*13+$B$27/2),NA())</f>
        <v>#N/A</v>
      </c>
      <c r="L247" t="e">
        <f>IF(13&lt;=$B$12,$B$134+$B$132*($B$5+$B$27/2),NA())</f>
        <v>#N/A</v>
      </c>
      <c r="FE247" t="e">
        <f>IF(AND(AND($B$21=1,(17*$B$66)&lt;$B$62),(17*$B$66)&gt;=$B$73),$B$145+$B$144*($B$75),NA())</f>
        <v>#N/A</v>
      </c>
      <c r="FF247" t="e">
        <f>IF(AND(AND($B$21=1,(17*$B$66)&lt;$B$62),(17*$B$66)&gt;=$B$73),$B$146+$B$144*((17*$B$66)),NA())</f>
        <v>#N/A</v>
      </c>
      <c r="GI247" t="e">
        <f>IF(AND(AND($B$21=1,(17*$B$66)&lt;IF($B$63=1,$B$10-0.2,$B$62)),(17*$B$66)&gt;=$B$104),$B$151+$B$150*(MAX(IF((17*$B$66)&lt;=$B$9,0,((17*$B$66)-$B$9)/$B$8),MIN(($B$5-IF((17*$B$66)&lt;=$B$9,0,((17*$B$66)-$B$9)/$B$8)),$B$106))),NA())</f>
        <v>#N/A</v>
      </c>
      <c r="GJ247" t="e">
        <f>IF(AND(AND($B$21=1,(17*$B$66)&lt;IF($B$63=1,$B$10-0.2,$B$62)),(17*$B$66)&gt;=$B$104),$B$152+$B$150*((17*$B$66)),NA())</f>
        <v>#N/A</v>
      </c>
      <c r="HQ247" t="e">
        <f>NA()</f>
        <v>#N/A</v>
      </c>
      <c r="HR247" t="e">
        <f>NA()</f>
        <v>#N/A</v>
      </c>
      <c r="HS247" t="e">
        <f>IF(AND(11&lt;=$B$12,$B$51&gt;0),$B$157+$B$156*(((11-0.5)*$B$13)+($B$51*$B$13)/2),NA())</f>
        <v>#N/A</v>
      </c>
      <c r="HT247" t="e">
        <f>IF(AND(11&lt;=$B$12,$B$51&gt;0),$B$158+$B$156*((0*$B$5/2+$B$5/2-0.6*$B$159)),NA())</f>
        <v>#N/A</v>
      </c>
      <c r="KI247" t="e">
        <f>NA()</f>
        <v>#N/A</v>
      </c>
      <c r="KJ247" t="e">
        <f>NA()</f>
        <v>#N/A</v>
      </c>
    </row>
    <row r="248">
      <c r="K248" t="e">
        <f>IF(13&lt;=$B$12,$B$133+$B$132*($B$13*13-$B$27/2),NA())</f>
        <v>#N/A</v>
      </c>
      <c r="L248" t="e">
        <f>IF(13&lt;=$B$12,$B$134+$B$132*($B$5+$B$27/2),NA())</f>
        <v>#N/A</v>
      </c>
      <c r="FE248" t="e">
        <f>IF(AND($B$21=1,(17*$B$66)&lt;$B$62),$B$145+$B$144*(IF((17*$B$66)&lt;$B$73,$B$77,$B$75)),NA())</f>
        <v>#N/A</v>
      </c>
      <c r="FF248" t="e">
        <f>IF(AND($B$21=1,(17*$B$66)&lt;$B$62),$B$146+$B$144*((17*$B$66)),NA())</f>
        <v>#N/A</v>
      </c>
      <c r="GI248" t="e">
        <f>IF(AND($B$21=1,(17*$B$66)&lt;IF($B$63=1,$B$10-0.2,$B$62)),$B$151+$B$150*(MAX(IF((17*$B$66)&lt;=$B$9,0,((17*$B$66)-$B$9)/$B$8),MIN(($B$5-IF((17*$B$66)&lt;=$B$9,0,((17*$B$66)-$B$9)/$B$8)),IF((17*$B$66)&lt;$B$104,$B$108,$B$106)))),NA())</f>
        <v>#N/A</v>
      </c>
      <c r="GJ248" t="e">
        <f>IF(AND($B$21=1,(17*$B$66)&lt;IF($B$63=1,$B$10-0.2,$B$62)),$B$152+$B$150*((17*$B$66)),NA())</f>
        <v>#N/A</v>
      </c>
      <c r="HQ248" t="e">
        <f>IF(AND(4&lt;=$B$23,5&lt;=$B$24),$B$157+$B$156*((IF(4=1,1,IF(4=$B$23,$B$12,5*(4-1)))-1)*$B$13),NA())</f>
        <v>#N/A</v>
      </c>
      <c r="HR248" t="e">
        <f>IF(AND(4&lt;=$B$23,5&lt;=$B$24),$B$158+$B$156*((0*$B$5/2+5*($B$5/2)/$B$24)),NA())</f>
        <v>#N/A</v>
      </c>
      <c r="HS248" t="e">
        <f>IF(AND(11&lt;=$B$12,$B$51&gt;0),$B$157+$B$156*(((11-0.5)*$B$13)-($B$51*$B$13)/2),NA())</f>
        <v>#N/A</v>
      </c>
      <c r="HT248" t="e">
        <f>IF(AND(11&lt;=$B$12,$B$51&gt;0),$B$158+$B$156*((0*$B$5/2+$B$5/2-0.6*$B$159)),NA())</f>
        <v>#N/A</v>
      </c>
      <c r="KI248" t="e">
        <f>IF(AND($B$21=1,21*$B$67&gt;$B$59,21*$B$67&lt;$B$178-$B$59,OR($B$63=0,ABS(21*$B$67-$B$178/2)&gt;$B$59/2)),$B$182+$B$181*($B$177*1/4+$B$60/2),NA())</f>
        <v>#N/A</v>
      </c>
      <c r="KJ248" t="e">
        <f>IF(AND($B$21=1,21*$B$67&gt;$B$59,21*$B$67&lt;$B$178-$B$59,OR($B$63=0,ABS(21*$B$67-$B$178/2)&gt;$B$59/2)),$B$183+$B$181*(21*$B$67),NA())</f>
        <v>#N/A</v>
      </c>
    </row>
    <row r="249">
      <c r="K249" t="e">
        <f>IF(13&lt;=$B$12,$B$133+$B$132*($B$13*13-$B$27/2),NA())</f>
        <v>#N/A</v>
      </c>
      <c r="L249" t="e">
        <f>IF(13&lt;=$B$12,$B$134+$B$132*($B$5-$B$27/2),NA())</f>
        <v>#N/A</v>
      </c>
      <c r="FE249" t="e">
        <f>IF(AND($B$21=1,(17*$B$66)&lt;$B$62),$B$145+$B$144*(IF((17*$B$66)&lt;$B$80,$B$83,$B$82)),NA())</f>
        <v>#N/A</v>
      </c>
      <c r="FF249" t="e">
        <f>IF(AND($B$21=1,(17*$B$66)&lt;$B$62),$B$146+$B$144*((17*$B$66)),NA())</f>
        <v>#N/A</v>
      </c>
      <c r="GI249" t="e">
        <f>IF(AND($B$21=1,(17*$B$66)&lt;IF($B$63=1,$B$10-0.2,$B$62)),$B$151+$B$150*(MAX(IF((17*$B$66)&lt;=$B$9,0,((17*$B$66)-$B$9)/$B$8),MIN(($B$5-IF((17*$B$66)&lt;=$B$9,0,((17*$B$66)-$B$9)/$B$8)),IF((17*$B$66)&lt;$B$111,$B$114,$B$113)))),NA())</f>
        <v>#N/A</v>
      </c>
      <c r="GJ249" t="e">
        <f>IF(AND($B$21=1,(17*$B$66)&lt;IF($B$63=1,$B$10-0.2,$B$62)),$B$152+$B$150*((17*$B$66)),NA())</f>
        <v>#N/A</v>
      </c>
      <c r="HQ249" t="e">
        <f>IF(AND(4&lt;=$B$23,5&lt;=$B$24),$B$157+$B$156*(IF(4=1,1,IF(4=$B$23,$B$12,5*(4-1)))*$B$13),NA())</f>
        <v>#N/A</v>
      </c>
      <c r="HR249" t="e">
        <f>IF(AND(4&lt;=$B$23,5&lt;=$B$24),$B$158+$B$156*((0*$B$5/2+(5-1)*($B$5/2)/$B$24)),NA())</f>
        <v>#N/A</v>
      </c>
      <c r="HS249" t="e">
        <f>IF(AND(11&lt;=$B$12,$B$51&gt;0),$B$157+$B$156*(((11-0.5)*$B$13)-($B$51*$B$13)/2),NA())</f>
        <v>#N/A</v>
      </c>
      <c r="HT249" t="e">
        <f>IF(AND(11&lt;=$B$12,$B$51&gt;0),$B$158+$B$156*((0*$B$5/2+0.6*$B$159)),NA())</f>
        <v>#N/A</v>
      </c>
      <c r="KI249" t="e">
        <f>IF(AND($B$21=1,21*$B$67&gt;$B$59,21*$B$67&lt;$B$178-$B$59,OR($B$63=0,ABS(21*$B$67-$B$178/2)&gt;$B$59/2)),$B$182+$B$181*($B$177*2/4-$B$60/2),NA())</f>
        <v>#N/A</v>
      </c>
      <c r="KJ249" t="e">
        <f>IF(AND($B$21=1,21*$B$67&gt;$B$59,21*$B$67&lt;$B$178-$B$59,OR($B$63=0,ABS(21*$B$67-$B$178/2)&gt;$B$59/2)),$B$183+$B$181*(21*$B$67),NA())</f>
        <v>#N/A</v>
      </c>
    </row>
    <row r="250">
      <c r="K250" t="e">
        <f>NA()</f>
        <v>#N/A</v>
      </c>
      <c r="L250" t="e">
        <f>NA()</f>
        <v>#N/A</v>
      </c>
      <c r="FE250" t="e">
        <f>IF(AND(AND($B$21=1,(17*$B$66)&lt;$B$62),(17*$B$66)&gt;=$B$80),$B$145+$B$144*($B$82),NA())</f>
        <v>#N/A</v>
      </c>
      <c r="FF250" t="e">
        <f>IF(AND(AND($B$21=1,(17*$B$66)&lt;$B$62),(17*$B$66)&gt;=$B$80),$B$146+$B$144*((17*$B$66)),NA())</f>
        <v>#N/A</v>
      </c>
      <c r="GI250" t="e">
        <f>IF(AND(AND($B$21=1,(17*$B$66)&lt;IF($B$63=1,$B$10-0.2,$B$62)),(17*$B$66)&gt;=$B$111),$B$151+$B$150*(MAX(IF((17*$B$66)&lt;=$B$9,0,((17*$B$66)-$B$9)/$B$8),MIN(($B$5-IF((17*$B$66)&lt;=$B$9,0,((17*$B$66)-$B$9)/$B$8)),$B$113))),NA())</f>
        <v>#N/A</v>
      </c>
      <c r="GJ250" t="e">
        <f>IF(AND(AND($B$21=1,(17*$B$66)&lt;IF($B$63=1,$B$10-0.2,$B$62)),(17*$B$66)&gt;=$B$111),$B$152+$B$150*((17*$B$66)),NA())</f>
        <v>#N/A</v>
      </c>
      <c r="HQ250" t="e">
        <f>NA()</f>
        <v>#N/A</v>
      </c>
      <c r="HR250" t="e">
        <f>NA()</f>
        <v>#N/A</v>
      </c>
      <c r="HS250" t="e">
        <f>NA()</f>
        <v>#N/A</v>
      </c>
      <c r="HT250" t="e">
        <f>NA()</f>
        <v>#N/A</v>
      </c>
      <c r="KI250" t="e">
        <f>NA()</f>
        <v>#N/A</v>
      </c>
      <c r="KJ250" t="e">
        <f>NA()</f>
        <v>#N/A</v>
      </c>
    </row>
    <row r="251">
      <c r="K251" t="e">
        <f>IF(AND(13&lt;=$B$12,$B$45=1),$B$133+$B$132*($B$13*13-$B$27/2),NA())</f>
        <v>#N/A</v>
      </c>
      <c r="L251" t="e">
        <f>IF(AND(13&lt;=$B$12,$B$45=1),$B$134+$B$132*($B$5/2-$B$27/2),NA())</f>
        <v>#N/A</v>
      </c>
      <c r="FE251" t="e">
        <f>IF(AND($B$21=1,(17*$B$66)&lt;$B$62),$B$145+$B$144*(IF((17*$B$66)&lt;$B$80,$B$84,$B$82)),NA())</f>
        <v>#N/A</v>
      </c>
      <c r="FF251" t="e">
        <f>IF(AND($B$21=1,(17*$B$66)&lt;$B$62),$B$146+$B$144*((17*$B$66)),NA())</f>
        <v>#N/A</v>
      </c>
      <c r="GI251" t="e">
        <f>IF(AND($B$21=1,(17*$B$66)&lt;IF($B$63=1,$B$10-0.2,$B$62)),$B$151+$B$150*(MAX(IF((17*$B$66)&lt;=$B$9,0,((17*$B$66)-$B$9)/$B$8),MIN(($B$5-IF((17*$B$66)&lt;=$B$9,0,((17*$B$66)-$B$9)/$B$8)),IF((17*$B$66)&lt;$B$111,$B$115,$B$113)))),NA())</f>
        <v>#N/A</v>
      </c>
      <c r="GJ251" t="e">
        <f>IF(AND($B$21=1,(17*$B$66)&lt;IF($B$63=1,$B$10-0.2,$B$62)),$B$152+$B$150*((17*$B$66)),NA())</f>
        <v>#N/A</v>
      </c>
      <c r="HQ251" t="e">
        <f>IF(AND(4&lt;=$B$23,6&lt;=$B$24),$B$157+$B$156*((IF(4=1,1,IF(4=$B$23,$B$12,5*(4-1)))-1)*$B$13),NA())</f>
        <v>#N/A</v>
      </c>
      <c r="HR251" t="e">
        <f>IF(AND(4&lt;=$B$23,6&lt;=$B$24),$B$158+$B$156*((0*$B$5/2+(6-1)*($B$5/2)/$B$24)),NA())</f>
        <v>#N/A</v>
      </c>
      <c r="HS251" t="e">
        <f>IF(AND(11&lt;=$B$12,$B$51&gt;0),$B$157+$B$156*(((11-0.5)*$B$13)-($B$51*$B$13)/2),NA())</f>
        <v>#N/A</v>
      </c>
      <c r="HT251" t="e">
        <f>IF(AND(11&lt;=$B$12,$B$51&gt;0),$B$158+$B$156*((0*$B$5/2+0.6*$B$159)),NA())</f>
        <v>#N/A</v>
      </c>
      <c r="KI251" t="e">
        <f>IF(AND($B$21=1,21*$B$67&gt;$B$59,21*$B$67&lt;$B$178-$B$59,OR($B$63=0,ABS(21*$B$67-$B$178/2)&gt;$B$59/2)),$B$182+$B$181*($B$177*2/4+$B$60/2),NA())</f>
        <v>#N/A</v>
      </c>
      <c r="KJ251" t="e">
        <f>IF(AND($B$21=1,21*$B$67&gt;$B$59,21*$B$67&lt;$B$178-$B$59,OR($B$63=0,ABS(21*$B$67-$B$178/2)&gt;$B$59/2)),$B$183+$B$181*(21*$B$67),NA())</f>
        <v>#N/A</v>
      </c>
    </row>
    <row r="252">
      <c r="K252" t="e">
        <f>IF(AND(13&lt;=$B$12,$B$45=1),$B$133+$B$132*($B$13*13+$B$27/2),NA())</f>
        <v>#N/A</v>
      </c>
      <c r="L252" t="e">
        <f>IF(AND(13&lt;=$B$12,$B$45=1),$B$134+$B$132*($B$5/2-$B$27/2),NA())</f>
        <v>#N/A</v>
      </c>
      <c r="FE252" t="e">
        <f>IF(AND($B$21=1,(17*$B$66)&lt;$B$62),$B$145+$B$144*(IF((17*$B$66)&lt;$B$87,$B$90,$B$89)),NA())</f>
        <v>#N/A</v>
      </c>
      <c r="FF252" t="e">
        <f>IF(AND($B$21=1,(17*$B$66)&lt;$B$62),$B$146+$B$144*((17*$B$66)),NA())</f>
        <v>#N/A</v>
      </c>
      <c r="GI252" t="e">
        <f>IF(AND($B$21=1,(17*$B$66)&lt;IF($B$63=1,$B$10-0.2,$B$62)),$B$151+$B$150*(MAX(IF((17*$B$66)&lt;=$B$9,0,((17*$B$66)-$B$9)/$B$8),MIN(($B$5-IF((17*$B$66)&lt;=$B$9,0,((17*$B$66)-$B$9)/$B$8)),IF((17*$B$66)&lt;$B$118,$B$121,$B$120)))),NA())</f>
        <v>#N/A</v>
      </c>
      <c r="GJ252" t="e">
        <f>IF(AND($B$21=1,(17*$B$66)&lt;IF($B$63=1,$B$10-0.2,$B$62)),$B$152+$B$150*((17*$B$66)),NA())</f>
        <v>#N/A</v>
      </c>
      <c r="HQ252" t="e">
        <f>IF(AND(4&lt;=$B$23,6&lt;=$B$24),$B$157+$B$156*(IF(4=1,1,IF(4=$B$23,$B$12,5*(4-1)))*$B$13),NA())</f>
        <v>#N/A</v>
      </c>
      <c r="HR252" t="e">
        <f>IF(AND(4&lt;=$B$23,6&lt;=$B$24),$B$158+$B$156*((0*$B$5/2+6*($B$5/2)/$B$24)),NA())</f>
        <v>#N/A</v>
      </c>
      <c r="HS252" t="e">
        <f>IF(AND(11&lt;=$B$12,$B$51&gt;0),$B$157+$B$156*(((11-0.5)*$B$13)+($B$51*$B$13)/2),NA())</f>
        <v>#N/A</v>
      </c>
      <c r="HT252" t="e">
        <f>IF(AND(11&lt;=$B$12,$B$51&gt;0),$B$158+$B$156*((0*$B$5/2+0.6*$B$159)+(((0*$B$5/2+$B$5/2-0.6*$B$159))-((0*$B$5/2+0.6*$B$159)))/4),NA())</f>
        <v>#N/A</v>
      </c>
      <c r="KI252" t="e">
        <f>IF(AND($B$21=1,21*$B$67&gt;$B$59,21*$B$67&lt;$B$178-$B$59,OR($B$63=0,ABS(21*$B$67-$B$178/2)&gt;$B$59/2)),$B$182+$B$181*($B$177*3/4-$B$60/2),NA())</f>
        <v>#N/A</v>
      </c>
      <c r="KJ252" t="e">
        <f>IF(AND($B$21=1,21*$B$67&gt;$B$59,21*$B$67&lt;$B$178-$B$59,OR($B$63=0,ABS(21*$B$67-$B$178/2)&gt;$B$59/2)),$B$183+$B$181*(21*$B$67),NA())</f>
        <v>#N/A</v>
      </c>
    </row>
    <row r="253">
      <c r="K253" t="e">
        <f>IF(AND(13&lt;=$B$12,$B$45=1),$B$133+$B$132*($B$13*13+$B$27/2),NA())</f>
        <v>#N/A</v>
      </c>
      <c r="L253" t="e">
        <f>IF(AND(13&lt;=$B$12,$B$45=1),$B$134+$B$132*($B$5/2+$B$27/2),NA())</f>
        <v>#N/A</v>
      </c>
      <c r="FE253" t="e">
        <f>IF(AND(AND($B$21=1,(17*$B$66)&lt;$B$62),(17*$B$66)&gt;=$B$87),$B$145+$B$144*($B$89),NA())</f>
        <v>#N/A</v>
      </c>
      <c r="FF253" t="e">
        <f>IF(AND(AND($B$21=1,(17*$B$66)&lt;$B$62),(17*$B$66)&gt;=$B$87),$B$146+$B$144*((17*$B$66)),NA())</f>
        <v>#N/A</v>
      </c>
      <c r="GI253" t="e">
        <f>IF(AND(AND($B$21=1,(17*$B$66)&lt;IF($B$63=1,$B$10-0.2,$B$62)),(17*$B$66)&gt;=$B$118),$B$151+$B$150*(MAX(IF((17*$B$66)&lt;=$B$9,0,((17*$B$66)-$B$9)/$B$8),MIN(($B$5-IF((17*$B$66)&lt;=$B$9,0,((17*$B$66)-$B$9)/$B$8)),$B$120))),NA())</f>
        <v>#N/A</v>
      </c>
      <c r="GJ253" t="e">
        <f>IF(AND(AND($B$21=1,(17*$B$66)&lt;IF($B$63=1,$B$10-0.2,$B$62)),(17*$B$66)&gt;=$B$118),$B$152+$B$150*((17*$B$66)),NA())</f>
        <v>#N/A</v>
      </c>
      <c r="HQ253" t="e">
        <f>NA()</f>
        <v>#N/A</v>
      </c>
      <c r="HR253" t="e">
        <f>NA()</f>
        <v>#N/A</v>
      </c>
      <c r="HS253" t="e">
        <f>IF(AND(11&lt;=$B$12,$B$51&gt;0),$B$157+$B$156*(((11-0.5)*$B$13)-($B$51*$B$13)/2),NA())</f>
        <v>#N/A</v>
      </c>
      <c r="HT253" t="e">
        <f>IF(AND(11&lt;=$B$12,$B$51&gt;0),$B$158+$B$156*((0*$B$5/2+0.6*$B$159)+(((0*$B$5/2+$B$5/2-0.6*$B$159))-((0*$B$5/2+0.6*$B$159)))/2),NA())</f>
        <v>#N/A</v>
      </c>
      <c r="KI253" t="e">
        <f>NA()</f>
        <v>#N/A</v>
      </c>
      <c r="KJ253" t="e">
        <f>NA()</f>
        <v>#N/A</v>
      </c>
    </row>
    <row r="254">
      <c r="K254" t="e">
        <f>IF(AND(13&lt;=$B$12,$B$45=1),$B$133+$B$132*($B$13*13-$B$27/2),NA())</f>
        <v>#N/A</v>
      </c>
      <c r="L254" t="e">
        <f>IF(AND(13&lt;=$B$12,$B$45=1),$B$134+$B$132*($B$5/2+$B$27/2),NA())</f>
        <v>#N/A</v>
      </c>
      <c r="FE254" t="e">
        <f>IF(AND($B$21=1,(17*$B$66)&lt;$B$62),$B$145+$B$144*(IF((17*$B$66)&lt;$B$87,$B$91,$B$89)),NA())</f>
        <v>#N/A</v>
      </c>
      <c r="FF254" t="e">
        <f>IF(AND($B$21=1,(17*$B$66)&lt;$B$62),$B$146+$B$144*((17*$B$66)),NA())</f>
        <v>#N/A</v>
      </c>
      <c r="GI254" t="e">
        <f>IF(AND($B$21=1,(17*$B$66)&lt;IF($B$63=1,$B$10-0.2,$B$62)),$B$151+$B$150*(MAX(IF((17*$B$66)&lt;=$B$9,0,((17*$B$66)-$B$9)/$B$8),MIN(($B$5-IF((17*$B$66)&lt;=$B$9,0,((17*$B$66)-$B$9)/$B$8)),IF((17*$B$66)&lt;$B$118,$B$122,$B$120)))),NA())</f>
        <v>#N/A</v>
      </c>
      <c r="GJ254" t="e">
        <f>IF(AND($B$21=1,(17*$B$66)&lt;IF($B$63=1,$B$10-0.2,$B$62)),$B$152+$B$150*((17*$B$66)),NA())</f>
        <v>#N/A</v>
      </c>
      <c r="HQ254" t="e">
        <f>IF(AND(4&lt;=$B$23,6&lt;=$B$24),$B$157+$B$156*((IF(4=1,1,IF(4=$B$23,$B$12,5*(4-1)))-1)*$B$13),NA())</f>
        <v>#N/A</v>
      </c>
      <c r="HR254" t="e">
        <f>IF(AND(4&lt;=$B$23,6&lt;=$B$24),$B$158+$B$156*((0*$B$5/2+6*($B$5/2)/$B$24)),NA())</f>
        <v>#N/A</v>
      </c>
      <c r="HS254" t="e">
        <f>IF(AND(11&lt;=$B$12,$B$51&gt;0),$B$157+$B$156*(((11-0.5)*$B$13)+($B$51*$B$13)/2),NA())</f>
        <v>#N/A</v>
      </c>
      <c r="HT254" t="e">
        <f>IF(AND(11&lt;=$B$12,$B$51&gt;0),$B$158+$B$156*((0*$B$5/2+0.6*$B$159)+3*(((0*$B$5/2+$B$5/2-0.6*$B$159))-((0*$B$5/2+0.6*$B$159)))/4),NA())</f>
        <v>#N/A</v>
      </c>
      <c r="KI254" t="e">
        <f>IF(AND($B$21=1,21*$B$67&gt;$B$59,21*$B$67&lt;$B$178-$B$59,OR($B$63=0,ABS(21*$B$67-$B$178/2)&gt;$B$59/2)),$B$182+$B$181*($B$177*3/4+$B$60/2),NA())</f>
        <v>#N/A</v>
      </c>
      <c r="KJ254" t="e">
        <f>IF(AND($B$21=1,21*$B$67&gt;$B$59,21*$B$67&lt;$B$178-$B$59,OR($B$63=0,ABS(21*$B$67-$B$178/2)&gt;$B$59/2)),$B$183+$B$181*(21*$B$67),NA())</f>
        <v>#N/A</v>
      </c>
    </row>
    <row r="255">
      <c r="K255" t="e">
        <f>IF(AND(13&lt;=$B$12,$B$45=1),$B$133+$B$132*($B$13*13-$B$27/2),NA())</f>
        <v>#N/A</v>
      </c>
      <c r="L255" t="e">
        <f>IF(AND(13&lt;=$B$12,$B$45=1),$B$134+$B$132*($B$5/2-$B$27/2),NA())</f>
        <v>#N/A</v>
      </c>
      <c r="FE255" t="e">
        <f>IF(AND($B$21=1,(17*$B$66)&lt;$B$62),$B$145+$B$144*(IF((17*$B$66)&lt;$B$94,$B$97,$B$96)),NA())</f>
        <v>#N/A</v>
      </c>
      <c r="FF255" t="e">
        <f>IF(AND($B$21=1,(17*$B$66)&lt;$B$62),$B$146+$B$144*((17*$B$66)),NA())</f>
        <v>#N/A</v>
      </c>
      <c r="GI255" t="e">
        <f>IF(AND($B$21=1,(17*$B$66)&lt;IF($B$63=1,$B$10-0.2,$B$62)),$B$151+$B$150*(MAX(IF((17*$B$66)&lt;=$B$9,0,((17*$B$66)-$B$9)/$B$8),MIN(($B$5-IF((17*$B$66)&lt;=$B$9,0,((17*$B$66)-$B$9)/$B$8)),IF((17*$B$66)&lt;$B$125,$B$128,$B$127)))),NA())</f>
        <v>#N/A</v>
      </c>
      <c r="GJ255" t="e">
        <f>IF(AND($B$21=1,(17*$B$66)&lt;IF($B$63=1,$B$10-0.2,$B$62)),$B$152+$B$150*((17*$B$66)),NA())</f>
        <v>#N/A</v>
      </c>
      <c r="HQ255" t="e">
        <f>IF(AND(4&lt;=$B$23,6&lt;=$B$24),$B$157+$B$156*(IF(4=1,1,IF(4=$B$23,$B$12,5*(4-1)))*$B$13),NA())</f>
        <v>#N/A</v>
      </c>
      <c r="HR255" t="e">
        <f>IF(AND(4&lt;=$B$23,6&lt;=$B$24),$B$158+$B$156*((0*$B$5/2+(6-1)*($B$5/2)/$B$24)),NA())</f>
        <v>#N/A</v>
      </c>
      <c r="HS255" t="e">
        <f>IF(AND(11&lt;=$B$12,$B$51&gt;0),$B$157+$B$156*(((11-0.5)*$B$13)-($B$51*$B$13)/2),NA())</f>
        <v>#N/A</v>
      </c>
      <c r="HT255" t="e">
        <f>IF(AND(11&lt;=$B$12,$B$51&gt;0),$B$158+$B$156*((0*$B$5/2+$B$5/2-0.6*$B$159)),NA())</f>
        <v>#N/A</v>
      </c>
      <c r="KI255" t="e">
        <f>IF(AND($B$21=1,21*$B$67&gt;$B$59,21*$B$67&lt;$B$178-$B$59,OR($B$63=0,ABS(21*$B$67-$B$178/2)&gt;$B$59/2)),$B$182+$B$181*($B$177),NA())</f>
        <v>#N/A</v>
      </c>
      <c r="KJ255" t="e">
        <f>IF(AND($B$21=1,21*$B$67&gt;$B$59,21*$B$67&lt;$B$178-$B$59,OR($B$63=0,ABS(21*$B$67-$B$178/2)&gt;$B$59/2)),$B$183+$B$181*(21*$B$67),NA())</f>
        <v>#N/A</v>
      </c>
    </row>
    <row r="256">
      <c r="K256" t="e">
        <f>NA()</f>
        <v>#N/A</v>
      </c>
      <c r="L256" t="e">
        <f>NA()</f>
        <v>#N/A</v>
      </c>
      <c r="FE256" t="e">
        <f>IF(AND(AND($B$21=1,(17*$B$66)&lt;$B$62),(17*$B$66)&gt;=$B$94),$B$145+$B$144*($B$96),NA())</f>
        <v>#N/A</v>
      </c>
      <c r="FF256" t="e">
        <f>IF(AND(AND($B$21=1,(17*$B$66)&lt;$B$62),(17*$B$66)&gt;=$B$94),$B$146+$B$144*((17*$B$66)),NA())</f>
        <v>#N/A</v>
      </c>
      <c r="GI256" t="e">
        <f>IF(AND(AND($B$21=1,(17*$B$66)&lt;IF($B$63=1,$B$10-0.2,$B$62)),(17*$B$66)&gt;=$B$125),$B$151+$B$150*(MAX(IF((17*$B$66)&lt;=$B$9,0,((17*$B$66)-$B$9)/$B$8),MIN(($B$5-IF((17*$B$66)&lt;=$B$9,0,((17*$B$66)-$B$9)/$B$8)),$B$127))),NA())</f>
        <v>#N/A</v>
      </c>
      <c r="GJ256" t="e">
        <f>IF(AND(AND($B$21=1,(17*$B$66)&lt;IF($B$63=1,$B$10-0.2,$B$62)),(17*$B$66)&gt;=$B$125),$B$152+$B$150*((17*$B$66)),NA())</f>
        <v>#N/A</v>
      </c>
      <c r="HQ256" t="e">
        <f>NA()</f>
        <v>#N/A</v>
      </c>
      <c r="HR256" t="e">
        <f>NA()</f>
        <v>#N/A</v>
      </c>
      <c r="HS256" t="e">
        <f>NA()</f>
        <v>#N/A</v>
      </c>
      <c r="HT256" t="e">
        <f>NA()</f>
        <v>#N/A</v>
      </c>
      <c r="KI256" t="e">
        <f>NA()</f>
        <v>#N/A</v>
      </c>
      <c r="KJ256" t="e">
        <f>NA()</f>
        <v>#N/A</v>
      </c>
    </row>
    <row r="257">
      <c r="K257" t="e">
        <f>IF(14&lt;=$B$12,$B$133+$B$132*($B$13*14-$B$27/2),NA())</f>
        <v>#N/A</v>
      </c>
      <c r="L257" t="e">
        <f>IF(14&lt;=$B$12,$B$134+$B$132*(0-$B$27/2),NA())</f>
        <v>#N/A</v>
      </c>
      <c r="FE257" t="e">
        <f>IF(AND($B$21=1,(17*$B$66)&lt;$B$62),$B$145+$B$144*(IF((17*$B$66)&lt;$B$94,$B$98,$B$96)),NA())</f>
        <v>#N/A</v>
      </c>
      <c r="FF257" t="e">
        <f>IF(AND($B$21=1,(17*$B$66)&lt;$B$62),$B$146+$B$144*((17*$B$66)),NA())</f>
        <v>#N/A</v>
      </c>
      <c r="GI257" t="e">
        <f>IF(AND($B$21=1,(17*$B$66)&lt;IF($B$63=1,$B$10-0.2,$B$62)),$B$151+$B$150*(MAX(IF((17*$B$66)&lt;=$B$9,0,((17*$B$66)-$B$9)/$B$8),MIN(($B$5-IF((17*$B$66)&lt;=$B$9,0,((17*$B$66)-$B$9)/$B$8)),IF((17*$B$66)&lt;$B$125,$B$129,$B$127)))),NA())</f>
        <v>#N/A</v>
      </c>
      <c r="GJ257" t="e">
        <f>IF(AND($B$21=1,(17*$B$66)&lt;IF($B$63=1,$B$10-0.2,$B$62)),$B$152+$B$150*((17*$B$66)),NA())</f>
        <v>#N/A</v>
      </c>
      <c r="HQ257" t="e">
        <f>IF(AND(4&lt;=$B$23,1&lt;=$B$24),$B$157+$B$156*((IF(4=1,1,IF(4=$B$23,$B$12,5*(4-1)))-1)*$B$13),NA())</f>
        <v>#N/A</v>
      </c>
      <c r="HR257" t="e">
        <f>IF(AND(4&lt;=$B$23,1&lt;=$B$24),$B$158+$B$156*((1*$B$5/2+(1-1)*($B$5/2)/$B$24)),NA())</f>
        <v>#N/A</v>
      </c>
      <c r="HS257" t="e">
        <f>IF(AND(11&lt;=$B$12,$B$51&gt;0),$B$157+$B$156*(((11-0.5)*$B$13)-($B$51*$B$13)/2),NA())</f>
        <v>#N/A</v>
      </c>
      <c r="HT257" t="e">
        <f>IF(AND(11&lt;=$B$12,$B$51&gt;0),$B$158+$B$156*((1*$B$5/2+0.6*$B$159)),NA())</f>
        <v>#N/A</v>
      </c>
      <c r="KI257" t="e">
        <f>IF(AND($B$21=1,22*$B$67&gt;$B$59,22*$B$67&lt;$B$178-$B$59,OR($B$63=0,ABS(22*$B$67-$B$178/2)&gt;$B$59/2)),$B$182+$B$181*(0),NA())</f>
        <v>#N/A</v>
      </c>
      <c r="KJ257" t="e">
        <f>IF(AND($B$21=1,22*$B$67&gt;$B$59,22*$B$67&lt;$B$178-$B$59,OR($B$63=0,ABS(22*$B$67-$B$178/2)&gt;$B$59/2)),$B$183+$B$181*(22*$B$67),NA())</f>
        <v>#N/A</v>
      </c>
    </row>
    <row r="258">
      <c r="K258" t="e">
        <f>IF(14&lt;=$B$12,$B$133+$B$132*($B$13*14+$B$27/2),NA())</f>
        <v>#N/A</v>
      </c>
      <c r="L258" t="e">
        <f>IF(14&lt;=$B$12,$B$134+$B$132*(0-$B$27/2),NA())</f>
        <v>#N/A</v>
      </c>
      <c r="FE258" t="e">
        <f>IF(AND($B$21=1,(17*$B$66)&lt;$B$62),$B$145+$B$144*($B$6),NA())</f>
        <v>#N/A</v>
      </c>
      <c r="FF258" t="e">
        <f>IF(AND($B$21=1,(17*$B$66)&lt;$B$62),$B$146+$B$144*((17*$B$66)),NA())</f>
        <v>#N/A</v>
      </c>
      <c r="GI258" t="e">
        <f>IF(AND($B$21=1,(17*$B$66)&lt;IF($B$63=1,$B$10-0.2,$B$62)),$B$151+$B$150*(($B$5-IF((17*$B$66)&lt;=$B$9,0,((17*$B$66)-$B$9)/$B$8))),NA())</f>
        <v>#N/A</v>
      </c>
      <c r="GJ258" t="e">
        <f>IF(AND($B$21=1,(17*$B$66)&lt;IF($B$63=1,$B$10-0.2,$B$62)),$B$152+$B$150*((17*$B$66)),NA())</f>
        <v>#N/A</v>
      </c>
      <c r="HQ258" t="e">
        <f>IF(AND(4&lt;=$B$23,1&lt;=$B$24),$B$157+$B$156*(IF(4=1,1,IF(4=$B$23,$B$12,5*(4-1)))*$B$13),NA())</f>
        <v>#N/A</v>
      </c>
      <c r="HR258" t="e">
        <f>IF(AND(4&lt;=$B$23,1&lt;=$B$24),$B$158+$B$156*((1*$B$5/2+1*($B$5/2)/$B$24)),NA())</f>
        <v>#N/A</v>
      </c>
      <c r="HS258" t="e">
        <f>IF(AND(11&lt;=$B$12,$B$51&gt;0),$B$157+$B$156*(((11-0.5)*$B$13)+($B$51*$B$13)/2),NA())</f>
        <v>#N/A</v>
      </c>
      <c r="HT258" t="e">
        <f>IF(AND(11&lt;=$B$12,$B$51&gt;0),$B$158+$B$156*((1*$B$5/2+0.6*$B$159)),NA())</f>
        <v>#N/A</v>
      </c>
      <c r="KI258" t="e">
        <f>IF(AND($B$21=1,22*$B$67&gt;$B$59,22*$B$67&lt;$B$178-$B$59,OR($B$63=0,ABS(22*$B$67-$B$178/2)&gt;$B$59/2)),$B$182+$B$181*($B$177*1/4-$B$60/2),NA())</f>
        <v>#N/A</v>
      </c>
      <c r="KJ258" t="e">
        <f>IF(AND($B$21=1,22*$B$67&gt;$B$59,22*$B$67&lt;$B$178-$B$59,OR($B$63=0,ABS(22*$B$67-$B$178/2)&gt;$B$59/2)),$B$183+$B$181*(22*$B$67),NA())</f>
        <v>#N/A</v>
      </c>
    </row>
    <row r="259">
      <c r="K259" t="e">
        <f>IF(14&lt;=$B$12,$B$133+$B$132*($B$13*14+$B$27/2),NA())</f>
        <v>#N/A</v>
      </c>
      <c r="L259" t="e">
        <f>IF(14&lt;=$B$12,$B$134+$B$132*(0+$B$27/2),NA())</f>
        <v>#N/A</v>
      </c>
      <c r="FE259" t="e">
        <f>NA()</f>
        <v>#N/A</v>
      </c>
      <c r="FF259" t="e">
        <f>NA()</f>
        <v>#N/A</v>
      </c>
      <c r="GI259" t="e">
        <f>NA()</f>
        <v>#N/A</v>
      </c>
      <c r="GJ259" t="e">
        <f>NA()</f>
        <v>#N/A</v>
      </c>
      <c r="HQ259" t="e">
        <f>NA()</f>
        <v>#N/A</v>
      </c>
      <c r="HR259" t="e">
        <f>NA()</f>
        <v>#N/A</v>
      </c>
      <c r="HS259" t="e">
        <f>IF(AND(11&lt;=$B$12,$B$51&gt;0),$B$157+$B$156*(((11-0.5)*$B$13)+($B$51*$B$13)/2),NA())</f>
        <v>#N/A</v>
      </c>
      <c r="HT259" t="e">
        <f>IF(AND(11&lt;=$B$12,$B$51&gt;0),$B$158+$B$156*((1*$B$5/2+$B$5/2-0.6*$B$159)),NA())</f>
        <v>#N/A</v>
      </c>
      <c r="KI259" t="e">
        <f>NA()</f>
        <v>#N/A</v>
      </c>
      <c r="KJ259" t="e">
        <f>NA()</f>
        <v>#N/A</v>
      </c>
    </row>
    <row r="260">
      <c r="K260" t="e">
        <f>IF(14&lt;=$B$12,$B$133+$B$132*($B$13*14-$B$27/2),NA())</f>
        <v>#N/A</v>
      </c>
      <c r="L260" t="e">
        <f>IF(14&lt;=$B$12,$B$134+$B$132*(0+$B$27/2),NA())</f>
        <v>#N/A</v>
      </c>
      <c r="FE260" t="e">
        <f>IF(AND($B$21=1,(18*$B$66)&lt;$B$62),$B$145+$B$144*(0),NA())</f>
        <v>#N/A</v>
      </c>
      <c r="FF260" t="e">
        <f>IF(AND($B$21=1,(18*$B$66)&lt;$B$62),$B$146+$B$144*((18*$B$66)),NA())</f>
        <v>#N/A</v>
      </c>
      <c r="GI260" t="e">
        <f>IF(AND($B$21=1,(18*$B$66)&lt;IF($B$63=1,$B$10-0.2,$B$62)),$B$151+$B$150*(IF((18*$B$66)&lt;=$B$9,0,((18*$B$66)-$B$9)/$B$8)),NA())</f>
        <v>#N/A</v>
      </c>
      <c r="GJ260" t="e">
        <f>IF(AND($B$21=1,(18*$B$66)&lt;IF($B$63=1,$B$10-0.2,$B$62)),$B$152+$B$150*((18*$B$66)),NA())</f>
        <v>#N/A</v>
      </c>
      <c r="HQ260" t="e">
        <f>IF(AND(4&lt;=$B$23,1&lt;=$B$24),$B$157+$B$156*((IF(4=1,1,IF(4=$B$23,$B$12,5*(4-1)))-1)*$B$13),NA())</f>
        <v>#N/A</v>
      </c>
      <c r="HR260" t="e">
        <f>IF(AND(4&lt;=$B$23,1&lt;=$B$24),$B$158+$B$156*((1*$B$5/2+1*($B$5/2)/$B$24)),NA())</f>
        <v>#N/A</v>
      </c>
      <c r="HS260" t="e">
        <f>IF(AND(11&lt;=$B$12,$B$51&gt;0),$B$157+$B$156*(((11-0.5)*$B$13)-($B$51*$B$13)/2),NA())</f>
        <v>#N/A</v>
      </c>
      <c r="HT260" t="e">
        <f>IF(AND(11&lt;=$B$12,$B$51&gt;0),$B$158+$B$156*((1*$B$5/2+$B$5/2-0.6*$B$159)),NA())</f>
        <v>#N/A</v>
      </c>
      <c r="KI260" t="e">
        <f>IF(AND($B$21=1,22*$B$67&gt;$B$59,22*$B$67&lt;$B$178-$B$59,OR($B$63=0,ABS(22*$B$67-$B$178/2)&gt;$B$59/2)),$B$182+$B$181*($B$177*1/4+$B$60/2),NA())</f>
        <v>#N/A</v>
      </c>
      <c r="KJ260" t="e">
        <f>IF(AND($B$21=1,22*$B$67&gt;$B$59,22*$B$67&lt;$B$178-$B$59,OR($B$63=0,ABS(22*$B$67-$B$178/2)&gt;$B$59/2)),$B$183+$B$181*(22*$B$67),NA())</f>
        <v>#N/A</v>
      </c>
    </row>
    <row r="261">
      <c r="K261" t="e">
        <f>IF(14&lt;=$B$12,$B$133+$B$132*($B$13*14-$B$27/2),NA())</f>
        <v>#N/A</v>
      </c>
      <c r="L261" t="e">
        <f>IF(14&lt;=$B$12,$B$134+$B$132*(0-$B$27/2),NA())</f>
        <v>#N/A</v>
      </c>
      <c r="FE261" t="e">
        <f>IF(AND($B$21=1,(18*$B$66)&lt;$B$62),$B$145+$B$144*(IF((18*$B$66)&lt;$B$73,$B$76,$B$75)),NA())</f>
        <v>#N/A</v>
      </c>
      <c r="FF261" t="e">
        <f>IF(AND($B$21=1,(18*$B$66)&lt;$B$62),$B$146+$B$144*((18*$B$66)),NA())</f>
        <v>#N/A</v>
      </c>
      <c r="GI261" t="e">
        <f>IF(AND($B$21=1,(18*$B$66)&lt;IF($B$63=1,$B$10-0.2,$B$62)),$B$151+$B$150*(MAX(IF((18*$B$66)&lt;=$B$9,0,((18*$B$66)-$B$9)/$B$8),MIN(($B$5-IF((18*$B$66)&lt;=$B$9,0,((18*$B$66)-$B$9)/$B$8)),IF((18*$B$66)&lt;$B$104,$B$107,$B$106)))),NA())</f>
        <v>#N/A</v>
      </c>
      <c r="GJ261" t="e">
        <f>IF(AND($B$21=1,(18*$B$66)&lt;IF($B$63=1,$B$10-0.2,$B$62)),$B$152+$B$150*((18*$B$66)),NA())</f>
        <v>#N/A</v>
      </c>
      <c r="HQ261" t="e">
        <f>IF(AND(4&lt;=$B$23,1&lt;=$B$24),$B$157+$B$156*(IF(4=1,1,IF(4=$B$23,$B$12,5*(4-1)))*$B$13),NA())</f>
        <v>#N/A</v>
      </c>
      <c r="HR261" t="e">
        <f>IF(AND(4&lt;=$B$23,1&lt;=$B$24),$B$158+$B$156*((1*$B$5/2+(1-1)*($B$5/2)/$B$24)),NA())</f>
        <v>#N/A</v>
      </c>
      <c r="HS261" t="e">
        <f>IF(AND(11&lt;=$B$12,$B$51&gt;0),$B$157+$B$156*(((11-0.5)*$B$13)-($B$51*$B$13)/2),NA())</f>
        <v>#N/A</v>
      </c>
      <c r="HT261" t="e">
        <f>IF(AND(11&lt;=$B$12,$B$51&gt;0),$B$158+$B$156*((1*$B$5/2+0.6*$B$159)),NA())</f>
        <v>#N/A</v>
      </c>
      <c r="KI261" t="e">
        <f>IF(AND($B$21=1,22*$B$67&gt;$B$59,22*$B$67&lt;$B$178-$B$59,OR($B$63=0,ABS(22*$B$67-$B$178/2)&gt;$B$59/2)),$B$182+$B$181*($B$177*2/4-$B$60/2),NA())</f>
        <v>#N/A</v>
      </c>
      <c r="KJ261" t="e">
        <f>IF(AND($B$21=1,22*$B$67&gt;$B$59,22*$B$67&lt;$B$178-$B$59,OR($B$63=0,ABS(22*$B$67-$B$178/2)&gt;$B$59/2)),$B$183+$B$181*(22*$B$67),NA())</f>
        <v>#N/A</v>
      </c>
    </row>
    <row r="262">
      <c r="K262" t="e">
        <f>NA()</f>
        <v>#N/A</v>
      </c>
      <c r="L262" t="e">
        <f>NA()</f>
        <v>#N/A</v>
      </c>
      <c r="FE262" t="e">
        <f>IF(AND(AND($B$21=1,(18*$B$66)&lt;$B$62),(18*$B$66)&gt;=$B$73),$B$145+$B$144*($B$75),NA())</f>
        <v>#N/A</v>
      </c>
      <c r="FF262" t="e">
        <f>IF(AND(AND($B$21=1,(18*$B$66)&lt;$B$62),(18*$B$66)&gt;=$B$73),$B$146+$B$144*((18*$B$66)),NA())</f>
        <v>#N/A</v>
      </c>
      <c r="GI262" t="e">
        <f>IF(AND(AND($B$21=1,(18*$B$66)&lt;IF($B$63=1,$B$10-0.2,$B$62)),(18*$B$66)&gt;=$B$104),$B$151+$B$150*(MAX(IF((18*$B$66)&lt;=$B$9,0,((18*$B$66)-$B$9)/$B$8),MIN(($B$5-IF((18*$B$66)&lt;=$B$9,0,((18*$B$66)-$B$9)/$B$8)),$B$106))),NA())</f>
        <v>#N/A</v>
      </c>
      <c r="GJ262" t="e">
        <f>IF(AND(AND($B$21=1,(18*$B$66)&lt;IF($B$63=1,$B$10-0.2,$B$62)),(18*$B$66)&gt;=$B$104),$B$152+$B$150*((18*$B$66)),NA())</f>
        <v>#N/A</v>
      </c>
      <c r="HQ262" t="e">
        <f>NA()</f>
        <v>#N/A</v>
      </c>
      <c r="HR262" t="e">
        <f>NA()</f>
        <v>#N/A</v>
      </c>
      <c r="HS262" t="e">
        <f>NA()</f>
        <v>#N/A</v>
      </c>
      <c r="HT262" t="e">
        <f>NA()</f>
        <v>#N/A</v>
      </c>
      <c r="KI262" t="e">
        <f>NA()</f>
        <v>#N/A</v>
      </c>
      <c r="KJ262" t="e">
        <f>NA()</f>
        <v>#N/A</v>
      </c>
    </row>
    <row r="263">
      <c r="K263" t="e">
        <f>IF(14&lt;=$B$12,$B$133+$B$132*($B$13*14-$B$27/2),NA())</f>
        <v>#N/A</v>
      </c>
      <c r="L263" t="e">
        <f>IF(14&lt;=$B$12,$B$134+$B$132*($B$5-$B$27/2),NA())</f>
        <v>#N/A</v>
      </c>
      <c r="FE263" t="e">
        <f>IF(AND($B$21=1,(18*$B$66)&lt;$B$62),$B$145+$B$144*(IF((18*$B$66)&lt;$B$73,$B$77,$B$75)),NA())</f>
        <v>#N/A</v>
      </c>
      <c r="FF263" t="e">
        <f>IF(AND($B$21=1,(18*$B$66)&lt;$B$62),$B$146+$B$144*((18*$B$66)),NA())</f>
        <v>#N/A</v>
      </c>
      <c r="GI263" t="e">
        <f>IF(AND($B$21=1,(18*$B$66)&lt;IF($B$63=1,$B$10-0.2,$B$62)),$B$151+$B$150*(MAX(IF((18*$B$66)&lt;=$B$9,0,((18*$B$66)-$B$9)/$B$8),MIN(($B$5-IF((18*$B$66)&lt;=$B$9,0,((18*$B$66)-$B$9)/$B$8)),IF((18*$B$66)&lt;$B$104,$B$108,$B$106)))),NA())</f>
        <v>#N/A</v>
      </c>
      <c r="GJ263" t="e">
        <f>IF(AND($B$21=1,(18*$B$66)&lt;IF($B$63=1,$B$10-0.2,$B$62)),$B$152+$B$150*((18*$B$66)),NA())</f>
        <v>#N/A</v>
      </c>
      <c r="HQ263" t="e">
        <f>IF(AND(4&lt;=$B$23,2&lt;=$B$24),$B$157+$B$156*((IF(4=1,1,IF(4=$B$23,$B$12,5*(4-1)))-1)*$B$13),NA())</f>
        <v>#N/A</v>
      </c>
      <c r="HR263" t="e">
        <f>IF(AND(4&lt;=$B$23,2&lt;=$B$24),$B$158+$B$156*((1*$B$5/2+(2-1)*($B$5/2)/$B$24)),NA())</f>
        <v>#N/A</v>
      </c>
      <c r="HS263" t="e">
        <f>IF(AND(11&lt;=$B$12,$B$51&gt;0),$B$157+$B$156*(((11-0.5)*$B$13)-($B$51*$B$13)/2),NA())</f>
        <v>#N/A</v>
      </c>
      <c r="HT263" t="e">
        <f>IF(AND(11&lt;=$B$12,$B$51&gt;0),$B$158+$B$156*((1*$B$5/2+0.6*$B$159)),NA())</f>
        <v>#N/A</v>
      </c>
      <c r="KI263" t="e">
        <f>IF(AND($B$21=1,22*$B$67&gt;$B$59,22*$B$67&lt;$B$178-$B$59,OR($B$63=0,ABS(22*$B$67-$B$178/2)&gt;$B$59/2)),$B$182+$B$181*($B$177*2/4+$B$60/2),NA())</f>
        <v>#N/A</v>
      </c>
      <c r="KJ263" t="e">
        <f>IF(AND($B$21=1,22*$B$67&gt;$B$59,22*$B$67&lt;$B$178-$B$59,OR($B$63=0,ABS(22*$B$67-$B$178/2)&gt;$B$59/2)),$B$183+$B$181*(22*$B$67),NA())</f>
        <v>#N/A</v>
      </c>
    </row>
    <row r="264">
      <c r="K264" t="e">
        <f>IF(14&lt;=$B$12,$B$133+$B$132*($B$13*14+$B$27/2),NA())</f>
        <v>#N/A</v>
      </c>
      <c r="L264" t="e">
        <f>IF(14&lt;=$B$12,$B$134+$B$132*($B$5-$B$27/2),NA())</f>
        <v>#N/A</v>
      </c>
      <c r="FE264" t="e">
        <f>IF(AND($B$21=1,(18*$B$66)&lt;$B$62),$B$145+$B$144*(IF((18*$B$66)&lt;$B$80,$B$83,$B$82)),NA())</f>
        <v>#N/A</v>
      </c>
      <c r="FF264" t="e">
        <f>IF(AND($B$21=1,(18*$B$66)&lt;$B$62),$B$146+$B$144*((18*$B$66)),NA())</f>
        <v>#N/A</v>
      </c>
      <c r="GI264" t="e">
        <f>IF(AND($B$21=1,(18*$B$66)&lt;IF($B$63=1,$B$10-0.2,$B$62)),$B$151+$B$150*(MAX(IF((18*$B$66)&lt;=$B$9,0,((18*$B$66)-$B$9)/$B$8),MIN(($B$5-IF((18*$B$66)&lt;=$B$9,0,((18*$B$66)-$B$9)/$B$8)),IF((18*$B$66)&lt;$B$111,$B$114,$B$113)))),NA())</f>
        <v>#N/A</v>
      </c>
      <c r="GJ264" t="e">
        <f>IF(AND($B$21=1,(18*$B$66)&lt;IF($B$63=1,$B$10-0.2,$B$62)),$B$152+$B$150*((18*$B$66)),NA())</f>
        <v>#N/A</v>
      </c>
      <c r="HQ264" t="e">
        <f>IF(AND(4&lt;=$B$23,2&lt;=$B$24),$B$157+$B$156*(IF(4=1,1,IF(4=$B$23,$B$12,5*(4-1)))*$B$13),NA())</f>
        <v>#N/A</v>
      </c>
      <c r="HR264" t="e">
        <f>IF(AND(4&lt;=$B$23,2&lt;=$B$24),$B$158+$B$156*((1*$B$5/2+2*($B$5/2)/$B$24)),NA())</f>
        <v>#N/A</v>
      </c>
      <c r="HS264" t="e">
        <f>IF(AND(11&lt;=$B$12,$B$51&gt;0),$B$157+$B$156*(((11-0.5)*$B$13)+($B$51*$B$13)/2),NA())</f>
        <v>#N/A</v>
      </c>
      <c r="HT264" t="e">
        <f>IF(AND(11&lt;=$B$12,$B$51&gt;0),$B$158+$B$156*((1*$B$5/2+0.6*$B$159)+(((1*$B$5/2+$B$5/2-0.6*$B$159))-((1*$B$5/2+0.6*$B$159)))/4),NA())</f>
        <v>#N/A</v>
      </c>
      <c r="KI264" t="e">
        <f>IF(AND($B$21=1,22*$B$67&gt;$B$59,22*$B$67&lt;$B$178-$B$59,OR($B$63=0,ABS(22*$B$67-$B$178/2)&gt;$B$59/2)),$B$182+$B$181*($B$177*3/4-$B$60/2),NA())</f>
        <v>#N/A</v>
      </c>
      <c r="KJ264" t="e">
        <f>IF(AND($B$21=1,22*$B$67&gt;$B$59,22*$B$67&lt;$B$178-$B$59,OR($B$63=0,ABS(22*$B$67-$B$178/2)&gt;$B$59/2)),$B$183+$B$181*(22*$B$67),NA())</f>
        <v>#N/A</v>
      </c>
    </row>
    <row r="265">
      <c r="K265" t="e">
        <f>IF(14&lt;=$B$12,$B$133+$B$132*($B$13*14+$B$27/2),NA())</f>
        <v>#N/A</v>
      </c>
      <c r="L265" t="e">
        <f>IF(14&lt;=$B$12,$B$134+$B$132*($B$5+$B$27/2),NA())</f>
        <v>#N/A</v>
      </c>
      <c r="FE265" t="e">
        <f>IF(AND(AND($B$21=1,(18*$B$66)&lt;$B$62),(18*$B$66)&gt;=$B$80),$B$145+$B$144*($B$82),NA())</f>
        <v>#N/A</v>
      </c>
      <c r="FF265" t="e">
        <f>IF(AND(AND($B$21=1,(18*$B$66)&lt;$B$62),(18*$B$66)&gt;=$B$80),$B$146+$B$144*((18*$B$66)),NA())</f>
        <v>#N/A</v>
      </c>
      <c r="GI265" t="e">
        <f>IF(AND(AND($B$21=1,(18*$B$66)&lt;IF($B$63=1,$B$10-0.2,$B$62)),(18*$B$66)&gt;=$B$111),$B$151+$B$150*(MAX(IF((18*$B$66)&lt;=$B$9,0,((18*$B$66)-$B$9)/$B$8),MIN(($B$5-IF((18*$B$66)&lt;=$B$9,0,((18*$B$66)-$B$9)/$B$8)),$B$113))),NA())</f>
        <v>#N/A</v>
      </c>
      <c r="GJ265" t="e">
        <f>IF(AND(AND($B$21=1,(18*$B$66)&lt;IF($B$63=1,$B$10-0.2,$B$62)),(18*$B$66)&gt;=$B$111),$B$152+$B$150*((18*$B$66)),NA())</f>
        <v>#N/A</v>
      </c>
      <c r="HQ265" t="e">
        <f>NA()</f>
        <v>#N/A</v>
      </c>
      <c r="HR265" t="e">
        <f>NA()</f>
        <v>#N/A</v>
      </c>
      <c r="HS265" t="e">
        <f>IF(AND(11&lt;=$B$12,$B$51&gt;0),$B$157+$B$156*(((11-0.5)*$B$13)-($B$51*$B$13)/2),NA())</f>
        <v>#N/A</v>
      </c>
      <c r="HT265" t="e">
        <f>IF(AND(11&lt;=$B$12,$B$51&gt;0),$B$158+$B$156*((1*$B$5/2+0.6*$B$159)+(((1*$B$5/2+$B$5/2-0.6*$B$159))-((1*$B$5/2+0.6*$B$159)))/2),NA())</f>
        <v>#N/A</v>
      </c>
      <c r="KI265" t="e">
        <f>NA()</f>
        <v>#N/A</v>
      </c>
      <c r="KJ265" t="e">
        <f>NA()</f>
        <v>#N/A</v>
      </c>
    </row>
    <row r="266">
      <c r="K266" t="e">
        <f>IF(14&lt;=$B$12,$B$133+$B$132*($B$13*14-$B$27/2),NA())</f>
        <v>#N/A</v>
      </c>
      <c r="L266" t="e">
        <f>IF(14&lt;=$B$12,$B$134+$B$132*($B$5+$B$27/2),NA())</f>
        <v>#N/A</v>
      </c>
      <c r="FE266" t="e">
        <f>IF(AND($B$21=1,(18*$B$66)&lt;$B$62),$B$145+$B$144*(IF((18*$B$66)&lt;$B$80,$B$84,$B$82)),NA())</f>
        <v>#N/A</v>
      </c>
      <c r="FF266" t="e">
        <f>IF(AND($B$21=1,(18*$B$66)&lt;$B$62),$B$146+$B$144*((18*$B$66)),NA())</f>
        <v>#N/A</v>
      </c>
      <c r="GI266" t="e">
        <f>IF(AND($B$21=1,(18*$B$66)&lt;IF($B$63=1,$B$10-0.2,$B$62)),$B$151+$B$150*(MAX(IF((18*$B$66)&lt;=$B$9,0,((18*$B$66)-$B$9)/$B$8),MIN(($B$5-IF((18*$B$66)&lt;=$B$9,0,((18*$B$66)-$B$9)/$B$8)),IF((18*$B$66)&lt;$B$111,$B$115,$B$113)))),NA())</f>
        <v>#N/A</v>
      </c>
      <c r="GJ266" t="e">
        <f>IF(AND($B$21=1,(18*$B$66)&lt;IF($B$63=1,$B$10-0.2,$B$62)),$B$152+$B$150*((18*$B$66)),NA())</f>
        <v>#N/A</v>
      </c>
      <c r="HQ266" t="e">
        <f>IF(AND(4&lt;=$B$23,2&lt;=$B$24),$B$157+$B$156*((IF(4=1,1,IF(4=$B$23,$B$12,5*(4-1)))-1)*$B$13),NA())</f>
        <v>#N/A</v>
      </c>
      <c r="HR266" t="e">
        <f>IF(AND(4&lt;=$B$23,2&lt;=$B$24),$B$158+$B$156*((1*$B$5/2+2*($B$5/2)/$B$24)),NA())</f>
        <v>#N/A</v>
      </c>
      <c r="HS266" t="e">
        <f>IF(AND(11&lt;=$B$12,$B$51&gt;0),$B$157+$B$156*(((11-0.5)*$B$13)+($B$51*$B$13)/2),NA())</f>
        <v>#N/A</v>
      </c>
      <c r="HT266" t="e">
        <f>IF(AND(11&lt;=$B$12,$B$51&gt;0),$B$158+$B$156*((1*$B$5/2+0.6*$B$159)+3*(((1*$B$5/2+$B$5/2-0.6*$B$159))-((1*$B$5/2+0.6*$B$159)))/4),NA())</f>
        <v>#N/A</v>
      </c>
      <c r="KI266" t="e">
        <f>IF(AND($B$21=1,22*$B$67&gt;$B$59,22*$B$67&lt;$B$178-$B$59,OR($B$63=0,ABS(22*$B$67-$B$178/2)&gt;$B$59/2)),$B$182+$B$181*($B$177*3/4+$B$60/2),NA())</f>
        <v>#N/A</v>
      </c>
      <c r="KJ266" t="e">
        <f>IF(AND($B$21=1,22*$B$67&gt;$B$59,22*$B$67&lt;$B$178-$B$59,OR($B$63=0,ABS(22*$B$67-$B$178/2)&gt;$B$59/2)),$B$183+$B$181*(22*$B$67),NA())</f>
        <v>#N/A</v>
      </c>
    </row>
    <row r="267">
      <c r="K267" t="e">
        <f>IF(14&lt;=$B$12,$B$133+$B$132*($B$13*14-$B$27/2),NA())</f>
        <v>#N/A</v>
      </c>
      <c r="L267" t="e">
        <f>IF(14&lt;=$B$12,$B$134+$B$132*($B$5-$B$27/2),NA())</f>
        <v>#N/A</v>
      </c>
      <c r="FE267" t="e">
        <f>IF(AND($B$21=1,(18*$B$66)&lt;$B$62),$B$145+$B$144*(IF((18*$B$66)&lt;$B$87,$B$90,$B$89)),NA())</f>
        <v>#N/A</v>
      </c>
      <c r="FF267" t="e">
        <f>IF(AND($B$21=1,(18*$B$66)&lt;$B$62),$B$146+$B$144*((18*$B$66)),NA())</f>
        <v>#N/A</v>
      </c>
      <c r="GI267" t="e">
        <f>IF(AND($B$21=1,(18*$B$66)&lt;IF($B$63=1,$B$10-0.2,$B$62)),$B$151+$B$150*(MAX(IF((18*$B$66)&lt;=$B$9,0,((18*$B$66)-$B$9)/$B$8),MIN(($B$5-IF((18*$B$66)&lt;=$B$9,0,((18*$B$66)-$B$9)/$B$8)),IF((18*$B$66)&lt;$B$118,$B$121,$B$120)))),NA())</f>
        <v>#N/A</v>
      </c>
      <c r="GJ267" t="e">
        <f>IF(AND($B$21=1,(18*$B$66)&lt;IF($B$63=1,$B$10-0.2,$B$62)),$B$152+$B$150*((18*$B$66)),NA())</f>
        <v>#N/A</v>
      </c>
      <c r="HQ267" t="e">
        <f>IF(AND(4&lt;=$B$23,2&lt;=$B$24),$B$157+$B$156*(IF(4=1,1,IF(4=$B$23,$B$12,5*(4-1)))*$B$13),NA())</f>
        <v>#N/A</v>
      </c>
      <c r="HR267" t="e">
        <f>IF(AND(4&lt;=$B$23,2&lt;=$B$24),$B$158+$B$156*((1*$B$5/2+(2-1)*($B$5/2)/$B$24)),NA())</f>
        <v>#N/A</v>
      </c>
      <c r="HS267" t="e">
        <f>IF(AND(11&lt;=$B$12,$B$51&gt;0),$B$157+$B$156*(((11-0.5)*$B$13)-($B$51*$B$13)/2),NA())</f>
        <v>#N/A</v>
      </c>
      <c r="HT267" t="e">
        <f>IF(AND(11&lt;=$B$12,$B$51&gt;0),$B$158+$B$156*((1*$B$5/2+$B$5/2-0.6*$B$159)),NA())</f>
        <v>#N/A</v>
      </c>
      <c r="KI267" t="e">
        <f>IF(AND($B$21=1,22*$B$67&gt;$B$59,22*$B$67&lt;$B$178-$B$59,OR($B$63=0,ABS(22*$B$67-$B$178/2)&gt;$B$59/2)),$B$182+$B$181*($B$177),NA())</f>
        <v>#N/A</v>
      </c>
      <c r="KJ267" t="e">
        <f>IF(AND($B$21=1,22*$B$67&gt;$B$59,22*$B$67&lt;$B$178-$B$59,OR($B$63=0,ABS(22*$B$67-$B$178/2)&gt;$B$59/2)),$B$183+$B$181*(22*$B$67),NA())</f>
        <v>#N/A</v>
      </c>
    </row>
    <row r="268">
      <c r="K268" t="e">
        <f>NA()</f>
        <v>#N/A</v>
      </c>
      <c r="L268" t="e">
        <f>NA()</f>
        <v>#N/A</v>
      </c>
      <c r="FE268" t="e">
        <f>IF(AND(AND($B$21=1,(18*$B$66)&lt;$B$62),(18*$B$66)&gt;=$B$87),$B$145+$B$144*($B$89),NA())</f>
        <v>#N/A</v>
      </c>
      <c r="FF268" t="e">
        <f>IF(AND(AND($B$21=1,(18*$B$66)&lt;$B$62),(18*$B$66)&gt;=$B$87),$B$146+$B$144*((18*$B$66)),NA())</f>
        <v>#N/A</v>
      </c>
      <c r="GI268" t="e">
        <f>IF(AND(AND($B$21=1,(18*$B$66)&lt;IF($B$63=1,$B$10-0.2,$B$62)),(18*$B$66)&gt;=$B$118),$B$151+$B$150*(MAX(IF((18*$B$66)&lt;=$B$9,0,((18*$B$66)-$B$9)/$B$8),MIN(($B$5-IF((18*$B$66)&lt;=$B$9,0,((18*$B$66)-$B$9)/$B$8)),$B$120))),NA())</f>
        <v>#N/A</v>
      </c>
      <c r="GJ268" t="e">
        <f>IF(AND(AND($B$21=1,(18*$B$66)&lt;IF($B$63=1,$B$10-0.2,$B$62)),(18*$B$66)&gt;=$B$118),$B$152+$B$150*((18*$B$66)),NA())</f>
        <v>#N/A</v>
      </c>
      <c r="HQ268" t="e">
        <f>NA()</f>
        <v>#N/A</v>
      </c>
      <c r="HR268" t="e">
        <f>NA()</f>
        <v>#N/A</v>
      </c>
      <c r="HS268" t="e">
        <f>NA()</f>
        <v>#N/A</v>
      </c>
      <c r="HT268" t="e">
        <f>NA()</f>
        <v>#N/A</v>
      </c>
      <c r="KI268" t="e">
        <f>NA()</f>
        <v>#N/A</v>
      </c>
      <c r="KJ268" t="e">
        <f>NA()</f>
        <v>#N/A</v>
      </c>
    </row>
    <row r="269">
      <c r="K269" t="e">
        <f>IF(AND(14&lt;=$B$12,$B$45=1),$B$133+$B$132*($B$13*14-$B$27/2),NA())</f>
        <v>#N/A</v>
      </c>
      <c r="L269" t="e">
        <f>IF(AND(14&lt;=$B$12,$B$45=1),$B$134+$B$132*($B$5/2-$B$27/2),NA())</f>
        <v>#N/A</v>
      </c>
      <c r="FE269" t="e">
        <f>IF(AND($B$21=1,(18*$B$66)&lt;$B$62),$B$145+$B$144*(IF((18*$B$66)&lt;$B$87,$B$91,$B$89)),NA())</f>
        <v>#N/A</v>
      </c>
      <c r="FF269" t="e">
        <f>IF(AND($B$21=1,(18*$B$66)&lt;$B$62),$B$146+$B$144*((18*$B$66)),NA())</f>
        <v>#N/A</v>
      </c>
      <c r="GI269" t="e">
        <f>IF(AND($B$21=1,(18*$B$66)&lt;IF($B$63=1,$B$10-0.2,$B$62)),$B$151+$B$150*(MAX(IF((18*$B$66)&lt;=$B$9,0,((18*$B$66)-$B$9)/$B$8),MIN(($B$5-IF((18*$B$66)&lt;=$B$9,0,((18*$B$66)-$B$9)/$B$8)),IF((18*$B$66)&lt;$B$118,$B$122,$B$120)))),NA())</f>
        <v>#N/A</v>
      </c>
      <c r="GJ269" t="e">
        <f>IF(AND($B$21=1,(18*$B$66)&lt;IF($B$63=1,$B$10-0.2,$B$62)),$B$152+$B$150*((18*$B$66)),NA())</f>
        <v>#N/A</v>
      </c>
      <c r="HQ269" t="e">
        <f>IF(AND(4&lt;=$B$23,3&lt;=$B$24),$B$157+$B$156*((IF(4=1,1,IF(4=$B$23,$B$12,5*(4-1)))-1)*$B$13),NA())</f>
        <v>#N/A</v>
      </c>
      <c r="HR269" t="e">
        <f>IF(AND(4&lt;=$B$23,3&lt;=$B$24),$B$158+$B$156*((1*$B$5/2+(3-1)*($B$5/2)/$B$24)),NA())</f>
        <v>#N/A</v>
      </c>
      <c r="HS269" t="e">
        <f>IF(AND(12&lt;=$B$12,$B$51&gt;0),$B$157+$B$156*(((12-0.5)*$B$13)-($B$51*$B$13)/2),NA())</f>
        <v>#N/A</v>
      </c>
      <c r="HT269" t="e">
        <f>IF(AND(12&lt;=$B$12,$B$51&gt;0),$B$158+$B$156*((0*$B$5/2+0.6*$B$159)),NA())</f>
        <v>#N/A</v>
      </c>
      <c r="KI269" t="e">
        <f>IF(AND($B$21=1,23*$B$67&gt;$B$59,23*$B$67&lt;$B$178-$B$59,OR($B$63=0,ABS(23*$B$67-$B$178/2)&gt;$B$59/2)),$B$182+$B$181*(0),NA())</f>
        <v>#N/A</v>
      </c>
      <c r="KJ269" t="e">
        <f>IF(AND($B$21=1,23*$B$67&gt;$B$59,23*$B$67&lt;$B$178-$B$59,OR($B$63=0,ABS(23*$B$67-$B$178/2)&gt;$B$59/2)),$B$183+$B$181*(23*$B$67),NA())</f>
        <v>#N/A</v>
      </c>
    </row>
    <row r="270">
      <c r="K270" t="e">
        <f>IF(AND(14&lt;=$B$12,$B$45=1),$B$133+$B$132*($B$13*14+$B$27/2),NA())</f>
        <v>#N/A</v>
      </c>
      <c r="L270" t="e">
        <f>IF(AND(14&lt;=$B$12,$B$45=1),$B$134+$B$132*($B$5/2-$B$27/2),NA())</f>
        <v>#N/A</v>
      </c>
      <c r="FE270" t="e">
        <f>IF(AND($B$21=1,(18*$B$66)&lt;$B$62),$B$145+$B$144*(IF((18*$B$66)&lt;$B$94,$B$97,$B$96)),NA())</f>
        <v>#N/A</v>
      </c>
      <c r="FF270" t="e">
        <f>IF(AND($B$21=1,(18*$B$66)&lt;$B$62),$B$146+$B$144*((18*$B$66)),NA())</f>
        <v>#N/A</v>
      </c>
      <c r="GI270" t="e">
        <f>IF(AND($B$21=1,(18*$B$66)&lt;IF($B$63=1,$B$10-0.2,$B$62)),$B$151+$B$150*(MAX(IF((18*$B$66)&lt;=$B$9,0,((18*$B$66)-$B$9)/$B$8),MIN(($B$5-IF((18*$B$66)&lt;=$B$9,0,((18*$B$66)-$B$9)/$B$8)),IF((18*$B$66)&lt;$B$125,$B$128,$B$127)))),NA())</f>
        <v>#N/A</v>
      </c>
      <c r="GJ270" t="e">
        <f>IF(AND($B$21=1,(18*$B$66)&lt;IF($B$63=1,$B$10-0.2,$B$62)),$B$152+$B$150*((18*$B$66)),NA())</f>
        <v>#N/A</v>
      </c>
      <c r="HQ270" t="e">
        <f>IF(AND(4&lt;=$B$23,3&lt;=$B$24),$B$157+$B$156*(IF(4=1,1,IF(4=$B$23,$B$12,5*(4-1)))*$B$13),NA())</f>
        <v>#N/A</v>
      </c>
      <c r="HR270" t="e">
        <f>IF(AND(4&lt;=$B$23,3&lt;=$B$24),$B$158+$B$156*((1*$B$5/2+3*($B$5/2)/$B$24)),NA())</f>
        <v>#N/A</v>
      </c>
      <c r="HS270" t="e">
        <f>IF(AND(12&lt;=$B$12,$B$51&gt;0),$B$157+$B$156*(((12-0.5)*$B$13)+($B$51*$B$13)/2),NA())</f>
        <v>#N/A</v>
      </c>
      <c r="HT270" t="e">
        <f>IF(AND(12&lt;=$B$12,$B$51&gt;0),$B$158+$B$156*((0*$B$5/2+0.6*$B$159)),NA())</f>
        <v>#N/A</v>
      </c>
      <c r="KI270" t="e">
        <f>IF(AND($B$21=1,23*$B$67&gt;$B$59,23*$B$67&lt;$B$178-$B$59,OR($B$63=0,ABS(23*$B$67-$B$178/2)&gt;$B$59/2)),$B$182+$B$181*($B$177*1/4-$B$60/2),NA())</f>
        <v>#N/A</v>
      </c>
      <c r="KJ270" t="e">
        <f>IF(AND($B$21=1,23*$B$67&gt;$B$59,23*$B$67&lt;$B$178-$B$59,OR($B$63=0,ABS(23*$B$67-$B$178/2)&gt;$B$59/2)),$B$183+$B$181*(23*$B$67),NA())</f>
        <v>#N/A</v>
      </c>
    </row>
    <row r="271">
      <c r="K271" t="e">
        <f>IF(AND(14&lt;=$B$12,$B$45=1),$B$133+$B$132*($B$13*14+$B$27/2),NA())</f>
        <v>#N/A</v>
      </c>
      <c r="L271" t="e">
        <f>IF(AND(14&lt;=$B$12,$B$45=1),$B$134+$B$132*($B$5/2+$B$27/2),NA())</f>
        <v>#N/A</v>
      </c>
      <c r="FE271" t="e">
        <f>IF(AND(AND($B$21=1,(18*$B$66)&lt;$B$62),(18*$B$66)&gt;=$B$94),$B$145+$B$144*($B$96),NA())</f>
        <v>#N/A</v>
      </c>
      <c r="FF271" t="e">
        <f>IF(AND(AND($B$21=1,(18*$B$66)&lt;$B$62),(18*$B$66)&gt;=$B$94),$B$146+$B$144*((18*$B$66)),NA())</f>
        <v>#N/A</v>
      </c>
      <c r="GI271" t="e">
        <f>IF(AND(AND($B$21=1,(18*$B$66)&lt;IF($B$63=1,$B$10-0.2,$B$62)),(18*$B$66)&gt;=$B$125),$B$151+$B$150*(MAX(IF((18*$B$66)&lt;=$B$9,0,((18*$B$66)-$B$9)/$B$8),MIN(($B$5-IF((18*$B$66)&lt;=$B$9,0,((18*$B$66)-$B$9)/$B$8)),$B$127))),NA())</f>
        <v>#N/A</v>
      </c>
      <c r="GJ271" t="e">
        <f>IF(AND(AND($B$21=1,(18*$B$66)&lt;IF($B$63=1,$B$10-0.2,$B$62)),(18*$B$66)&gt;=$B$125),$B$152+$B$150*((18*$B$66)),NA())</f>
        <v>#N/A</v>
      </c>
      <c r="HQ271" t="e">
        <f>NA()</f>
        <v>#N/A</v>
      </c>
      <c r="HR271" t="e">
        <f>NA()</f>
        <v>#N/A</v>
      </c>
      <c r="HS271" t="e">
        <f>IF(AND(12&lt;=$B$12,$B$51&gt;0),$B$157+$B$156*(((12-0.5)*$B$13)+($B$51*$B$13)/2),NA())</f>
        <v>#N/A</v>
      </c>
      <c r="HT271" t="e">
        <f>IF(AND(12&lt;=$B$12,$B$51&gt;0),$B$158+$B$156*((0*$B$5/2+$B$5/2-0.6*$B$159)),NA())</f>
        <v>#N/A</v>
      </c>
      <c r="KI271" t="e">
        <f>NA()</f>
        <v>#N/A</v>
      </c>
      <c r="KJ271" t="e">
        <f>NA()</f>
        <v>#N/A</v>
      </c>
    </row>
    <row r="272">
      <c r="K272" t="e">
        <f>IF(AND(14&lt;=$B$12,$B$45=1),$B$133+$B$132*($B$13*14-$B$27/2),NA())</f>
        <v>#N/A</v>
      </c>
      <c r="L272" t="e">
        <f>IF(AND(14&lt;=$B$12,$B$45=1),$B$134+$B$132*($B$5/2+$B$27/2),NA())</f>
        <v>#N/A</v>
      </c>
      <c r="FE272" t="e">
        <f>IF(AND($B$21=1,(18*$B$66)&lt;$B$62),$B$145+$B$144*(IF((18*$B$66)&lt;$B$94,$B$98,$B$96)),NA())</f>
        <v>#N/A</v>
      </c>
      <c r="FF272" t="e">
        <f>IF(AND($B$21=1,(18*$B$66)&lt;$B$62),$B$146+$B$144*((18*$B$66)),NA())</f>
        <v>#N/A</v>
      </c>
      <c r="GI272" t="e">
        <f>IF(AND($B$21=1,(18*$B$66)&lt;IF($B$63=1,$B$10-0.2,$B$62)),$B$151+$B$150*(MAX(IF((18*$B$66)&lt;=$B$9,0,((18*$B$66)-$B$9)/$B$8),MIN(($B$5-IF((18*$B$66)&lt;=$B$9,0,((18*$B$66)-$B$9)/$B$8)),IF((18*$B$66)&lt;$B$125,$B$129,$B$127)))),NA())</f>
        <v>#N/A</v>
      </c>
      <c r="GJ272" t="e">
        <f>IF(AND($B$21=1,(18*$B$66)&lt;IF($B$63=1,$B$10-0.2,$B$62)),$B$152+$B$150*((18*$B$66)),NA())</f>
        <v>#N/A</v>
      </c>
      <c r="HQ272" t="e">
        <f>IF(AND(4&lt;=$B$23,3&lt;=$B$24),$B$157+$B$156*((IF(4=1,1,IF(4=$B$23,$B$12,5*(4-1)))-1)*$B$13),NA())</f>
        <v>#N/A</v>
      </c>
      <c r="HR272" t="e">
        <f>IF(AND(4&lt;=$B$23,3&lt;=$B$24),$B$158+$B$156*((1*$B$5/2+3*($B$5/2)/$B$24)),NA())</f>
        <v>#N/A</v>
      </c>
      <c r="HS272" t="e">
        <f>IF(AND(12&lt;=$B$12,$B$51&gt;0),$B$157+$B$156*(((12-0.5)*$B$13)-($B$51*$B$13)/2),NA())</f>
        <v>#N/A</v>
      </c>
      <c r="HT272" t="e">
        <f>IF(AND(12&lt;=$B$12,$B$51&gt;0),$B$158+$B$156*((0*$B$5/2+$B$5/2-0.6*$B$159)),NA())</f>
        <v>#N/A</v>
      </c>
      <c r="KI272" t="e">
        <f>IF(AND($B$21=1,23*$B$67&gt;$B$59,23*$B$67&lt;$B$178-$B$59,OR($B$63=0,ABS(23*$B$67-$B$178/2)&gt;$B$59/2)),$B$182+$B$181*($B$177*1/4+$B$60/2),NA())</f>
        <v>#N/A</v>
      </c>
      <c r="KJ272" t="e">
        <f>IF(AND($B$21=1,23*$B$67&gt;$B$59,23*$B$67&lt;$B$178-$B$59,OR($B$63=0,ABS(23*$B$67-$B$178/2)&gt;$B$59/2)),$B$183+$B$181*(23*$B$67),NA())</f>
        <v>#N/A</v>
      </c>
    </row>
    <row r="273">
      <c r="K273" t="e">
        <f>IF(AND(14&lt;=$B$12,$B$45=1),$B$133+$B$132*($B$13*14-$B$27/2),NA())</f>
        <v>#N/A</v>
      </c>
      <c r="L273" t="e">
        <f>IF(AND(14&lt;=$B$12,$B$45=1),$B$134+$B$132*($B$5/2-$B$27/2),NA())</f>
        <v>#N/A</v>
      </c>
      <c r="FE273" t="e">
        <f>IF(AND($B$21=1,(18*$B$66)&lt;$B$62),$B$145+$B$144*($B$6),NA())</f>
        <v>#N/A</v>
      </c>
      <c r="FF273" t="e">
        <f>IF(AND($B$21=1,(18*$B$66)&lt;$B$62),$B$146+$B$144*((18*$B$66)),NA())</f>
        <v>#N/A</v>
      </c>
      <c r="GI273" t="e">
        <f>IF(AND($B$21=1,(18*$B$66)&lt;IF($B$63=1,$B$10-0.2,$B$62)),$B$151+$B$150*(($B$5-IF((18*$B$66)&lt;=$B$9,0,((18*$B$66)-$B$9)/$B$8))),NA())</f>
        <v>#N/A</v>
      </c>
      <c r="GJ273" t="e">
        <f>IF(AND($B$21=1,(18*$B$66)&lt;IF($B$63=1,$B$10-0.2,$B$62)),$B$152+$B$150*((18*$B$66)),NA())</f>
        <v>#N/A</v>
      </c>
      <c r="HQ273" t="e">
        <f>IF(AND(4&lt;=$B$23,3&lt;=$B$24),$B$157+$B$156*(IF(4=1,1,IF(4=$B$23,$B$12,5*(4-1)))*$B$13),NA())</f>
        <v>#N/A</v>
      </c>
      <c r="HR273" t="e">
        <f>IF(AND(4&lt;=$B$23,3&lt;=$B$24),$B$158+$B$156*((1*$B$5/2+(3-1)*($B$5/2)/$B$24)),NA())</f>
        <v>#N/A</v>
      </c>
      <c r="HS273" t="e">
        <f>IF(AND(12&lt;=$B$12,$B$51&gt;0),$B$157+$B$156*(((12-0.5)*$B$13)-($B$51*$B$13)/2),NA())</f>
        <v>#N/A</v>
      </c>
      <c r="HT273" t="e">
        <f>IF(AND(12&lt;=$B$12,$B$51&gt;0),$B$158+$B$156*((0*$B$5/2+0.6*$B$159)),NA())</f>
        <v>#N/A</v>
      </c>
      <c r="KI273" t="e">
        <f>IF(AND($B$21=1,23*$B$67&gt;$B$59,23*$B$67&lt;$B$178-$B$59,OR($B$63=0,ABS(23*$B$67-$B$178/2)&gt;$B$59/2)),$B$182+$B$181*($B$177*2/4-$B$60/2),NA())</f>
        <v>#N/A</v>
      </c>
      <c r="KJ273" t="e">
        <f>IF(AND($B$21=1,23*$B$67&gt;$B$59,23*$B$67&lt;$B$178-$B$59,OR($B$63=0,ABS(23*$B$67-$B$178/2)&gt;$B$59/2)),$B$183+$B$181*(23*$B$67),NA())</f>
        <v>#N/A</v>
      </c>
    </row>
    <row r="274">
      <c r="K274" t="e">
        <f>NA()</f>
        <v>#N/A</v>
      </c>
      <c r="L274" t="e">
        <f>NA()</f>
        <v>#N/A</v>
      </c>
      <c r="FE274" t="e">
        <f>NA()</f>
        <v>#N/A</v>
      </c>
      <c r="FF274" t="e">
        <f>NA()</f>
        <v>#N/A</v>
      </c>
      <c r="GI274" t="e">
        <f>NA()</f>
        <v>#N/A</v>
      </c>
      <c r="GJ274" t="e">
        <f>NA()</f>
        <v>#N/A</v>
      </c>
      <c r="HQ274" t="e">
        <f>NA()</f>
        <v>#N/A</v>
      </c>
      <c r="HR274" t="e">
        <f>NA()</f>
        <v>#N/A</v>
      </c>
      <c r="HS274" t="e">
        <f>NA()</f>
        <v>#N/A</v>
      </c>
      <c r="HT274" t="e">
        <f>NA()</f>
        <v>#N/A</v>
      </c>
      <c r="KI274" t="e">
        <f>NA()</f>
        <v>#N/A</v>
      </c>
      <c r="KJ274" t="e">
        <f>NA()</f>
        <v>#N/A</v>
      </c>
    </row>
    <row r="275">
      <c r="K275" t="e">
        <f>IF(15&lt;=$B$12,$B$133+$B$132*($B$13*15-$B$27/2),NA())</f>
        <v>#N/A</v>
      </c>
      <c r="L275" t="e">
        <f>IF(15&lt;=$B$12,$B$134+$B$132*(0-$B$27/2),NA())</f>
        <v>#N/A</v>
      </c>
      <c r="FE275" t="e">
        <f>IF(AND($B$21=1,(19*$B$66)&lt;$B$62),$B$145+$B$144*(0),NA())</f>
        <v>#N/A</v>
      </c>
      <c r="FF275" t="e">
        <f>IF(AND($B$21=1,(19*$B$66)&lt;$B$62),$B$146+$B$144*((19*$B$66)),NA())</f>
        <v>#N/A</v>
      </c>
      <c r="GI275" t="e">
        <f>IF(AND($B$21=1,(19*$B$66)&lt;IF($B$63=1,$B$10-0.2,$B$62)),$B$151+$B$150*(IF((19*$B$66)&lt;=$B$9,0,((19*$B$66)-$B$9)/$B$8)),NA())</f>
        <v>#N/A</v>
      </c>
      <c r="GJ275" t="e">
        <f>IF(AND($B$21=1,(19*$B$66)&lt;IF($B$63=1,$B$10-0.2,$B$62)),$B$152+$B$150*((19*$B$66)),NA())</f>
        <v>#N/A</v>
      </c>
      <c r="HQ275" t="e">
        <f>IF(AND(4&lt;=$B$23,4&lt;=$B$24),$B$157+$B$156*((IF(4=1,1,IF(4=$B$23,$B$12,5*(4-1)))-1)*$B$13),NA())</f>
        <v>#N/A</v>
      </c>
      <c r="HR275" t="e">
        <f>IF(AND(4&lt;=$B$23,4&lt;=$B$24),$B$158+$B$156*((1*$B$5/2+(4-1)*($B$5/2)/$B$24)),NA())</f>
        <v>#N/A</v>
      </c>
      <c r="HS275" t="e">
        <f>IF(AND(12&lt;=$B$12,$B$51&gt;0),$B$157+$B$156*(((12-0.5)*$B$13)-($B$51*$B$13)/2),NA())</f>
        <v>#N/A</v>
      </c>
      <c r="HT275" t="e">
        <f>IF(AND(12&lt;=$B$12,$B$51&gt;0),$B$158+$B$156*((0*$B$5/2+0.6*$B$159)),NA())</f>
        <v>#N/A</v>
      </c>
      <c r="KI275" t="e">
        <f>IF(AND($B$21=1,23*$B$67&gt;$B$59,23*$B$67&lt;$B$178-$B$59,OR($B$63=0,ABS(23*$B$67-$B$178/2)&gt;$B$59/2)),$B$182+$B$181*($B$177*2/4+$B$60/2),NA())</f>
        <v>#N/A</v>
      </c>
      <c r="KJ275" t="e">
        <f>IF(AND($B$21=1,23*$B$67&gt;$B$59,23*$B$67&lt;$B$178-$B$59,OR($B$63=0,ABS(23*$B$67-$B$178/2)&gt;$B$59/2)),$B$183+$B$181*(23*$B$67),NA())</f>
        <v>#N/A</v>
      </c>
    </row>
    <row r="276">
      <c r="K276" t="e">
        <f>IF(15&lt;=$B$12,$B$133+$B$132*($B$13*15+$B$27/2),NA())</f>
        <v>#N/A</v>
      </c>
      <c r="L276" t="e">
        <f>IF(15&lt;=$B$12,$B$134+$B$132*(0-$B$27/2),NA())</f>
        <v>#N/A</v>
      </c>
      <c r="FE276" t="e">
        <f>IF(AND($B$21=1,(19*$B$66)&lt;$B$62),$B$145+$B$144*(IF((19*$B$66)&lt;$B$73,$B$76,$B$75)),NA())</f>
        <v>#N/A</v>
      </c>
      <c r="FF276" t="e">
        <f>IF(AND($B$21=1,(19*$B$66)&lt;$B$62),$B$146+$B$144*((19*$B$66)),NA())</f>
        <v>#N/A</v>
      </c>
      <c r="GI276" t="e">
        <f>IF(AND($B$21=1,(19*$B$66)&lt;IF($B$63=1,$B$10-0.2,$B$62)),$B$151+$B$150*(MAX(IF((19*$B$66)&lt;=$B$9,0,((19*$B$66)-$B$9)/$B$8),MIN(($B$5-IF((19*$B$66)&lt;=$B$9,0,((19*$B$66)-$B$9)/$B$8)),IF((19*$B$66)&lt;$B$104,$B$107,$B$106)))),NA())</f>
        <v>#N/A</v>
      </c>
      <c r="GJ276" t="e">
        <f>IF(AND($B$21=1,(19*$B$66)&lt;IF($B$63=1,$B$10-0.2,$B$62)),$B$152+$B$150*((19*$B$66)),NA())</f>
        <v>#N/A</v>
      </c>
      <c r="HQ276" t="e">
        <f>IF(AND(4&lt;=$B$23,4&lt;=$B$24),$B$157+$B$156*(IF(4=1,1,IF(4=$B$23,$B$12,5*(4-1)))*$B$13),NA())</f>
        <v>#N/A</v>
      </c>
      <c r="HR276" t="e">
        <f>IF(AND(4&lt;=$B$23,4&lt;=$B$24),$B$158+$B$156*((1*$B$5/2+4*($B$5/2)/$B$24)),NA())</f>
        <v>#N/A</v>
      </c>
      <c r="HS276" t="e">
        <f>IF(AND(12&lt;=$B$12,$B$51&gt;0),$B$157+$B$156*(((12-0.5)*$B$13)+($B$51*$B$13)/2),NA())</f>
        <v>#N/A</v>
      </c>
      <c r="HT276" t="e">
        <f>IF(AND(12&lt;=$B$12,$B$51&gt;0),$B$158+$B$156*((0*$B$5/2+0.6*$B$159)+(((0*$B$5/2+$B$5/2-0.6*$B$159))-((0*$B$5/2+0.6*$B$159)))/4),NA())</f>
        <v>#N/A</v>
      </c>
      <c r="KI276" t="e">
        <f>IF(AND($B$21=1,23*$B$67&gt;$B$59,23*$B$67&lt;$B$178-$B$59,OR($B$63=0,ABS(23*$B$67-$B$178/2)&gt;$B$59/2)),$B$182+$B$181*($B$177*3/4-$B$60/2),NA())</f>
        <v>#N/A</v>
      </c>
      <c r="KJ276" t="e">
        <f>IF(AND($B$21=1,23*$B$67&gt;$B$59,23*$B$67&lt;$B$178-$B$59,OR($B$63=0,ABS(23*$B$67-$B$178/2)&gt;$B$59/2)),$B$183+$B$181*(23*$B$67),NA())</f>
        <v>#N/A</v>
      </c>
    </row>
    <row r="277">
      <c r="K277" t="e">
        <f>IF(15&lt;=$B$12,$B$133+$B$132*($B$13*15+$B$27/2),NA())</f>
        <v>#N/A</v>
      </c>
      <c r="L277" t="e">
        <f>IF(15&lt;=$B$12,$B$134+$B$132*(0+$B$27/2),NA())</f>
        <v>#N/A</v>
      </c>
      <c r="FE277" t="e">
        <f>IF(AND(AND($B$21=1,(19*$B$66)&lt;$B$62),(19*$B$66)&gt;=$B$73),$B$145+$B$144*($B$75),NA())</f>
        <v>#N/A</v>
      </c>
      <c r="FF277" t="e">
        <f>IF(AND(AND($B$21=1,(19*$B$66)&lt;$B$62),(19*$B$66)&gt;=$B$73),$B$146+$B$144*((19*$B$66)),NA())</f>
        <v>#N/A</v>
      </c>
      <c r="GI277" t="e">
        <f>IF(AND(AND($B$21=1,(19*$B$66)&lt;IF($B$63=1,$B$10-0.2,$B$62)),(19*$B$66)&gt;=$B$104),$B$151+$B$150*(MAX(IF((19*$B$66)&lt;=$B$9,0,((19*$B$66)-$B$9)/$B$8),MIN(($B$5-IF((19*$B$66)&lt;=$B$9,0,((19*$B$66)-$B$9)/$B$8)),$B$106))),NA())</f>
        <v>#N/A</v>
      </c>
      <c r="GJ277" t="e">
        <f>IF(AND(AND($B$21=1,(19*$B$66)&lt;IF($B$63=1,$B$10-0.2,$B$62)),(19*$B$66)&gt;=$B$104),$B$152+$B$150*((19*$B$66)),NA())</f>
        <v>#N/A</v>
      </c>
      <c r="HQ277" t="e">
        <f>NA()</f>
        <v>#N/A</v>
      </c>
      <c r="HR277" t="e">
        <f>NA()</f>
        <v>#N/A</v>
      </c>
      <c r="HS277" t="e">
        <f>IF(AND(12&lt;=$B$12,$B$51&gt;0),$B$157+$B$156*(((12-0.5)*$B$13)-($B$51*$B$13)/2),NA())</f>
        <v>#N/A</v>
      </c>
      <c r="HT277" t="e">
        <f>IF(AND(12&lt;=$B$12,$B$51&gt;0),$B$158+$B$156*((0*$B$5/2+0.6*$B$159)+(((0*$B$5/2+$B$5/2-0.6*$B$159))-((0*$B$5/2+0.6*$B$159)))/2),NA())</f>
        <v>#N/A</v>
      </c>
      <c r="KI277" t="e">
        <f>NA()</f>
        <v>#N/A</v>
      </c>
      <c r="KJ277" t="e">
        <f>NA()</f>
        <v>#N/A</v>
      </c>
    </row>
    <row r="278">
      <c r="K278" t="e">
        <f>IF(15&lt;=$B$12,$B$133+$B$132*($B$13*15-$B$27/2),NA())</f>
        <v>#N/A</v>
      </c>
      <c r="L278" t="e">
        <f>IF(15&lt;=$B$12,$B$134+$B$132*(0+$B$27/2),NA())</f>
        <v>#N/A</v>
      </c>
      <c r="FE278" t="e">
        <f>IF(AND($B$21=1,(19*$B$66)&lt;$B$62),$B$145+$B$144*(IF((19*$B$66)&lt;$B$73,$B$77,$B$75)),NA())</f>
        <v>#N/A</v>
      </c>
      <c r="FF278" t="e">
        <f>IF(AND($B$21=1,(19*$B$66)&lt;$B$62),$B$146+$B$144*((19*$B$66)),NA())</f>
        <v>#N/A</v>
      </c>
      <c r="GI278" t="e">
        <f>IF(AND($B$21=1,(19*$B$66)&lt;IF($B$63=1,$B$10-0.2,$B$62)),$B$151+$B$150*(MAX(IF((19*$B$66)&lt;=$B$9,0,((19*$B$66)-$B$9)/$B$8),MIN(($B$5-IF((19*$B$66)&lt;=$B$9,0,((19*$B$66)-$B$9)/$B$8)),IF((19*$B$66)&lt;$B$104,$B$108,$B$106)))),NA())</f>
        <v>#N/A</v>
      </c>
      <c r="GJ278" t="e">
        <f>IF(AND($B$21=1,(19*$B$66)&lt;IF($B$63=1,$B$10-0.2,$B$62)),$B$152+$B$150*((19*$B$66)),NA())</f>
        <v>#N/A</v>
      </c>
      <c r="HQ278" t="e">
        <f>IF(AND(4&lt;=$B$23,4&lt;=$B$24),$B$157+$B$156*((IF(4=1,1,IF(4=$B$23,$B$12,5*(4-1)))-1)*$B$13),NA())</f>
        <v>#N/A</v>
      </c>
      <c r="HR278" t="e">
        <f>IF(AND(4&lt;=$B$23,4&lt;=$B$24),$B$158+$B$156*((1*$B$5/2+4*($B$5/2)/$B$24)),NA())</f>
        <v>#N/A</v>
      </c>
      <c r="HS278" t="e">
        <f>IF(AND(12&lt;=$B$12,$B$51&gt;0),$B$157+$B$156*(((12-0.5)*$B$13)+($B$51*$B$13)/2),NA())</f>
        <v>#N/A</v>
      </c>
      <c r="HT278" t="e">
        <f>IF(AND(12&lt;=$B$12,$B$51&gt;0),$B$158+$B$156*((0*$B$5/2+0.6*$B$159)+3*(((0*$B$5/2+$B$5/2-0.6*$B$159))-((0*$B$5/2+0.6*$B$159)))/4),NA())</f>
        <v>#N/A</v>
      </c>
      <c r="KI278" t="e">
        <f>IF(AND($B$21=1,23*$B$67&gt;$B$59,23*$B$67&lt;$B$178-$B$59,OR($B$63=0,ABS(23*$B$67-$B$178/2)&gt;$B$59/2)),$B$182+$B$181*($B$177*3/4+$B$60/2),NA())</f>
        <v>#N/A</v>
      </c>
      <c r="KJ278" t="e">
        <f>IF(AND($B$21=1,23*$B$67&gt;$B$59,23*$B$67&lt;$B$178-$B$59,OR($B$63=0,ABS(23*$B$67-$B$178/2)&gt;$B$59/2)),$B$183+$B$181*(23*$B$67),NA())</f>
        <v>#N/A</v>
      </c>
    </row>
    <row r="279">
      <c r="K279" t="e">
        <f>IF(15&lt;=$B$12,$B$133+$B$132*($B$13*15-$B$27/2),NA())</f>
        <v>#N/A</v>
      </c>
      <c r="L279" t="e">
        <f>IF(15&lt;=$B$12,$B$134+$B$132*(0-$B$27/2),NA())</f>
        <v>#N/A</v>
      </c>
      <c r="FE279" t="e">
        <f>IF(AND($B$21=1,(19*$B$66)&lt;$B$62),$B$145+$B$144*(IF((19*$B$66)&lt;$B$80,$B$83,$B$82)),NA())</f>
        <v>#N/A</v>
      </c>
      <c r="FF279" t="e">
        <f>IF(AND($B$21=1,(19*$B$66)&lt;$B$62),$B$146+$B$144*((19*$B$66)),NA())</f>
        <v>#N/A</v>
      </c>
      <c r="GI279" t="e">
        <f>IF(AND($B$21=1,(19*$B$66)&lt;IF($B$63=1,$B$10-0.2,$B$62)),$B$151+$B$150*(MAX(IF((19*$B$66)&lt;=$B$9,0,((19*$B$66)-$B$9)/$B$8),MIN(($B$5-IF((19*$B$66)&lt;=$B$9,0,((19*$B$66)-$B$9)/$B$8)),IF((19*$B$66)&lt;$B$111,$B$114,$B$113)))),NA())</f>
        <v>#N/A</v>
      </c>
      <c r="GJ279" t="e">
        <f>IF(AND($B$21=1,(19*$B$66)&lt;IF($B$63=1,$B$10-0.2,$B$62)),$B$152+$B$150*((19*$B$66)),NA())</f>
        <v>#N/A</v>
      </c>
      <c r="HQ279" t="e">
        <f>IF(AND(4&lt;=$B$23,4&lt;=$B$24),$B$157+$B$156*(IF(4=1,1,IF(4=$B$23,$B$12,5*(4-1)))*$B$13),NA())</f>
        <v>#N/A</v>
      </c>
      <c r="HR279" t="e">
        <f>IF(AND(4&lt;=$B$23,4&lt;=$B$24),$B$158+$B$156*((1*$B$5/2+(4-1)*($B$5/2)/$B$24)),NA())</f>
        <v>#N/A</v>
      </c>
      <c r="HS279" t="e">
        <f>IF(AND(12&lt;=$B$12,$B$51&gt;0),$B$157+$B$156*(((12-0.5)*$B$13)-($B$51*$B$13)/2),NA())</f>
        <v>#N/A</v>
      </c>
      <c r="HT279" t="e">
        <f>IF(AND(12&lt;=$B$12,$B$51&gt;0),$B$158+$B$156*((0*$B$5/2+$B$5/2-0.6*$B$159)),NA())</f>
        <v>#N/A</v>
      </c>
      <c r="KI279" t="e">
        <f>IF(AND($B$21=1,23*$B$67&gt;$B$59,23*$B$67&lt;$B$178-$B$59,OR($B$63=0,ABS(23*$B$67-$B$178/2)&gt;$B$59/2)),$B$182+$B$181*($B$177),NA())</f>
        <v>#N/A</v>
      </c>
      <c r="KJ279" t="e">
        <f>IF(AND($B$21=1,23*$B$67&gt;$B$59,23*$B$67&lt;$B$178-$B$59,OR($B$63=0,ABS(23*$B$67-$B$178/2)&gt;$B$59/2)),$B$183+$B$181*(23*$B$67),NA())</f>
        <v>#N/A</v>
      </c>
    </row>
    <row r="280">
      <c r="K280" t="e">
        <f>NA()</f>
        <v>#N/A</v>
      </c>
      <c r="L280" t="e">
        <f>NA()</f>
        <v>#N/A</v>
      </c>
      <c r="FE280" t="e">
        <f>IF(AND(AND($B$21=1,(19*$B$66)&lt;$B$62),(19*$B$66)&gt;=$B$80),$B$145+$B$144*($B$82),NA())</f>
        <v>#N/A</v>
      </c>
      <c r="FF280" t="e">
        <f>IF(AND(AND($B$21=1,(19*$B$66)&lt;$B$62),(19*$B$66)&gt;=$B$80),$B$146+$B$144*((19*$B$66)),NA())</f>
        <v>#N/A</v>
      </c>
      <c r="GI280" t="e">
        <f>IF(AND(AND($B$21=1,(19*$B$66)&lt;IF($B$63=1,$B$10-0.2,$B$62)),(19*$B$66)&gt;=$B$111),$B$151+$B$150*(MAX(IF((19*$B$66)&lt;=$B$9,0,((19*$B$66)-$B$9)/$B$8),MIN(($B$5-IF((19*$B$66)&lt;=$B$9,0,((19*$B$66)-$B$9)/$B$8)),$B$113))),NA())</f>
        <v>#N/A</v>
      </c>
      <c r="GJ280" t="e">
        <f>IF(AND(AND($B$21=1,(19*$B$66)&lt;IF($B$63=1,$B$10-0.2,$B$62)),(19*$B$66)&gt;=$B$111),$B$152+$B$150*((19*$B$66)),NA())</f>
        <v>#N/A</v>
      </c>
      <c r="HQ280" t="e">
        <f>NA()</f>
        <v>#N/A</v>
      </c>
      <c r="HR280" t="e">
        <f>NA()</f>
        <v>#N/A</v>
      </c>
      <c r="HS280" t="e">
        <f>NA()</f>
        <v>#N/A</v>
      </c>
      <c r="HT280" t="e">
        <f>NA()</f>
        <v>#N/A</v>
      </c>
      <c r="KI280" t="e">
        <f>NA()</f>
        <v>#N/A</v>
      </c>
      <c r="KJ280" t="e">
        <f>NA()</f>
        <v>#N/A</v>
      </c>
    </row>
    <row r="281">
      <c r="K281" t="e">
        <f>IF(15&lt;=$B$12,$B$133+$B$132*($B$13*15-$B$27/2),NA())</f>
        <v>#N/A</v>
      </c>
      <c r="L281" t="e">
        <f>IF(15&lt;=$B$12,$B$134+$B$132*($B$5-$B$27/2),NA())</f>
        <v>#N/A</v>
      </c>
      <c r="FE281" t="e">
        <f>IF(AND($B$21=1,(19*$B$66)&lt;$B$62),$B$145+$B$144*(IF((19*$B$66)&lt;$B$80,$B$84,$B$82)),NA())</f>
        <v>#N/A</v>
      </c>
      <c r="FF281" t="e">
        <f>IF(AND($B$21=1,(19*$B$66)&lt;$B$62),$B$146+$B$144*((19*$B$66)),NA())</f>
        <v>#N/A</v>
      </c>
      <c r="GI281" t="e">
        <f>IF(AND($B$21=1,(19*$B$66)&lt;IF($B$63=1,$B$10-0.2,$B$62)),$B$151+$B$150*(MAX(IF((19*$B$66)&lt;=$B$9,0,((19*$B$66)-$B$9)/$B$8),MIN(($B$5-IF((19*$B$66)&lt;=$B$9,0,((19*$B$66)-$B$9)/$B$8)),IF((19*$B$66)&lt;$B$111,$B$115,$B$113)))),NA())</f>
        <v>#N/A</v>
      </c>
      <c r="GJ281" t="e">
        <f>IF(AND($B$21=1,(19*$B$66)&lt;IF($B$63=1,$B$10-0.2,$B$62)),$B$152+$B$150*((19*$B$66)),NA())</f>
        <v>#N/A</v>
      </c>
      <c r="HQ281" t="e">
        <f>IF(AND(4&lt;=$B$23,5&lt;=$B$24),$B$157+$B$156*((IF(4=1,1,IF(4=$B$23,$B$12,5*(4-1)))-1)*$B$13),NA())</f>
        <v>#N/A</v>
      </c>
      <c r="HR281" t="e">
        <f>IF(AND(4&lt;=$B$23,5&lt;=$B$24),$B$158+$B$156*((1*$B$5/2+(5-1)*($B$5/2)/$B$24)),NA())</f>
        <v>#N/A</v>
      </c>
      <c r="HS281" t="e">
        <f>IF(AND(12&lt;=$B$12,$B$51&gt;0),$B$157+$B$156*(((12-0.5)*$B$13)-($B$51*$B$13)/2),NA())</f>
        <v>#N/A</v>
      </c>
      <c r="HT281" t="e">
        <f>IF(AND(12&lt;=$B$12,$B$51&gt;0),$B$158+$B$156*((1*$B$5/2+0.6*$B$159)),NA())</f>
        <v>#N/A</v>
      </c>
      <c r="KI281" t="e">
        <f>IF(AND($B$21=1,24*$B$67&gt;$B$59,24*$B$67&lt;$B$178-$B$59,OR($B$63=0,ABS(24*$B$67-$B$178/2)&gt;$B$59/2)),$B$182+$B$181*(0),NA())</f>
        <v>#N/A</v>
      </c>
      <c r="KJ281" t="e">
        <f>IF(AND($B$21=1,24*$B$67&gt;$B$59,24*$B$67&lt;$B$178-$B$59,OR($B$63=0,ABS(24*$B$67-$B$178/2)&gt;$B$59/2)),$B$183+$B$181*(24*$B$67),NA())</f>
        <v>#N/A</v>
      </c>
    </row>
    <row r="282">
      <c r="K282" t="e">
        <f>IF(15&lt;=$B$12,$B$133+$B$132*($B$13*15+$B$27/2),NA())</f>
        <v>#N/A</v>
      </c>
      <c r="L282" t="e">
        <f>IF(15&lt;=$B$12,$B$134+$B$132*($B$5-$B$27/2),NA())</f>
        <v>#N/A</v>
      </c>
      <c r="FE282" t="e">
        <f>IF(AND($B$21=1,(19*$B$66)&lt;$B$62),$B$145+$B$144*(IF((19*$B$66)&lt;$B$87,$B$90,$B$89)),NA())</f>
        <v>#N/A</v>
      </c>
      <c r="FF282" t="e">
        <f>IF(AND($B$21=1,(19*$B$66)&lt;$B$62),$B$146+$B$144*((19*$B$66)),NA())</f>
        <v>#N/A</v>
      </c>
      <c r="GI282" t="e">
        <f>IF(AND($B$21=1,(19*$B$66)&lt;IF($B$63=1,$B$10-0.2,$B$62)),$B$151+$B$150*(MAX(IF((19*$B$66)&lt;=$B$9,0,((19*$B$66)-$B$9)/$B$8),MIN(($B$5-IF((19*$B$66)&lt;=$B$9,0,((19*$B$66)-$B$9)/$B$8)),IF((19*$B$66)&lt;$B$118,$B$121,$B$120)))),NA())</f>
        <v>#N/A</v>
      </c>
      <c r="GJ282" t="e">
        <f>IF(AND($B$21=1,(19*$B$66)&lt;IF($B$63=1,$B$10-0.2,$B$62)),$B$152+$B$150*((19*$B$66)),NA())</f>
        <v>#N/A</v>
      </c>
      <c r="HQ282" t="e">
        <f>IF(AND(4&lt;=$B$23,5&lt;=$B$24),$B$157+$B$156*(IF(4=1,1,IF(4=$B$23,$B$12,5*(4-1)))*$B$13),NA())</f>
        <v>#N/A</v>
      </c>
      <c r="HR282" t="e">
        <f>IF(AND(4&lt;=$B$23,5&lt;=$B$24),$B$158+$B$156*((1*$B$5/2+5*($B$5/2)/$B$24)),NA())</f>
        <v>#N/A</v>
      </c>
      <c r="HS282" t="e">
        <f>IF(AND(12&lt;=$B$12,$B$51&gt;0),$B$157+$B$156*(((12-0.5)*$B$13)+($B$51*$B$13)/2),NA())</f>
        <v>#N/A</v>
      </c>
      <c r="HT282" t="e">
        <f>IF(AND(12&lt;=$B$12,$B$51&gt;0),$B$158+$B$156*((1*$B$5/2+0.6*$B$159)),NA())</f>
        <v>#N/A</v>
      </c>
      <c r="KI282" t="e">
        <f>IF(AND($B$21=1,24*$B$67&gt;$B$59,24*$B$67&lt;$B$178-$B$59,OR($B$63=0,ABS(24*$B$67-$B$178/2)&gt;$B$59/2)),$B$182+$B$181*($B$177*1/4-$B$60/2),NA())</f>
        <v>#N/A</v>
      </c>
      <c r="KJ282" t="e">
        <f>IF(AND($B$21=1,24*$B$67&gt;$B$59,24*$B$67&lt;$B$178-$B$59,OR($B$63=0,ABS(24*$B$67-$B$178/2)&gt;$B$59/2)),$B$183+$B$181*(24*$B$67),NA())</f>
        <v>#N/A</v>
      </c>
    </row>
    <row r="283">
      <c r="K283" t="e">
        <f>IF(15&lt;=$B$12,$B$133+$B$132*($B$13*15+$B$27/2),NA())</f>
        <v>#N/A</v>
      </c>
      <c r="L283" t="e">
        <f>IF(15&lt;=$B$12,$B$134+$B$132*($B$5+$B$27/2),NA())</f>
        <v>#N/A</v>
      </c>
      <c r="FE283" t="e">
        <f>IF(AND(AND($B$21=1,(19*$B$66)&lt;$B$62),(19*$B$66)&gt;=$B$87),$B$145+$B$144*($B$89),NA())</f>
        <v>#N/A</v>
      </c>
      <c r="FF283" t="e">
        <f>IF(AND(AND($B$21=1,(19*$B$66)&lt;$B$62),(19*$B$66)&gt;=$B$87),$B$146+$B$144*((19*$B$66)),NA())</f>
        <v>#N/A</v>
      </c>
      <c r="GI283" t="e">
        <f>IF(AND(AND($B$21=1,(19*$B$66)&lt;IF($B$63=1,$B$10-0.2,$B$62)),(19*$B$66)&gt;=$B$118),$B$151+$B$150*(MAX(IF((19*$B$66)&lt;=$B$9,0,((19*$B$66)-$B$9)/$B$8),MIN(($B$5-IF((19*$B$66)&lt;=$B$9,0,((19*$B$66)-$B$9)/$B$8)),$B$120))),NA())</f>
        <v>#N/A</v>
      </c>
      <c r="GJ283" t="e">
        <f>IF(AND(AND($B$21=1,(19*$B$66)&lt;IF($B$63=1,$B$10-0.2,$B$62)),(19*$B$66)&gt;=$B$118),$B$152+$B$150*((19*$B$66)),NA())</f>
        <v>#N/A</v>
      </c>
      <c r="HQ283" t="e">
        <f>NA()</f>
        <v>#N/A</v>
      </c>
      <c r="HR283" t="e">
        <f>NA()</f>
        <v>#N/A</v>
      </c>
      <c r="HS283" t="e">
        <f>IF(AND(12&lt;=$B$12,$B$51&gt;0),$B$157+$B$156*(((12-0.5)*$B$13)+($B$51*$B$13)/2),NA())</f>
        <v>#N/A</v>
      </c>
      <c r="HT283" t="e">
        <f>IF(AND(12&lt;=$B$12,$B$51&gt;0),$B$158+$B$156*((1*$B$5/2+$B$5/2-0.6*$B$159)),NA())</f>
        <v>#N/A</v>
      </c>
      <c r="KI283" t="e">
        <f>NA()</f>
        <v>#N/A</v>
      </c>
      <c r="KJ283" t="e">
        <f>NA()</f>
        <v>#N/A</v>
      </c>
    </row>
    <row r="284">
      <c r="K284" t="e">
        <f>IF(15&lt;=$B$12,$B$133+$B$132*($B$13*15-$B$27/2),NA())</f>
        <v>#N/A</v>
      </c>
      <c r="L284" t="e">
        <f>IF(15&lt;=$B$12,$B$134+$B$132*($B$5+$B$27/2),NA())</f>
        <v>#N/A</v>
      </c>
      <c r="FE284" t="e">
        <f>IF(AND($B$21=1,(19*$B$66)&lt;$B$62),$B$145+$B$144*(IF((19*$B$66)&lt;$B$87,$B$91,$B$89)),NA())</f>
        <v>#N/A</v>
      </c>
      <c r="FF284" t="e">
        <f>IF(AND($B$21=1,(19*$B$66)&lt;$B$62),$B$146+$B$144*((19*$B$66)),NA())</f>
        <v>#N/A</v>
      </c>
      <c r="GI284" t="e">
        <f>IF(AND($B$21=1,(19*$B$66)&lt;IF($B$63=1,$B$10-0.2,$B$62)),$B$151+$B$150*(MAX(IF((19*$B$66)&lt;=$B$9,0,((19*$B$66)-$B$9)/$B$8),MIN(($B$5-IF((19*$B$66)&lt;=$B$9,0,((19*$B$66)-$B$9)/$B$8)),IF((19*$B$66)&lt;$B$118,$B$122,$B$120)))),NA())</f>
        <v>#N/A</v>
      </c>
      <c r="GJ284" t="e">
        <f>IF(AND($B$21=1,(19*$B$66)&lt;IF($B$63=1,$B$10-0.2,$B$62)),$B$152+$B$150*((19*$B$66)),NA())</f>
        <v>#N/A</v>
      </c>
      <c r="HQ284" t="e">
        <f>IF(AND(4&lt;=$B$23,5&lt;=$B$24),$B$157+$B$156*((IF(4=1,1,IF(4=$B$23,$B$12,5*(4-1)))-1)*$B$13),NA())</f>
        <v>#N/A</v>
      </c>
      <c r="HR284" t="e">
        <f>IF(AND(4&lt;=$B$23,5&lt;=$B$24),$B$158+$B$156*((1*$B$5/2+5*($B$5/2)/$B$24)),NA())</f>
        <v>#N/A</v>
      </c>
      <c r="HS284" t="e">
        <f>IF(AND(12&lt;=$B$12,$B$51&gt;0),$B$157+$B$156*(((12-0.5)*$B$13)-($B$51*$B$13)/2),NA())</f>
        <v>#N/A</v>
      </c>
      <c r="HT284" t="e">
        <f>IF(AND(12&lt;=$B$12,$B$51&gt;0),$B$158+$B$156*((1*$B$5/2+$B$5/2-0.6*$B$159)),NA())</f>
        <v>#N/A</v>
      </c>
      <c r="KI284" t="e">
        <f>IF(AND($B$21=1,24*$B$67&gt;$B$59,24*$B$67&lt;$B$178-$B$59,OR($B$63=0,ABS(24*$B$67-$B$178/2)&gt;$B$59/2)),$B$182+$B$181*($B$177*1/4+$B$60/2),NA())</f>
        <v>#N/A</v>
      </c>
      <c r="KJ284" t="e">
        <f>IF(AND($B$21=1,24*$B$67&gt;$B$59,24*$B$67&lt;$B$178-$B$59,OR($B$63=0,ABS(24*$B$67-$B$178/2)&gt;$B$59/2)),$B$183+$B$181*(24*$B$67),NA())</f>
        <v>#N/A</v>
      </c>
    </row>
    <row r="285">
      <c r="K285" t="e">
        <f>IF(15&lt;=$B$12,$B$133+$B$132*($B$13*15-$B$27/2),NA())</f>
        <v>#N/A</v>
      </c>
      <c r="L285" t="e">
        <f>IF(15&lt;=$B$12,$B$134+$B$132*($B$5-$B$27/2),NA())</f>
        <v>#N/A</v>
      </c>
      <c r="FE285" t="e">
        <f>IF(AND($B$21=1,(19*$B$66)&lt;$B$62),$B$145+$B$144*(IF((19*$B$66)&lt;$B$94,$B$97,$B$96)),NA())</f>
        <v>#N/A</v>
      </c>
      <c r="FF285" t="e">
        <f>IF(AND($B$21=1,(19*$B$66)&lt;$B$62),$B$146+$B$144*((19*$B$66)),NA())</f>
        <v>#N/A</v>
      </c>
      <c r="GI285" t="e">
        <f>IF(AND($B$21=1,(19*$B$66)&lt;IF($B$63=1,$B$10-0.2,$B$62)),$B$151+$B$150*(MAX(IF((19*$B$66)&lt;=$B$9,0,((19*$B$66)-$B$9)/$B$8),MIN(($B$5-IF((19*$B$66)&lt;=$B$9,0,((19*$B$66)-$B$9)/$B$8)),IF((19*$B$66)&lt;$B$125,$B$128,$B$127)))),NA())</f>
        <v>#N/A</v>
      </c>
      <c r="GJ285" t="e">
        <f>IF(AND($B$21=1,(19*$B$66)&lt;IF($B$63=1,$B$10-0.2,$B$62)),$B$152+$B$150*((19*$B$66)),NA())</f>
        <v>#N/A</v>
      </c>
      <c r="HQ285" t="e">
        <f>IF(AND(4&lt;=$B$23,5&lt;=$B$24),$B$157+$B$156*(IF(4=1,1,IF(4=$B$23,$B$12,5*(4-1)))*$B$13),NA())</f>
        <v>#N/A</v>
      </c>
      <c r="HR285" t="e">
        <f>IF(AND(4&lt;=$B$23,5&lt;=$B$24),$B$158+$B$156*((1*$B$5/2+(5-1)*($B$5/2)/$B$24)),NA())</f>
        <v>#N/A</v>
      </c>
      <c r="HS285" t="e">
        <f>IF(AND(12&lt;=$B$12,$B$51&gt;0),$B$157+$B$156*(((12-0.5)*$B$13)-($B$51*$B$13)/2),NA())</f>
        <v>#N/A</v>
      </c>
      <c r="HT285" t="e">
        <f>IF(AND(12&lt;=$B$12,$B$51&gt;0),$B$158+$B$156*((1*$B$5/2+0.6*$B$159)),NA())</f>
        <v>#N/A</v>
      </c>
      <c r="KI285" t="e">
        <f>IF(AND($B$21=1,24*$B$67&gt;$B$59,24*$B$67&lt;$B$178-$B$59,OR($B$63=0,ABS(24*$B$67-$B$178/2)&gt;$B$59/2)),$B$182+$B$181*($B$177*2/4-$B$60/2),NA())</f>
        <v>#N/A</v>
      </c>
      <c r="KJ285" t="e">
        <f>IF(AND($B$21=1,24*$B$67&gt;$B$59,24*$B$67&lt;$B$178-$B$59,OR($B$63=0,ABS(24*$B$67-$B$178/2)&gt;$B$59/2)),$B$183+$B$181*(24*$B$67),NA())</f>
        <v>#N/A</v>
      </c>
    </row>
    <row r="286">
      <c r="K286" t="e">
        <f>NA()</f>
        <v>#N/A</v>
      </c>
      <c r="L286" t="e">
        <f>NA()</f>
        <v>#N/A</v>
      </c>
      <c r="FE286" t="e">
        <f>IF(AND(AND($B$21=1,(19*$B$66)&lt;$B$62),(19*$B$66)&gt;=$B$94),$B$145+$B$144*($B$96),NA())</f>
        <v>#N/A</v>
      </c>
      <c r="FF286" t="e">
        <f>IF(AND(AND($B$21=1,(19*$B$66)&lt;$B$62),(19*$B$66)&gt;=$B$94),$B$146+$B$144*((19*$B$66)),NA())</f>
        <v>#N/A</v>
      </c>
      <c r="GI286" t="e">
        <f>IF(AND(AND($B$21=1,(19*$B$66)&lt;IF($B$63=1,$B$10-0.2,$B$62)),(19*$B$66)&gt;=$B$125),$B$151+$B$150*(MAX(IF((19*$B$66)&lt;=$B$9,0,((19*$B$66)-$B$9)/$B$8),MIN(($B$5-IF((19*$B$66)&lt;=$B$9,0,((19*$B$66)-$B$9)/$B$8)),$B$127))),NA())</f>
        <v>#N/A</v>
      </c>
      <c r="GJ286" t="e">
        <f>IF(AND(AND($B$21=1,(19*$B$66)&lt;IF($B$63=1,$B$10-0.2,$B$62)),(19*$B$66)&gt;=$B$125),$B$152+$B$150*((19*$B$66)),NA())</f>
        <v>#N/A</v>
      </c>
      <c r="HQ286" t="e">
        <f>NA()</f>
        <v>#N/A</v>
      </c>
      <c r="HR286" t="e">
        <f>NA()</f>
        <v>#N/A</v>
      </c>
      <c r="HS286" t="e">
        <f>NA()</f>
        <v>#N/A</v>
      </c>
      <c r="HT286" t="e">
        <f>NA()</f>
        <v>#N/A</v>
      </c>
      <c r="KI286" t="e">
        <f>NA()</f>
        <v>#N/A</v>
      </c>
      <c r="KJ286" t="e">
        <f>NA()</f>
        <v>#N/A</v>
      </c>
    </row>
    <row r="287">
      <c r="K287" t="e">
        <f>IF(AND(15&lt;=$B$12,$B$45=1),$B$133+$B$132*($B$13*15-$B$27/2),NA())</f>
        <v>#N/A</v>
      </c>
      <c r="L287" t="e">
        <f>IF(AND(15&lt;=$B$12,$B$45=1),$B$134+$B$132*($B$5/2-$B$27/2),NA())</f>
        <v>#N/A</v>
      </c>
      <c r="FE287" t="e">
        <f>IF(AND($B$21=1,(19*$B$66)&lt;$B$62),$B$145+$B$144*(IF((19*$B$66)&lt;$B$94,$B$98,$B$96)),NA())</f>
        <v>#N/A</v>
      </c>
      <c r="FF287" t="e">
        <f>IF(AND($B$21=1,(19*$B$66)&lt;$B$62),$B$146+$B$144*((19*$B$66)),NA())</f>
        <v>#N/A</v>
      </c>
      <c r="GI287" t="e">
        <f>IF(AND($B$21=1,(19*$B$66)&lt;IF($B$63=1,$B$10-0.2,$B$62)),$B$151+$B$150*(MAX(IF((19*$B$66)&lt;=$B$9,0,((19*$B$66)-$B$9)/$B$8),MIN(($B$5-IF((19*$B$66)&lt;=$B$9,0,((19*$B$66)-$B$9)/$B$8)),IF((19*$B$66)&lt;$B$125,$B$129,$B$127)))),NA())</f>
        <v>#N/A</v>
      </c>
      <c r="GJ287" t="e">
        <f>IF(AND($B$21=1,(19*$B$66)&lt;IF($B$63=1,$B$10-0.2,$B$62)),$B$152+$B$150*((19*$B$66)),NA())</f>
        <v>#N/A</v>
      </c>
      <c r="HQ287" t="e">
        <f>IF(AND(4&lt;=$B$23,6&lt;=$B$24),$B$157+$B$156*((IF(4=1,1,IF(4=$B$23,$B$12,5*(4-1)))-1)*$B$13),NA())</f>
        <v>#N/A</v>
      </c>
      <c r="HR287" t="e">
        <f>IF(AND(4&lt;=$B$23,6&lt;=$B$24),$B$158+$B$156*((1*$B$5/2+(6-1)*($B$5/2)/$B$24)),NA())</f>
        <v>#N/A</v>
      </c>
      <c r="HS287" t="e">
        <f>IF(AND(12&lt;=$B$12,$B$51&gt;0),$B$157+$B$156*(((12-0.5)*$B$13)-($B$51*$B$13)/2),NA())</f>
        <v>#N/A</v>
      </c>
      <c r="HT287" t="e">
        <f>IF(AND(12&lt;=$B$12,$B$51&gt;0),$B$158+$B$156*((1*$B$5/2+0.6*$B$159)),NA())</f>
        <v>#N/A</v>
      </c>
      <c r="KI287" t="e">
        <f>IF(AND($B$21=1,24*$B$67&gt;$B$59,24*$B$67&lt;$B$178-$B$59,OR($B$63=0,ABS(24*$B$67-$B$178/2)&gt;$B$59/2)),$B$182+$B$181*($B$177*2/4+$B$60/2),NA())</f>
        <v>#N/A</v>
      </c>
      <c r="KJ287" t="e">
        <f>IF(AND($B$21=1,24*$B$67&gt;$B$59,24*$B$67&lt;$B$178-$B$59,OR($B$63=0,ABS(24*$B$67-$B$178/2)&gt;$B$59/2)),$B$183+$B$181*(24*$B$67),NA())</f>
        <v>#N/A</v>
      </c>
    </row>
    <row r="288">
      <c r="K288" t="e">
        <f>IF(AND(15&lt;=$B$12,$B$45=1),$B$133+$B$132*($B$13*15+$B$27/2),NA())</f>
        <v>#N/A</v>
      </c>
      <c r="L288" t="e">
        <f>IF(AND(15&lt;=$B$12,$B$45=1),$B$134+$B$132*($B$5/2-$B$27/2),NA())</f>
        <v>#N/A</v>
      </c>
      <c r="FE288" t="e">
        <f>IF(AND($B$21=1,(19*$B$66)&lt;$B$62),$B$145+$B$144*($B$6),NA())</f>
        <v>#N/A</v>
      </c>
      <c r="FF288" t="e">
        <f>IF(AND($B$21=1,(19*$B$66)&lt;$B$62),$B$146+$B$144*((19*$B$66)),NA())</f>
        <v>#N/A</v>
      </c>
      <c r="GI288" t="e">
        <f>IF(AND($B$21=1,(19*$B$66)&lt;IF($B$63=1,$B$10-0.2,$B$62)),$B$151+$B$150*(($B$5-IF((19*$B$66)&lt;=$B$9,0,((19*$B$66)-$B$9)/$B$8))),NA())</f>
        <v>#N/A</v>
      </c>
      <c r="GJ288" t="e">
        <f>IF(AND($B$21=1,(19*$B$66)&lt;IF($B$63=1,$B$10-0.2,$B$62)),$B$152+$B$150*((19*$B$66)),NA())</f>
        <v>#N/A</v>
      </c>
      <c r="HQ288" t="e">
        <f>IF(AND(4&lt;=$B$23,6&lt;=$B$24),$B$157+$B$156*(IF(4=1,1,IF(4=$B$23,$B$12,5*(4-1)))*$B$13),NA())</f>
        <v>#N/A</v>
      </c>
      <c r="HR288" t="e">
        <f>IF(AND(4&lt;=$B$23,6&lt;=$B$24),$B$158+$B$156*((1*$B$5/2+6*($B$5/2)/$B$24)),NA())</f>
        <v>#N/A</v>
      </c>
      <c r="HS288" t="e">
        <f>IF(AND(12&lt;=$B$12,$B$51&gt;0),$B$157+$B$156*(((12-0.5)*$B$13)+($B$51*$B$13)/2),NA())</f>
        <v>#N/A</v>
      </c>
      <c r="HT288" t="e">
        <f>IF(AND(12&lt;=$B$12,$B$51&gt;0),$B$158+$B$156*((1*$B$5/2+0.6*$B$159)+(((1*$B$5/2+$B$5/2-0.6*$B$159))-((1*$B$5/2+0.6*$B$159)))/4),NA())</f>
        <v>#N/A</v>
      </c>
      <c r="KI288" t="e">
        <f>IF(AND($B$21=1,24*$B$67&gt;$B$59,24*$B$67&lt;$B$178-$B$59,OR($B$63=0,ABS(24*$B$67-$B$178/2)&gt;$B$59/2)),$B$182+$B$181*($B$177*3/4-$B$60/2),NA())</f>
        <v>#N/A</v>
      </c>
      <c r="KJ288" t="e">
        <f>IF(AND($B$21=1,24*$B$67&gt;$B$59,24*$B$67&lt;$B$178-$B$59,OR($B$63=0,ABS(24*$B$67-$B$178/2)&gt;$B$59/2)),$B$183+$B$181*(24*$B$67),NA())</f>
        <v>#N/A</v>
      </c>
    </row>
    <row r="289">
      <c r="K289" t="e">
        <f>IF(AND(15&lt;=$B$12,$B$45=1),$B$133+$B$132*($B$13*15+$B$27/2),NA())</f>
        <v>#N/A</v>
      </c>
      <c r="L289" t="e">
        <f>IF(AND(15&lt;=$B$12,$B$45=1),$B$134+$B$132*($B$5/2+$B$27/2),NA())</f>
        <v>#N/A</v>
      </c>
      <c r="FE289" t="e">
        <f>NA()</f>
        <v>#N/A</v>
      </c>
      <c r="FF289" t="e">
        <f>NA()</f>
        <v>#N/A</v>
      </c>
      <c r="GI289" t="e">
        <f>NA()</f>
        <v>#N/A</v>
      </c>
      <c r="GJ289" t="e">
        <f>NA()</f>
        <v>#N/A</v>
      </c>
      <c r="HQ289" t="e">
        <f>NA()</f>
        <v>#N/A</v>
      </c>
      <c r="HR289" t="e">
        <f>NA()</f>
        <v>#N/A</v>
      </c>
      <c r="HS289" t="e">
        <f>IF(AND(12&lt;=$B$12,$B$51&gt;0),$B$157+$B$156*(((12-0.5)*$B$13)-($B$51*$B$13)/2),NA())</f>
        <v>#N/A</v>
      </c>
      <c r="HT289" t="e">
        <f>IF(AND(12&lt;=$B$12,$B$51&gt;0),$B$158+$B$156*((1*$B$5/2+0.6*$B$159)+(((1*$B$5/2+$B$5/2-0.6*$B$159))-((1*$B$5/2+0.6*$B$159)))/2),NA())</f>
        <v>#N/A</v>
      </c>
      <c r="KI289" t="e">
        <f>NA()</f>
        <v>#N/A</v>
      </c>
      <c r="KJ289" t="e">
        <f>NA()</f>
        <v>#N/A</v>
      </c>
    </row>
    <row r="290">
      <c r="K290" t="e">
        <f>IF(AND(15&lt;=$B$12,$B$45=1),$B$133+$B$132*($B$13*15-$B$27/2),NA())</f>
        <v>#N/A</v>
      </c>
      <c r="L290" t="e">
        <f>IF(AND(15&lt;=$B$12,$B$45=1),$B$134+$B$132*($B$5/2+$B$27/2),NA())</f>
        <v>#N/A</v>
      </c>
      <c r="FE290" t="e">
        <f>IF(AND($B$21=1,(20*$B$66)&lt;$B$62),$B$145+$B$144*(0),NA())</f>
        <v>#N/A</v>
      </c>
      <c r="FF290" t="e">
        <f>IF(AND($B$21=1,(20*$B$66)&lt;$B$62),$B$146+$B$144*((20*$B$66)),NA())</f>
        <v>#N/A</v>
      </c>
      <c r="GI290" t="e">
        <f>IF(AND($B$21=1,(20*$B$66)&lt;IF($B$63=1,$B$10-0.2,$B$62)),$B$151+$B$150*(IF((20*$B$66)&lt;=$B$9,0,((20*$B$66)-$B$9)/$B$8)),NA())</f>
        <v>#N/A</v>
      </c>
      <c r="GJ290" t="e">
        <f>IF(AND($B$21=1,(20*$B$66)&lt;IF($B$63=1,$B$10-0.2,$B$62)),$B$152+$B$150*((20*$B$66)),NA())</f>
        <v>#N/A</v>
      </c>
      <c r="HQ290" t="e">
        <f>IF(AND(4&lt;=$B$23,6&lt;=$B$24),$B$157+$B$156*((IF(4=1,1,IF(4=$B$23,$B$12,5*(4-1)))-1)*$B$13),NA())</f>
        <v>#N/A</v>
      </c>
      <c r="HR290" t="e">
        <f>IF(AND(4&lt;=$B$23,6&lt;=$B$24),$B$158+$B$156*((1*$B$5/2+6*($B$5/2)/$B$24)),NA())</f>
        <v>#N/A</v>
      </c>
      <c r="HS290" t="e">
        <f>IF(AND(12&lt;=$B$12,$B$51&gt;0),$B$157+$B$156*(((12-0.5)*$B$13)+($B$51*$B$13)/2),NA())</f>
        <v>#N/A</v>
      </c>
      <c r="HT290" t="e">
        <f>IF(AND(12&lt;=$B$12,$B$51&gt;0),$B$158+$B$156*((1*$B$5/2+0.6*$B$159)+3*(((1*$B$5/2+$B$5/2-0.6*$B$159))-((1*$B$5/2+0.6*$B$159)))/4),NA())</f>
        <v>#N/A</v>
      </c>
      <c r="KI290" t="e">
        <f>IF(AND($B$21=1,24*$B$67&gt;$B$59,24*$B$67&lt;$B$178-$B$59,OR($B$63=0,ABS(24*$B$67-$B$178/2)&gt;$B$59/2)),$B$182+$B$181*($B$177*3/4+$B$60/2),NA())</f>
        <v>#N/A</v>
      </c>
      <c r="KJ290" t="e">
        <f>IF(AND($B$21=1,24*$B$67&gt;$B$59,24*$B$67&lt;$B$178-$B$59,OR($B$63=0,ABS(24*$B$67-$B$178/2)&gt;$B$59/2)),$B$183+$B$181*(24*$B$67),NA())</f>
        <v>#N/A</v>
      </c>
    </row>
    <row r="291">
      <c r="K291" t="e">
        <f>IF(AND(15&lt;=$B$12,$B$45=1),$B$133+$B$132*($B$13*15-$B$27/2),NA())</f>
        <v>#N/A</v>
      </c>
      <c r="L291" t="e">
        <f>IF(AND(15&lt;=$B$12,$B$45=1),$B$134+$B$132*($B$5/2-$B$27/2),NA())</f>
        <v>#N/A</v>
      </c>
      <c r="FE291" t="e">
        <f>IF(AND($B$21=1,(20*$B$66)&lt;$B$62),$B$145+$B$144*(IF((20*$B$66)&lt;$B$73,$B$76,$B$75)),NA())</f>
        <v>#N/A</v>
      </c>
      <c r="FF291" t="e">
        <f>IF(AND($B$21=1,(20*$B$66)&lt;$B$62),$B$146+$B$144*((20*$B$66)),NA())</f>
        <v>#N/A</v>
      </c>
      <c r="GI291" t="e">
        <f>IF(AND($B$21=1,(20*$B$66)&lt;IF($B$63=1,$B$10-0.2,$B$62)),$B$151+$B$150*(MAX(IF((20*$B$66)&lt;=$B$9,0,((20*$B$66)-$B$9)/$B$8),MIN(($B$5-IF((20*$B$66)&lt;=$B$9,0,((20*$B$66)-$B$9)/$B$8)),IF((20*$B$66)&lt;$B$104,$B$107,$B$106)))),NA())</f>
        <v>#N/A</v>
      </c>
      <c r="GJ291" t="e">
        <f>IF(AND($B$21=1,(20*$B$66)&lt;IF($B$63=1,$B$10-0.2,$B$62)),$B$152+$B$150*((20*$B$66)),NA())</f>
        <v>#N/A</v>
      </c>
      <c r="HQ291" t="e">
        <f>IF(AND(4&lt;=$B$23,6&lt;=$B$24),$B$157+$B$156*(IF(4=1,1,IF(4=$B$23,$B$12,5*(4-1)))*$B$13),NA())</f>
        <v>#N/A</v>
      </c>
      <c r="HR291" t="e">
        <f>IF(AND(4&lt;=$B$23,6&lt;=$B$24),$B$158+$B$156*((1*$B$5/2+(6-1)*($B$5/2)/$B$24)),NA())</f>
        <v>#N/A</v>
      </c>
      <c r="HS291" t="e">
        <f>IF(AND(12&lt;=$B$12,$B$51&gt;0),$B$157+$B$156*(((12-0.5)*$B$13)-($B$51*$B$13)/2),NA())</f>
        <v>#N/A</v>
      </c>
      <c r="HT291" t="e">
        <f>IF(AND(12&lt;=$B$12,$B$51&gt;0),$B$158+$B$156*((1*$B$5/2+$B$5/2-0.6*$B$159)),NA())</f>
        <v>#N/A</v>
      </c>
      <c r="KI291" t="e">
        <f>IF(AND($B$21=1,24*$B$67&gt;$B$59,24*$B$67&lt;$B$178-$B$59,OR($B$63=0,ABS(24*$B$67-$B$178/2)&gt;$B$59/2)),$B$182+$B$181*($B$177),NA())</f>
        <v>#N/A</v>
      </c>
      <c r="KJ291" t="e">
        <f>IF(AND($B$21=1,24*$B$67&gt;$B$59,24*$B$67&lt;$B$178-$B$59,OR($B$63=0,ABS(24*$B$67-$B$178/2)&gt;$B$59/2)),$B$183+$B$181*(24*$B$67),NA())</f>
        <v>#N/A</v>
      </c>
    </row>
    <row r="292">
      <c r="K292" t="e">
        <f>NA()</f>
        <v>#N/A</v>
      </c>
      <c r="L292" t="e">
        <f>NA()</f>
        <v>#N/A</v>
      </c>
      <c r="FE292" t="e">
        <f>IF(AND(AND($B$21=1,(20*$B$66)&lt;$B$62),(20*$B$66)&gt;=$B$73),$B$145+$B$144*($B$75),NA())</f>
        <v>#N/A</v>
      </c>
      <c r="FF292" t="e">
        <f>IF(AND(AND($B$21=1,(20*$B$66)&lt;$B$62),(20*$B$66)&gt;=$B$73),$B$146+$B$144*((20*$B$66)),NA())</f>
        <v>#N/A</v>
      </c>
      <c r="GI292" t="e">
        <f>IF(AND(AND($B$21=1,(20*$B$66)&lt;IF($B$63=1,$B$10-0.2,$B$62)),(20*$B$66)&gt;=$B$104),$B$151+$B$150*(MAX(IF((20*$B$66)&lt;=$B$9,0,((20*$B$66)-$B$9)/$B$8),MIN(($B$5-IF((20*$B$66)&lt;=$B$9,0,((20*$B$66)-$B$9)/$B$8)),$B$106))),NA())</f>
        <v>#N/A</v>
      </c>
      <c r="GJ292" t="e">
        <f>IF(AND(AND($B$21=1,(20*$B$66)&lt;IF($B$63=1,$B$10-0.2,$B$62)),(20*$B$66)&gt;=$B$104),$B$152+$B$150*((20*$B$66)),NA())</f>
        <v>#N/A</v>
      </c>
      <c r="HQ292" t="e">
        <f>NA()</f>
        <v>#N/A</v>
      </c>
      <c r="HR292" t="e">
        <f>NA()</f>
        <v>#N/A</v>
      </c>
      <c r="HS292" t="e">
        <f>NA()</f>
        <v>#N/A</v>
      </c>
      <c r="HT292" t="e">
        <f>NA()</f>
        <v>#N/A</v>
      </c>
      <c r="KI292" t="e">
        <f>NA()</f>
        <v>#N/A</v>
      </c>
      <c r="KJ292" t="e">
        <f>NA()</f>
        <v>#N/A</v>
      </c>
    </row>
    <row r="293">
      <c r="K293" t="e">
        <f>IF(16&lt;=$B$12,$B$133+$B$132*($B$13*16-$B$27/2),NA())</f>
        <v>#N/A</v>
      </c>
      <c r="L293" t="e">
        <f>IF(16&lt;=$B$12,$B$134+$B$132*(0-$B$27/2),NA())</f>
        <v>#N/A</v>
      </c>
      <c r="FE293" t="e">
        <f>IF(AND($B$21=1,(20*$B$66)&lt;$B$62),$B$145+$B$144*(IF((20*$B$66)&lt;$B$73,$B$77,$B$75)),NA())</f>
        <v>#N/A</v>
      </c>
      <c r="FF293" t="e">
        <f>IF(AND($B$21=1,(20*$B$66)&lt;$B$62),$B$146+$B$144*((20*$B$66)),NA())</f>
        <v>#N/A</v>
      </c>
      <c r="GI293" t="e">
        <f>IF(AND($B$21=1,(20*$B$66)&lt;IF($B$63=1,$B$10-0.2,$B$62)),$B$151+$B$150*(MAX(IF((20*$B$66)&lt;=$B$9,0,((20*$B$66)-$B$9)/$B$8),MIN(($B$5-IF((20*$B$66)&lt;=$B$9,0,((20*$B$66)-$B$9)/$B$8)),IF((20*$B$66)&lt;$B$104,$B$108,$B$106)))),NA())</f>
        <v>#N/A</v>
      </c>
      <c r="GJ293" t="e">
        <f>IF(AND($B$21=1,(20*$B$66)&lt;IF($B$63=1,$B$10-0.2,$B$62)),$B$152+$B$150*((20*$B$66)),NA())</f>
        <v>#N/A</v>
      </c>
      <c r="HQ293" t="e">
        <f>IF(AND(5&lt;=$B$23,1&lt;=$B$24),$B$157+$B$156*((IF(5=1,1,IF(5=$B$23,$B$12,5*(5-1)))-1)*$B$13),NA())</f>
        <v>#N/A</v>
      </c>
      <c r="HR293" t="e">
        <f>IF(AND(5&lt;=$B$23,1&lt;=$B$24),$B$158+$B$156*((0*$B$5/2+(1-1)*($B$5/2)/$B$24)),NA())</f>
        <v>#N/A</v>
      </c>
      <c r="HS293" t="e">
        <f>IF(AND(13&lt;=$B$12,$B$51&gt;0),$B$157+$B$156*(((13-0.5)*$B$13)-($B$51*$B$13)/2),NA())</f>
        <v>#N/A</v>
      </c>
      <c r="HT293" t="e">
        <f>IF(AND(13&lt;=$B$12,$B$51&gt;0),$B$158+$B$156*((0*$B$5/2+0.6*$B$159)),NA())</f>
        <v>#N/A</v>
      </c>
      <c r="KI293" t="e">
        <f>IF(AND($B$21=1,25*$B$67&gt;$B$59,25*$B$67&lt;$B$178-$B$59,OR($B$63=0,ABS(25*$B$67-$B$178/2)&gt;$B$59/2)),$B$182+$B$181*(0),NA())</f>
        <v>#N/A</v>
      </c>
      <c r="KJ293" t="e">
        <f>IF(AND($B$21=1,25*$B$67&gt;$B$59,25*$B$67&lt;$B$178-$B$59,OR($B$63=0,ABS(25*$B$67-$B$178/2)&gt;$B$59/2)),$B$183+$B$181*(25*$B$67),NA())</f>
        <v>#N/A</v>
      </c>
    </row>
    <row r="294">
      <c r="K294" t="e">
        <f>IF(16&lt;=$B$12,$B$133+$B$132*($B$13*16+$B$27/2),NA())</f>
        <v>#N/A</v>
      </c>
      <c r="L294" t="e">
        <f>IF(16&lt;=$B$12,$B$134+$B$132*(0-$B$27/2),NA())</f>
        <v>#N/A</v>
      </c>
      <c r="FE294" t="e">
        <f>IF(AND($B$21=1,(20*$B$66)&lt;$B$62),$B$145+$B$144*(IF((20*$B$66)&lt;$B$80,$B$83,$B$82)),NA())</f>
        <v>#N/A</v>
      </c>
      <c r="FF294" t="e">
        <f>IF(AND($B$21=1,(20*$B$66)&lt;$B$62),$B$146+$B$144*((20*$B$66)),NA())</f>
        <v>#N/A</v>
      </c>
      <c r="GI294" t="e">
        <f>IF(AND($B$21=1,(20*$B$66)&lt;IF($B$63=1,$B$10-0.2,$B$62)),$B$151+$B$150*(MAX(IF((20*$B$66)&lt;=$B$9,0,((20*$B$66)-$B$9)/$B$8),MIN(($B$5-IF((20*$B$66)&lt;=$B$9,0,((20*$B$66)-$B$9)/$B$8)),IF((20*$B$66)&lt;$B$111,$B$114,$B$113)))),NA())</f>
        <v>#N/A</v>
      </c>
      <c r="GJ294" t="e">
        <f>IF(AND($B$21=1,(20*$B$66)&lt;IF($B$63=1,$B$10-0.2,$B$62)),$B$152+$B$150*((20*$B$66)),NA())</f>
        <v>#N/A</v>
      </c>
      <c r="HQ294" t="e">
        <f>IF(AND(5&lt;=$B$23,1&lt;=$B$24),$B$157+$B$156*(IF(5=1,1,IF(5=$B$23,$B$12,5*(5-1)))*$B$13),NA())</f>
        <v>#N/A</v>
      </c>
      <c r="HR294" t="e">
        <f>IF(AND(5&lt;=$B$23,1&lt;=$B$24),$B$158+$B$156*((0*$B$5/2+1*($B$5/2)/$B$24)),NA())</f>
        <v>#N/A</v>
      </c>
      <c r="HS294" t="e">
        <f>IF(AND(13&lt;=$B$12,$B$51&gt;0),$B$157+$B$156*(((13-0.5)*$B$13)+($B$51*$B$13)/2),NA())</f>
        <v>#N/A</v>
      </c>
      <c r="HT294" t="e">
        <f>IF(AND(13&lt;=$B$12,$B$51&gt;0),$B$158+$B$156*((0*$B$5/2+0.6*$B$159)),NA())</f>
        <v>#N/A</v>
      </c>
      <c r="KI294" t="e">
        <f>IF(AND($B$21=1,25*$B$67&gt;$B$59,25*$B$67&lt;$B$178-$B$59,OR($B$63=0,ABS(25*$B$67-$B$178/2)&gt;$B$59/2)),$B$182+$B$181*($B$177*1/4-$B$60/2),NA())</f>
        <v>#N/A</v>
      </c>
      <c r="KJ294" t="e">
        <f>IF(AND($B$21=1,25*$B$67&gt;$B$59,25*$B$67&lt;$B$178-$B$59,OR($B$63=0,ABS(25*$B$67-$B$178/2)&gt;$B$59/2)),$B$183+$B$181*(25*$B$67),NA())</f>
        <v>#N/A</v>
      </c>
    </row>
    <row r="295">
      <c r="K295" t="e">
        <f>IF(16&lt;=$B$12,$B$133+$B$132*($B$13*16+$B$27/2),NA())</f>
        <v>#N/A</v>
      </c>
      <c r="L295" t="e">
        <f>IF(16&lt;=$B$12,$B$134+$B$132*(0+$B$27/2),NA())</f>
        <v>#N/A</v>
      </c>
      <c r="FE295" t="e">
        <f>IF(AND(AND($B$21=1,(20*$B$66)&lt;$B$62),(20*$B$66)&gt;=$B$80),$B$145+$B$144*($B$82),NA())</f>
        <v>#N/A</v>
      </c>
      <c r="FF295" t="e">
        <f>IF(AND(AND($B$21=1,(20*$B$66)&lt;$B$62),(20*$B$66)&gt;=$B$80),$B$146+$B$144*((20*$B$66)),NA())</f>
        <v>#N/A</v>
      </c>
      <c r="GI295" t="e">
        <f>IF(AND(AND($B$21=1,(20*$B$66)&lt;IF($B$63=1,$B$10-0.2,$B$62)),(20*$B$66)&gt;=$B$111),$B$151+$B$150*(MAX(IF((20*$B$66)&lt;=$B$9,0,((20*$B$66)-$B$9)/$B$8),MIN(($B$5-IF((20*$B$66)&lt;=$B$9,0,((20*$B$66)-$B$9)/$B$8)),$B$113))),NA())</f>
        <v>#N/A</v>
      </c>
      <c r="GJ295" t="e">
        <f>IF(AND(AND($B$21=1,(20*$B$66)&lt;IF($B$63=1,$B$10-0.2,$B$62)),(20*$B$66)&gt;=$B$111),$B$152+$B$150*((20*$B$66)),NA())</f>
        <v>#N/A</v>
      </c>
      <c r="HQ295" t="e">
        <f>NA()</f>
        <v>#N/A</v>
      </c>
      <c r="HR295" t="e">
        <f>NA()</f>
        <v>#N/A</v>
      </c>
      <c r="HS295" t="e">
        <f>IF(AND(13&lt;=$B$12,$B$51&gt;0),$B$157+$B$156*(((13-0.5)*$B$13)+($B$51*$B$13)/2),NA())</f>
        <v>#N/A</v>
      </c>
      <c r="HT295" t="e">
        <f>IF(AND(13&lt;=$B$12,$B$51&gt;0),$B$158+$B$156*((0*$B$5/2+$B$5/2-0.6*$B$159)),NA())</f>
        <v>#N/A</v>
      </c>
      <c r="KI295" t="e">
        <f>NA()</f>
        <v>#N/A</v>
      </c>
      <c r="KJ295" t="e">
        <f>NA()</f>
        <v>#N/A</v>
      </c>
    </row>
    <row r="296">
      <c r="K296" t="e">
        <f>IF(16&lt;=$B$12,$B$133+$B$132*($B$13*16-$B$27/2),NA())</f>
        <v>#N/A</v>
      </c>
      <c r="L296" t="e">
        <f>IF(16&lt;=$B$12,$B$134+$B$132*(0+$B$27/2),NA())</f>
        <v>#N/A</v>
      </c>
      <c r="FE296" t="e">
        <f>IF(AND($B$21=1,(20*$B$66)&lt;$B$62),$B$145+$B$144*(IF((20*$B$66)&lt;$B$80,$B$84,$B$82)),NA())</f>
        <v>#N/A</v>
      </c>
      <c r="FF296" t="e">
        <f>IF(AND($B$21=1,(20*$B$66)&lt;$B$62),$B$146+$B$144*((20*$B$66)),NA())</f>
        <v>#N/A</v>
      </c>
      <c r="GI296" t="e">
        <f>IF(AND($B$21=1,(20*$B$66)&lt;IF($B$63=1,$B$10-0.2,$B$62)),$B$151+$B$150*(MAX(IF((20*$B$66)&lt;=$B$9,0,((20*$B$66)-$B$9)/$B$8),MIN(($B$5-IF((20*$B$66)&lt;=$B$9,0,((20*$B$66)-$B$9)/$B$8)),IF((20*$B$66)&lt;$B$111,$B$115,$B$113)))),NA())</f>
        <v>#N/A</v>
      </c>
      <c r="GJ296" t="e">
        <f>IF(AND($B$21=1,(20*$B$66)&lt;IF($B$63=1,$B$10-0.2,$B$62)),$B$152+$B$150*((20*$B$66)),NA())</f>
        <v>#N/A</v>
      </c>
      <c r="HQ296" t="e">
        <f>IF(AND(5&lt;=$B$23,1&lt;=$B$24),$B$157+$B$156*((IF(5=1,1,IF(5=$B$23,$B$12,5*(5-1)))-1)*$B$13),NA())</f>
        <v>#N/A</v>
      </c>
      <c r="HR296" t="e">
        <f>IF(AND(5&lt;=$B$23,1&lt;=$B$24),$B$158+$B$156*((0*$B$5/2+1*($B$5/2)/$B$24)),NA())</f>
        <v>#N/A</v>
      </c>
      <c r="HS296" t="e">
        <f>IF(AND(13&lt;=$B$12,$B$51&gt;0),$B$157+$B$156*(((13-0.5)*$B$13)-($B$51*$B$13)/2),NA())</f>
        <v>#N/A</v>
      </c>
      <c r="HT296" t="e">
        <f>IF(AND(13&lt;=$B$12,$B$51&gt;0),$B$158+$B$156*((0*$B$5/2+$B$5/2-0.6*$B$159)),NA())</f>
        <v>#N/A</v>
      </c>
      <c r="KI296" t="e">
        <f>IF(AND($B$21=1,25*$B$67&gt;$B$59,25*$B$67&lt;$B$178-$B$59,OR($B$63=0,ABS(25*$B$67-$B$178/2)&gt;$B$59/2)),$B$182+$B$181*($B$177*1/4+$B$60/2),NA())</f>
        <v>#N/A</v>
      </c>
      <c r="KJ296" t="e">
        <f>IF(AND($B$21=1,25*$B$67&gt;$B$59,25*$B$67&lt;$B$178-$B$59,OR($B$63=0,ABS(25*$B$67-$B$178/2)&gt;$B$59/2)),$B$183+$B$181*(25*$B$67),NA())</f>
        <v>#N/A</v>
      </c>
    </row>
    <row r="297">
      <c r="K297" t="e">
        <f>IF(16&lt;=$B$12,$B$133+$B$132*($B$13*16-$B$27/2),NA())</f>
        <v>#N/A</v>
      </c>
      <c r="L297" t="e">
        <f>IF(16&lt;=$B$12,$B$134+$B$132*(0-$B$27/2),NA())</f>
        <v>#N/A</v>
      </c>
      <c r="FE297" t="e">
        <f>IF(AND($B$21=1,(20*$B$66)&lt;$B$62),$B$145+$B$144*(IF((20*$B$66)&lt;$B$87,$B$90,$B$89)),NA())</f>
        <v>#N/A</v>
      </c>
      <c r="FF297" t="e">
        <f>IF(AND($B$21=1,(20*$B$66)&lt;$B$62),$B$146+$B$144*((20*$B$66)),NA())</f>
        <v>#N/A</v>
      </c>
      <c r="GI297" t="e">
        <f>IF(AND($B$21=1,(20*$B$66)&lt;IF($B$63=1,$B$10-0.2,$B$62)),$B$151+$B$150*(MAX(IF((20*$B$66)&lt;=$B$9,0,((20*$B$66)-$B$9)/$B$8),MIN(($B$5-IF((20*$B$66)&lt;=$B$9,0,((20*$B$66)-$B$9)/$B$8)),IF((20*$B$66)&lt;$B$118,$B$121,$B$120)))),NA())</f>
        <v>#N/A</v>
      </c>
      <c r="GJ297" t="e">
        <f>IF(AND($B$21=1,(20*$B$66)&lt;IF($B$63=1,$B$10-0.2,$B$62)),$B$152+$B$150*((20*$B$66)),NA())</f>
        <v>#N/A</v>
      </c>
      <c r="HQ297" t="e">
        <f>IF(AND(5&lt;=$B$23,1&lt;=$B$24),$B$157+$B$156*(IF(5=1,1,IF(5=$B$23,$B$12,5*(5-1)))*$B$13),NA())</f>
        <v>#N/A</v>
      </c>
      <c r="HR297" t="e">
        <f>IF(AND(5&lt;=$B$23,1&lt;=$B$24),$B$158+$B$156*((0*$B$5/2+(1-1)*($B$5/2)/$B$24)),NA())</f>
        <v>#N/A</v>
      </c>
      <c r="HS297" t="e">
        <f>IF(AND(13&lt;=$B$12,$B$51&gt;0),$B$157+$B$156*(((13-0.5)*$B$13)-($B$51*$B$13)/2),NA())</f>
        <v>#N/A</v>
      </c>
      <c r="HT297" t="e">
        <f>IF(AND(13&lt;=$B$12,$B$51&gt;0),$B$158+$B$156*((0*$B$5/2+0.6*$B$159)),NA())</f>
        <v>#N/A</v>
      </c>
      <c r="KI297" t="e">
        <f>IF(AND($B$21=1,25*$B$67&gt;$B$59,25*$B$67&lt;$B$178-$B$59,OR($B$63=0,ABS(25*$B$67-$B$178/2)&gt;$B$59/2)),$B$182+$B$181*($B$177*2/4-$B$60/2),NA())</f>
        <v>#N/A</v>
      </c>
      <c r="KJ297" t="e">
        <f>IF(AND($B$21=1,25*$B$67&gt;$B$59,25*$B$67&lt;$B$178-$B$59,OR($B$63=0,ABS(25*$B$67-$B$178/2)&gt;$B$59/2)),$B$183+$B$181*(25*$B$67),NA())</f>
        <v>#N/A</v>
      </c>
    </row>
    <row r="298">
      <c r="K298" t="e">
        <f>NA()</f>
        <v>#N/A</v>
      </c>
      <c r="L298" t="e">
        <f>NA()</f>
        <v>#N/A</v>
      </c>
      <c r="FE298" t="e">
        <f>IF(AND(AND($B$21=1,(20*$B$66)&lt;$B$62),(20*$B$66)&gt;=$B$87),$B$145+$B$144*($B$89),NA())</f>
        <v>#N/A</v>
      </c>
      <c r="FF298" t="e">
        <f>IF(AND(AND($B$21=1,(20*$B$66)&lt;$B$62),(20*$B$66)&gt;=$B$87),$B$146+$B$144*((20*$B$66)),NA())</f>
        <v>#N/A</v>
      </c>
      <c r="GI298" t="e">
        <f>IF(AND(AND($B$21=1,(20*$B$66)&lt;IF($B$63=1,$B$10-0.2,$B$62)),(20*$B$66)&gt;=$B$118),$B$151+$B$150*(MAX(IF((20*$B$66)&lt;=$B$9,0,((20*$B$66)-$B$9)/$B$8),MIN(($B$5-IF((20*$B$66)&lt;=$B$9,0,((20*$B$66)-$B$9)/$B$8)),$B$120))),NA())</f>
        <v>#N/A</v>
      </c>
      <c r="GJ298" t="e">
        <f>IF(AND(AND($B$21=1,(20*$B$66)&lt;IF($B$63=1,$B$10-0.2,$B$62)),(20*$B$66)&gt;=$B$118),$B$152+$B$150*((20*$B$66)),NA())</f>
        <v>#N/A</v>
      </c>
      <c r="HQ298" t="e">
        <f>NA()</f>
        <v>#N/A</v>
      </c>
      <c r="HR298" t="e">
        <f>NA()</f>
        <v>#N/A</v>
      </c>
      <c r="HS298" t="e">
        <f>NA()</f>
        <v>#N/A</v>
      </c>
      <c r="HT298" t="e">
        <f>NA()</f>
        <v>#N/A</v>
      </c>
      <c r="KI298" t="e">
        <f>NA()</f>
        <v>#N/A</v>
      </c>
      <c r="KJ298" t="e">
        <f>NA()</f>
        <v>#N/A</v>
      </c>
    </row>
    <row r="299">
      <c r="K299" t="e">
        <f>IF(16&lt;=$B$12,$B$133+$B$132*($B$13*16-$B$27/2),NA())</f>
        <v>#N/A</v>
      </c>
      <c r="L299" t="e">
        <f>IF(16&lt;=$B$12,$B$134+$B$132*($B$5-$B$27/2),NA())</f>
        <v>#N/A</v>
      </c>
      <c r="FE299" t="e">
        <f>IF(AND($B$21=1,(20*$B$66)&lt;$B$62),$B$145+$B$144*(IF((20*$B$66)&lt;$B$87,$B$91,$B$89)),NA())</f>
        <v>#N/A</v>
      </c>
      <c r="FF299" t="e">
        <f>IF(AND($B$21=1,(20*$B$66)&lt;$B$62),$B$146+$B$144*((20*$B$66)),NA())</f>
        <v>#N/A</v>
      </c>
      <c r="GI299" t="e">
        <f>IF(AND($B$21=1,(20*$B$66)&lt;IF($B$63=1,$B$10-0.2,$B$62)),$B$151+$B$150*(MAX(IF((20*$B$66)&lt;=$B$9,0,((20*$B$66)-$B$9)/$B$8),MIN(($B$5-IF((20*$B$66)&lt;=$B$9,0,((20*$B$66)-$B$9)/$B$8)),IF((20*$B$66)&lt;$B$118,$B$122,$B$120)))),NA())</f>
        <v>#N/A</v>
      </c>
      <c r="GJ299" t="e">
        <f>IF(AND($B$21=1,(20*$B$66)&lt;IF($B$63=1,$B$10-0.2,$B$62)),$B$152+$B$150*((20*$B$66)),NA())</f>
        <v>#N/A</v>
      </c>
      <c r="HQ299" t="e">
        <f>IF(AND(5&lt;=$B$23,2&lt;=$B$24),$B$157+$B$156*((IF(5=1,1,IF(5=$B$23,$B$12,5*(5-1)))-1)*$B$13),NA())</f>
        <v>#N/A</v>
      </c>
      <c r="HR299" t="e">
        <f>IF(AND(5&lt;=$B$23,2&lt;=$B$24),$B$158+$B$156*((0*$B$5/2+(2-1)*($B$5/2)/$B$24)),NA())</f>
        <v>#N/A</v>
      </c>
      <c r="HS299" t="e">
        <f>IF(AND(13&lt;=$B$12,$B$51&gt;0),$B$157+$B$156*(((13-0.5)*$B$13)-($B$51*$B$13)/2),NA())</f>
        <v>#N/A</v>
      </c>
      <c r="HT299" t="e">
        <f>IF(AND(13&lt;=$B$12,$B$51&gt;0),$B$158+$B$156*((0*$B$5/2+0.6*$B$159)),NA())</f>
        <v>#N/A</v>
      </c>
      <c r="KI299" t="e">
        <f>IF(AND($B$21=1,25*$B$67&gt;$B$59,25*$B$67&lt;$B$178-$B$59,OR($B$63=0,ABS(25*$B$67-$B$178/2)&gt;$B$59/2)),$B$182+$B$181*($B$177*2/4+$B$60/2),NA())</f>
        <v>#N/A</v>
      </c>
      <c r="KJ299" t="e">
        <f>IF(AND($B$21=1,25*$B$67&gt;$B$59,25*$B$67&lt;$B$178-$B$59,OR($B$63=0,ABS(25*$B$67-$B$178/2)&gt;$B$59/2)),$B$183+$B$181*(25*$B$67),NA())</f>
        <v>#N/A</v>
      </c>
    </row>
    <row r="300">
      <c r="K300" t="e">
        <f>IF(16&lt;=$B$12,$B$133+$B$132*($B$13*16+$B$27/2),NA())</f>
        <v>#N/A</v>
      </c>
      <c r="L300" t="e">
        <f>IF(16&lt;=$B$12,$B$134+$B$132*($B$5-$B$27/2),NA())</f>
        <v>#N/A</v>
      </c>
      <c r="FE300" t="e">
        <f>IF(AND($B$21=1,(20*$B$66)&lt;$B$62),$B$145+$B$144*(IF((20*$B$66)&lt;$B$94,$B$97,$B$96)),NA())</f>
        <v>#N/A</v>
      </c>
      <c r="FF300" t="e">
        <f>IF(AND($B$21=1,(20*$B$66)&lt;$B$62),$B$146+$B$144*((20*$B$66)),NA())</f>
        <v>#N/A</v>
      </c>
      <c r="GI300" t="e">
        <f>IF(AND($B$21=1,(20*$B$66)&lt;IF($B$63=1,$B$10-0.2,$B$62)),$B$151+$B$150*(MAX(IF((20*$B$66)&lt;=$B$9,0,((20*$B$66)-$B$9)/$B$8),MIN(($B$5-IF((20*$B$66)&lt;=$B$9,0,((20*$B$66)-$B$9)/$B$8)),IF((20*$B$66)&lt;$B$125,$B$128,$B$127)))),NA())</f>
        <v>#N/A</v>
      </c>
      <c r="GJ300" t="e">
        <f>IF(AND($B$21=1,(20*$B$66)&lt;IF($B$63=1,$B$10-0.2,$B$62)),$B$152+$B$150*((20*$B$66)),NA())</f>
        <v>#N/A</v>
      </c>
      <c r="HQ300" t="e">
        <f>IF(AND(5&lt;=$B$23,2&lt;=$B$24),$B$157+$B$156*(IF(5=1,1,IF(5=$B$23,$B$12,5*(5-1)))*$B$13),NA())</f>
        <v>#N/A</v>
      </c>
      <c r="HR300" t="e">
        <f>IF(AND(5&lt;=$B$23,2&lt;=$B$24),$B$158+$B$156*((0*$B$5/2+2*($B$5/2)/$B$24)),NA())</f>
        <v>#N/A</v>
      </c>
      <c r="HS300" t="e">
        <f>IF(AND(13&lt;=$B$12,$B$51&gt;0),$B$157+$B$156*(((13-0.5)*$B$13)+($B$51*$B$13)/2),NA())</f>
        <v>#N/A</v>
      </c>
      <c r="HT300" t="e">
        <f>IF(AND(13&lt;=$B$12,$B$51&gt;0),$B$158+$B$156*((0*$B$5/2+0.6*$B$159)+(((0*$B$5/2+$B$5/2-0.6*$B$159))-((0*$B$5/2+0.6*$B$159)))/4),NA())</f>
        <v>#N/A</v>
      </c>
      <c r="KI300" t="e">
        <f>IF(AND($B$21=1,25*$B$67&gt;$B$59,25*$B$67&lt;$B$178-$B$59,OR($B$63=0,ABS(25*$B$67-$B$178/2)&gt;$B$59/2)),$B$182+$B$181*($B$177*3/4-$B$60/2),NA())</f>
        <v>#N/A</v>
      </c>
      <c r="KJ300" t="e">
        <f>IF(AND($B$21=1,25*$B$67&gt;$B$59,25*$B$67&lt;$B$178-$B$59,OR($B$63=0,ABS(25*$B$67-$B$178/2)&gt;$B$59/2)),$B$183+$B$181*(25*$B$67),NA())</f>
        <v>#N/A</v>
      </c>
    </row>
    <row r="301">
      <c r="K301" t="e">
        <f>IF(16&lt;=$B$12,$B$133+$B$132*($B$13*16+$B$27/2),NA())</f>
        <v>#N/A</v>
      </c>
      <c r="L301" t="e">
        <f>IF(16&lt;=$B$12,$B$134+$B$132*($B$5+$B$27/2),NA())</f>
        <v>#N/A</v>
      </c>
      <c r="FE301" t="e">
        <f>IF(AND(AND($B$21=1,(20*$B$66)&lt;$B$62),(20*$B$66)&gt;=$B$94),$B$145+$B$144*($B$96),NA())</f>
        <v>#N/A</v>
      </c>
      <c r="FF301" t="e">
        <f>IF(AND(AND($B$21=1,(20*$B$66)&lt;$B$62),(20*$B$66)&gt;=$B$94),$B$146+$B$144*((20*$B$66)),NA())</f>
        <v>#N/A</v>
      </c>
      <c r="GI301" t="e">
        <f>IF(AND(AND($B$21=1,(20*$B$66)&lt;IF($B$63=1,$B$10-0.2,$B$62)),(20*$B$66)&gt;=$B$125),$B$151+$B$150*(MAX(IF((20*$B$66)&lt;=$B$9,0,((20*$B$66)-$B$9)/$B$8),MIN(($B$5-IF((20*$B$66)&lt;=$B$9,0,((20*$B$66)-$B$9)/$B$8)),$B$127))),NA())</f>
        <v>#N/A</v>
      </c>
      <c r="GJ301" t="e">
        <f>IF(AND(AND($B$21=1,(20*$B$66)&lt;IF($B$63=1,$B$10-0.2,$B$62)),(20*$B$66)&gt;=$B$125),$B$152+$B$150*((20*$B$66)),NA())</f>
        <v>#N/A</v>
      </c>
      <c r="HQ301" t="e">
        <f>NA()</f>
        <v>#N/A</v>
      </c>
      <c r="HR301" t="e">
        <f>NA()</f>
        <v>#N/A</v>
      </c>
      <c r="HS301" t="e">
        <f>IF(AND(13&lt;=$B$12,$B$51&gt;0),$B$157+$B$156*(((13-0.5)*$B$13)-($B$51*$B$13)/2),NA())</f>
        <v>#N/A</v>
      </c>
      <c r="HT301" t="e">
        <f>IF(AND(13&lt;=$B$12,$B$51&gt;0),$B$158+$B$156*((0*$B$5/2+0.6*$B$159)+(((0*$B$5/2+$B$5/2-0.6*$B$159))-((0*$B$5/2+0.6*$B$159)))/2),NA())</f>
        <v>#N/A</v>
      </c>
      <c r="KI301" t="e">
        <f>NA()</f>
        <v>#N/A</v>
      </c>
      <c r="KJ301" t="e">
        <f>NA()</f>
        <v>#N/A</v>
      </c>
    </row>
    <row r="302">
      <c r="K302" t="e">
        <f>IF(16&lt;=$B$12,$B$133+$B$132*($B$13*16-$B$27/2),NA())</f>
        <v>#N/A</v>
      </c>
      <c r="L302" t="e">
        <f>IF(16&lt;=$B$12,$B$134+$B$132*($B$5+$B$27/2),NA())</f>
        <v>#N/A</v>
      </c>
      <c r="FE302" t="e">
        <f>IF(AND($B$21=1,(20*$B$66)&lt;$B$62),$B$145+$B$144*(IF((20*$B$66)&lt;$B$94,$B$98,$B$96)),NA())</f>
        <v>#N/A</v>
      </c>
      <c r="FF302" t="e">
        <f>IF(AND($B$21=1,(20*$B$66)&lt;$B$62),$B$146+$B$144*((20*$B$66)),NA())</f>
        <v>#N/A</v>
      </c>
      <c r="GI302" t="e">
        <f>IF(AND($B$21=1,(20*$B$66)&lt;IF($B$63=1,$B$10-0.2,$B$62)),$B$151+$B$150*(MAX(IF((20*$B$66)&lt;=$B$9,0,((20*$B$66)-$B$9)/$B$8),MIN(($B$5-IF((20*$B$66)&lt;=$B$9,0,((20*$B$66)-$B$9)/$B$8)),IF((20*$B$66)&lt;$B$125,$B$129,$B$127)))),NA())</f>
        <v>#N/A</v>
      </c>
      <c r="GJ302" t="e">
        <f>IF(AND($B$21=1,(20*$B$66)&lt;IF($B$63=1,$B$10-0.2,$B$62)),$B$152+$B$150*((20*$B$66)),NA())</f>
        <v>#N/A</v>
      </c>
      <c r="HQ302" t="e">
        <f>IF(AND(5&lt;=$B$23,2&lt;=$B$24),$B$157+$B$156*((IF(5=1,1,IF(5=$B$23,$B$12,5*(5-1)))-1)*$B$13),NA())</f>
        <v>#N/A</v>
      </c>
      <c r="HR302" t="e">
        <f>IF(AND(5&lt;=$B$23,2&lt;=$B$24),$B$158+$B$156*((0*$B$5/2+2*($B$5/2)/$B$24)),NA())</f>
        <v>#N/A</v>
      </c>
      <c r="HS302" t="e">
        <f>IF(AND(13&lt;=$B$12,$B$51&gt;0),$B$157+$B$156*(((13-0.5)*$B$13)+($B$51*$B$13)/2),NA())</f>
        <v>#N/A</v>
      </c>
      <c r="HT302" t="e">
        <f>IF(AND(13&lt;=$B$12,$B$51&gt;0),$B$158+$B$156*((0*$B$5/2+0.6*$B$159)+3*(((0*$B$5/2+$B$5/2-0.6*$B$159))-((0*$B$5/2+0.6*$B$159)))/4),NA())</f>
        <v>#N/A</v>
      </c>
      <c r="KI302" t="e">
        <f>IF(AND($B$21=1,25*$B$67&gt;$B$59,25*$B$67&lt;$B$178-$B$59,OR($B$63=0,ABS(25*$B$67-$B$178/2)&gt;$B$59/2)),$B$182+$B$181*($B$177*3/4+$B$60/2),NA())</f>
        <v>#N/A</v>
      </c>
      <c r="KJ302" t="e">
        <f>IF(AND($B$21=1,25*$B$67&gt;$B$59,25*$B$67&lt;$B$178-$B$59,OR($B$63=0,ABS(25*$B$67-$B$178/2)&gt;$B$59/2)),$B$183+$B$181*(25*$B$67),NA())</f>
        <v>#N/A</v>
      </c>
    </row>
    <row r="303">
      <c r="K303" t="e">
        <f>IF(16&lt;=$B$12,$B$133+$B$132*($B$13*16-$B$27/2),NA())</f>
        <v>#N/A</v>
      </c>
      <c r="L303" t="e">
        <f>IF(16&lt;=$B$12,$B$134+$B$132*($B$5-$B$27/2),NA())</f>
        <v>#N/A</v>
      </c>
      <c r="FE303" t="e">
        <f>IF(AND($B$21=1,(20*$B$66)&lt;$B$62),$B$145+$B$144*($B$6),NA())</f>
        <v>#N/A</v>
      </c>
      <c r="FF303" t="e">
        <f>IF(AND($B$21=1,(20*$B$66)&lt;$B$62),$B$146+$B$144*((20*$B$66)),NA())</f>
        <v>#N/A</v>
      </c>
      <c r="GI303" t="e">
        <f>IF(AND($B$21=1,(20*$B$66)&lt;IF($B$63=1,$B$10-0.2,$B$62)),$B$151+$B$150*(($B$5-IF((20*$B$66)&lt;=$B$9,0,((20*$B$66)-$B$9)/$B$8))),NA())</f>
        <v>#N/A</v>
      </c>
      <c r="GJ303" t="e">
        <f>IF(AND($B$21=1,(20*$B$66)&lt;IF($B$63=1,$B$10-0.2,$B$62)),$B$152+$B$150*((20*$B$66)),NA())</f>
        <v>#N/A</v>
      </c>
      <c r="HQ303" t="e">
        <f>IF(AND(5&lt;=$B$23,2&lt;=$B$24),$B$157+$B$156*(IF(5=1,1,IF(5=$B$23,$B$12,5*(5-1)))*$B$13),NA())</f>
        <v>#N/A</v>
      </c>
      <c r="HR303" t="e">
        <f>IF(AND(5&lt;=$B$23,2&lt;=$B$24),$B$158+$B$156*((0*$B$5/2+(2-1)*($B$5/2)/$B$24)),NA())</f>
        <v>#N/A</v>
      </c>
      <c r="HS303" t="e">
        <f>IF(AND(13&lt;=$B$12,$B$51&gt;0),$B$157+$B$156*(((13-0.5)*$B$13)-($B$51*$B$13)/2),NA())</f>
        <v>#N/A</v>
      </c>
      <c r="HT303" t="e">
        <f>IF(AND(13&lt;=$B$12,$B$51&gt;0),$B$158+$B$156*((0*$B$5/2+$B$5/2-0.6*$B$159)),NA())</f>
        <v>#N/A</v>
      </c>
      <c r="KI303" t="e">
        <f>IF(AND($B$21=1,25*$B$67&gt;$B$59,25*$B$67&lt;$B$178-$B$59,OR($B$63=0,ABS(25*$B$67-$B$178/2)&gt;$B$59/2)),$B$182+$B$181*($B$177),NA())</f>
        <v>#N/A</v>
      </c>
      <c r="KJ303" t="e">
        <f>IF(AND($B$21=1,25*$B$67&gt;$B$59,25*$B$67&lt;$B$178-$B$59,OR($B$63=0,ABS(25*$B$67-$B$178/2)&gt;$B$59/2)),$B$183+$B$181*(25*$B$67),NA())</f>
        <v>#N/A</v>
      </c>
    </row>
    <row r="304">
      <c r="K304" t="e">
        <f>NA()</f>
        <v>#N/A</v>
      </c>
      <c r="L304" t="e">
        <f>NA()</f>
        <v>#N/A</v>
      </c>
      <c r="FE304" t="e">
        <f>NA()</f>
        <v>#N/A</v>
      </c>
      <c r="FF304" t="e">
        <f>NA()</f>
        <v>#N/A</v>
      </c>
      <c r="GI304" t="e">
        <f>NA()</f>
        <v>#N/A</v>
      </c>
      <c r="GJ304" t="e">
        <f>NA()</f>
        <v>#N/A</v>
      </c>
      <c r="HQ304" t="e">
        <f>NA()</f>
        <v>#N/A</v>
      </c>
      <c r="HR304" t="e">
        <f>NA()</f>
        <v>#N/A</v>
      </c>
      <c r="HS304" t="e">
        <f>NA()</f>
        <v>#N/A</v>
      </c>
      <c r="HT304" t="e">
        <f>NA()</f>
        <v>#N/A</v>
      </c>
      <c r="KI304" t="e">
        <f>NA()</f>
        <v>#N/A</v>
      </c>
      <c r="KJ304" t="e">
        <f>NA()</f>
        <v>#N/A</v>
      </c>
    </row>
    <row r="305">
      <c r="K305" t="e">
        <f>IF(AND(16&lt;=$B$12,$B$45=1),$B$133+$B$132*($B$13*16-$B$27/2),NA())</f>
        <v>#N/A</v>
      </c>
      <c r="L305" t="e">
        <f>IF(AND(16&lt;=$B$12,$B$45=1),$B$134+$B$132*($B$5/2-$B$27/2),NA())</f>
        <v>#N/A</v>
      </c>
      <c r="FE305" t="e">
        <f>IF(AND($B$21=1,(21*$B$66)&lt;$B$62),$B$145+$B$144*(0),NA())</f>
        <v>#N/A</v>
      </c>
      <c r="FF305" t="e">
        <f>IF(AND($B$21=1,(21*$B$66)&lt;$B$62),$B$146+$B$144*((21*$B$66)),NA())</f>
        <v>#N/A</v>
      </c>
      <c r="GI305" t="e">
        <f>IF(AND($B$21=1,(21*$B$66)&lt;IF($B$63=1,$B$10-0.2,$B$62)),$B$151+$B$150*(IF((21*$B$66)&lt;=$B$9,0,((21*$B$66)-$B$9)/$B$8)),NA())</f>
        <v>#N/A</v>
      </c>
      <c r="GJ305" t="e">
        <f>IF(AND($B$21=1,(21*$B$66)&lt;IF($B$63=1,$B$10-0.2,$B$62)),$B$152+$B$150*((21*$B$66)),NA())</f>
        <v>#N/A</v>
      </c>
      <c r="HQ305" t="e">
        <f>IF(AND(5&lt;=$B$23,3&lt;=$B$24),$B$157+$B$156*((IF(5=1,1,IF(5=$B$23,$B$12,5*(5-1)))-1)*$B$13),NA())</f>
        <v>#N/A</v>
      </c>
      <c r="HR305" t="e">
        <f>IF(AND(5&lt;=$B$23,3&lt;=$B$24),$B$158+$B$156*((0*$B$5/2+(3-1)*($B$5/2)/$B$24)),NA())</f>
        <v>#N/A</v>
      </c>
      <c r="HS305" t="e">
        <f>IF(AND(13&lt;=$B$12,$B$51&gt;0),$B$157+$B$156*(((13-0.5)*$B$13)-($B$51*$B$13)/2),NA())</f>
        <v>#N/A</v>
      </c>
      <c r="HT305" t="e">
        <f>IF(AND(13&lt;=$B$12,$B$51&gt;0),$B$158+$B$156*((1*$B$5/2+0.6*$B$159)),NA())</f>
        <v>#N/A</v>
      </c>
      <c r="KI305" t="e">
        <f>IF(AND($B$21=1,26*$B$67&gt;$B$59,26*$B$67&lt;$B$178-$B$59,OR($B$63=0,ABS(26*$B$67-$B$178/2)&gt;$B$59/2)),$B$182+$B$181*(0),NA())</f>
        <v>#N/A</v>
      </c>
      <c r="KJ305" t="e">
        <f>IF(AND($B$21=1,26*$B$67&gt;$B$59,26*$B$67&lt;$B$178-$B$59,OR($B$63=0,ABS(26*$B$67-$B$178/2)&gt;$B$59/2)),$B$183+$B$181*(26*$B$67),NA())</f>
        <v>#N/A</v>
      </c>
    </row>
    <row r="306">
      <c r="K306" t="e">
        <f>IF(AND(16&lt;=$B$12,$B$45=1),$B$133+$B$132*($B$13*16+$B$27/2),NA())</f>
        <v>#N/A</v>
      </c>
      <c r="L306" t="e">
        <f>IF(AND(16&lt;=$B$12,$B$45=1),$B$134+$B$132*($B$5/2-$B$27/2),NA())</f>
        <v>#N/A</v>
      </c>
      <c r="FE306" t="e">
        <f>IF(AND($B$21=1,(21*$B$66)&lt;$B$62),$B$145+$B$144*(IF((21*$B$66)&lt;$B$73,$B$76,$B$75)),NA())</f>
        <v>#N/A</v>
      </c>
      <c r="FF306" t="e">
        <f>IF(AND($B$21=1,(21*$B$66)&lt;$B$62),$B$146+$B$144*((21*$B$66)),NA())</f>
        <v>#N/A</v>
      </c>
      <c r="GI306" t="e">
        <f>IF(AND($B$21=1,(21*$B$66)&lt;IF($B$63=1,$B$10-0.2,$B$62)),$B$151+$B$150*(MAX(IF((21*$B$66)&lt;=$B$9,0,((21*$B$66)-$B$9)/$B$8),MIN(($B$5-IF((21*$B$66)&lt;=$B$9,0,((21*$B$66)-$B$9)/$B$8)),IF((21*$B$66)&lt;$B$104,$B$107,$B$106)))),NA())</f>
        <v>#N/A</v>
      </c>
      <c r="GJ306" t="e">
        <f>IF(AND($B$21=1,(21*$B$66)&lt;IF($B$63=1,$B$10-0.2,$B$62)),$B$152+$B$150*((21*$B$66)),NA())</f>
        <v>#N/A</v>
      </c>
      <c r="HQ306" t="e">
        <f>IF(AND(5&lt;=$B$23,3&lt;=$B$24),$B$157+$B$156*(IF(5=1,1,IF(5=$B$23,$B$12,5*(5-1)))*$B$13),NA())</f>
        <v>#N/A</v>
      </c>
      <c r="HR306" t="e">
        <f>IF(AND(5&lt;=$B$23,3&lt;=$B$24),$B$158+$B$156*((0*$B$5/2+3*($B$5/2)/$B$24)),NA())</f>
        <v>#N/A</v>
      </c>
      <c r="HS306" t="e">
        <f>IF(AND(13&lt;=$B$12,$B$51&gt;0),$B$157+$B$156*(((13-0.5)*$B$13)+($B$51*$B$13)/2),NA())</f>
        <v>#N/A</v>
      </c>
      <c r="HT306" t="e">
        <f>IF(AND(13&lt;=$B$12,$B$51&gt;0),$B$158+$B$156*((1*$B$5/2+0.6*$B$159)),NA())</f>
        <v>#N/A</v>
      </c>
      <c r="KI306" t="e">
        <f>IF(AND($B$21=1,26*$B$67&gt;$B$59,26*$B$67&lt;$B$178-$B$59,OR($B$63=0,ABS(26*$B$67-$B$178/2)&gt;$B$59/2)),$B$182+$B$181*($B$177*1/4-$B$60/2),NA())</f>
        <v>#N/A</v>
      </c>
      <c r="KJ306" t="e">
        <f>IF(AND($B$21=1,26*$B$67&gt;$B$59,26*$B$67&lt;$B$178-$B$59,OR($B$63=0,ABS(26*$B$67-$B$178/2)&gt;$B$59/2)),$B$183+$B$181*(26*$B$67),NA())</f>
        <v>#N/A</v>
      </c>
    </row>
    <row r="307">
      <c r="K307" t="e">
        <f>IF(AND(16&lt;=$B$12,$B$45=1),$B$133+$B$132*($B$13*16+$B$27/2),NA())</f>
        <v>#N/A</v>
      </c>
      <c r="L307" t="e">
        <f>IF(AND(16&lt;=$B$12,$B$45=1),$B$134+$B$132*($B$5/2+$B$27/2),NA())</f>
        <v>#N/A</v>
      </c>
      <c r="FE307" t="e">
        <f>IF(AND(AND($B$21=1,(21*$B$66)&lt;$B$62),(21*$B$66)&gt;=$B$73),$B$145+$B$144*($B$75),NA())</f>
        <v>#N/A</v>
      </c>
      <c r="FF307" t="e">
        <f>IF(AND(AND($B$21=1,(21*$B$66)&lt;$B$62),(21*$B$66)&gt;=$B$73),$B$146+$B$144*((21*$B$66)),NA())</f>
        <v>#N/A</v>
      </c>
      <c r="GI307" t="e">
        <f>IF(AND(AND($B$21=1,(21*$B$66)&lt;IF($B$63=1,$B$10-0.2,$B$62)),(21*$B$66)&gt;=$B$104),$B$151+$B$150*(MAX(IF((21*$B$66)&lt;=$B$9,0,((21*$B$66)-$B$9)/$B$8),MIN(($B$5-IF((21*$B$66)&lt;=$B$9,0,((21*$B$66)-$B$9)/$B$8)),$B$106))),NA())</f>
        <v>#N/A</v>
      </c>
      <c r="GJ307" t="e">
        <f>IF(AND(AND($B$21=1,(21*$B$66)&lt;IF($B$63=1,$B$10-0.2,$B$62)),(21*$B$66)&gt;=$B$104),$B$152+$B$150*((21*$B$66)),NA())</f>
        <v>#N/A</v>
      </c>
      <c r="HQ307" t="e">
        <f>NA()</f>
        <v>#N/A</v>
      </c>
      <c r="HR307" t="e">
        <f>NA()</f>
        <v>#N/A</v>
      </c>
      <c r="HS307" t="e">
        <f>IF(AND(13&lt;=$B$12,$B$51&gt;0),$B$157+$B$156*(((13-0.5)*$B$13)+($B$51*$B$13)/2),NA())</f>
        <v>#N/A</v>
      </c>
      <c r="HT307" t="e">
        <f>IF(AND(13&lt;=$B$12,$B$51&gt;0),$B$158+$B$156*((1*$B$5/2+$B$5/2-0.6*$B$159)),NA())</f>
        <v>#N/A</v>
      </c>
      <c r="KI307" t="e">
        <f>NA()</f>
        <v>#N/A</v>
      </c>
      <c r="KJ307" t="e">
        <f>NA()</f>
        <v>#N/A</v>
      </c>
    </row>
    <row r="308">
      <c r="K308" t="e">
        <f>IF(AND(16&lt;=$B$12,$B$45=1),$B$133+$B$132*($B$13*16-$B$27/2),NA())</f>
        <v>#N/A</v>
      </c>
      <c r="L308" t="e">
        <f>IF(AND(16&lt;=$B$12,$B$45=1),$B$134+$B$132*($B$5/2+$B$27/2),NA())</f>
        <v>#N/A</v>
      </c>
      <c r="FE308" t="e">
        <f>IF(AND($B$21=1,(21*$B$66)&lt;$B$62),$B$145+$B$144*(IF((21*$B$66)&lt;$B$73,$B$77,$B$75)),NA())</f>
        <v>#N/A</v>
      </c>
      <c r="FF308" t="e">
        <f>IF(AND($B$21=1,(21*$B$66)&lt;$B$62),$B$146+$B$144*((21*$B$66)),NA())</f>
        <v>#N/A</v>
      </c>
      <c r="GI308" t="e">
        <f>IF(AND($B$21=1,(21*$B$66)&lt;IF($B$63=1,$B$10-0.2,$B$62)),$B$151+$B$150*(MAX(IF((21*$B$66)&lt;=$B$9,0,((21*$B$66)-$B$9)/$B$8),MIN(($B$5-IF((21*$B$66)&lt;=$B$9,0,((21*$B$66)-$B$9)/$B$8)),IF((21*$B$66)&lt;$B$104,$B$108,$B$106)))),NA())</f>
        <v>#N/A</v>
      </c>
      <c r="GJ308" t="e">
        <f>IF(AND($B$21=1,(21*$B$66)&lt;IF($B$63=1,$B$10-0.2,$B$62)),$B$152+$B$150*((21*$B$66)),NA())</f>
        <v>#N/A</v>
      </c>
      <c r="HQ308" t="e">
        <f>IF(AND(5&lt;=$B$23,3&lt;=$B$24),$B$157+$B$156*((IF(5=1,1,IF(5=$B$23,$B$12,5*(5-1)))-1)*$B$13),NA())</f>
        <v>#N/A</v>
      </c>
      <c r="HR308" t="e">
        <f>IF(AND(5&lt;=$B$23,3&lt;=$B$24),$B$158+$B$156*((0*$B$5/2+3*($B$5/2)/$B$24)),NA())</f>
        <v>#N/A</v>
      </c>
      <c r="HS308" t="e">
        <f>IF(AND(13&lt;=$B$12,$B$51&gt;0),$B$157+$B$156*(((13-0.5)*$B$13)-($B$51*$B$13)/2),NA())</f>
        <v>#N/A</v>
      </c>
      <c r="HT308" t="e">
        <f>IF(AND(13&lt;=$B$12,$B$51&gt;0),$B$158+$B$156*((1*$B$5/2+$B$5/2-0.6*$B$159)),NA())</f>
        <v>#N/A</v>
      </c>
      <c r="KI308" t="e">
        <f>IF(AND($B$21=1,26*$B$67&gt;$B$59,26*$B$67&lt;$B$178-$B$59,OR($B$63=0,ABS(26*$B$67-$B$178/2)&gt;$B$59/2)),$B$182+$B$181*($B$177*1/4+$B$60/2),NA())</f>
        <v>#N/A</v>
      </c>
      <c r="KJ308" t="e">
        <f>IF(AND($B$21=1,26*$B$67&gt;$B$59,26*$B$67&lt;$B$178-$B$59,OR($B$63=0,ABS(26*$B$67-$B$178/2)&gt;$B$59/2)),$B$183+$B$181*(26*$B$67),NA())</f>
        <v>#N/A</v>
      </c>
    </row>
    <row r="309">
      <c r="K309" t="e">
        <f>IF(AND(16&lt;=$B$12,$B$45=1),$B$133+$B$132*($B$13*16-$B$27/2),NA())</f>
        <v>#N/A</v>
      </c>
      <c r="L309" t="e">
        <f>IF(AND(16&lt;=$B$12,$B$45=1),$B$134+$B$132*($B$5/2-$B$27/2),NA())</f>
        <v>#N/A</v>
      </c>
      <c r="FE309" t="e">
        <f>IF(AND($B$21=1,(21*$B$66)&lt;$B$62),$B$145+$B$144*(IF((21*$B$66)&lt;$B$80,$B$83,$B$82)),NA())</f>
        <v>#N/A</v>
      </c>
      <c r="FF309" t="e">
        <f>IF(AND($B$21=1,(21*$B$66)&lt;$B$62),$B$146+$B$144*((21*$B$66)),NA())</f>
        <v>#N/A</v>
      </c>
      <c r="GI309" t="e">
        <f>IF(AND($B$21=1,(21*$B$66)&lt;IF($B$63=1,$B$10-0.2,$B$62)),$B$151+$B$150*(MAX(IF((21*$B$66)&lt;=$B$9,0,((21*$B$66)-$B$9)/$B$8),MIN(($B$5-IF((21*$B$66)&lt;=$B$9,0,((21*$B$66)-$B$9)/$B$8)),IF((21*$B$66)&lt;$B$111,$B$114,$B$113)))),NA())</f>
        <v>#N/A</v>
      </c>
      <c r="GJ309" t="e">
        <f>IF(AND($B$21=1,(21*$B$66)&lt;IF($B$63=1,$B$10-0.2,$B$62)),$B$152+$B$150*((21*$B$66)),NA())</f>
        <v>#N/A</v>
      </c>
      <c r="HQ309" t="e">
        <f>IF(AND(5&lt;=$B$23,3&lt;=$B$24),$B$157+$B$156*(IF(5=1,1,IF(5=$B$23,$B$12,5*(5-1)))*$B$13),NA())</f>
        <v>#N/A</v>
      </c>
      <c r="HR309" t="e">
        <f>IF(AND(5&lt;=$B$23,3&lt;=$B$24),$B$158+$B$156*((0*$B$5/2+(3-1)*($B$5/2)/$B$24)),NA())</f>
        <v>#N/A</v>
      </c>
      <c r="HS309" t="e">
        <f>IF(AND(13&lt;=$B$12,$B$51&gt;0),$B$157+$B$156*(((13-0.5)*$B$13)-($B$51*$B$13)/2),NA())</f>
        <v>#N/A</v>
      </c>
      <c r="HT309" t="e">
        <f>IF(AND(13&lt;=$B$12,$B$51&gt;0),$B$158+$B$156*((1*$B$5/2+0.6*$B$159)),NA())</f>
        <v>#N/A</v>
      </c>
      <c r="KI309" t="e">
        <f>IF(AND($B$21=1,26*$B$67&gt;$B$59,26*$B$67&lt;$B$178-$B$59,OR($B$63=0,ABS(26*$B$67-$B$178/2)&gt;$B$59/2)),$B$182+$B$181*($B$177*2/4-$B$60/2),NA())</f>
        <v>#N/A</v>
      </c>
      <c r="KJ309" t="e">
        <f>IF(AND($B$21=1,26*$B$67&gt;$B$59,26*$B$67&lt;$B$178-$B$59,OR($B$63=0,ABS(26*$B$67-$B$178/2)&gt;$B$59/2)),$B$183+$B$181*(26*$B$67),NA())</f>
        <v>#N/A</v>
      </c>
    </row>
    <row r="310">
      <c r="K310" t="e">
        <f>NA()</f>
        <v>#N/A</v>
      </c>
      <c r="L310" t="e">
        <f>NA()</f>
        <v>#N/A</v>
      </c>
      <c r="FE310" t="e">
        <f>IF(AND(AND($B$21=1,(21*$B$66)&lt;$B$62),(21*$B$66)&gt;=$B$80),$B$145+$B$144*($B$82),NA())</f>
        <v>#N/A</v>
      </c>
      <c r="FF310" t="e">
        <f>IF(AND(AND($B$21=1,(21*$B$66)&lt;$B$62),(21*$B$66)&gt;=$B$80),$B$146+$B$144*((21*$B$66)),NA())</f>
        <v>#N/A</v>
      </c>
      <c r="GI310" t="e">
        <f>IF(AND(AND($B$21=1,(21*$B$66)&lt;IF($B$63=1,$B$10-0.2,$B$62)),(21*$B$66)&gt;=$B$111),$B$151+$B$150*(MAX(IF((21*$B$66)&lt;=$B$9,0,((21*$B$66)-$B$9)/$B$8),MIN(($B$5-IF((21*$B$66)&lt;=$B$9,0,((21*$B$66)-$B$9)/$B$8)),$B$113))),NA())</f>
        <v>#N/A</v>
      </c>
      <c r="GJ310" t="e">
        <f>IF(AND(AND($B$21=1,(21*$B$66)&lt;IF($B$63=1,$B$10-0.2,$B$62)),(21*$B$66)&gt;=$B$111),$B$152+$B$150*((21*$B$66)),NA())</f>
        <v>#N/A</v>
      </c>
      <c r="HQ310" t="e">
        <f>NA()</f>
        <v>#N/A</v>
      </c>
      <c r="HR310" t="e">
        <f>NA()</f>
        <v>#N/A</v>
      </c>
      <c r="HS310" t="e">
        <f>NA()</f>
        <v>#N/A</v>
      </c>
      <c r="HT310" t="e">
        <f>NA()</f>
        <v>#N/A</v>
      </c>
      <c r="KI310" t="e">
        <f>NA()</f>
        <v>#N/A</v>
      </c>
      <c r="KJ310" t="e">
        <f>NA()</f>
        <v>#N/A</v>
      </c>
    </row>
    <row r="311">
      <c r="K311" t="e">
        <f>IF(17&lt;=$B$12,$B$133+$B$132*($B$13*17-$B$27/2),NA())</f>
        <v>#N/A</v>
      </c>
      <c r="L311" t="e">
        <f>IF(17&lt;=$B$12,$B$134+$B$132*(0-$B$27/2),NA())</f>
        <v>#N/A</v>
      </c>
      <c r="FE311" t="e">
        <f>IF(AND($B$21=1,(21*$B$66)&lt;$B$62),$B$145+$B$144*(IF((21*$B$66)&lt;$B$80,$B$84,$B$82)),NA())</f>
        <v>#N/A</v>
      </c>
      <c r="FF311" t="e">
        <f>IF(AND($B$21=1,(21*$B$66)&lt;$B$62),$B$146+$B$144*((21*$B$66)),NA())</f>
        <v>#N/A</v>
      </c>
      <c r="GI311" t="e">
        <f>IF(AND($B$21=1,(21*$B$66)&lt;IF($B$63=1,$B$10-0.2,$B$62)),$B$151+$B$150*(MAX(IF((21*$B$66)&lt;=$B$9,0,((21*$B$66)-$B$9)/$B$8),MIN(($B$5-IF((21*$B$66)&lt;=$B$9,0,((21*$B$66)-$B$9)/$B$8)),IF((21*$B$66)&lt;$B$111,$B$115,$B$113)))),NA())</f>
        <v>#N/A</v>
      </c>
      <c r="GJ311" t="e">
        <f>IF(AND($B$21=1,(21*$B$66)&lt;IF($B$63=1,$B$10-0.2,$B$62)),$B$152+$B$150*((21*$B$66)),NA())</f>
        <v>#N/A</v>
      </c>
      <c r="HQ311" t="e">
        <f>IF(AND(5&lt;=$B$23,4&lt;=$B$24),$B$157+$B$156*((IF(5=1,1,IF(5=$B$23,$B$12,5*(5-1)))-1)*$B$13),NA())</f>
        <v>#N/A</v>
      </c>
      <c r="HR311" t="e">
        <f>IF(AND(5&lt;=$B$23,4&lt;=$B$24),$B$158+$B$156*((0*$B$5/2+(4-1)*($B$5/2)/$B$24)),NA())</f>
        <v>#N/A</v>
      </c>
      <c r="HS311" t="e">
        <f>IF(AND(13&lt;=$B$12,$B$51&gt;0),$B$157+$B$156*(((13-0.5)*$B$13)-($B$51*$B$13)/2),NA())</f>
        <v>#N/A</v>
      </c>
      <c r="HT311" t="e">
        <f>IF(AND(13&lt;=$B$12,$B$51&gt;0),$B$158+$B$156*((1*$B$5/2+0.6*$B$159)),NA())</f>
        <v>#N/A</v>
      </c>
      <c r="KI311" t="e">
        <f>IF(AND($B$21=1,26*$B$67&gt;$B$59,26*$B$67&lt;$B$178-$B$59,OR($B$63=0,ABS(26*$B$67-$B$178/2)&gt;$B$59/2)),$B$182+$B$181*($B$177*2/4+$B$60/2),NA())</f>
        <v>#N/A</v>
      </c>
      <c r="KJ311" t="e">
        <f>IF(AND($B$21=1,26*$B$67&gt;$B$59,26*$B$67&lt;$B$178-$B$59,OR($B$63=0,ABS(26*$B$67-$B$178/2)&gt;$B$59/2)),$B$183+$B$181*(26*$B$67),NA())</f>
        <v>#N/A</v>
      </c>
    </row>
    <row r="312">
      <c r="K312" t="e">
        <f>IF(17&lt;=$B$12,$B$133+$B$132*($B$13*17+$B$27/2),NA())</f>
        <v>#N/A</v>
      </c>
      <c r="L312" t="e">
        <f>IF(17&lt;=$B$12,$B$134+$B$132*(0-$B$27/2),NA())</f>
        <v>#N/A</v>
      </c>
      <c r="FE312" t="e">
        <f>IF(AND($B$21=1,(21*$B$66)&lt;$B$62),$B$145+$B$144*(IF((21*$B$66)&lt;$B$87,$B$90,$B$89)),NA())</f>
        <v>#N/A</v>
      </c>
      <c r="FF312" t="e">
        <f>IF(AND($B$21=1,(21*$B$66)&lt;$B$62),$B$146+$B$144*((21*$B$66)),NA())</f>
        <v>#N/A</v>
      </c>
      <c r="GI312" t="e">
        <f>IF(AND($B$21=1,(21*$B$66)&lt;IF($B$63=1,$B$10-0.2,$B$62)),$B$151+$B$150*(MAX(IF((21*$B$66)&lt;=$B$9,0,((21*$B$66)-$B$9)/$B$8),MIN(($B$5-IF((21*$B$66)&lt;=$B$9,0,((21*$B$66)-$B$9)/$B$8)),IF((21*$B$66)&lt;$B$118,$B$121,$B$120)))),NA())</f>
        <v>#N/A</v>
      </c>
      <c r="GJ312" t="e">
        <f>IF(AND($B$21=1,(21*$B$66)&lt;IF($B$63=1,$B$10-0.2,$B$62)),$B$152+$B$150*((21*$B$66)),NA())</f>
        <v>#N/A</v>
      </c>
      <c r="HQ312" t="e">
        <f>IF(AND(5&lt;=$B$23,4&lt;=$B$24),$B$157+$B$156*(IF(5=1,1,IF(5=$B$23,$B$12,5*(5-1)))*$B$13),NA())</f>
        <v>#N/A</v>
      </c>
      <c r="HR312" t="e">
        <f>IF(AND(5&lt;=$B$23,4&lt;=$B$24),$B$158+$B$156*((0*$B$5/2+4*($B$5/2)/$B$24)),NA())</f>
        <v>#N/A</v>
      </c>
      <c r="HS312" t="e">
        <f>IF(AND(13&lt;=$B$12,$B$51&gt;0),$B$157+$B$156*(((13-0.5)*$B$13)+($B$51*$B$13)/2),NA())</f>
        <v>#N/A</v>
      </c>
      <c r="HT312" t="e">
        <f>IF(AND(13&lt;=$B$12,$B$51&gt;0),$B$158+$B$156*((1*$B$5/2+0.6*$B$159)+(((1*$B$5/2+$B$5/2-0.6*$B$159))-((1*$B$5/2+0.6*$B$159)))/4),NA())</f>
        <v>#N/A</v>
      </c>
      <c r="KI312" t="e">
        <f>IF(AND($B$21=1,26*$B$67&gt;$B$59,26*$B$67&lt;$B$178-$B$59,OR($B$63=0,ABS(26*$B$67-$B$178/2)&gt;$B$59/2)),$B$182+$B$181*($B$177*3/4-$B$60/2),NA())</f>
        <v>#N/A</v>
      </c>
      <c r="KJ312" t="e">
        <f>IF(AND($B$21=1,26*$B$67&gt;$B$59,26*$B$67&lt;$B$178-$B$59,OR($B$63=0,ABS(26*$B$67-$B$178/2)&gt;$B$59/2)),$B$183+$B$181*(26*$B$67),NA())</f>
        <v>#N/A</v>
      </c>
    </row>
    <row r="313">
      <c r="K313" t="e">
        <f>IF(17&lt;=$B$12,$B$133+$B$132*($B$13*17+$B$27/2),NA())</f>
        <v>#N/A</v>
      </c>
      <c r="L313" t="e">
        <f>IF(17&lt;=$B$12,$B$134+$B$132*(0+$B$27/2),NA())</f>
        <v>#N/A</v>
      </c>
      <c r="FE313" t="e">
        <f>IF(AND(AND($B$21=1,(21*$B$66)&lt;$B$62),(21*$B$66)&gt;=$B$87),$B$145+$B$144*($B$89),NA())</f>
        <v>#N/A</v>
      </c>
      <c r="FF313" t="e">
        <f>IF(AND(AND($B$21=1,(21*$B$66)&lt;$B$62),(21*$B$66)&gt;=$B$87),$B$146+$B$144*((21*$B$66)),NA())</f>
        <v>#N/A</v>
      </c>
      <c r="GI313" t="e">
        <f>IF(AND(AND($B$21=1,(21*$B$66)&lt;IF($B$63=1,$B$10-0.2,$B$62)),(21*$B$66)&gt;=$B$118),$B$151+$B$150*(MAX(IF((21*$B$66)&lt;=$B$9,0,((21*$B$66)-$B$9)/$B$8),MIN(($B$5-IF((21*$B$66)&lt;=$B$9,0,((21*$B$66)-$B$9)/$B$8)),$B$120))),NA())</f>
        <v>#N/A</v>
      </c>
      <c r="GJ313" t="e">
        <f>IF(AND(AND($B$21=1,(21*$B$66)&lt;IF($B$63=1,$B$10-0.2,$B$62)),(21*$B$66)&gt;=$B$118),$B$152+$B$150*((21*$B$66)),NA())</f>
        <v>#N/A</v>
      </c>
      <c r="HQ313" t="e">
        <f>NA()</f>
        <v>#N/A</v>
      </c>
      <c r="HR313" t="e">
        <f>NA()</f>
        <v>#N/A</v>
      </c>
      <c r="HS313" t="e">
        <f>IF(AND(13&lt;=$B$12,$B$51&gt;0),$B$157+$B$156*(((13-0.5)*$B$13)-($B$51*$B$13)/2),NA())</f>
        <v>#N/A</v>
      </c>
      <c r="HT313" t="e">
        <f>IF(AND(13&lt;=$B$12,$B$51&gt;0),$B$158+$B$156*((1*$B$5/2+0.6*$B$159)+(((1*$B$5/2+$B$5/2-0.6*$B$159))-((1*$B$5/2+0.6*$B$159)))/2),NA())</f>
        <v>#N/A</v>
      </c>
      <c r="KI313" t="e">
        <f>NA()</f>
        <v>#N/A</v>
      </c>
      <c r="KJ313" t="e">
        <f>NA()</f>
        <v>#N/A</v>
      </c>
    </row>
    <row r="314">
      <c r="K314" t="e">
        <f>IF(17&lt;=$B$12,$B$133+$B$132*($B$13*17-$B$27/2),NA())</f>
        <v>#N/A</v>
      </c>
      <c r="L314" t="e">
        <f>IF(17&lt;=$B$12,$B$134+$B$132*(0+$B$27/2),NA())</f>
        <v>#N/A</v>
      </c>
      <c r="FE314" t="e">
        <f>IF(AND($B$21=1,(21*$B$66)&lt;$B$62),$B$145+$B$144*(IF((21*$B$66)&lt;$B$87,$B$91,$B$89)),NA())</f>
        <v>#N/A</v>
      </c>
      <c r="FF314" t="e">
        <f>IF(AND($B$21=1,(21*$B$66)&lt;$B$62),$B$146+$B$144*((21*$B$66)),NA())</f>
        <v>#N/A</v>
      </c>
      <c r="GI314" t="e">
        <f>IF(AND($B$21=1,(21*$B$66)&lt;IF($B$63=1,$B$10-0.2,$B$62)),$B$151+$B$150*(MAX(IF((21*$B$66)&lt;=$B$9,0,((21*$B$66)-$B$9)/$B$8),MIN(($B$5-IF((21*$B$66)&lt;=$B$9,0,((21*$B$66)-$B$9)/$B$8)),IF((21*$B$66)&lt;$B$118,$B$122,$B$120)))),NA())</f>
        <v>#N/A</v>
      </c>
      <c r="GJ314" t="e">
        <f>IF(AND($B$21=1,(21*$B$66)&lt;IF($B$63=1,$B$10-0.2,$B$62)),$B$152+$B$150*((21*$B$66)),NA())</f>
        <v>#N/A</v>
      </c>
      <c r="HQ314" t="e">
        <f>IF(AND(5&lt;=$B$23,4&lt;=$B$24),$B$157+$B$156*((IF(5=1,1,IF(5=$B$23,$B$12,5*(5-1)))-1)*$B$13),NA())</f>
        <v>#N/A</v>
      </c>
      <c r="HR314" t="e">
        <f>IF(AND(5&lt;=$B$23,4&lt;=$B$24),$B$158+$B$156*((0*$B$5/2+4*($B$5/2)/$B$24)),NA())</f>
        <v>#N/A</v>
      </c>
      <c r="HS314" t="e">
        <f>IF(AND(13&lt;=$B$12,$B$51&gt;0),$B$157+$B$156*(((13-0.5)*$B$13)+($B$51*$B$13)/2),NA())</f>
        <v>#N/A</v>
      </c>
      <c r="HT314" t="e">
        <f>IF(AND(13&lt;=$B$12,$B$51&gt;0),$B$158+$B$156*((1*$B$5/2+0.6*$B$159)+3*(((1*$B$5/2+$B$5/2-0.6*$B$159))-((1*$B$5/2+0.6*$B$159)))/4),NA())</f>
        <v>#N/A</v>
      </c>
      <c r="KI314" t="e">
        <f>IF(AND($B$21=1,26*$B$67&gt;$B$59,26*$B$67&lt;$B$178-$B$59,OR($B$63=0,ABS(26*$B$67-$B$178/2)&gt;$B$59/2)),$B$182+$B$181*($B$177*3/4+$B$60/2),NA())</f>
        <v>#N/A</v>
      </c>
      <c r="KJ314" t="e">
        <f>IF(AND($B$21=1,26*$B$67&gt;$B$59,26*$B$67&lt;$B$178-$B$59,OR($B$63=0,ABS(26*$B$67-$B$178/2)&gt;$B$59/2)),$B$183+$B$181*(26*$B$67),NA())</f>
        <v>#N/A</v>
      </c>
    </row>
    <row r="315">
      <c r="K315" t="e">
        <f>IF(17&lt;=$B$12,$B$133+$B$132*($B$13*17-$B$27/2),NA())</f>
        <v>#N/A</v>
      </c>
      <c r="L315" t="e">
        <f>IF(17&lt;=$B$12,$B$134+$B$132*(0-$B$27/2),NA())</f>
        <v>#N/A</v>
      </c>
      <c r="FE315" t="e">
        <f>IF(AND($B$21=1,(21*$B$66)&lt;$B$62),$B$145+$B$144*(IF((21*$B$66)&lt;$B$94,$B$97,$B$96)),NA())</f>
        <v>#N/A</v>
      </c>
      <c r="FF315" t="e">
        <f>IF(AND($B$21=1,(21*$B$66)&lt;$B$62),$B$146+$B$144*((21*$B$66)),NA())</f>
        <v>#N/A</v>
      </c>
      <c r="GI315" t="e">
        <f>IF(AND($B$21=1,(21*$B$66)&lt;IF($B$63=1,$B$10-0.2,$B$62)),$B$151+$B$150*(MAX(IF((21*$B$66)&lt;=$B$9,0,((21*$B$66)-$B$9)/$B$8),MIN(($B$5-IF((21*$B$66)&lt;=$B$9,0,((21*$B$66)-$B$9)/$B$8)),IF((21*$B$66)&lt;$B$125,$B$128,$B$127)))),NA())</f>
        <v>#N/A</v>
      </c>
      <c r="GJ315" t="e">
        <f>IF(AND($B$21=1,(21*$B$66)&lt;IF($B$63=1,$B$10-0.2,$B$62)),$B$152+$B$150*((21*$B$66)),NA())</f>
        <v>#N/A</v>
      </c>
      <c r="HQ315" t="e">
        <f>IF(AND(5&lt;=$B$23,4&lt;=$B$24),$B$157+$B$156*(IF(5=1,1,IF(5=$B$23,$B$12,5*(5-1)))*$B$13),NA())</f>
        <v>#N/A</v>
      </c>
      <c r="HR315" t="e">
        <f>IF(AND(5&lt;=$B$23,4&lt;=$B$24),$B$158+$B$156*((0*$B$5/2+(4-1)*($B$5/2)/$B$24)),NA())</f>
        <v>#N/A</v>
      </c>
      <c r="HS315" t="e">
        <f>IF(AND(13&lt;=$B$12,$B$51&gt;0),$B$157+$B$156*(((13-0.5)*$B$13)-($B$51*$B$13)/2),NA())</f>
        <v>#N/A</v>
      </c>
      <c r="HT315" t="e">
        <f>IF(AND(13&lt;=$B$12,$B$51&gt;0),$B$158+$B$156*((1*$B$5/2+$B$5/2-0.6*$B$159)),NA())</f>
        <v>#N/A</v>
      </c>
      <c r="KI315" t="e">
        <f>IF(AND($B$21=1,26*$B$67&gt;$B$59,26*$B$67&lt;$B$178-$B$59,OR($B$63=0,ABS(26*$B$67-$B$178/2)&gt;$B$59/2)),$B$182+$B$181*($B$177),NA())</f>
        <v>#N/A</v>
      </c>
      <c r="KJ315" t="e">
        <f>IF(AND($B$21=1,26*$B$67&gt;$B$59,26*$B$67&lt;$B$178-$B$59,OR($B$63=0,ABS(26*$B$67-$B$178/2)&gt;$B$59/2)),$B$183+$B$181*(26*$B$67),NA())</f>
        <v>#N/A</v>
      </c>
    </row>
    <row r="316">
      <c r="K316" t="e">
        <f>NA()</f>
        <v>#N/A</v>
      </c>
      <c r="L316" t="e">
        <f>NA()</f>
        <v>#N/A</v>
      </c>
      <c r="FE316" t="e">
        <f>IF(AND(AND($B$21=1,(21*$B$66)&lt;$B$62),(21*$B$66)&gt;=$B$94),$B$145+$B$144*($B$96),NA())</f>
        <v>#N/A</v>
      </c>
      <c r="FF316" t="e">
        <f>IF(AND(AND($B$21=1,(21*$B$66)&lt;$B$62),(21*$B$66)&gt;=$B$94),$B$146+$B$144*((21*$B$66)),NA())</f>
        <v>#N/A</v>
      </c>
      <c r="GI316" t="e">
        <f>IF(AND(AND($B$21=1,(21*$B$66)&lt;IF($B$63=1,$B$10-0.2,$B$62)),(21*$B$66)&gt;=$B$125),$B$151+$B$150*(MAX(IF((21*$B$66)&lt;=$B$9,0,((21*$B$66)-$B$9)/$B$8),MIN(($B$5-IF((21*$B$66)&lt;=$B$9,0,((21*$B$66)-$B$9)/$B$8)),$B$127))),NA())</f>
        <v>#N/A</v>
      </c>
      <c r="GJ316" t="e">
        <f>IF(AND(AND($B$21=1,(21*$B$66)&lt;IF($B$63=1,$B$10-0.2,$B$62)),(21*$B$66)&gt;=$B$125),$B$152+$B$150*((21*$B$66)),NA())</f>
        <v>#N/A</v>
      </c>
      <c r="HQ316" t="e">
        <f>NA()</f>
        <v>#N/A</v>
      </c>
      <c r="HR316" t="e">
        <f>NA()</f>
        <v>#N/A</v>
      </c>
      <c r="HS316" t="e">
        <f>NA()</f>
        <v>#N/A</v>
      </c>
      <c r="HT316" t="e">
        <f>NA()</f>
        <v>#N/A</v>
      </c>
      <c r="KI316" t="e">
        <f>NA()</f>
        <v>#N/A</v>
      </c>
      <c r="KJ316" t="e">
        <f>NA()</f>
        <v>#N/A</v>
      </c>
    </row>
    <row r="317">
      <c r="K317" t="e">
        <f>IF(17&lt;=$B$12,$B$133+$B$132*($B$13*17-$B$27/2),NA())</f>
        <v>#N/A</v>
      </c>
      <c r="L317" t="e">
        <f>IF(17&lt;=$B$12,$B$134+$B$132*($B$5-$B$27/2),NA())</f>
        <v>#N/A</v>
      </c>
      <c r="FE317" t="e">
        <f>IF(AND($B$21=1,(21*$B$66)&lt;$B$62),$B$145+$B$144*(IF((21*$B$66)&lt;$B$94,$B$98,$B$96)),NA())</f>
        <v>#N/A</v>
      </c>
      <c r="FF317" t="e">
        <f>IF(AND($B$21=1,(21*$B$66)&lt;$B$62),$B$146+$B$144*((21*$B$66)),NA())</f>
        <v>#N/A</v>
      </c>
      <c r="GI317" t="e">
        <f>IF(AND($B$21=1,(21*$B$66)&lt;IF($B$63=1,$B$10-0.2,$B$62)),$B$151+$B$150*(MAX(IF((21*$B$66)&lt;=$B$9,0,((21*$B$66)-$B$9)/$B$8),MIN(($B$5-IF((21*$B$66)&lt;=$B$9,0,((21*$B$66)-$B$9)/$B$8)),IF((21*$B$66)&lt;$B$125,$B$129,$B$127)))),NA())</f>
        <v>#N/A</v>
      </c>
      <c r="GJ317" t="e">
        <f>IF(AND($B$21=1,(21*$B$66)&lt;IF($B$63=1,$B$10-0.2,$B$62)),$B$152+$B$150*((21*$B$66)),NA())</f>
        <v>#N/A</v>
      </c>
      <c r="HQ317" t="e">
        <f>IF(AND(5&lt;=$B$23,5&lt;=$B$24),$B$157+$B$156*((IF(5=1,1,IF(5=$B$23,$B$12,5*(5-1)))-1)*$B$13),NA())</f>
        <v>#N/A</v>
      </c>
      <c r="HR317" t="e">
        <f>IF(AND(5&lt;=$B$23,5&lt;=$B$24),$B$158+$B$156*((0*$B$5/2+(5-1)*($B$5/2)/$B$24)),NA())</f>
        <v>#N/A</v>
      </c>
      <c r="HS317" t="e">
        <f>IF(AND(14&lt;=$B$12,$B$51&gt;0),$B$157+$B$156*(((14-0.5)*$B$13)-($B$51*$B$13)/2),NA())</f>
        <v>#N/A</v>
      </c>
      <c r="HT317" t="e">
        <f>IF(AND(14&lt;=$B$12,$B$51&gt;0),$B$158+$B$156*((0*$B$5/2+0.6*$B$159)),NA())</f>
        <v>#N/A</v>
      </c>
      <c r="KI317" t="e">
        <f>IF(AND($B$21=1,27*$B$67&gt;$B$59,27*$B$67&lt;$B$178-$B$59,OR($B$63=0,ABS(27*$B$67-$B$178/2)&gt;$B$59/2)),$B$182+$B$181*(0),NA())</f>
        <v>#N/A</v>
      </c>
      <c r="KJ317" t="e">
        <f>IF(AND($B$21=1,27*$B$67&gt;$B$59,27*$B$67&lt;$B$178-$B$59,OR($B$63=0,ABS(27*$B$67-$B$178/2)&gt;$B$59/2)),$B$183+$B$181*(27*$B$67),NA())</f>
        <v>#N/A</v>
      </c>
    </row>
    <row r="318">
      <c r="K318" t="e">
        <f>IF(17&lt;=$B$12,$B$133+$B$132*($B$13*17+$B$27/2),NA())</f>
        <v>#N/A</v>
      </c>
      <c r="L318" t="e">
        <f>IF(17&lt;=$B$12,$B$134+$B$132*($B$5-$B$27/2),NA())</f>
        <v>#N/A</v>
      </c>
      <c r="FE318" t="e">
        <f>IF(AND($B$21=1,(21*$B$66)&lt;$B$62),$B$145+$B$144*($B$6),NA())</f>
        <v>#N/A</v>
      </c>
      <c r="FF318" t="e">
        <f>IF(AND($B$21=1,(21*$B$66)&lt;$B$62),$B$146+$B$144*((21*$B$66)),NA())</f>
        <v>#N/A</v>
      </c>
      <c r="GI318" t="e">
        <f>IF(AND($B$21=1,(21*$B$66)&lt;IF($B$63=1,$B$10-0.2,$B$62)),$B$151+$B$150*(($B$5-IF((21*$B$66)&lt;=$B$9,0,((21*$B$66)-$B$9)/$B$8))),NA())</f>
        <v>#N/A</v>
      </c>
      <c r="GJ318" t="e">
        <f>IF(AND($B$21=1,(21*$B$66)&lt;IF($B$63=1,$B$10-0.2,$B$62)),$B$152+$B$150*((21*$B$66)),NA())</f>
        <v>#N/A</v>
      </c>
      <c r="HQ318" t="e">
        <f>IF(AND(5&lt;=$B$23,5&lt;=$B$24),$B$157+$B$156*(IF(5=1,1,IF(5=$B$23,$B$12,5*(5-1)))*$B$13),NA())</f>
        <v>#N/A</v>
      </c>
      <c r="HR318" t="e">
        <f>IF(AND(5&lt;=$B$23,5&lt;=$B$24),$B$158+$B$156*((0*$B$5/2+5*($B$5/2)/$B$24)),NA())</f>
        <v>#N/A</v>
      </c>
      <c r="HS318" t="e">
        <f>IF(AND(14&lt;=$B$12,$B$51&gt;0),$B$157+$B$156*(((14-0.5)*$B$13)+($B$51*$B$13)/2),NA())</f>
        <v>#N/A</v>
      </c>
      <c r="HT318" t="e">
        <f>IF(AND(14&lt;=$B$12,$B$51&gt;0),$B$158+$B$156*((0*$B$5/2+0.6*$B$159)),NA())</f>
        <v>#N/A</v>
      </c>
      <c r="KI318" t="e">
        <f>IF(AND($B$21=1,27*$B$67&gt;$B$59,27*$B$67&lt;$B$178-$B$59,OR($B$63=0,ABS(27*$B$67-$B$178/2)&gt;$B$59/2)),$B$182+$B$181*($B$177*1/4-$B$60/2),NA())</f>
        <v>#N/A</v>
      </c>
      <c r="KJ318" t="e">
        <f>IF(AND($B$21=1,27*$B$67&gt;$B$59,27*$B$67&lt;$B$178-$B$59,OR($B$63=0,ABS(27*$B$67-$B$178/2)&gt;$B$59/2)),$B$183+$B$181*(27*$B$67),NA())</f>
        <v>#N/A</v>
      </c>
    </row>
    <row r="319">
      <c r="K319" t="e">
        <f>IF(17&lt;=$B$12,$B$133+$B$132*($B$13*17+$B$27/2),NA())</f>
        <v>#N/A</v>
      </c>
      <c r="L319" t="e">
        <f>IF(17&lt;=$B$12,$B$134+$B$132*($B$5+$B$27/2),NA())</f>
        <v>#N/A</v>
      </c>
      <c r="FE319" t="e">
        <f>NA()</f>
        <v>#N/A</v>
      </c>
      <c r="FF319" t="e">
        <f>NA()</f>
        <v>#N/A</v>
      </c>
      <c r="GI319" t="e">
        <f>NA()</f>
        <v>#N/A</v>
      </c>
      <c r="GJ319" t="e">
        <f>NA()</f>
        <v>#N/A</v>
      </c>
      <c r="HQ319" t="e">
        <f>NA()</f>
        <v>#N/A</v>
      </c>
      <c r="HR319" t="e">
        <f>NA()</f>
        <v>#N/A</v>
      </c>
      <c r="HS319" t="e">
        <f>IF(AND(14&lt;=$B$12,$B$51&gt;0),$B$157+$B$156*(((14-0.5)*$B$13)+($B$51*$B$13)/2),NA())</f>
        <v>#N/A</v>
      </c>
      <c r="HT319" t="e">
        <f>IF(AND(14&lt;=$B$12,$B$51&gt;0),$B$158+$B$156*((0*$B$5/2+$B$5/2-0.6*$B$159)),NA())</f>
        <v>#N/A</v>
      </c>
      <c r="KI319" t="e">
        <f>NA()</f>
        <v>#N/A</v>
      </c>
      <c r="KJ319" t="e">
        <f>NA()</f>
        <v>#N/A</v>
      </c>
    </row>
    <row r="320">
      <c r="K320" t="e">
        <f>IF(17&lt;=$B$12,$B$133+$B$132*($B$13*17-$B$27/2),NA())</f>
        <v>#N/A</v>
      </c>
      <c r="L320" t="e">
        <f>IF(17&lt;=$B$12,$B$134+$B$132*($B$5+$B$27/2),NA())</f>
        <v>#N/A</v>
      </c>
      <c r="FE320" t="e">
        <f>IF(AND($B$21=1,(22*$B$66)&lt;$B$62),$B$145+$B$144*(0),NA())</f>
        <v>#N/A</v>
      </c>
      <c r="FF320" t="e">
        <f>IF(AND($B$21=1,(22*$B$66)&lt;$B$62),$B$146+$B$144*((22*$B$66)),NA())</f>
        <v>#N/A</v>
      </c>
      <c r="GI320" t="e">
        <f>IF(AND($B$21=1,(22*$B$66)&lt;IF($B$63=1,$B$10-0.2,$B$62)),$B$151+$B$150*(IF((22*$B$66)&lt;=$B$9,0,((22*$B$66)-$B$9)/$B$8)),NA())</f>
        <v>#N/A</v>
      </c>
      <c r="GJ320" t="e">
        <f>IF(AND($B$21=1,(22*$B$66)&lt;IF($B$63=1,$B$10-0.2,$B$62)),$B$152+$B$150*((22*$B$66)),NA())</f>
        <v>#N/A</v>
      </c>
      <c r="HQ320" t="e">
        <f>IF(AND(5&lt;=$B$23,5&lt;=$B$24),$B$157+$B$156*((IF(5=1,1,IF(5=$B$23,$B$12,5*(5-1)))-1)*$B$13),NA())</f>
        <v>#N/A</v>
      </c>
      <c r="HR320" t="e">
        <f>IF(AND(5&lt;=$B$23,5&lt;=$B$24),$B$158+$B$156*((0*$B$5/2+5*($B$5/2)/$B$24)),NA())</f>
        <v>#N/A</v>
      </c>
      <c r="HS320" t="e">
        <f>IF(AND(14&lt;=$B$12,$B$51&gt;0),$B$157+$B$156*(((14-0.5)*$B$13)-($B$51*$B$13)/2),NA())</f>
        <v>#N/A</v>
      </c>
      <c r="HT320" t="e">
        <f>IF(AND(14&lt;=$B$12,$B$51&gt;0),$B$158+$B$156*((0*$B$5/2+$B$5/2-0.6*$B$159)),NA())</f>
        <v>#N/A</v>
      </c>
      <c r="KI320" t="e">
        <f>IF(AND($B$21=1,27*$B$67&gt;$B$59,27*$B$67&lt;$B$178-$B$59,OR($B$63=0,ABS(27*$B$67-$B$178/2)&gt;$B$59/2)),$B$182+$B$181*($B$177*1/4+$B$60/2),NA())</f>
        <v>#N/A</v>
      </c>
      <c r="KJ320" t="e">
        <f>IF(AND($B$21=1,27*$B$67&gt;$B$59,27*$B$67&lt;$B$178-$B$59,OR($B$63=0,ABS(27*$B$67-$B$178/2)&gt;$B$59/2)),$B$183+$B$181*(27*$B$67),NA())</f>
        <v>#N/A</v>
      </c>
    </row>
    <row r="321">
      <c r="K321" t="e">
        <f>IF(17&lt;=$B$12,$B$133+$B$132*($B$13*17-$B$27/2),NA())</f>
        <v>#N/A</v>
      </c>
      <c r="L321" t="e">
        <f>IF(17&lt;=$B$12,$B$134+$B$132*($B$5-$B$27/2),NA())</f>
        <v>#N/A</v>
      </c>
      <c r="FE321" t="e">
        <f>IF(AND($B$21=1,(22*$B$66)&lt;$B$62),$B$145+$B$144*(IF((22*$B$66)&lt;$B$73,$B$76,$B$75)),NA())</f>
        <v>#N/A</v>
      </c>
      <c r="FF321" t="e">
        <f>IF(AND($B$21=1,(22*$B$66)&lt;$B$62),$B$146+$B$144*((22*$B$66)),NA())</f>
        <v>#N/A</v>
      </c>
      <c r="GI321" t="e">
        <f>IF(AND($B$21=1,(22*$B$66)&lt;IF($B$63=1,$B$10-0.2,$B$62)),$B$151+$B$150*(MAX(IF((22*$B$66)&lt;=$B$9,0,((22*$B$66)-$B$9)/$B$8),MIN(($B$5-IF((22*$B$66)&lt;=$B$9,0,((22*$B$66)-$B$9)/$B$8)),IF((22*$B$66)&lt;$B$104,$B$107,$B$106)))),NA())</f>
        <v>#N/A</v>
      </c>
      <c r="GJ321" t="e">
        <f>IF(AND($B$21=1,(22*$B$66)&lt;IF($B$63=1,$B$10-0.2,$B$62)),$B$152+$B$150*((22*$B$66)),NA())</f>
        <v>#N/A</v>
      </c>
      <c r="HQ321" t="e">
        <f>IF(AND(5&lt;=$B$23,5&lt;=$B$24),$B$157+$B$156*(IF(5=1,1,IF(5=$B$23,$B$12,5*(5-1)))*$B$13),NA())</f>
        <v>#N/A</v>
      </c>
      <c r="HR321" t="e">
        <f>IF(AND(5&lt;=$B$23,5&lt;=$B$24),$B$158+$B$156*((0*$B$5/2+(5-1)*($B$5/2)/$B$24)),NA())</f>
        <v>#N/A</v>
      </c>
      <c r="HS321" t="e">
        <f>IF(AND(14&lt;=$B$12,$B$51&gt;0),$B$157+$B$156*(((14-0.5)*$B$13)-($B$51*$B$13)/2),NA())</f>
        <v>#N/A</v>
      </c>
      <c r="HT321" t="e">
        <f>IF(AND(14&lt;=$B$12,$B$51&gt;0),$B$158+$B$156*((0*$B$5/2+0.6*$B$159)),NA())</f>
        <v>#N/A</v>
      </c>
      <c r="KI321" t="e">
        <f>IF(AND($B$21=1,27*$B$67&gt;$B$59,27*$B$67&lt;$B$178-$B$59,OR($B$63=0,ABS(27*$B$67-$B$178/2)&gt;$B$59/2)),$B$182+$B$181*($B$177*2/4-$B$60/2),NA())</f>
        <v>#N/A</v>
      </c>
      <c r="KJ321" t="e">
        <f>IF(AND($B$21=1,27*$B$67&gt;$B$59,27*$B$67&lt;$B$178-$B$59,OR($B$63=0,ABS(27*$B$67-$B$178/2)&gt;$B$59/2)),$B$183+$B$181*(27*$B$67),NA())</f>
        <v>#N/A</v>
      </c>
    </row>
    <row r="322">
      <c r="K322" t="e">
        <f>NA()</f>
        <v>#N/A</v>
      </c>
      <c r="L322" t="e">
        <f>NA()</f>
        <v>#N/A</v>
      </c>
      <c r="FE322" t="e">
        <f>IF(AND(AND($B$21=1,(22*$B$66)&lt;$B$62),(22*$B$66)&gt;=$B$73),$B$145+$B$144*($B$75),NA())</f>
        <v>#N/A</v>
      </c>
      <c r="FF322" t="e">
        <f>IF(AND(AND($B$21=1,(22*$B$66)&lt;$B$62),(22*$B$66)&gt;=$B$73),$B$146+$B$144*((22*$B$66)),NA())</f>
        <v>#N/A</v>
      </c>
      <c r="GI322" t="e">
        <f>IF(AND(AND($B$21=1,(22*$B$66)&lt;IF($B$63=1,$B$10-0.2,$B$62)),(22*$B$66)&gt;=$B$104),$B$151+$B$150*(MAX(IF((22*$B$66)&lt;=$B$9,0,((22*$B$66)-$B$9)/$B$8),MIN(($B$5-IF((22*$B$66)&lt;=$B$9,0,((22*$B$66)-$B$9)/$B$8)),$B$106))),NA())</f>
        <v>#N/A</v>
      </c>
      <c r="GJ322" t="e">
        <f>IF(AND(AND($B$21=1,(22*$B$66)&lt;IF($B$63=1,$B$10-0.2,$B$62)),(22*$B$66)&gt;=$B$104),$B$152+$B$150*((22*$B$66)),NA())</f>
        <v>#N/A</v>
      </c>
      <c r="HQ322" t="e">
        <f>NA()</f>
        <v>#N/A</v>
      </c>
      <c r="HR322" t="e">
        <f>NA()</f>
        <v>#N/A</v>
      </c>
      <c r="HS322" t="e">
        <f>NA()</f>
        <v>#N/A</v>
      </c>
      <c r="HT322" t="e">
        <f>NA()</f>
        <v>#N/A</v>
      </c>
      <c r="KI322" t="e">
        <f>NA()</f>
        <v>#N/A</v>
      </c>
      <c r="KJ322" t="e">
        <f>NA()</f>
        <v>#N/A</v>
      </c>
    </row>
    <row r="323">
      <c r="K323" t="e">
        <f>IF(AND(17&lt;=$B$12,$B$45=1),$B$133+$B$132*($B$13*17-$B$27/2),NA())</f>
        <v>#N/A</v>
      </c>
      <c r="L323" t="e">
        <f>IF(AND(17&lt;=$B$12,$B$45=1),$B$134+$B$132*($B$5/2-$B$27/2),NA())</f>
        <v>#N/A</v>
      </c>
      <c r="FE323" t="e">
        <f>IF(AND($B$21=1,(22*$B$66)&lt;$B$62),$B$145+$B$144*(IF((22*$B$66)&lt;$B$73,$B$77,$B$75)),NA())</f>
        <v>#N/A</v>
      </c>
      <c r="FF323" t="e">
        <f>IF(AND($B$21=1,(22*$B$66)&lt;$B$62),$B$146+$B$144*((22*$B$66)),NA())</f>
        <v>#N/A</v>
      </c>
      <c r="GI323" t="e">
        <f>IF(AND($B$21=1,(22*$B$66)&lt;IF($B$63=1,$B$10-0.2,$B$62)),$B$151+$B$150*(MAX(IF((22*$B$66)&lt;=$B$9,0,((22*$B$66)-$B$9)/$B$8),MIN(($B$5-IF((22*$B$66)&lt;=$B$9,0,((22*$B$66)-$B$9)/$B$8)),IF((22*$B$66)&lt;$B$104,$B$108,$B$106)))),NA())</f>
        <v>#N/A</v>
      </c>
      <c r="GJ323" t="e">
        <f>IF(AND($B$21=1,(22*$B$66)&lt;IF($B$63=1,$B$10-0.2,$B$62)),$B$152+$B$150*((22*$B$66)),NA())</f>
        <v>#N/A</v>
      </c>
      <c r="HQ323" t="e">
        <f>IF(AND(5&lt;=$B$23,6&lt;=$B$24),$B$157+$B$156*((IF(5=1,1,IF(5=$B$23,$B$12,5*(5-1)))-1)*$B$13),NA())</f>
        <v>#N/A</v>
      </c>
      <c r="HR323" t="e">
        <f>IF(AND(5&lt;=$B$23,6&lt;=$B$24),$B$158+$B$156*((0*$B$5/2+(6-1)*($B$5/2)/$B$24)),NA())</f>
        <v>#N/A</v>
      </c>
      <c r="HS323" t="e">
        <f>IF(AND(14&lt;=$B$12,$B$51&gt;0),$B$157+$B$156*(((14-0.5)*$B$13)-($B$51*$B$13)/2),NA())</f>
        <v>#N/A</v>
      </c>
      <c r="HT323" t="e">
        <f>IF(AND(14&lt;=$B$12,$B$51&gt;0),$B$158+$B$156*((0*$B$5/2+0.6*$B$159)),NA())</f>
        <v>#N/A</v>
      </c>
      <c r="KI323" t="e">
        <f>IF(AND($B$21=1,27*$B$67&gt;$B$59,27*$B$67&lt;$B$178-$B$59,OR($B$63=0,ABS(27*$B$67-$B$178/2)&gt;$B$59/2)),$B$182+$B$181*($B$177*2/4+$B$60/2),NA())</f>
        <v>#N/A</v>
      </c>
      <c r="KJ323" t="e">
        <f>IF(AND($B$21=1,27*$B$67&gt;$B$59,27*$B$67&lt;$B$178-$B$59,OR($B$63=0,ABS(27*$B$67-$B$178/2)&gt;$B$59/2)),$B$183+$B$181*(27*$B$67),NA())</f>
        <v>#N/A</v>
      </c>
    </row>
    <row r="324">
      <c r="K324" t="e">
        <f>IF(AND(17&lt;=$B$12,$B$45=1),$B$133+$B$132*($B$13*17+$B$27/2),NA())</f>
        <v>#N/A</v>
      </c>
      <c r="L324" t="e">
        <f>IF(AND(17&lt;=$B$12,$B$45=1),$B$134+$B$132*($B$5/2-$B$27/2),NA())</f>
        <v>#N/A</v>
      </c>
      <c r="FE324" t="e">
        <f>IF(AND($B$21=1,(22*$B$66)&lt;$B$62),$B$145+$B$144*(IF((22*$B$66)&lt;$B$80,$B$83,$B$82)),NA())</f>
        <v>#N/A</v>
      </c>
      <c r="FF324" t="e">
        <f>IF(AND($B$21=1,(22*$B$66)&lt;$B$62),$B$146+$B$144*((22*$B$66)),NA())</f>
        <v>#N/A</v>
      </c>
      <c r="GI324" t="e">
        <f>IF(AND($B$21=1,(22*$B$66)&lt;IF($B$63=1,$B$10-0.2,$B$62)),$B$151+$B$150*(MAX(IF((22*$B$66)&lt;=$B$9,0,((22*$B$66)-$B$9)/$B$8),MIN(($B$5-IF((22*$B$66)&lt;=$B$9,0,((22*$B$66)-$B$9)/$B$8)),IF((22*$B$66)&lt;$B$111,$B$114,$B$113)))),NA())</f>
        <v>#N/A</v>
      </c>
      <c r="GJ324" t="e">
        <f>IF(AND($B$21=1,(22*$B$66)&lt;IF($B$63=1,$B$10-0.2,$B$62)),$B$152+$B$150*((22*$B$66)),NA())</f>
        <v>#N/A</v>
      </c>
      <c r="HQ324" t="e">
        <f>IF(AND(5&lt;=$B$23,6&lt;=$B$24),$B$157+$B$156*(IF(5=1,1,IF(5=$B$23,$B$12,5*(5-1)))*$B$13),NA())</f>
        <v>#N/A</v>
      </c>
      <c r="HR324" t="e">
        <f>IF(AND(5&lt;=$B$23,6&lt;=$B$24),$B$158+$B$156*((0*$B$5/2+6*($B$5/2)/$B$24)),NA())</f>
        <v>#N/A</v>
      </c>
      <c r="HS324" t="e">
        <f>IF(AND(14&lt;=$B$12,$B$51&gt;0),$B$157+$B$156*(((14-0.5)*$B$13)+($B$51*$B$13)/2),NA())</f>
        <v>#N/A</v>
      </c>
      <c r="HT324" t="e">
        <f>IF(AND(14&lt;=$B$12,$B$51&gt;0),$B$158+$B$156*((0*$B$5/2+0.6*$B$159)+(((0*$B$5/2+$B$5/2-0.6*$B$159))-((0*$B$5/2+0.6*$B$159)))/4),NA())</f>
        <v>#N/A</v>
      </c>
      <c r="KI324" t="e">
        <f>IF(AND($B$21=1,27*$B$67&gt;$B$59,27*$B$67&lt;$B$178-$B$59,OR($B$63=0,ABS(27*$B$67-$B$178/2)&gt;$B$59/2)),$B$182+$B$181*($B$177*3/4-$B$60/2),NA())</f>
        <v>#N/A</v>
      </c>
      <c r="KJ324" t="e">
        <f>IF(AND($B$21=1,27*$B$67&gt;$B$59,27*$B$67&lt;$B$178-$B$59,OR($B$63=0,ABS(27*$B$67-$B$178/2)&gt;$B$59/2)),$B$183+$B$181*(27*$B$67),NA())</f>
        <v>#N/A</v>
      </c>
    </row>
    <row r="325">
      <c r="K325" t="e">
        <f>IF(AND(17&lt;=$B$12,$B$45=1),$B$133+$B$132*($B$13*17+$B$27/2),NA())</f>
        <v>#N/A</v>
      </c>
      <c r="L325" t="e">
        <f>IF(AND(17&lt;=$B$12,$B$45=1),$B$134+$B$132*($B$5/2+$B$27/2),NA())</f>
        <v>#N/A</v>
      </c>
      <c r="FE325" t="e">
        <f>IF(AND(AND($B$21=1,(22*$B$66)&lt;$B$62),(22*$B$66)&gt;=$B$80),$B$145+$B$144*($B$82),NA())</f>
        <v>#N/A</v>
      </c>
      <c r="FF325" t="e">
        <f>IF(AND(AND($B$21=1,(22*$B$66)&lt;$B$62),(22*$B$66)&gt;=$B$80),$B$146+$B$144*((22*$B$66)),NA())</f>
        <v>#N/A</v>
      </c>
      <c r="GI325" t="e">
        <f>IF(AND(AND($B$21=1,(22*$B$66)&lt;IF($B$63=1,$B$10-0.2,$B$62)),(22*$B$66)&gt;=$B$111),$B$151+$B$150*(MAX(IF((22*$B$66)&lt;=$B$9,0,((22*$B$66)-$B$9)/$B$8),MIN(($B$5-IF((22*$B$66)&lt;=$B$9,0,((22*$B$66)-$B$9)/$B$8)),$B$113))),NA())</f>
        <v>#N/A</v>
      </c>
      <c r="GJ325" t="e">
        <f>IF(AND(AND($B$21=1,(22*$B$66)&lt;IF($B$63=1,$B$10-0.2,$B$62)),(22*$B$66)&gt;=$B$111),$B$152+$B$150*((22*$B$66)),NA())</f>
        <v>#N/A</v>
      </c>
      <c r="HQ325" t="e">
        <f>NA()</f>
        <v>#N/A</v>
      </c>
      <c r="HR325" t="e">
        <f>NA()</f>
        <v>#N/A</v>
      </c>
      <c r="HS325" t="e">
        <f>IF(AND(14&lt;=$B$12,$B$51&gt;0),$B$157+$B$156*(((14-0.5)*$B$13)-($B$51*$B$13)/2),NA())</f>
        <v>#N/A</v>
      </c>
      <c r="HT325" t="e">
        <f>IF(AND(14&lt;=$B$12,$B$51&gt;0),$B$158+$B$156*((0*$B$5/2+0.6*$B$159)+(((0*$B$5/2+$B$5/2-0.6*$B$159))-((0*$B$5/2+0.6*$B$159)))/2),NA())</f>
        <v>#N/A</v>
      </c>
      <c r="KI325" t="e">
        <f>NA()</f>
        <v>#N/A</v>
      </c>
      <c r="KJ325" t="e">
        <f>NA()</f>
        <v>#N/A</v>
      </c>
    </row>
    <row r="326">
      <c r="K326" t="e">
        <f>IF(AND(17&lt;=$B$12,$B$45=1),$B$133+$B$132*($B$13*17-$B$27/2),NA())</f>
        <v>#N/A</v>
      </c>
      <c r="L326" t="e">
        <f>IF(AND(17&lt;=$B$12,$B$45=1),$B$134+$B$132*($B$5/2+$B$27/2),NA())</f>
        <v>#N/A</v>
      </c>
      <c r="FE326" t="e">
        <f>IF(AND($B$21=1,(22*$B$66)&lt;$B$62),$B$145+$B$144*(IF((22*$B$66)&lt;$B$80,$B$84,$B$82)),NA())</f>
        <v>#N/A</v>
      </c>
      <c r="FF326" t="e">
        <f>IF(AND($B$21=1,(22*$B$66)&lt;$B$62),$B$146+$B$144*((22*$B$66)),NA())</f>
        <v>#N/A</v>
      </c>
      <c r="GI326" t="e">
        <f>IF(AND($B$21=1,(22*$B$66)&lt;IF($B$63=1,$B$10-0.2,$B$62)),$B$151+$B$150*(MAX(IF((22*$B$66)&lt;=$B$9,0,((22*$B$66)-$B$9)/$B$8),MIN(($B$5-IF((22*$B$66)&lt;=$B$9,0,((22*$B$66)-$B$9)/$B$8)),IF((22*$B$66)&lt;$B$111,$B$115,$B$113)))),NA())</f>
        <v>#N/A</v>
      </c>
      <c r="GJ326" t="e">
        <f>IF(AND($B$21=1,(22*$B$66)&lt;IF($B$63=1,$B$10-0.2,$B$62)),$B$152+$B$150*((22*$B$66)),NA())</f>
        <v>#N/A</v>
      </c>
      <c r="HQ326" t="e">
        <f>IF(AND(5&lt;=$B$23,6&lt;=$B$24),$B$157+$B$156*((IF(5=1,1,IF(5=$B$23,$B$12,5*(5-1)))-1)*$B$13),NA())</f>
        <v>#N/A</v>
      </c>
      <c r="HR326" t="e">
        <f>IF(AND(5&lt;=$B$23,6&lt;=$B$24),$B$158+$B$156*((0*$B$5/2+6*($B$5/2)/$B$24)),NA())</f>
        <v>#N/A</v>
      </c>
      <c r="HS326" t="e">
        <f>IF(AND(14&lt;=$B$12,$B$51&gt;0),$B$157+$B$156*(((14-0.5)*$B$13)+($B$51*$B$13)/2),NA())</f>
        <v>#N/A</v>
      </c>
      <c r="HT326" t="e">
        <f>IF(AND(14&lt;=$B$12,$B$51&gt;0),$B$158+$B$156*((0*$B$5/2+0.6*$B$159)+3*(((0*$B$5/2+$B$5/2-0.6*$B$159))-((0*$B$5/2+0.6*$B$159)))/4),NA())</f>
        <v>#N/A</v>
      </c>
      <c r="KI326" t="e">
        <f>IF(AND($B$21=1,27*$B$67&gt;$B$59,27*$B$67&lt;$B$178-$B$59,OR($B$63=0,ABS(27*$B$67-$B$178/2)&gt;$B$59/2)),$B$182+$B$181*($B$177*3/4+$B$60/2),NA())</f>
        <v>#N/A</v>
      </c>
      <c r="KJ326" t="e">
        <f>IF(AND($B$21=1,27*$B$67&gt;$B$59,27*$B$67&lt;$B$178-$B$59,OR($B$63=0,ABS(27*$B$67-$B$178/2)&gt;$B$59/2)),$B$183+$B$181*(27*$B$67),NA())</f>
        <v>#N/A</v>
      </c>
    </row>
    <row r="327">
      <c r="K327" t="e">
        <f>IF(AND(17&lt;=$B$12,$B$45=1),$B$133+$B$132*($B$13*17-$B$27/2),NA())</f>
        <v>#N/A</v>
      </c>
      <c r="L327" t="e">
        <f>IF(AND(17&lt;=$B$12,$B$45=1),$B$134+$B$132*($B$5/2-$B$27/2),NA())</f>
        <v>#N/A</v>
      </c>
      <c r="FE327" t="e">
        <f>IF(AND($B$21=1,(22*$B$66)&lt;$B$62),$B$145+$B$144*(IF((22*$B$66)&lt;$B$87,$B$90,$B$89)),NA())</f>
        <v>#N/A</v>
      </c>
      <c r="FF327" t="e">
        <f>IF(AND($B$21=1,(22*$B$66)&lt;$B$62),$B$146+$B$144*((22*$B$66)),NA())</f>
        <v>#N/A</v>
      </c>
      <c r="GI327" t="e">
        <f>IF(AND($B$21=1,(22*$B$66)&lt;IF($B$63=1,$B$10-0.2,$B$62)),$B$151+$B$150*(MAX(IF((22*$B$66)&lt;=$B$9,0,((22*$B$66)-$B$9)/$B$8),MIN(($B$5-IF((22*$B$66)&lt;=$B$9,0,((22*$B$66)-$B$9)/$B$8)),IF((22*$B$66)&lt;$B$118,$B$121,$B$120)))),NA())</f>
        <v>#N/A</v>
      </c>
      <c r="GJ327" t="e">
        <f>IF(AND($B$21=1,(22*$B$66)&lt;IF($B$63=1,$B$10-0.2,$B$62)),$B$152+$B$150*((22*$B$66)),NA())</f>
        <v>#N/A</v>
      </c>
      <c r="HQ327" t="e">
        <f>IF(AND(5&lt;=$B$23,6&lt;=$B$24),$B$157+$B$156*(IF(5=1,1,IF(5=$B$23,$B$12,5*(5-1)))*$B$13),NA())</f>
        <v>#N/A</v>
      </c>
      <c r="HR327" t="e">
        <f>IF(AND(5&lt;=$B$23,6&lt;=$B$24),$B$158+$B$156*((0*$B$5/2+(6-1)*($B$5/2)/$B$24)),NA())</f>
        <v>#N/A</v>
      </c>
      <c r="HS327" t="e">
        <f>IF(AND(14&lt;=$B$12,$B$51&gt;0),$B$157+$B$156*(((14-0.5)*$B$13)-($B$51*$B$13)/2),NA())</f>
        <v>#N/A</v>
      </c>
      <c r="HT327" t="e">
        <f>IF(AND(14&lt;=$B$12,$B$51&gt;0),$B$158+$B$156*((0*$B$5/2+$B$5/2-0.6*$B$159)),NA())</f>
        <v>#N/A</v>
      </c>
      <c r="KI327" t="e">
        <f>IF(AND($B$21=1,27*$B$67&gt;$B$59,27*$B$67&lt;$B$178-$B$59,OR($B$63=0,ABS(27*$B$67-$B$178/2)&gt;$B$59/2)),$B$182+$B$181*($B$177),NA())</f>
        <v>#N/A</v>
      </c>
      <c r="KJ327" t="e">
        <f>IF(AND($B$21=1,27*$B$67&gt;$B$59,27*$B$67&lt;$B$178-$B$59,OR($B$63=0,ABS(27*$B$67-$B$178/2)&gt;$B$59/2)),$B$183+$B$181*(27*$B$67),NA())</f>
        <v>#N/A</v>
      </c>
    </row>
    <row r="328">
      <c r="K328" t="e">
        <f>NA()</f>
        <v>#N/A</v>
      </c>
      <c r="L328" t="e">
        <f>NA()</f>
        <v>#N/A</v>
      </c>
      <c r="FE328" t="e">
        <f>IF(AND(AND($B$21=1,(22*$B$66)&lt;$B$62),(22*$B$66)&gt;=$B$87),$B$145+$B$144*($B$89),NA())</f>
        <v>#N/A</v>
      </c>
      <c r="FF328" t="e">
        <f>IF(AND(AND($B$21=1,(22*$B$66)&lt;$B$62),(22*$B$66)&gt;=$B$87),$B$146+$B$144*((22*$B$66)),NA())</f>
        <v>#N/A</v>
      </c>
      <c r="GI328" t="e">
        <f>IF(AND(AND($B$21=1,(22*$B$66)&lt;IF($B$63=1,$B$10-0.2,$B$62)),(22*$B$66)&gt;=$B$118),$B$151+$B$150*(MAX(IF((22*$B$66)&lt;=$B$9,0,((22*$B$66)-$B$9)/$B$8),MIN(($B$5-IF((22*$B$66)&lt;=$B$9,0,((22*$B$66)-$B$9)/$B$8)),$B$120))),NA())</f>
        <v>#N/A</v>
      </c>
      <c r="GJ328" t="e">
        <f>IF(AND(AND($B$21=1,(22*$B$66)&lt;IF($B$63=1,$B$10-0.2,$B$62)),(22*$B$66)&gt;=$B$118),$B$152+$B$150*((22*$B$66)),NA())</f>
        <v>#N/A</v>
      </c>
      <c r="HQ328" t="e">
        <f>NA()</f>
        <v>#N/A</v>
      </c>
      <c r="HR328" t="e">
        <f>NA()</f>
        <v>#N/A</v>
      </c>
      <c r="HS328" t="e">
        <f>NA()</f>
        <v>#N/A</v>
      </c>
      <c r="HT328" t="e">
        <f>NA()</f>
        <v>#N/A</v>
      </c>
      <c r="KI328" t="e">
        <f>NA()</f>
        <v>#N/A</v>
      </c>
      <c r="KJ328" t="e">
        <f>NA()</f>
        <v>#N/A</v>
      </c>
    </row>
    <row r="329">
      <c r="K329" t="e">
        <f>IF(18&lt;=$B$12,$B$133+$B$132*($B$13*18-$B$27/2),NA())</f>
        <v>#N/A</v>
      </c>
      <c r="L329" t="e">
        <f>IF(18&lt;=$B$12,$B$134+$B$132*(0-$B$27/2),NA())</f>
        <v>#N/A</v>
      </c>
      <c r="FE329" t="e">
        <f>IF(AND($B$21=1,(22*$B$66)&lt;$B$62),$B$145+$B$144*(IF((22*$B$66)&lt;$B$87,$B$91,$B$89)),NA())</f>
        <v>#N/A</v>
      </c>
      <c r="FF329" t="e">
        <f>IF(AND($B$21=1,(22*$B$66)&lt;$B$62),$B$146+$B$144*((22*$B$66)),NA())</f>
        <v>#N/A</v>
      </c>
      <c r="GI329" t="e">
        <f>IF(AND($B$21=1,(22*$B$66)&lt;IF($B$63=1,$B$10-0.2,$B$62)),$B$151+$B$150*(MAX(IF((22*$B$66)&lt;=$B$9,0,((22*$B$66)-$B$9)/$B$8),MIN(($B$5-IF((22*$B$66)&lt;=$B$9,0,((22*$B$66)-$B$9)/$B$8)),IF((22*$B$66)&lt;$B$118,$B$122,$B$120)))),NA())</f>
        <v>#N/A</v>
      </c>
      <c r="GJ329" t="e">
        <f>IF(AND($B$21=1,(22*$B$66)&lt;IF($B$63=1,$B$10-0.2,$B$62)),$B$152+$B$150*((22*$B$66)),NA())</f>
        <v>#N/A</v>
      </c>
      <c r="HQ329" t="e">
        <f>IF(AND(5&lt;=$B$23,1&lt;=$B$24),$B$157+$B$156*((IF(5=1,1,IF(5=$B$23,$B$12,5*(5-1)))-1)*$B$13),NA())</f>
        <v>#N/A</v>
      </c>
      <c r="HR329" t="e">
        <f>IF(AND(5&lt;=$B$23,1&lt;=$B$24),$B$158+$B$156*((1*$B$5/2+(1-1)*($B$5/2)/$B$24)),NA())</f>
        <v>#N/A</v>
      </c>
      <c r="HS329" t="e">
        <f>IF(AND(14&lt;=$B$12,$B$51&gt;0),$B$157+$B$156*(((14-0.5)*$B$13)-($B$51*$B$13)/2),NA())</f>
        <v>#N/A</v>
      </c>
      <c r="HT329" t="e">
        <f>IF(AND(14&lt;=$B$12,$B$51&gt;0),$B$158+$B$156*((1*$B$5/2+0.6*$B$159)),NA())</f>
        <v>#N/A</v>
      </c>
      <c r="KI329" t="e">
        <f>IF(AND($B$21=1,28*$B$67&gt;$B$59,28*$B$67&lt;$B$178-$B$59,OR($B$63=0,ABS(28*$B$67-$B$178/2)&gt;$B$59/2)),$B$182+$B$181*(0),NA())</f>
        <v>#N/A</v>
      </c>
      <c r="KJ329" t="e">
        <f>IF(AND($B$21=1,28*$B$67&gt;$B$59,28*$B$67&lt;$B$178-$B$59,OR($B$63=0,ABS(28*$B$67-$B$178/2)&gt;$B$59/2)),$B$183+$B$181*(28*$B$67),NA())</f>
        <v>#N/A</v>
      </c>
    </row>
    <row r="330">
      <c r="K330" t="e">
        <f>IF(18&lt;=$B$12,$B$133+$B$132*($B$13*18+$B$27/2),NA())</f>
        <v>#N/A</v>
      </c>
      <c r="L330" t="e">
        <f>IF(18&lt;=$B$12,$B$134+$B$132*(0-$B$27/2),NA())</f>
        <v>#N/A</v>
      </c>
      <c r="FE330" t="e">
        <f>IF(AND($B$21=1,(22*$B$66)&lt;$B$62),$B$145+$B$144*(IF((22*$B$66)&lt;$B$94,$B$97,$B$96)),NA())</f>
        <v>#N/A</v>
      </c>
      <c r="FF330" t="e">
        <f>IF(AND($B$21=1,(22*$B$66)&lt;$B$62),$B$146+$B$144*((22*$B$66)),NA())</f>
        <v>#N/A</v>
      </c>
      <c r="GI330" t="e">
        <f>IF(AND($B$21=1,(22*$B$66)&lt;IF($B$63=1,$B$10-0.2,$B$62)),$B$151+$B$150*(MAX(IF((22*$B$66)&lt;=$B$9,0,((22*$B$66)-$B$9)/$B$8),MIN(($B$5-IF((22*$B$66)&lt;=$B$9,0,((22*$B$66)-$B$9)/$B$8)),IF((22*$B$66)&lt;$B$125,$B$128,$B$127)))),NA())</f>
        <v>#N/A</v>
      </c>
      <c r="GJ330" t="e">
        <f>IF(AND($B$21=1,(22*$B$66)&lt;IF($B$63=1,$B$10-0.2,$B$62)),$B$152+$B$150*((22*$B$66)),NA())</f>
        <v>#N/A</v>
      </c>
      <c r="HQ330" t="e">
        <f>IF(AND(5&lt;=$B$23,1&lt;=$B$24),$B$157+$B$156*(IF(5=1,1,IF(5=$B$23,$B$12,5*(5-1)))*$B$13),NA())</f>
        <v>#N/A</v>
      </c>
      <c r="HR330" t="e">
        <f>IF(AND(5&lt;=$B$23,1&lt;=$B$24),$B$158+$B$156*((1*$B$5/2+1*($B$5/2)/$B$24)),NA())</f>
        <v>#N/A</v>
      </c>
      <c r="HS330" t="e">
        <f>IF(AND(14&lt;=$B$12,$B$51&gt;0),$B$157+$B$156*(((14-0.5)*$B$13)+($B$51*$B$13)/2),NA())</f>
        <v>#N/A</v>
      </c>
      <c r="HT330" t="e">
        <f>IF(AND(14&lt;=$B$12,$B$51&gt;0),$B$158+$B$156*((1*$B$5/2+0.6*$B$159)),NA())</f>
        <v>#N/A</v>
      </c>
      <c r="KI330" t="e">
        <f>IF(AND($B$21=1,28*$B$67&gt;$B$59,28*$B$67&lt;$B$178-$B$59,OR($B$63=0,ABS(28*$B$67-$B$178/2)&gt;$B$59/2)),$B$182+$B$181*($B$177*1/4-$B$60/2),NA())</f>
        <v>#N/A</v>
      </c>
      <c r="KJ330" t="e">
        <f>IF(AND($B$21=1,28*$B$67&gt;$B$59,28*$B$67&lt;$B$178-$B$59,OR($B$63=0,ABS(28*$B$67-$B$178/2)&gt;$B$59/2)),$B$183+$B$181*(28*$B$67),NA())</f>
        <v>#N/A</v>
      </c>
    </row>
    <row r="331">
      <c r="K331" t="e">
        <f>IF(18&lt;=$B$12,$B$133+$B$132*($B$13*18+$B$27/2),NA())</f>
        <v>#N/A</v>
      </c>
      <c r="L331" t="e">
        <f>IF(18&lt;=$B$12,$B$134+$B$132*(0+$B$27/2),NA())</f>
        <v>#N/A</v>
      </c>
      <c r="FE331" t="e">
        <f>IF(AND(AND($B$21=1,(22*$B$66)&lt;$B$62),(22*$B$66)&gt;=$B$94),$B$145+$B$144*($B$96),NA())</f>
        <v>#N/A</v>
      </c>
      <c r="FF331" t="e">
        <f>IF(AND(AND($B$21=1,(22*$B$66)&lt;$B$62),(22*$B$66)&gt;=$B$94),$B$146+$B$144*((22*$B$66)),NA())</f>
        <v>#N/A</v>
      </c>
      <c r="GI331" t="e">
        <f>IF(AND(AND($B$21=1,(22*$B$66)&lt;IF($B$63=1,$B$10-0.2,$B$62)),(22*$B$66)&gt;=$B$125),$B$151+$B$150*(MAX(IF((22*$B$66)&lt;=$B$9,0,((22*$B$66)-$B$9)/$B$8),MIN(($B$5-IF((22*$B$66)&lt;=$B$9,0,((22*$B$66)-$B$9)/$B$8)),$B$127))),NA())</f>
        <v>#N/A</v>
      </c>
      <c r="GJ331" t="e">
        <f>IF(AND(AND($B$21=1,(22*$B$66)&lt;IF($B$63=1,$B$10-0.2,$B$62)),(22*$B$66)&gt;=$B$125),$B$152+$B$150*((22*$B$66)),NA())</f>
        <v>#N/A</v>
      </c>
      <c r="HQ331" t="e">
        <f>NA()</f>
        <v>#N/A</v>
      </c>
      <c r="HR331" t="e">
        <f>NA()</f>
        <v>#N/A</v>
      </c>
      <c r="HS331" t="e">
        <f>IF(AND(14&lt;=$B$12,$B$51&gt;0),$B$157+$B$156*(((14-0.5)*$B$13)+($B$51*$B$13)/2),NA())</f>
        <v>#N/A</v>
      </c>
      <c r="HT331" t="e">
        <f>IF(AND(14&lt;=$B$12,$B$51&gt;0),$B$158+$B$156*((1*$B$5/2+$B$5/2-0.6*$B$159)),NA())</f>
        <v>#N/A</v>
      </c>
      <c r="KI331" t="e">
        <f>NA()</f>
        <v>#N/A</v>
      </c>
      <c r="KJ331" t="e">
        <f>NA()</f>
        <v>#N/A</v>
      </c>
    </row>
    <row r="332">
      <c r="K332" t="e">
        <f>IF(18&lt;=$B$12,$B$133+$B$132*($B$13*18-$B$27/2),NA())</f>
        <v>#N/A</v>
      </c>
      <c r="L332" t="e">
        <f>IF(18&lt;=$B$12,$B$134+$B$132*(0+$B$27/2),NA())</f>
        <v>#N/A</v>
      </c>
      <c r="FE332" t="e">
        <f>IF(AND($B$21=1,(22*$B$66)&lt;$B$62),$B$145+$B$144*(IF((22*$B$66)&lt;$B$94,$B$98,$B$96)),NA())</f>
        <v>#N/A</v>
      </c>
      <c r="FF332" t="e">
        <f>IF(AND($B$21=1,(22*$B$66)&lt;$B$62),$B$146+$B$144*((22*$B$66)),NA())</f>
        <v>#N/A</v>
      </c>
      <c r="GI332" t="e">
        <f>IF(AND($B$21=1,(22*$B$66)&lt;IF($B$63=1,$B$10-0.2,$B$62)),$B$151+$B$150*(MAX(IF((22*$B$66)&lt;=$B$9,0,((22*$B$66)-$B$9)/$B$8),MIN(($B$5-IF((22*$B$66)&lt;=$B$9,0,((22*$B$66)-$B$9)/$B$8)),IF((22*$B$66)&lt;$B$125,$B$129,$B$127)))),NA())</f>
        <v>#N/A</v>
      </c>
      <c r="GJ332" t="e">
        <f>IF(AND($B$21=1,(22*$B$66)&lt;IF($B$63=1,$B$10-0.2,$B$62)),$B$152+$B$150*((22*$B$66)),NA())</f>
        <v>#N/A</v>
      </c>
      <c r="HQ332" t="e">
        <f>IF(AND(5&lt;=$B$23,1&lt;=$B$24),$B$157+$B$156*((IF(5=1,1,IF(5=$B$23,$B$12,5*(5-1)))-1)*$B$13),NA())</f>
        <v>#N/A</v>
      </c>
      <c r="HR332" t="e">
        <f>IF(AND(5&lt;=$B$23,1&lt;=$B$24),$B$158+$B$156*((1*$B$5/2+1*($B$5/2)/$B$24)),NA())</f>
        <v>#N/A</v>
      </c>
      <c r="HS332" t="e">
        <f>IF(AND(14&lt;=$B$12,$B$51&gt;0),$B$157+$B$156*(((14-0.5)*$B$13)-($B$51*$B$13)/2),NA())</f>
        <v>#N/A</v>
      </c>
      <c r="HT332" t="e">
        <f>IF(AND(14&lt;=$B$12,$B$51&gt;0),$B$158+$B$156*((1*$B$5/2+$B$5/2-0.6*$B$159)),NA())</f>
        <v>#N/A</v>
      </c>
      <c r="KI332" t="e">
        <f>IF(AND($B$21=1,28*$B$67&gt;$B$59,28*$B$67&lt;$B$178-$B$59,OR($B$63=0,ABS(28*$B$67-$B$178/2)&gt;$B$59/2)),$B$182+$B$181*($B$177*1/4+$B$60/2),NA())</f>
        <v>#N/A</v>
      </c>
      <c r="KJ332" t="e">
        <f>IF(AND($B$21=1,28*$B$67&gt;$B$59,28*$B$67&lt;$B$178-$B$59,OR($B$63=0,ABS(28*$B$67-$B$178/2)&gt;$B$59/2)),$B$183+$B$181*(28*$B$67),NA())</f>
        <v>#N/A</v>
      </c>
    </row>
    <row r="333">
      <c r="K333" t="e">
        <f>IF(18&lt;=$B$12,$B$133+$B$132*($B$13*18-$B$27/2),NA())</f>
        <v>#N/A</v>
      </c>
      <c r="L333" t="e">
        <f>IF(18&lt;=$B$12,$B$134+$B$132*(0-$B$27/2),NA())</f>
        <v>#N/A</v>
      </c>
      <c r="FE333" t="e">
        <f>IF(AND($B$21=1,(22*$B$66)&lt;$B$62),$B$145+$B$144*($B$6),NA())</f>
        <v>#N/A</v>
      </c>
      <c r="FF333" t="e">
        <f>IF(AND($B$21=1,(22*$B$66)&lt;$B$62),$B$146+$B$144*((22*$B$66)),NA())</f>
        <v>#N/A</v>
      </c>
      <c r="GI333" t="e">
        <f>IF(AND($B$21=1,(22*$B$66)&lt;IF($B$63=1,$B$10-0.2,$B$62)),$B$151+$B$150*(($B$5-IF((22*$B$66)&lt;=$B$9,0,((22*$B$66)-$B$9)/$B$8))),NA())</f>
        <v>#N/A</v>
      </c>
      <c r="GJ333" t="e">
        <f>IF(AND($B$21=1,(22*$B$66)&lt;IF($B$63=1,$B$10-0.2,$B$62)),$B$152+$B$150*((22*$B$66)),NA())</f>
        <v>#N/A</v>
      </c>
      <c r="HQ333" t="e">
        <f>IF(AND(5&lt;=$B$23,1&lt;=$B$24),$B$157+$B$156*(IF(5=1,1,IF(5=$B$23,$B$12,5*(5-1)))*$B$13),NA())</f>
        <v>#N/A</v>
      </c>
      <c r="HR333" t="e">
        <f>IF(AND(5&lt;=$B$23,1&lt;=$B$24),$B$158+$B$156*((1*$B$5/2+(1-1)*($B$5/2)/$B$24)),NA())</f>
        <v>#N/A</v>
      </c>
      <c r="HS333" t="e">
        <f>IF(AND(14&lt;=$B$12,$B$51&gt;0),$B$157+$B$156*(((14-0.5)*$B$13)-($B$51*$B$13)/2),NA())</f>
        <v>#N/A</v>
      </c>
      <c r="HT333" t="e">
        <f>IF(AND(14&lt;=$B$12,$B$51&gt;0),$B$158+$B$156*((1*$B$5/2+0.6*$B$159)),NA())</f>
        <v>#N/A</v>
      </c>
      <c r="KI333" t="e">
        <f>IF(AND($B$21=1,28*$B$67&gt;$B$59,28*$B$67&lt;$B$178-$B$59,OR($B$63=0,ABS(28*$B$67-$B$178/2)&gt;$B$59/2)),$B$182+$B$181*($B$177*2/4-$B$60/2),NA())</f>
        <v>#N/A</v>
      </c>
      <c r="KJ333" t="e">
        <f>IF(AND($B$21=1,28*$B$67&gt;$B$59,28*$B$67&lt;$B$178-$B$59,OR($B$63=0,ABS(28*$B$67-$B$178/2)&gt;$B$59/2)),$B$183+$B$181*(28*$B$67),NA())</f>
        <v>#N/A</v>
      </c>
    </row>
    <row r="334">
      <c r="K334" t="e">
        <f>NA()</f>
        <v>#N/A</v>
      </c>
      <c r="L334" t="e">
        <f>NA()</f>
        <v>#N/A</v>
      </c>
      <c r="FE334" t="e">
        <f>NA()</f>
        <v>#N/A</v>
      </c>
      <c r="FF334" t="e">
        <f>NA()</f>
        <v>#N/A</v>
      </c>
      <c r="GI334" t="e">
        <f>NA()</f>
        <v>#N/A</v>
      </c>
      <c r="GJ334" t="e">
        <f>NA()</f>
        <v>#N/A</v>
      </c>
      <c r="HQ334" t="e">
        <f>NA()</f>
        <v>#N/A</v>
      </c>
      <c r="HR334" t="e">
        <f>NA()</f>
        <v>#N/A</v>
      </c>
      <c r="HS334" t="e">
        <f>NA()</f>
        <v>#N/A</v>
      </c>
      <c r="HT334" t="e">
        <f>NA()</f>
        <v>#N/A</v>
      </c>
      <c r="KI334" t="e">
        <f>NA()</f>
        <v>#N/A</v>
      </c>
      <c r="KJ334" t="e">
        <f>NA()</f>
        <v>#N/A</v>
      </c>
    </row>
    <row r="335">
      <c r="K335" t="e">
        <f>IF(18&lt;=$B$12,$B$133+$B$132*($B$13*18-$B$27/2),NA())</f>
        <v>#N/A</v>
      </c>
      <c r="L335" t="e">
        <f>IF(18&lt;=$B$12,$B$134+$B$132*($B$5-$B$27/2),NA())</f>
        <v>#N/A</v>
      </c>
      <c r="FE335" t="e">
        <f>IF(AND($B$21=1,(23*$B$66)&lt;$B$62),$B$145+$B$144*(0),NA())</f>
        <v>#N/A</v>
      </c>
      <c r="FF335" t="e">
        <f>IF(AND($B$21=1,(23*$B$66)&lt;$B$62),$B$146+$B$144*((23*$B$66)),NA())</f>
        <v>#N/A</v>
      </c>
      <c r="GI335" t="e">
        <f>IF(AND($B$21=1,(23*$B$66)&lt;IF($B$63=1,$B$10-0.2,$B$62)),$B$151+$B$150*(IF((23*$B$66)&lt;=$B$9,0,((23*$B$66)-$B$9)/$B$8)),NA())</f>
        <v>#N/A</v>
      </c>
      <c r="GJ335" t="e">
        <f>IF(AND($B$21=1,(23*$B$66)&lt;IF($B$63=1,$B$10-0.2,$B$62)),$B$152+$B$150*((23*$B$66)),NA())</f>
        <v>#N/A</v>
      </c>
      <c r="HQ335" t="e">
        <f>IF(AND(5&lt;=$B$23,2&lt;=$B$24),$B$157+$B$156*((IF(5=1,1,IF(5=$B$23,$B$12,5*(5-1)))-1)*$B$13),NA())</f>
        <v>#N/A</v>
      </c>
      <c r="HR335" t="e">
        <f>IF(AND(5&lt;=$B$23,2&lt;=$B$24),$B$158+$B$156*((1*$B$5/2+(2-1)*($B$5/2)/$B$24)),NA())</f>
        <v>#N/A</v>
      </c>
      <c r="HS335" t="e">
        <f>IF(AND(14&lt;=$B$12,$B$51&gt;0),$B$157+$B$156*(((14-0.5)*$B$13)-($B$51*$B$13)/2),NA())</f>
        <v>#N/A</v>
      </c>
      <c r="HT335" t="e">
        <f>IF(AND(14&lt;=$B$12,$B$51&gt;0),$B$158+$B$156*((1*$B$5/2+0.6*$B$159)),NA())</f>
        <v>#N/A</v>
      </c>
      <c r="KI335" t="e">
        <f>IF(AND($B$21=1,28*$B$67&gt;$B$59,28*$B$67&lt;$B$178-$B$59,OR($B$63=0,ABS(28*$B$67-$B$178/2)&gt;$B$59/2)),$B$182+$B$181*($B$177*2/4+$B$60/2),NA())</f>
        <v>#N/A</v>
      </c>
      <c r="KJ335" t="e">
        <f>IF(AND($B$21=1,28*$B$67&gt;$B$59,28*$B$67&lt;$B$178-$B$59,OR($B$63=0,ABS(28*$B$67-$B$178/2)&gt;$B$59/2)),$B$183+$B$181*(28*$B$67),NA())</f>
        <v>#N/A</v>
      </c>
    </row>
    <row r="336">
      <c r="K336" t="e">
        <f>IF(18&lt;=$B$12,$B$133+$B$132*($B$13*18+$B$27/2),NA())</f>
        <v>#N/A</v>
      </c>
      <c r="L336" t="e">
        <f>IF(18&lt;=$B$12,$B$134+$B$132*($B$5-$B$27/2),NA())</f>
        <v>#N/A</v>
      </c>
      <c r="FE336" t="e">
        <f>IF(AND($B$21=1,(23*$B$66)&lt;$B$62),$B$145+$B$144*(IF((23*$B$66)&lt;$B$73,$B$76,$B$75)),NA())</f>
        <v>#N/A</v>
      </c>
      <c r="FF336" t="e">
        <f>IF(AND($B$21=1,(23*$B$66)&lt;$B$62),$B$146+$B$144*((23*$B$66)),NA())</f>
        <v>#N/A</v>
      </c>
      <c r="GI336" t="e">
        <f>IF(AND($B$21=1,(23*$B$66)&lt;IF($B$63=1,$B$10-0.2,$B$62)),$B$151+$B$150*(MAX(IF((23*$B$66)&lt;=$B$9,0,((23*$B$66)-$B$9)/$B$8),MIN(($B$5-IF((23*$B$66)&lt;=$B$9,0,((23*$B$66)-$B$9)/$B$8)),IF((23*$B$66)&lt;$B$104,$B$107,$B$106)))),NA())</f>
        <v>#N/A</v>
      </c>
      <c r="GJ336" t="e">
        <f>IF(AND($B$21=1,(23*$B$66)&lt;IF($B$63=1,$B$10-0.2,$B$62)),$B$152+$B$150*((23*$B$66)),NA())</f>
        <v>#N/A</v>
      </c>
      <c r="HQ336" t="e">
        <f>IF(AND(5&lt;=$B$23,2&lt;=$B$24),$B$157+$B$156*(IF(5=1,1,IF(5=$B$23,$B$12,5*(5-1)))*$B$13),NA())</f>
        <v>#N/A</v>
      </c>
      <c r="HR336" t="e">
        <f>IF(AND(5&lt;=$B$23,2&lt;=$B$24),$B$158+$B$156*((1*$B$5/2+2*($B$5/2)/$B$24)),NA())</f>
        <v>#N/A</v>
      </c>
      <c r="HS336" t="e">
        <f>IF(AND(14&lt;=$B$12,$B$51&gt;0),$B$157+$B$156*(((14-0.5)*$B$13)+($B$51*$B$13)/2),NA())</f>
        <v>#N/A</v>
      </c>
      <c r="HT336" t="e">
        <f>IF(AND(14&lt;=$B$12,$B$51&gt;0),$B$158+$B$156*((1*$B$5/2+0.6*$B$159)+(((1*$B$5/2+$B$5/2-0.6*$B$159))-((1*$B$5/2+0.6*$B$159)))/4),NA())</f>
        <v>#N/A</v>
      </c>
      <c r="KI336" t="e">
        <f>IF(AND($B$21=1,28*$B$67&gt;$B$59,28*$B$67&lt;$B$178-$B$59,OR($B$63=0,ABS(28*$B$67-$B$178/2)&gt;$B$59/2)),$B$182+$B$181*($B$177*3/4-$B$60/2),NA())</f>
        <v>#N/A</v>
      </c>
      <c r="KJ336" t="e">
        <f>IF(AND($B$21=1,28*$B$67&gt;$B$59,28*$B$67&lt;$B$178-$B$59,OR($B$63=0,ABS(28*$B$67-$B$178/2)&gt;$B$59/2)),$B$183+$B$181*(28*$B$67),NA())</f>
        <v>#N/A</v>
      </c>
    </row>
    <row r="337">
      <c r="K337" t="e">
        <f>IF(18&lt;=$B$12,$B$133+$B$132*($B$13*18+$B$27/2),NA())</f>
        <v>#N/A</v>
      </c>
      <c r="L337" t="e">
        <f>IF(18&lt;=$B$12,$B$134+$B$132*($B$5+$B$27/2),NA())</f>
        <v>#N/A</v>
      </c>
      <c r="FE337" t="e">
        <f>IF(AND(AND($B$21=1,(23*$B$66)&lt;$B$62),(23*$B$66)&gt;=$B$73),$B$145+$B$144*($B$75),NA())</f>
        <v>#N/A</v>
      </c>
      <c r="FF337" t="e">
        <f>IF(AND(AND($B$21=1,(23*$B$66)&lt;$B$62),(23*$B$66)&gt;=$B$73),$B$146+$B$144*((23*$B$66)),NA())</f>
        <v>#N/A</v>
      </c>
      <c r="GI337" t="e">
        <f>IF(AND(AND($B$21=1,(23*$B$66)&lt;IF($B$63=1,$B$10-0.2,$B$62)),(23*$B$66)&gt;=$B$104),$B$151+$B$150*(MAX(IF((23*$B$66)&lt;=$B$9,0,((23*$B$66)-$B$9)/$B$8),MIN(($B$5-IF((23*$B$66)&lt;=$B$9,0,((23*$B$66)-$B$9)/$B$8)),$B$106))),NA())</f>
        <v>#N/A</v>
      </c>
      <c r="GJ337" t="e">
        <f>IF(AND(AND($B$21=1,(23*$B$66)&lt;IF($B$63=1,$B$10-0.2,$B$62)),(23*$B$66)&gt;=$B$104),$B$152+$B$150*((23*$B$66)),NA())</f>
        <v>#N/A</v>
      </c>
      <c r="HQ337" t="e">
        <f>NA()</f>
        <v>#N/A</v>
      </c>
      <c r="HR337" t="e">
        <f>NA()</f>
        <v>#N/A</v>
      </c>
      <c r="HS337" t="e">
        <f>IF(AND(14&lt;=$B$12,$B$51&gt;0),$B$157+$B$156*(((14-0.5)*$B$13)-($B$51*$B$13)/2),NA())</f>
        <v>#N/A</v>
      </c>
      <c r="HT337" t="e">
        <f>IF(AND(14&lt;=$B$12,$B$51&gt;0),$B$158+$B$156*((1*$B$5/2+0.6*$B$159)+(((1*$B$5/2+$B$5/2-0.6*$B$159))-((1*$B$5/2+0.6*$B$159)))/2),NA())</f>
        <v>#N/A</v>
      </c>
      <c r="KI337" t="e">
        <f>NA()</f>
        <v>#N/A</v>
      </c>
      <c r="KJ337" t="e">
        <f>NA()</f>
        <v>#N/A</v>
      </c>
    </row>
    <row r="338">
      <c r="K338" t="e">
        <f>IF(18&lt;=$B$12,$B$133+$B$132*($B$13*18-$B$27/2),NA())</f>
        <v>#N/A</v>
      </c>
      <c r="L338" t="e">
        <f>IF(18&lt;=$B$12,$B$134+$B$132*($B$5+$B$27/2),NA())</f>
        <v>#N/A</v>
      </c>
      <c r="FE338" t="e">
        <f>IF(AND($B$21=1,(23*$B$66)&lt;$B$62),$B$145+$B$144*(IF((23*$B$66)&lt;$B$73,$B$77,$B$75)),NA())</f>
        <v>#N/A</v>
      </c>
      <c r="FF338" t="e">
        <f>IF(AND($B$21=1,(23*$B$66)&lt;$B$62),$B$146+$B$144*((23*$B$66)),NA())</f>
        <v>#N/A</v>
      </c>
      <c r="GI338" t="e">
        <f>IF(AND($B$21=1,(23*$B$66)&lt;IF($B$63=1,$B$10-0.2,$B$62)),$B$151+$B$150*(MAX(IF((23*$B$66)&lt;=$B$9,0,((23*$B$66)-$B$9)/$B$8),MIN(($B$5-IF((23*$B$66)&lt;=$B$9,0,((23*$B$66)-$B$9)/$B$8)),IF((23*$B$66)&lt;$B$104,$B$108,$B$106)))),NA())</f>
        <v>#N/A</v>
      </c>
      <c r="GJ338" t="e">
        <f>IF(AND($B$21=1,(23*$B$66)&lt;IF($B$63=1,$B$10-0.2,$B$62)),$B$152+$B$150*((23*$B$66)),NA())</f>
        <v>#N/A</v>
      </c>
      <c r="HQ338" t="e">
        <f>IF(AND(5&lt;=$B$23,2&lt;=$B$24),$B$157+$B$156*((IF(5=1,1,IF(5=$B$23,$B$12,5*(5-1)))-1)*$B$13),NA())</f>
        <v>#N/A</v>
      </c>
      <c r="HR338" t="e">
        <f>IF(AND(5&lt;=$B$23,2&lt;=$B$24),$B$158+$B$156*((1*$B$5/2+2*($B$5/2)/$B$24)),NA())</f>
        <v>#N/A</v>
      </c>
      <c r="HS338" t="e">
        <f>IF(AND(14&lt;=$B$12,$B$51&gt;0),$B$157+$B$156*(((14-0.5)*$B$13)+($B$51*$B$13)/2),NA())</f>
        <v>#N/A</v>
      </c>
      <c r="HT338" t="e">
        <f>IF(AND(14&lt;=$B$12,$B$51&gt;0),$B$158+$B$156*((1*$B$5/2+0.6*$B$159)+3*(((1*$B$5/2+$B$5/2-0.6*$B$159))-((1*$B$5/2+0.6*$B$159)))/4),NA())</f>
        <v>#N/A</v>
      </c>
      <c r="KI338" t="e">
        <f>IF(AND($B$21=1,28*$B$67&gt;$B$59,28*$B$67&lt;$B$178-$B$59,OR($B$63=0,ABS(28*$B$67-$B$178/2)&gt;$B$59/2)),$B$182+$B$181*($B$177*3/4+$B$60/2),NA())</f>
        <v>#N/A</v>
      </c>
      <c r="KJ338" t="e">
        <f>IF(AND($B$21=1,28*$B$67&gt;$B$59,28*$B$67&lt;$B$178-$B$59,OR($B$63=0,ABS(28*$B$67-$B$178/2)&gt;$B$59/2)),$B$183+$B$181*(28*$B$67),NA())</f>
        <v>#N/A</v>
      </c>
    </row>
    <row r="339">
      <c r="K339" t="e">
        <f>IF(18&lt;=$B$12,$B$133+$B$132*($B$13*18-$B$27/2),NA())</f>
        <v>#N/A</v>
      </c>
      <c r="L339" t="e">
        <f>IF(18&lt;=$B$12,$B$134+$B$132*($B$5-$B$27/2),NA())</f>
        <v>#N/A</v>
      </c>
      <c r="FE339" t="e">
        <f>IF(AND($B$21=1,(23*$B$66)&lt;$B$62),$B$145+$B$144*(IF((23*$B$66)&lt;$B$80,$B$83,$B$82)),NA())</f>
        <v>#N/A</v>
      </c>
      <c r="FF339" t="e">
        <f>IF(AND($B$21=1,(23*$B$66)&lt;$B$62),$B$146+$B$144*((23*$B$66)),NA())</f>
        <v>#N/A</v>
      </c>
      <c r="GI339" t="e">
        <f>IF(AND($B$21=1,(23*$B$66)&lt;IF($B$63=1,$B$10-0.2,$B$62)),$B$151+$B$150*(MAX(IF((23*$B$66)&lt;=$B$9,0,((23*$B$66)-$B$9)/$B$8),MIN(($B$5-IF((23*$B$66)&lt;=$B$9,0,((23*$B$66)-$B$9)/$B$8)),IF((23*$B$66)&lt;$B$111,$B$114,$B$113)))),NA())</f>
        <v>#N/A</v>
      </c>
      <c r="GJ339" t="e">
        <f>IF(AND($B$21=1,(23*$B$66)&lt;IF($B$63=1,$B$10-0.2,$B$62)),$B$152+$B$150*((23*$B$66)),NA())</f>
        <v>#N/A</v>
      </c>
      <c r="HQ339" t="e">
        <f>IF(AND(5&lt;=$B$23,2&lt;=$B$24),$B$157+$B$156*(IF(5=1,1,IF(5=$B$23,$B$12,5*(5-1)))*$B$13),NA())</f>
        <v>#N/A</v>
      </c>
      <c r="HR339" t="e">
        <f>IF(AND(5&lt;=$B$23,2&lt;=$B$24),$B$158+$B$156*((1*$B$5/2+(2-1)*($B$5/2)/$B$24)),NA())</f>
        <v>#N/A</v>
      </c>
      <c r="HS339" t="e">
        <f>IF(AND(14&lt;=$B$12,$B$51&gt;0),$B$157+$B$156*(((14-0.5)*$B$13)-($B$51*$B$13)/2),NA())</f>
        <v>#N/A</v>
      </c>
      <c r="HT339" t="e">
        <f>IF(AND(14&lt;=$B$12,$B$51&gt;0),$B$158+$B$156*((1*$B$5/2+$B$5/2-0.6*$B$159)),NA())</f>
        <v>#N/A</v>
      </c>
      <c r="KI339" t="e">
        <f>IF(AND($B$21=1,28*$B$67&gt;$B$59,28*$B$67&lt;$B$178-$B$59,OR($B$63=0,ABS(28*$B$67-$B$178/2)&gt;$B$59/2)),$B$182+$B$181*($B$177),NA())</f>
        <v>#N/A</v>
      </c>
      <c r="KJ339" t="e">
        <f>IF(AND($B$21=1,28*$B$67&gt;$B$59,28*$B$67&lt;$B$178-$B$59,OR($B$63=0,ABS(28*$B$67-$B$178/2)&gt;$B$59/2)),$B$183+$B$181*(28*$B$67),NA())</f>
        <v>#N/A</v>
      </c>
    </row>
    <row r="340">
      <c r="K340" t="e">
        <f>NA()</f>
        <v>#N/A</v>
      </c>
      <c r="L340" t="e">
        <f>NA()</f>
        <v>#N/A</v>
      </c>
      <c r="FE340" t="e">
        <f>IF(AND(AND($B$21=1,(23*$B$66)&lt;$B$62),(23*$B$66)&gt;=$B$80),$B$145+$B$144*($B$82),NA())</f>
        <v>#N/A</v>
      </c>
      <c r="FF340" t="e">
        <f>IF(AND(AND($B$21=1,(23*$B$66)&lt;$B$62),(23*$B$66)&gt;=$B$80),$B$146+$B$144*((23*$B$66)),NA())</f>
        <v>#N/A</v>
      </c>
      <c r="GI340" t="e">
        <f>IF(AND(AND($B$21=1,(23*$B$66)&lt;IF($B$63=1,$B$10-0.2,$B$62)),(23*$B$66)&gt;=$B$111),$B$151+$B$150*(MAX(IF((23*$B$66)&lt;=$B$9,0,((23*$B$66)-$B$9)/$B$8),MIN(($B$5-IF((23*$B$66)&lt;=$B$9,0,((23*$B$66)-$B$9)/$B$8)),$B$113))),NA())</f>
        <v>#N/A</v>
      </c>
      <c r="GJ340" t="e">
        <f>IF(AND(AND($B$21=1,(23*$B$66)&lt;IF($B$63=1,$B$10-0.2,$B$62)),(23*$B$66)&gt;=$B$111),$B$152+$B$150*((23*$B$66)),NA())</f>
        <v>#N/A</v>
      </c>
      <c r="HQ340" t="e">
        <f>NA()</f>
        <v>#N/A</v>
      </c>
      <c r="HR340" t="e">
        <f>NA()</f>
        <v>#N/A</v>
      </c>
      <c r="HS340" t="e">
        <f>NA()</f>
        <v>#N/A</v>
      </c>
      <c r="HT340" t="e">
        <f>NA()</f>
        <v>#N/A</v>
      </c>
      <c r="KI340" t="e">
        <f>NA()</f>
        <v>#N/A</v>
      </c>
      <c r="KJ340" t="e">
        <f>NA()</f>
        <v>#N/A</v>
      </c>
    </row>
    <row r="341">
      <c r="K341" t="e">
        <f>IF(AND(18&lt;=$B$12,$B$45=1),$B$133+$B$132*($B$13*18-$B$27/2),NA())</f>
        <v>#N/A</v>
      </c>
      <c r="L341" t="e">
        <f>IF(AND(18&lt;=$B$12,$B$45=1),$B$134+$B$132*($B$5/2-$B$27/2),NA())</f>
        <v>#N/A</v>
      </c>
      <c r="FE341" t="e">
        <f>IF(AND($B$21=1,(23*$B$66)&lt;$B$62),$B$145+$B$144*(IF((23*$B$66)&lt;$B$80,$B$84,$B$82)),NA())</f>
        <v>#N/A</v>
      </c>
      <c r="FF341" t="e">
        <f>IF(AND($B$21=1,(23*$B$66)&lt;$B$62),$B$146+$B$144*((23*$B$66)),NA())</f>
        <v>#N/A</v>
      </c>
      <c r="GI341" t="e">
        <f>IF(AND($B$21=1,(23*$B$66)&lt;IF($B$63=1,$B$10-0.2,$B$62)),$B$151+$B$150*(MAX(IF((23*$B$66)&lt;=$B$9,0,((23*$B$66)-$B$9)/$B$8),MIN(($B$5-IF((23*$B$66)&lt;=$B$9,0,((23*$B$66)-$B$9)/$B$8)),IF((23*$B$66)&lt;$B$111,$B$115,$B$113)))),NA())</f>
        <v>#N/A</v>
      </c>
      <c r="GJ341" t="e">
        <f>IF(AND($B$21=1,(23*$B$66)&lt;IF($B$63=1,$B$10-0.2,$B$62)),$B$152+$B$150*((23*$B$66)),NA())</f>
        <v>#N/A</v>
      </c>
      <c r="HQ341" t="e">
        <f>IF(AND(5&lt;=$B$23,3&lt;=$B$24),$B$157+$B$156*((IF(5=1,1,IF(5=$B$23,$B$12,5*(5-1)))-1)*$B$13),NA())</f>
        <v>#N/A</v>
      </c>
      <c r="HR341" t="e">
        <f>IF(AND(5&lt;=$B$23,3&lt;=$B$24),$B$158+$B$156*((1*$B$5/2+(3-1)*($B$5/2)/$B$24)),NA())</f>
        <v>#N/A</v>
      </c>
      <c r="HS341" t="e">
        <f>IF(AND(15&lt;=$B$12,$B$51&gt;0),$B$157+$B$156*(((15-0.5)*$B$13)-($B$51*$B$13)/2),NA())</f>
        <v>#N/A</v>
      </c>
      <c r="HT341" t="e">
        <f>IF(AND(15&lt;=$B$12,$B$51&gt;0),$B$158+$B$156*((0*$B$5/2+0.6*$B$159)),NA())</f>
        <v>#N/A</v>
      </c>
      <c r="KI341" t="e">
        <f>IF(AND($B$21=1,29*$B$67&gt;$B$59,29*$B$67&lt;$B$178-$B$59,OR($B$63=0,ABS(29*$B$67-$B$178/2)&gt;$B$59/2)),$B$182+$B$181*(0),NA())</f>
        <v>#N/A</v>
      </c>
      <c r="KJ341" t="e">
        <f>IF(AND($B$21=1,29*$B$67&gt;$B$59,29*$B$67&lt;$B$178-$B$59,OR($B$63=0,ABS(29*$B$67-$B$178/2)&gt;$B$59/2)),$B$183+$B$181*(29*$B$67),NA())</f>
        <v>#N/A</v>
      </c>
    </row>
    <row r="342">
      <c r="K342" t="e">
        <f>IF(AND(18&lt;=$B$12,$B$45=1),$B$133+$B$132*($B$13*18+$B$27/2),NA())</f>
        <v>#N/A</v>
      </c>
      <c r="L342" t="e">
        <f>IF(AND(18&lt;=$B$12,$B$45=1),$B$134+$B$132*($B$5/2-$B$27/2),NA())</f>
        <v>#N/A</v>
      </c>
      <c r="FE342" t="e">
        <f>IF(AND($B$21=1,(23*$B$66)&lt;$B$62),$B$145+$B$144*(IF((23*$B$66)&lt;$B$87,$B$90,$B$89)),NA())</f>
        <v>#N/A</v>
      </c>
      <c r="FF342" t="e">
        <f>IF(AND($B$21=1,(23*$B$66)&lt;$B$62),$B$146+$B$144*((23*$B$66)),NA())</f>
        <v>#N/A</v>
      </c>
      <c r="GI342" t="e">
        <f>IF(AND($B$21=1,(23*$B$66)&lt;IF($B$63=1,$B$10-0.2,$B$62)),$B$151+$B$150*(MAX(IF((23*$B$66)&lt;=$B$9,0,((23*$B$66)-$B$9)/$B$8),MIN(($B$5-IF((23*$B$66)&lt;=$B$9,0,((23*$B$66)-$B$9)/$B$8)),IF((23*$B$66)&lt;$B$118,$B$121,$B$120)))),NA())</f>
        <v>#N/A</v>
      </c>
      <c r="GJ342" t="e">
        <f>IF(AND($B$21=1,(23*$B$66)&lt;IF($B$63=1,$B$10-0.2,$B$62)),$B$152+$B$150*((23*$B$66)),NA())</f>
        <v>#N/A</v>
      </c>
      <c r="HQ342" t="e">
        <f>IF(AND(5&lt;=$B$23,3&lt;=$B$24),$B$157+$B$156*(IF(5=1,1,IF(5=$B$23,$B$12,5*(5-1)))*$B$13),NA())</f>
        <v>#N/A</v>
      </c>
      <c r="HR342" t="e">
        <f>IF(AND(5&lt;=$B$23,3&lt;=$B$24),$B$158+$B$156*((1*$B$5/2+3*($B$5/2)/$B$24)),NA())</f>
        <v>#N/A</v>
      </c>
      <c r="HS342" t="e">
        <f>IF(AND(15&lt;=$B$12,$B$51&gt;0),$B$157+$B$156*(((15-0.5)*$B$13)+($B$51*$B$13)/2),NA())</f>
        <v>#N/A</v>
      </c>
      <c r="HT342" t="e">
        <f>IF(AND(15&lt;=$B$12,$B$51&gt;0),$B$158+$B$156*((0*$B$5/2+0.6*$B$159)),NA())</f>
        <v>#N/A</v>
      </c>
      <c r="KI342" t="e">
        <f>IF(AND($B$21=1,29*$B$67&gt;$B$59,29*$B$67&lt;$B$178-$B$59,OR($B$63=0,ABS(29*$B$67-$B$178/2)&gt;$B$59/2)),$B$182+$B$181*($B$177*1/4-$B$60/2),NA())</f>
        <v>#N/A</v>
      </c>
      <c r="KJ342" t="e">
        <f>IF(AND($B$21=1,29*$B$67&gt;$B$59,29*$B$67&lt;$B$178-$B$59,OR($B$63=0,ABS(29*$B$67-$B$178/2)&gt;$B$59/2)),$B$183+$B$181*(29*$B$67),NA())</f>
        <v>#N/A</v>
      </c>
    </row>
    <row r="343">
      <c r="K343" t="e">
        <f>IF(AND(18&lt;=$B$12,$B$45=1),$B$133+$B$132*($B$13*18+$B$27/2),NA())</f>
        <v>#N/A</v>
      </c>
      <c r="L343" t="e">
        <f>IF(AND(18&lt;=$B$12,$B$45=1),$B$134+$B$132*($B$5/2+$B$27/2),NA())</f>
        <v>#N/A</v>
      </c>
      <c r="FE343" t="e">
        <f>IF(AND(AND($B$21=1,(23*$B$66)&lt;$B$62),(23*$B$66)&gt;=$B$87),$B$145+$B$144*($B$89),NA())</f>
        <v>#N/A</v>
      </c>
      <c r="FF343" t="e">
        <f>IF(AND(AND($B$21=1,(23*$B$66)&lt;$B$62),(23*$B$66)&gt;=$B$87),$B$146+$B$144*((23*$B$66)),NA())</f>
        <v>#N/A</v>
      </c>
      <c r="GI343" t="e">
        <f>IF(AND(AND($B$21=1,(23*$B$66)&lt;IF($B$63=1,$B$10-0.2,$B$62)),(23*$B$66)&gt;=$B$118),$B$151+$B$150*(MAX(IF((23*$B$66)&lt;=$B$9,0,((23*$B$66)-$B$9)/$B$8),MIN(($B$5-IF((23*$B$66)&lt;=$B$9,0,((23*$B$66)-$B$9)/$B$8)),$B$120))),NA())</f>
        <v>#N/A</v>
      </c>
      <c r="GJ343" t="e">
        <f>IF(AND(AND($B$21=1,(23*$B$66)&lt;IF($B$63=1,$B$10-0.2,$B$62)),(23*$B$66)&gt;=$B$118),$B$152+$B$150*((23*$B$66)),NA())</f>
        <v>#N/A</v>
      </c>
      <c r="HQ343" t="e">
        <f>NA()</f>
        <v>#N/A</v>
      </c>
      <c r="HR343" t="e">
        <f>NA()</f>
        <v>#N/A</v>
      </c>
      <c r="HS343" t="e">
        <f>IF(AND(15&lt;=$B$12,$B$51&gt;0),$B$157+$B$156*(((15-0.5)*$B$13)+($B$51*$B$13)/2),NA())</f>
        <v>#N/A</v>
      </c>
      <c r="HT343" t="e">
        <f>IF(AND(15&lt;=$B$12,$B$51&gt;0),$B$158+$B$156*((0*$B$5/2+$B$5/2-0.6*$B$159)),NA())</f>
        <v>#N/A</v>
      </c>
      <c r="KI343" t="e">
        <f>NA()</f>
        <v>#N/A</v>
      </c>
      <c r="KJ343" t="e">
        <f>NA()</f>
        <v>#N/A</v>
      </c>
    </row>
    <row r="344">
      <c r="K344" t="e">
        <f>IF(AND(18&lt;=$B$12,$B$45=1),$B$133+$B$132*($B$13*18-$B$27/2),NA())</f>
        <v>#N/A</v>
      </c>
      <c r="L344" t="e">
        <f>IF(AND(18&lt;=$B$12,$B$45=1),$B$134+$B$132*($B$5/2+$B$27/2),NA())</f>
        <v>#N/A</v>
      </c>
      <c r="FE344" t="e">
        <f>IF(AND($B$21=1,(23*$B$66)&lt;$B$62),$B$145+$B$144*(IF((23*$B$66)&lt;$B$87,$B$91,$B$89)),NA())</f>
        <v>#N/A</v>
      </c>
      <c r="FF344" t="e">
        <f>IF(AND($B$21=1,(23*$B$66)&lt;$B$62),$B$146+$B$144*((23*$B$66)),NA())</f>
        <v>#N/A</v>
      </c>
      <c r="GI344" t="e">
        <f>IF(AND($B$21=1,(23*$B$66)&lt;IF($B$63=1,$B$10-0.2,$B$62)),$B$151+$B$150*(MAX(IF((23*$B$66)&lt;=$B$9,0,((23*$B$66)-$B$9)/$B$8),MIN(($B$5-IF((23*$B$66)&lt;=$B$9,0,((23*$B$66)-$B$9)/$B$8)),IF((23*$B$66)&lt;$B$118,$B$122,$B$120)))),NA())</f>
        <v>#N/A</v>
      </c>
      <c r="GJ344" t="e">
        <f>IF(AND($B$21=1,(23*$B$66)&lt;IF($B$63=1,$B$10-0.2,$B$62)),$B$152+$B$150*((23*$B$66)),NA())</f>
        <v>#N/A</v>
      </c>
      <c r="HQ344" t="e">
        <f>IF(AND(5&lt;=$B$23,3&lt;=$B$24),$B$157+$B$156*((IF(5=1,1,IF(5=$B$23,$B$12,5*(5-1)))-1)*$B$13),NA())</f>
        <v>#N/A</v>
      </c>
      <c r="HR344" t="e">
        <f>IF(AND(5&lt;=$B$23,3&lt;=$B$24),$B$158+$B$156*((1*$B$5/2+3*($B$5/2)/$B$24)),NA())</f>
        <v>#N/A</v>
      </c>
      <c r="HS344" t="e">
        <f>IF(AND(15&lt;=$B$12,$B$51&gt;0),$B$157+$B$156*(((15-0.5)*$B$13)-($B$51*$B$13)/2),NA())</f>
        <v>#N/A</v>
      </c>
      <c r="HT344" t="e">
        <f>IF(AND(15&lt;=$B$12,$B$51&gt;0),$B$158+$B$156*((0*$B$5/2+$B$5/2-0.6*$B$159)),NA())</f>
        <v>#N/A</v>
      </c>
      <c r="KI344" t="e">
        <f>IF(AND($B$21=1,29*$B$67&gt;$B$59,29*$B$67&lt;$B$178-$B$59,OR($B$63=0,ABS(29*$B$67-$B$178/2)&gt;$B$59/2)),$B$182+$B$181*($B$177*1/4+$B$60/2),NA())</f>
        <v>#N/A</v>
      </c>
      <c r="KJ344" t="e">
        <f>IF(AND($B$21=1,29*$B$67&gt;$B$59,29*$B$67&lt;$B$178-$B$59,OR($B$63=0,ABS(29*$B$67-$B$178/2)&gt;$B$59/2)),$B$183+$B$181*(29*$B$67),NA())</f>
        <v>#N/A</v>
      </c>
    </row>
    <row r="345">
      <c r="K345" t="e">
        <f>IF(AND(18&lt;=$B$12,$B$45=1),$B$133+$B$132*($B$13*18-$B$27/2),NA())</f>
        <v>#N/A</v>
      </c>
      <c r="L345" t="e">
        <f>IF(AND(18&lt;=$B$12,$B$45=1),$B$134+$B$132*($B$5/2-$B$27/2),NA())</f>
        <v>#N/A</v>
      </c>
      <c r="FE345" t="e">
        <f>IF(AND($B$21=1,(23*$B$66)&lt;$B$62),$B$145+$B$144*(IF((23*$B$66)&lt;$B$94,$B$97,$B$96)),NA())</f>
        <v>#N/A</v>
      </c>
      <c r="FF345" t="e">
        <f>IF(AND($B$21=1,(23*$B$66)&lt;$B$62),$B$146+$B$144*((23*$B$66)),NA())</f>
        <v>#N/A</v>
      </c>
      <c r="GI345" t="e">
        <f>IF(AND($B$21=1,(23*$B$66)&lt;IF($B$63=1,$B$10-0.2,$B$62)),$B$151+$B$150*(MAX(IF((23*$B$66)&lt;=$B$9,0,((23*$B$66)-$B$9)/$B$8),MIN(($B$5-IF((23*$B$66)&lt;=$B$9,0,((23*$B$66)-$B$9)/$B$8)),IF((23*$B$66)&lt;$B$125,$B$128,$B$127)))),NA())</f>
        <v>#N/A</v>
      </c>
      <c r="GJ345" t="e">
        <f>IF(AND($B$21=1,(23*$B$66)&lt;IF($B$63=1,$B$10-0.2,$B$62)),$B$152+$B$150*((23*$B$66)),NA())</f>
        <v>#N/A</v>
      </c>
      <c r="HQ345" t="e">
        <f>IF(AND(5&lt;=$B$23,3&lt;=$B$24),$B$157+$B$156*(IF(5=1,1,IF(5=$B$23,$B$12,5*(5-1)))*$B$13),NA())</f>
        <v>#N/A</v>
      </c>
      <c r="HR345" t="e">
        <f>IF(AND(5&lt;=$B$23,3&lt;=$B$24),$B$158+$B$156*((1*$B$5/2+(3-1)*($B$5/2)/$B$24)),NA())</f>
        <v>#N/A</v>
      </c>
      <c r="HS345" t="e">
        <f>IF(AND(15&lt;=$B$12,$B$51&gt;0),$B$157+$B$156*(((15-0.5)*$B$13)-($B$51*$B$13)/2),NA())</f>
        <v>#N/A</v>
      </c>
      <c r="HT345" t="e">
        <f>IF(AND(15&lt;=$B$12,$B$51&gt;0),$B$158+$B$156*((0*$B$5/2+0.6*$B$159)),NA())</f>
        <v>#N/A</v>
      </c>
      <c r="KI345" t="e">
        <f>IF(AND($B$21=1,29*$B$67&gt;$B$59,29*$B$67&lt;$B$178-$B$59,OR($B$63=0,ABS(29*$B$67-$B$178/2)&gt;$B$59/2)),$B$182+$B$181*($B$177*2/4-$B$60/2),NA())</f>
        <v>#N/A</v>
      </c>
      <c r="KJ345" t="e">
        <f>IF(AND($B$21=1,29*$B$67&gt;$B$59,29*$B$67&lt;$B$178-$B$59,OR($B$63=0,ABS(29*$B$67-$B$178/2)&gt;$B$59/2)),$B$183+$B$181*(29*$B$67),NA())</f>
        <v>#N/A</v>
      </c>
    </row>
    <row r="346">
      <c r="K346" t="e">
        <f>NA()</f>
        <v>#N/A</v>
      </c>
      <c r="L346" t="e">
        <f>NA()</f>
        <v>#N/A</v>
      </c>
      <c r="FE346" t="e">
        <f>IF(AND(AND($B$21=1,(23*$B$66)&lt;$B$62),(23*$B$66)&gt;=$B$94),$B$145+$B$144*($B$96),NA())</f>
        <v>#N/A</v>
      </c>
      <c r="FF346" t="e">
        <f>IF(AND(AND($B$21=1,(23*$B$66)&lt;$B$62),(23*$B$66)&gt;=$B$94),$B$146+$B$144*((23*$B$66)),NA())</f>
        <v>#N/A</v>
      </c>
      <c r="GI346" t="e">
        <f>IF(AND(AND($B$21=1,(23*$B$66)&lt;IF($B$63=1,$B$10-0.2,$B$62)),(23*$B$66)&gt;=$B$125),$B$151+$B$150*(MAX(IF((23*$B$66)&lt;=$B$9,0,((23*$B$66)-$B$9)/$B$8),MIN(($B$5-IF((23*$B$66)&lt;=$B$9,0,((23*$B$66)-$B$9)/$B$8)),$B$127))),NA())</f>
        <v>#N/A</v>
      </c>
      <c r="GJ346" t="e">
        <f>IF(AND(AND($B$21=1,(23*$B$66)&lt;IF($B$63=1,$B$10-0.2,$B$62)),(23*$B$66)&gt;=$B$125),$B$152+$B$150*((23*$B$66)),NA())</f>
        <v>#N/A</v>
      </c>
      <c r="HQ346" t="e">
        <f>NA()</f>
        <v>#N/A</v>
      </c>
      <c r="HR346" t="e">
        <f>NA()</f>
        <v>#N/A</v>
      </c>
      <c r="HS346" t="e">
        <f>NA()</f>
        <v>#N/A</v>
      </c>
      <c r="HT346" t="e">
        <f>NA()</f>
        <v>#N/A</v>
      </c>
      <c r="KI346" t="e">
        <f>NA()</f>
        <v>#N/A</v>
      </c>
      <c r="KJ346" t="e">
        <f>NA()</f>
        <v>#N/A</v>
      </c>
    </row>
    <row r="347">
      <c r="K347" t="e">
        <f>IF(19&lt;=$B$12,$B$133+$B$132*($B$13*19-$B$27/2),NA())</f>
        <v>#N/A</v>
      </c>
      <c r="L347" t="e">
        <f>IF(19&lt;=$B$12,$B$134+$B$132*(0-$B$27/2),NA())</f>
        <v>#N/A</v>
      </c>
      <c r="FE347" t="e">
        <f>IF(AND($B$21=1,(23*$B$66)&lt;$B$62),$B$145+$B$144*(IF((23*$B$66)&lt;$B$94,$B$98,$B$96)),NA())</f>
        <v>#N/A</v>
      </c>
      <c r="FF347" t="e">
        <f>IF(AND($B$21=1,(23*$B$66)&lt;$B$62),$B$146+$B$144*((23*$B$66)),NA())</f>
        <v>#N/A</v>
      </c>
      <c r="GI347" t="e">
        <f>IF(AND($B$21=1,(23*$B$66)&lt;IF($B$63=1,$B$10-0.2,$B$62)),$B$151+$B$150*(MAX(IF((23*$B$66)&lt;=$B$9,0,((23*$B$66)-$B$9)/$B$8),MIN(($B$5-IF((23*$B$66)&lt;=$B$9,0,((23*$B$66)-$B$9)/$B$8)),IF((23*$B$66)&lt;$B$125,$B$129,$B$127)))),NA())</f>
        <v>#N/A</v>
      </c>
      <c r="GJ347" t="e">
        <f>IF(AND($B$21=1,(23*$B$66)&lt;IF($B$63=1,$B$10-0.2,$B$62)),$B$152+$B$150*((23*$B$66)),NA())</f>
        <v>#N/A</v>
      </c>
      <c r="HQ347" t="e">
        <f>IF(AND(5&lt;=$B$23,4&lt;=$B$24),$B$157+$B$156*((IF(5=1,1,IF(5=$B$23,$B$12,5*(5-1)))-1)*$B$13),NA())</f>
        <v>#N/A</v>
      </c>
      <c r="HR347" t="e">
        <f>IF(AND(5&lt;=$B$23,4&lt;=$B$24),$B$158+$B$156*((1*$B$5/2+(4-1)*($B$5/2)/$B$24)),NA())</f>
        <v>#N/A</v>
      </c>
      <c r="HS347" t="e">
        <f>IF(AND(15&lt;=$B$12,$B$51&gt;0),$B$157+$B$156*(((15-0.5)*$B$13)-($B$51*$B$13)/2),NA())</f>
        <v>#N/A</v>
      </c>
      <c r="HT347" t="e">
        <f>IF(AND(15&lt;=$B$12,$B$51&gt;0),$B$158+$B$156*((0*$B$5/2+0.6*$B$159)),NA())</f>
        <v>#N/A</v>
      </c>
      <c r="KI347" t="e">
        <f>IF(AND($B$21=1,29*$B$67&gt;$B$59,29*$B$67&lt;$B$178-$B$59,OR($B$63=0,ABS(29*$B$67-$B$178/2)&gt;$B$59/2)),$B$182+$B$181*($B$177*2/4+$B$60/2),NA())</f>
        <v>#N/A</v>
      </c>
      <c r="KJ347" t="e">
        <f>IF(AND($B$21=1,29*$B$67&gt;$B$59,29*$B$67&lt;$B$178-$B$59,OR($B$63=0,ABS(29*$B$67-$B$178/2)&gt;$B$59/2)),$B$183+$B$181*(29*$B$67),NA())</f>
        <v>#N/A</v>
      </c>
    </row>
    <row r="348">
      <c r="K348" t="e">
        <f>IF(19&lt;=$B$12,$B$133+$B$132*($B$13*19+$B$27/2),NA())</f>
        <v>#N/A</v>
      </c>
      <c r="L348" t="e">
        <f>IF(19&lt;=$B$12,$B$134+$B$132*(0-$B$27/2),NA())</f>
        <v>#N/A</v>
      </c>
      <c r="FE348" t="e">
        <f>IF(AND($B$21=1,(23*$B$66)&lt;$B$62),$B$145+$B$144*($B$6),NA())</f>
        <v>#N/A</v>
      </c>
      <c r="FF348" t="e">
        <f>IF(AND($B$21=1,(23*$B$66)&lt;$B$62),$B$146+$B$144*((23*$B$66)),NA())</f>
        <v>#N/A</v>
      </c>
      <c r="GI348" t="e">
        <f>IF(AND($B$21=1,(23*$B$66)&lt;IF($B$63=1,$B$10-0.2,$B$62)),$B$151+$B$150*(($B$5-IF((23*$B$66)&lt;=$B$9,0,((23*$B$66)-$B$9)/$B$8))),NA())</f>
        <v>#N/A</v>
      </c>
      <c r="GJ348" t="e">
        <f>IF(AND($B$21=1,(23*$B$66)&lt;IF($B$63=1,$B$10-0.2,$B$62)),$B$152+$B$150*((23*$B$66)),NA())</f>
        <v>#N/A</v>
      </c>
      <c r="HQ348" t="e">
        <f>IF(AND(5&lt;=$B$23,4&lt;=$B$24),$B$157+$B$156*(IF(5=1,1,IF(5=$B$23,$B$12,5*(5-1)))*$B$13),NA())</f>
        <v>#N/A</v>
      </c>
      <c r="HR348" t="e">
        <f>IF(AND(5&lt;=$B$23,4&lt;=$B$24),$B$158+$B$156*((1*$B$5/2+4*($B$5/2)/$B$24)),NA())</f>
        <v>#N/A</v>
      </c>
      <c r="HS348" t="e">
        <f>IF(AND(15&lt;=$B$12,$B$51&gt;0),$B$157+$B$156*(((15-0.5)*$B$13)+($B$51*$B$13)/2),NA())</f>
        <v>#N/A</v>
      </c>
      <c r="HT348" t="e">
        <f>IF(AND(15&lt;=$B$12,$B$51&gt;0),$B$158+$B$156*((0*$B$5/2+0.6*$B$159)+(((0*$B$5/2+$B$5/2-0.6*$B$159))-((0*$B$5/2+0.6*$B$159)))/4),NA())</f>
        <v>#N/A</v>
      </c>
      <c r="KI348" t="e">
        <f>IF(AND($B$21=1,29*$B$67&gt;$B$59,29*$B$67&lt;$B$178-$B$59,OR($B$63=0,ABS(29*$B$67-$B$178/2)&gt;$B$59/2)),$B$182+$B$181*($B$177*3/4-$B$60/2),NA())</f>
        <v>#N/A</v>
      </c>
      <c r="KJ348" t="e">
        <f>IF(AND($B$21=1,29*$B$67&gt;$B$59,29*$B$67&lt;$B$178-$B$59,OR($B$63=0,ABS(29*$B$67-$B$178/2)&gt;$B$59/2)),$B$183+$B$181*(29*$B$67),NA())</f>
        <v>#N/A</v>
      </c>
    </row>
    <row r="349">
      <c r="K349" t="e">
        <f>IF(19&lt;=$B$12,$B$133+$B$132*($B$13*19+$B$27/2),NA())</f>
        <v>#N/A</v>
      </c>
      <c r="L349" t="e">
        <f>IF(19&lt;=$B$12,$B$134+$B$132*(0+$B$27/2),NA())</f>
        <v>#N/A</v>
      </c>
      <c r="FE349" t="e">
        <f>NA()</f>
        <v>#N/A</v>
      </c>
      <c r="FF349" t="e">
        <f>NA()</f>
        <v>#N/A</v>
      </c>
      <c r="GI349" t="e">
        <f>NA()</f>
        <v>#N/A</v>
      </c>
      <c r="GJ349" t="e">
        <f>NA()</f>
        <v>#N/A</v>
      </c>
      <c r="HQ349" t="e">
        <f>NA()</f>
        <v>#N/A</v>
      </c>
      <c r="HR349" t="e">
        <f>NA()</f>
        <v>#N/A</v>
      </c>
      <c r="HS349" t="e">
        <f>IF(AND(15&lt;=$B$12,$B$51&gt;0),$B$157+$B$156*(((15-0.5)*$B$13)-($B$51*$B$13)/2),NA())</f>
        <v>#N/A</v>
      </c>
      <c r="HT349" t="e">
        <f>IF(AND(15&lt;=$B$12,$B$51&gt;0),$B$158+$B$156*((0*$B$5/2+0.6*$B$159)+(((0*$B$5/2+$B$5/2-0.6*$B$159))-((0*$B$5/2+0.6*$B$159)))/2),NA())</f>
        <v>#N/A</v>
      </c>
      <c r="KI349" t="e">
        <f>NA()</f>
        <v>#N/A</v>
      </c>
      <c r="KJ349" t="e">
        <f>NA()</f>
        <v>#N/A</v>
      </c>
    </row>
    <row r="350">
      <c r="K350" t="e">
        <f>IF(19&lt;=$B$12,$B$133+$B$132*($B$13*19-$B$27/2),NA())</f>
        <v>#N/A</v>
      </c>
      <c r="L350" t="e">
        <f>IF(19&lt;=$B$12,$B$134+$B$132*(0+$B$27/2),NA())</f>
        <v>#N/A</v>
      </c>
      <c r="FE350" t="e">
        <f>IF(AND($B$21=1,(24*$B$66)&lt;$B$62),$B$145+$B$144*(0),NA())</f>
        <v>#N/A</v>
      </c>
      <c r="FF350" t="e">
        <f>IF(AND($B$21=1,(24*$B$66)&lt;$B$62),$B$146+$B$144*((24*$B$66)),NA())</f>
        <v>#N/A</v>
      </c>
      <c r="GI350" t="e">
        <f>IF(AND($B$21=1,(24*$B$66)&lt;IF($B$63=1,$B$10-0.2,$B$62)),$B$151+$B$150*(IF((24*$B$66)&lt;=$B$9,0,((24*$B$66)-$B$9)/$B$8)),NA())</f>
        <v>#N/A</v>
      </c>
      <c r="GJ350" t="e">
        <f>IF(AND($B$21=1,(24*$B$66)&lt;IF($B$63=1,$B$10-0.2,$B$62)),$B$152+$B$150*((24*$B$66)),NA())</f>
        <v>#N/A</v>
      </c>
      <c r="HQ350" t="e">
        <f>IF(AND(5&lt;=$B$23,4&lt;=$B$24),$B$157+$B$156*((IF(5=1,1,IF(5=$B$23,$B$12,5*(5-1)))-1)*$B$13),NA())</f>
        <v>#N/A</v>
      </c>
      <c r="HR350" t="e">
        <f>IF(AND(5&lt;=$B$23,4&lt;=$B$24),$B$158+$B$156*((1*$B$5/2+4*($B$5/2)/$B$24)),NA())</f>
        <v>#N/A</v>
      </c>
      <c r="HS350" t="e">
        <f>IF(AND(15&lt;=$B$12,$B$51&gt;0),$B$157+$B$156*(((15-0.5)*$B$13)+($B$51*$B$13)/2),NA())</f>
        <v>#N/A</v>
      </c>
      <c r="HT350" t="e">
        <f>IF(AND(15&lt;=$B$12,$B$51&gt;0),$B$158+$B$156*((0*$B$5/2+0.6*$B$159)+3*(((0*$B$5/2+$B$5/2-0.6*$B$159))-((0*$B$5/2+0.6*$B$159)))/4),NA())</f>
        <v>#N/A</v>
      </c>
      <c r="KI350" t="e">
        <f>IF(AND($B$21=1,29*$B$67&gt;$B$59,29*$B$67&lt;$B$178-$B$59,OR($B$63=0,ABS(29*$B$67-$B$178/2)&gt;$B$59/2)),$B$182+$B$181*($B$177*3/4+$B$60/2),NA())</f>
        <v>#N/A</v>
      </c>
      <c r="KJ350" t="e">
        <f>IF(AND($B$21=1,29*$B$67&gt;$B$59,29*$B$67&lt;$B$178-$B$59,OR($B$63=0,ABS(29*$B$67-$B$178/2)&gt;$B$59/2)),$B$183+$B$181*(29*$B$67),NA())</f>
        <v>#N/A</v>
      </c>
    </row>
    <row r="351">
      <c r="K351" t="e">
        <f>IF(19&lt;=$B$12,$B$133+$B$132*($B$13*19-$B$27/2),NA())</f>
        <v>#N/A</v>
      </c>
      <c r="L351" t="e">
        <f>IF(19&lt;=$B$12,$B$134+$B$132*(0-$B$27/2),NA())</f>
        <v>#N/A</v>
      </c>
      <c r="FE351" t="e">
        <f>IF(AND($B$21=1,(24*$B$66)&lt;$B$62),$B$145+$B$144*(IF((24*$B$66)&lt;$B$73,$B$76,$B$75)),NA())</f>
        <v>#N/A</v>
      </c>
      <c r="FF351" t="e">
        <f>IF(AND($B$21=1,(24*$B$66)&lt;$B$62),$B$146+$B$144*((24*$B$66)),NA())</f>
        <v>#N/A</v>
      </c>
      <c r="GI351" t="e">
        <f>IF(AND($B$21=1,(24*$B$66)&lt;IF($B$63=1,$B$10-0.2,$B$62)),$B$151+$B$150*(MAX(IF((24*$B$66)&lt;=$B$9,0,((24*$B$66)-$B$9)/$B$8),MIN(($B$5-IF((24*$B$66)&lt;=$B$9,0,((24*$B$66)-$B$9)/$B$8)),IF((24*$B$66)&lt;$B$104,$B$107,$B$106)))),NA())</f>
        <v>#N/A</v>
      </c>
      <c r="GJ351" t="e">
        <f>IF(AND($B$21=1,(24*$B$66)&lt;IF($B$63=1,$B$10-0.2,$B$62)),$B$152+$B$150*((24*$B$66)),NA())</f>
        <v>#N/A</v>
      </c>
      <c r="HQ351" t="e">
        <f>IF(AND(5&lt;=$B$23,4&lt;=$B$24),$B$157+$B$156*(IF(5=1,1,IF(5=$B$23,$B$12,5*(5-1)))*$B$13),NA())</f>
        <v>#N/A</v>
      </c>
      <c r="HR351" t="e">
        <f>IF(AND(5&lt;=$B$23,4&lt;=$B$24),$B$158+$B$156*((1*$B$5/2+(4-1)*($B$5/2)/$B$24)),NA())</f>
        <v>#N/A</v>
      </c>
      <c r="HS351" t="e">
        <f>IF(AND(15&lt;=$B$12,$B$51&gt;0),$B$157+$B$156*(((15-0.5)*$B$13)-($B$51*$B$13)/2),NA())</f>
        <v>#N/A</v>
      </c>
      <c r="HT351" t="e">
        <f>IF(AND(15&lt;=$B$12,$B$51&gt;0),$B$158+$B$156*((0*$B$5/2+$B$5/2-0.6*$B$159)),NA())</f>
        <v>#N/A</v>
      </c>
      <c r="KI351" t="e">
        <f>IF(AND($B$21=1,29*$B$67&gt;$B$59,29*$B$67&lt;$B$178-$B$59,OR($B$63=0,ABS(29*$B$67-$B$178/2)&gt;$B$59/2)),$B$182+$B$181*($B$177),NA())</f>
        <v>#N/A</v>
      </c>
      <c r="KJ351" t="e">
        <f>IF(AND($B$21=1,29*$B$67&gt;$B$59,29*$B$67&lt;$B$178-$B$59,OR($B$63=0,ABS(29*$B$67-$B$178/2)&gt;$B$59/2)),$B$183+$B$181*(29*$B$67),NA())</f>
        <v>#N/A</v>
      </c>
    </row>
    <row r="352">
      <c r="K352" t="e">
        <f>NA()</f>
        <v>#N/A</v>
      </c>
      <c r="L352" t="e">
        <f>NA()</f>
        <v>#N/A</v>
      </c>
      <c r="FE352" t="e">
        <f>IF(AND(AND($B$21=1,(24*$B$66)&lt;$B$62),(24*$B$66)&gt;=$B$73),$B$145+$B$144*($B$75),NA())</f>
        <v>#N/A</v>
      </c>
      <c r="FF352" t="e">
        <f>IF(AND(AND($B$21=1,(24*$B$66)&lt;$B$62),(24*$B$66)&gt;=$B$73),$B$146+$B$144*((24*$B$66)),NA())</f>
        <v>#N/A</v>
      </c>
      <c r="GI352" t="e">
        <f>IF(AND(AND($B$21=1,(24*$B$66)&lt;IF($B$63=1,$B$10-0.2,$B$62)),(24*$B$66)&gt;=$B$104),$B$151+$B$150*(MAX(IF((24*$B$66)&lt;=$B$9,0,((24*$B$66)-$B$9)/$B$8),MIN(($B$5-IF((24*$B$66)&lt;=$B$9,0,((24*$B$66)-$B$9)/$B$8)),$B$106))),NA())</f>
        <v>#N/A</v>
      </c>
      <c r="GJ352" t="e">
        <f>IF(AND(AND($B$21=1,(24*$B$66)&lt;IF($B$63=1,$B$10-0.2,$B$62)),(24*$B$66)&gt;=$B$104),$B$152+$B$150*((24*$B$66)),NA())</f>
        <v>#N/A</v>
      </c>
      <c r="HQ352" t="e">
        <f>NA()</f>
        <v>#N/A</v>
      </c>
      <c r="HR352" t="e">
        <f>NA()</f>
        <v>#N/A</v>
      </c>
      <c r="HS352" t="e">
        <f>NA()</f>
        <v>#N/A</v>
      </c>
      <c r="HT352" t="e">
        <f>NA()</f>
        <v>#N/A</v>
      </c>
      <c r="KI352" t="e">
        <f>NA()</f>
        <v>#N/A</v>
      </c>
      <c r="KJ352" t="e">
        <f>NA()</f>
        <v>#N/A</v>
      </c>
    </row>
    <row r="353">
      <c r="K353" t="e">
        <f>IF(19&lt;=$B$12,$B$133+$B$132*($B$13*19-$B$27/2),NA())</f>
        <v>#N/A</v>
      </c>
      <c r="L353" t="e">
        <f>IF(19&lt;=$B$12,$B$134+$B$132*($B$5-$B$27/2),NA())</f>
        <v>#N/A</v>
      </c>
      <c r="FE353" t="e">
        <f>IF(AND($B$21=1,(24*$B$66)&lt;$B$62),$B$145+$B$144*(IF((24*$B$66)&lt;$B$73,$B$77,$B$75)),NA())</f>
        <v>#N/A</v>
      </c>
      <c r="FF353" t="e">
        <f>IF(AND($B$21=1,(24*$B$66)&lt;$B$62),$B$146+$B$144*((24*$B$66)),NA())</f>
        <v>#N/A</v>
      </c>
      <c r="GI353" t="e">
        <f>IF(AND($B$21=1,(24*$B$66)&lt;IF($B$63=1,$B$10-0.2,$B$62)),$B$151+$B$150*(MAX(IF((24*$B$66)&lt;=$B$9,0,((24*$B$66)-$B$9)/$B$8),MIN(($B$5-IF((24*$B$66)&lt;=$B$9,0,((24*$B$66)-$B$9)/$B$8)),IF((24*$B$66)&lt;$B$104,$B$108,$B$106)))),NA())</f>
        <v>#N/A</v>
      </c>
      <c r="GJ353" t="e">
        <f>IF(AND($B$21=1,(24*$B$66)&lt;IF($B$63=1,$B$10-0.2,$B$62)),$B$152+$B$150*((24*$B$66)),NA())</f>
        <v>#N/A</v>
      </c>
      <c r="HQ353" t="e">
        <f>IF(AND(5&lt;=$B$23,5&lt;=$B$24),$B$157+$B$156*((IF(5=1,1,IF(5=$B$23,$B$12,5*(5-1)))-1)*$B$13),NA())</f>
        <v>#N/A</v>
      </c>
      <c r="HR353" t="e">
        <f>IF(AND(5&lt;=$B$23,5&lt;=$B$24),$B$158+$B$156*((1*$B$5/2+(5-1)*($B$5/2)/$B$24)),NA())</f>
        <v>#N/A</v>
      </c>
      <c r="HS353" t="e">
        <f>IF(AND(15&lt;=$B$12,$B$51&gt;0),$B$157+$B$156*(((15-0.5)*$B$13)-($B$51*$B$13)/2),NA())</f>
        <v>#N/A</v>
      </c>
      <c r="HT353" t="e">
        <f>IF(AND(15&lt;=$B$12,$B$51&gt;0),$B$158+$B$156*((1*$B$5/2+0.6*$B$159)),NA())</f>
        <v>#N/A</v>
      </c>
      <c r="KI353" t="e">
        <f>IF(AND($B$21=1,30*$B$67&gt;$B$59,30*$B$67&lt;$B$178-$B$59,OR($B$63=0,ABS(30*$B$67-$B$178/2)&gt;$B$59/2)),$B$182+$B$181*(0),NA())</f>
        <v>#N/A</v>
      </c>
      <c r="KJ353" t="e">
        <f>IF(AND($B$21=1,30*$B$67&gt;$B$59,30*$B$67&lt;$B$178-$B$59,OR($B$63=0,ABS(30*$B$67-$B$178/2)&gt;$B$59/2)),$B$183+$B$181*(30*$B$67),NA())</f>
        <v>#N/A</v>
      </c>
    </row>
    <row r="354">
      <c r="K354" t="e">
        <f>IF(19&lt;=$B$12,$B$133+$B$132*($B$13*19+$B$27/2),NA())</f>
        <v>#N/A</v>
      </c>
      <c r="L354" t="e">
        <f>IF(19&lt;=$B$12,$B$134+$B$132*($B$5-$B$27/2),NA())</f>
        <v>#N/A</v>
      </c>
      <c r="FE354" t="e">
        <f>IF(AND($B$21=1,(24*$B$66)&lt;$B$62),$B$145+$B$144*(IF((24*$B$66)&lt;$B$80,$B$83,$B$82)),NA())</f>
        <v>#N/A</v>
      </c>
      <c r="FF354" t="e">
        <f>IF(AND($B$21=1,(24*$B$66)&lt;$B$62),$B$146+$B$144*((24*$B$66)),NA())</f>
        <v>#N/A</v>
      </c>
      <c r="GI354" t="e">
        <f>IF(AND($B$21=1,(24*$B$66)&lt;IF($B$63=1,$B$10-0.2,$B$62)),$B$151+$B$150*(MAX(IF((24*$B$66)&lt;=$B$9,0,((24*$B$66)-$B$9)/$B$8),MIN(($B$5-IF((24*$B$66)&lt;=$B$9,0,((24*$B$66)-$B$9)/$B$8)),IF((24*$B$66)&lt;$B$111,$B$114,$B$113)))),NA())</f>
        <v>#N/A</v>
      </c>
      <c r="GJ354" t="e">
        <f>IF(AND($B$21=1,(24*$B$66)&lt;IF($B$63=1,$B$10-0.2,$B$62)),$B$152+$B$150*((24*$B$66)),NA())</f>
        <v>#N/A</v>
      </c>
      <c r="HQ354" t="e">
        <f>IF(AND(5&lt;=$B$23,5&lt;=$B$24),$B$157+$B$156*(IF(5=1,1,IF(5=$B$23,$B$12,5*(5-1)))*$B$13),NA())</f>
        <v>#N/A</v>
      </c>
      <c r="HR354" t="e">
        <f>IF(AND(5&lt;=$B$23,5&lt;=$B$24),$B$158+$B$156*((1*$B$5/2+5*($B$5/2)/$B$24)),NA())</f>
        <v>#N/A</v>
      </c>
      <c r="HS354" t="e">
        <f>IF(AND(15&lt;=$B$12,$B$51&gt;0),$B$157+$B$156*(((15-0.5)*$B$13)+($B$51*$B$13)/2),NA())</f>
        <v>#N/A</v>
      </c>
      <c r="HT354" t="e">
        <f>IF(AND(15&lt;=$B$12,$B$51&gt;0),$B$158+$B$156*((1*$B$5/2+0.6*$B$159)),NA())</f>
        <v>#N/A</v>
      </c>
      <c r="KI354" t="e">
        <f>IF(AND($B$21=1,30*$B$67&gt;$B$59,30*$B$67&lt;$B$178-$B$59,OR($B$63=0,ABS(30*$B$67-$B$178/2)&gt;$B$59/2)),$B$182+$B$181*($B$177*1/4-$B$60/2),NA())</f>
        <v>#N/A</v>
      </c>
      <c r="KJ354" t="e">
        <f>IF(AND($B$21=1,30*$B$67&gt;$B$59,30*$B$67&lt;$B$178-$B$59,OR($B$63=0,ABS(30*$B$67-$B$178/2)&gt;$B$59/2)),$B$183+$B$181*(30*$B$67),NA())</f>
        <v>#N/A</v>
      </c>
    </row>
    <row r="355">
      <c r="K355" t="e">
        <f>IF(19&lt;=$B$12,$B$133+$B$132*($B$13*19+$B$27/2),NA())</f>
        <v>#N/A</v>
      </c>
      <c r="L355" t="e">
        <f>IF(19&lt;=$B$12,$B$134+$B$132*($B$5+$B$27/2),NA())</f>
        <v>#N/A</v>
      </c>
      <c r="FE355" t="e">
        <f>IF(AND(AND($B$21=1,(24*$B$66)&lt;$B$62),(24*$B$66)&gt;=$B$80),$B$145+$B$144*($B$82),NA())</f>
        <v>#N/A</v>
      </c>
      <c r="FF355" t="e">
        <f>IF(AND(AND($B$21=1,(24*$B$66)&lt;$B$62),(24*$B$66)&gt;=$B$80),$B$146+$B$144*((24*$B$66)),NA())</f>
        <v>#N/A</v>
      </c>
      <c r="GI355" t="e">
        <f>IF(AND(AND($B$21=1,(24*$B$66)&lt;IF($B$63=1,$B$10-0.2,$B$62)),(24*$B$66)&gt;=$B$111),$B$151+$B$150*(MAX(IF((24*$B$66)&lt;=$B$9,0,((24*$B$66)-$B$9)/$B$8),MIN(($B$5-IF((24*$B$66)&lt;=$B$9,0,((24*$B$66)-$B$9)/$B$8)),$B$113))),NA())</f>
        <v>#N/A</v>
      </c>
      <c r="GJ355" t="e">
        <f>IF(AND(AND($B$21=1,(24*$B$66)&lt;IF($B$63=1,$B$10-0.2,$B$62)),(24*$B$66)&gt;=$B$111),$B$152+$B$150*((24*$B$66)),NA())</f>
        <v>#N/A</v>
      </c>
      <c r="HQ355" t="e">
        <f>NA()</f>
        <v>#N/A</v>
      </c>
      <c r="HR355" t="e">
        <f>NA()</f>
        <v>#N/A</v>
      </c>
      <c r="HS355" t="e">
        <f>IF(AND(15&lt;=$B$12,$B$51&gt;0),$B$157+$B$156*(((15-0.5)*$B$13)+($B$51*$B$13)/2),NA())</f>
        <v>#N/A</v>
      </c>
      <c r="HT355" t="e">
        <f>IF(AND(15&lt;=$B$12,$B$51&gt;0),$B$158+$B$156*((1*$B$5/2+$B$5/2-0.6*$B$159)),NA())</f>
        <v>#N/A</v>
      </c>
      <c r="KI355" t="e">
        <f>NA()</f>
        <v>#N/A</v>
      </c>
      <c r="KJ355" t="e">
        <f>NA()</f>
        <v>#N/A</v>
      </c>
    </row>
    <row r="356">
      <c r="K356" t="e">
        <f>IF(19&lt;=$B$12,$B$133+$B$132*($B$13*19-$B$27/2),NA())</f>
        <v>#N/A</v>
      </c>
      <c r="L356" t="e">
        <f>IF(19&lt;=$B$12,$B$134+$B$132*($B$5+$B$27/2),NA())</f>
        <v>#N/A</v>
      </c>
      <c r="FE356" t="e">
        <f>IF(AND($B$21=1,(24*$B$66)&lt;$B$62),$B$145+$B$144*(IF((24*$B$66)&lt;$B$80,$B$84,$B$82)),NA())</f>
        <v>#N/A</v>
      </c>
      <c r="FF356" t="e">
        <f>IF(AND($B$21=1,(24*$B$66)&lt;$B$62),$B$146+$B$144*((24*$B$66)),NA())</f>
        <v>#N/A</v>
      </c>
      <c r="GI356" t="e">
        <f>IF(AND($B$21=1,(24*$B$66)&lt;IF($B$63=1,$B$10-0.2,$B$62)),$B$151+$B$150*(MAX(IF((24*$B$66)&lt;=$B$9,0,((24*$B$66)-$B$9)/$B$8),MIN(($B$5-IF((24*$B$66)&lt;=$B$9,0,((24*$B$66)-$B$9)/$B$8)),IF((24*$B$66)&lt;$B$111,$B$115,$B$113)))),NA())</f>
        <v>#N/A</v>
      </c>
      <c r="GJ356" t="e">
        <f>IF(AND($B$21=1,(24*$B$66)&lt;IF($B$63=1,$B$10-0.2,$B$62)),$B$152+$B$150*((24*$B$66)),NA())</f>
        <v>#N/A</v>
      </c>
      <c r="HQ356" t="e">
        <f>IF(AND(5&lt;=$B$23,5&lt;=$B$24),$B$157+$B$156*((IF(5=1,1,IF(5=$B$23,$B$12,5*(5-1)))-1)*$B$13),NA())</f>
        <v>#N/A</v>
      </c>
      <c r="HR356" t="e">
        <f>IF(AND(5&lt;=$B$23,5&lt;=$B$24),$B$158+$B$156*((1*$B$5/2+5*($B$5/2)/$B$24)),NA())</f>
        <v>#N/A</v>
      </c>
      <c r="HS356" t="e">
        <f>IF(AND(15&lt;=$B$12,$B$51&gt;0),$B$157+$B$156*(((15-0.5)*$B$13)-($B$51*$B$13)/2),NA())</f>
        <v>#N/A</v>
      </c>
      <c r="HT356" t="e">
        <f>IF(AND(15&lt;=$B$12,$B$51&gt;0),$B$158+$B$156*((1*$B$5/2+$B$5/2-0.6*$B$159)),NA())</f>
        <v>#N/A</v>
      </c>
      <c r="KI356" t="e">
        <f>IF(AND($B$21=1,30*$B$67&gt;$B$59,30*$B$67&lt;$B$178-$B$59,OR($B$63=0,ABS(30*$B$67-$B$178/2)&gt;$B$59/2)),$B$182+$B$181*($B$177*1/4+$B$60/2),NA())</f>
        <v>#N/A</v>
      </c>
      <c r="KJ356" t="e">
        <f>IF(AND($B$21=1,30*$B$67&gt;$B$59,30*$B$67&lt;$B$178-$B$59,OR($B$63=0,ABS(30*$B$67-$B$178/2)&gt;$B$59/2)),$B$183+$B$181*(30*$B$67),NA())</f>
        <v>#N/A</v>
      </c>
    </row>
    <row r="357">
      <c r="K357" t="e">
        <f>IF(19&lt;=$B$12,$B$133+$B$132*($B$13*19-$B$27/2),NA())</f>
        <v>#N/A</v>
      </c>
      <c r="L357" t="e">
        <f>IF(19&lt;=$B$12,$B$134+$B$132*($B$5-$B$27/2),NA())</f>
        <v>#N/A</v>
      </c>
      <c r="FE357" t="e">
        <f>IF(AND($B$21=1,(24*$B$66)&lt;$B$62),$B$145+$B$144*(IF((24*$B$66)&lt;$B$87,$B$90,$B$89)),NA())</f>
        <v>#N/A</v>
      </c>
      <c r="FF357" t="e">
        <f>IF(AND($B$21=1,(24*$B$66)&lt;$B$62),$B$146+$B$144*((24*$B$66)),NA())</f>
        <v>#N/A</v>
      </c>
      <c r="GI357" t="e">
        <f>IF(AND($B$21=1,(24*$B$66)&lt;IF($B$63=1,$B$10-0.2,$B$62)),$B$151+$B$150*(MAX(IF((24*$B$66)&lt;=$B$9,0,((24*$B$66)-$B$9)/$B$8),MIN(($B$5-IF((24*$B$66)&lt;=$B$9,0,((24*$B$66)-$B$9)/$B$8)),IF((24*$B$66)&lt;$B$118,$B$121,$B$120)))),NA())</f>
        <v>#N/A</v>
      </c>
      <c r="GJ357" t="e">
        <f>IF(AND($B$21=1,(24*$B$66)&lt;IF($B$63=1,$B$10-0.2,$B$62)),$B$152+$B$150*((24*$B$66)),NA())</f>
        <v>#N/A</v>
      </c>
      <c r="HQ357" t="e">
        <f>IF(AND(5&lt;=$B$23,5&lt;=$B$24),$B$157+$B$156*(IF(5=1,1,IF(5=$B$23,$B$12,5*(5-1)))*$B$13),NA())</f>
        <v>#N/A</v>
      </c>
      <c r="HR357" t="e">
        <f>IF(AND(5&lt;=$B$23,5&lt;=$B$24),$B$158+$B$156*((1*$B$5/2+(5-1)*($B$5/2)/$B$24)),NA())</f>
        <v>#N/A</v>
      </c>
      <c r="HS357" t="e">
        <f>IF(AND(15&lt;=$B$12,$B$51&gt;0),$B$157+$B$156*(((15-0.5)*$B$13)-($B$51*$B$13)/2),NA())</f>
        <v>#N/A</v>
      </c>
      <c r="HT357" t="e">
        <f>IF(AND(15&lt;=$B$12,$B$51&gt;0),$B$158+$B$156*((1*$B$5/2+0.6*$B$159)),NA())</f>
        <v>#N/A</v>
      </c>
      <c r="KI357" t="e">
        <f>IF(AND($B$21=1,30*$B$67&gt;$B$59,30*$B$67&lt;$B$178-$B$59,OR($B$63=0,ABS(30*$B$67-$B$178/2)&gt;$B$59/2)),$B$182+$B$181*($B$177*2/4-$B$60/2),NA())</f>
        <v>#N/A</v>
      </c>
      <c r="KJ357" t="e">
        <f>IF(AND($B$21=1,30*$B$67&gt;$B$59,30*$B$67&lt;$B$178-$B$59,OR($B$63=0,ABS(30*$B$67-$B$178/2)&gt;$B$59/2)),$B$183+$B$181*(30*$B$67),NA())</f>
        <v>#N/A</v>
      </c>
    </row>
    <row r="358">
      <c r="K358" t="e">
        <f>NA()</f>
        <v>#N/A</v>
      </c>
      <c r="L358" t="e">
        <f>NA()</f>
        <v>#N/A</v>
      </c>
      <c r="FE358" t="e">
        <f>IF(AND(AND($B$21=1,(24*$B$66)&lt;$B$62),(24*$B$66)&gt;=$B$87),$B$145+$B$144*($B$89),NA())</f>
        <v>#N/A</v>
      </c>
      <c r="FF358" t="e">
        <f>IF(AND(AND($B$21=1,(24*$B$66)&lt;$B$62),(24*$B$66)&gt;=$B$87),$B$146+$B$144*((24*$B$66)),NA())</f>
        <v>#N/A</v>
      </c>
      <c r="GI358" t="e">
        <f>IF(AND(AND($B$21=1,(24*$B$66)&lt;IF($B$63=1,$B$10-0.2,$B$62)),(24*$B$66)&gt;=$B$118),$B$151+$B$150*(MAX(IF((24*$B$66)&lt;=$B$9,0,((24*$B$66)-$B$9)/$B$8),MIN(($B$5-IF((24*$B$66)&lt;=$B$9,0,((24*$B$66)-$B$9)/$B$8)),$B$120))),NA())</f>
        <v>#N/A</v>
      </c>
      <c r="GJ358" t="e">
        <f>IF(AND(AND($B$21=1,(24*$B$66)&lt;IF($B$63=1,$B$10-0.2,$B$62)),(24*$B$66)&gt;=$B$118),$B$152+$B$150*((24*$B$66)),NA())</f>
        <v>#N/A</v>
      </c>
      <c r="HQ358" t="e">
        <f>NA()</f>
        <v>#N/A</v>
      </c>
      <c r="HR358" t="e">
        <f>NA()</f>
        <v>#N/A</v>
      </c>
      <c r="HS358" t="e">
        <f>NA()</f>
        <v>#N/A</v>
      </c>
      <c r="HT358" t="e">
        <f>NA()</f>
        <v>#N/A</v>
      </c>
      <c r="KI358" t="e">
        <f>NA()</f>
        <v>#N/A</v>
      </c>
      <c r="KJ358" t="e">
        <f>NA()</f>
        <v>#N/A</v>
      </c>
    </row>
    <row r="359">
      <c r="K359" t="e">
        <f>IF(AND(19&lt;=$B$12,$B$45=1),$B$133+$B$132*($B$13*19-$B$27/2),NA())</f>
        <v>#N/A</v>
      </c>
      <c r="L359" t="e">
        <f>IF(AND(19&lt;=$B$12,$B$45=1),$B$134+$B$132*($B$5/2-$B$27/2),NA())</f>
        <v>#N/A</v>
      </c>
      <c r="FE359" t="e">
        <f>IF(AND($B$21=1,(24*$B$66)&lt;$B$62),$B$145+$B$144*(IF((24*$B$66)&lt;$B$87,$B$91,$B$89)),NA())</f>
        <v>#N/A</v>
      </c>
      <c r="FF359" t="e">
        <f>IF(AND($B$21=1,(24*$B$66)&lt;$B$62),$B$146+$B$144*((24*$B$66)),NA())</f>
        <v>#N/A</v>
      </c>
      <c r="GI359" t="e">
        <f>IF(AND($B$21=1,(24*$B$66)&lt;IF($B$63=1,$B$10-0.2,$B$62)),$B$151+$B$150*(MAX(IF((24*$B$66)&lt;=$B$9,0,((24*$B$66)-$B$9)/$B$8),MIN(($B$5-IF((24*$B$66)&lt;=$B$9,0,((24*$B$66)-$B$9)/$B$8)),IF((24*$B$66)&lt;$B$118,$B$122,$B$120)))),NA())</f>
        <v>#N/A</v>
      </c>
      <c r="GJ359" t="e">
        <f>IF(AND($B$21=1,(24*$B$66)&lt;IF($B$63=1,$B$10-0.2,$B$62)),$B$152+$B$150*((24*$B$66)),NA())</f>
        <v>#N/A</v>
      </c>
      <c r="HQ359" t="e">
        <f>IF(AND(5&lt;=$B$23,6&lt;=$B$24),$B$157+$B$156*((IF(5=1,1,IF(5=$B$23,$B$12,5*(5-1)))-1)*$B$13),NA())</f>
        <v>#N/A</v>
      </c>
      <c r="HR359" t="e">
        <f>IF(AND(5&lt;=$B$23,6&lt;=$B$24),$B$158+$B$156*((1*$B$5/2+(6-1)*($B$5/2)/$B$24)),NA())</f>
        <v>#N/A</v>
      </c>
      <c r="HS359" t="e">
        <f>IF(AND(15&lt;=$B$12,$B$51&gt;0),$B$157+$B$156*(((15-0.5)*$B$13)-($B$51*$B$13)/2),NA())</f>
        <v>#N/A</v>
      </c>
      <c r="HT359" t="e">
        <f>IF(AND(15&lt;=$B$12,$B$51&gt;0),$B$158+$B$156*((1*$B$5/2+0.6*$B$159)),NA())</f>
        <v>#N/A</v>
      </c>
      <c r="KI359" t="e">
        <f>IF(AND($B$21=1,30*$B$67&gt;$B$59,30*$B$67&lt;$B$178-$B$59,OR($B$63=0,ABS(30*$B$67-$B$178/2)&gt;$B$59/2)),$B$182+$B$181*($B$177*2/4+$B$60/2),NA())</f>
        <v>#N/A</v>
      </c>
      <c r="KJ359" t="e">
        <f>IF(AND($B$21=1,30*$B$67&gt;$B$59,30*$B$67&lt;$B$178-$B$59,OR($B$63=0,ABS(30*$B$67-$B$178/2)&gt;$B$59/2)),$B$183+$B$181*(30*$B$67),NA())</f>
        <v>#N/A</v>
      </c>
    </row>
    <row r="360">
      <c r="K360" t="e">
        <f>IF(AND(19&lt;=$B$12,$B$45=1),$B$133+$B$132*($B$13*19+$B$27/2),NA())</f>
        <v>#N/A</v>
      </c>
      <c r="L360" t="e">
        <f>IF(AND(19&lt;=$B$12,$B$45=1),$B$134+$B$132*($B$5/2-$B$27/2),NA())</f>
        <v>#N/A</v>
      </c>
      <c r="FE360" t="e">
        <f>IF(AND($B$21=1,(24*$B$66)&lt;$B$62),$B$145+$B$144*(IF((24*$B$66)&lt;$B$94,$B$97,$B$96)),NA())</f>
        <v>#N/A</v>
      </c>
      <c r="FF360" t="e">
        <f>IF(AND($B$21=1,(24*$B$66)&lt;$B$62),$B$146+$B$144*((24*$B$66)),NA())</f>
        <v>#N/A</v>
      </c>
      <c r="GI360" t="e">
        <f>IF(AND($B$21=1,(24*$B$66)&lt;IF($B$63=1,$B$10-0.2,$B$62)),$B$151+$B$150*(MAX(IF((24*$B$66)&lt;=$B$9,0,((24*$B$66)-$B$9)/$B$8),MIN(($B$5-IF((24*$B$66)&lt;=$B$9,0,((24*$B$66)-$B$9)/$B$8)),IF((24*$B$66)&lt;$B$125,$B$128,$B$127)))),NA())</f>
        <v>#N/A</v>
      </c>
      <c r="GJ360" t="e">
        <f>IF(AND($B$21=1,(24*$B$66)&lt;IF($B$63=1,$B$10-0.2,$B$62)),$B$152+$B$150*((24*$B$66)),NA())</f>
        <v>#N/A</v>
      </c>
      <c r="HQ360" t="e">
        <f>IF(AND(5&lt;=$B$23,6&lt;=$B$24),$B$157+$B$156*(IF(5=1,1,IF(5=$B$23,$B$12,5*(5-1)))*$B$13),NA())</f>
        <v>#N/A</v>
      </c>
      <c r="HR360" t="e">
        <f>IF(AND(5&lt;=$B$23,6&lt;=$B$24),$B$158+$B$156*((1*$B$5/2+6*($B$5/2)/$B$24)),NA())</f>
        <v>#N/A</v>
      </c>
      <c r="HS360" t="e">
        <f>IF(AND(15&lt;=$B$12,$B$51&gt;0),$B$157+$B$156*(((15-0.5)*$B$13)+($B$51*$B$13)/2),NA())</f>
        <v>#N/A</v>
      </c>
      <c r="HT360" t="e">
        <f>IF(AND(15&lt;=$B$12,$B$51&gt;0),$B$158+$B$156*((1*$B$5/2+0.6*$B$159)+(((1*$B$5/2+$B$5/2-0.6*$B$159))-((1*$B$5/2+0.6*$B$159)))/4),NA())</f>
        <v>#N/A</v>
      </c>
      <c r="KI360" t="e">
        <f>IF(AND($B$21=1,30*$B$67&gt;$B$59,30*$B$67&lt;$B$178-$B$59,OR($B$63=0,ABS(30*$B$67-$B$178/2)&gt;$B$59/2)),$B$182+$B$181*($B$177*3/4-$B$60/2),NA())</f>
        <v>#N/A</v>
      </c>
      <c r="KJ360" t="e">
        <f>IF(AND($B$21=1,30*$B$67&gt;$B$59,30*$B$67&lt;$B$178-$B$59,OR($B$63=0,ABS(30*$B$67-$B$178/2)&gt;$B$59/2)),$B$183+$B$181*(30*$B$67),NA())</f>
        <v>#N/A</v>
      </c>
    </row>
    <row r="361">
      <c r="K361" t="e">
        <f>IF(AND(19&lt;=$B$12,$B$45=1),$B$133+$B$132*($B$13*19+$B$27/2),NA())</f>
        <v>#N/A</v>
      </c>
      <c r="L361" t="e">
        <f>IF(AND(19&lt;=$B$12,$B$45=1),$B$134+$B$132*($B$5/2+$B$27/2),NA())</f>
        <v>#N/A</v>
      </c>
      <c r="FE361" t="e">
        <f>IF(AND(AND($B$21=1,(24*$B$66)&lt;$B$62),(24*$B$66)&gt;=$B$94),$B$145+$B$144*($B$96),NA())</f>
        <v>#N/A</v>
      </c>
      <c r="FF361" t="e">
        <f>IF(AND(AND($B$21=1,(24*$B$66)&lt;$B$62),(24*$B$66)&gt;=$B$94),$B$146+$B$144*((24*$B$66)),NA())</f>
        <v>#N/A</v>
      </c>
      <c r="GI361" t="e">
        <f>IF(AND(AND($B$21=1,(24*$B$66)&lt;IF($B$63=1,$B$10-0.2,$B$62)),(24*$B$66)&gt;=$B$125),$B$151+$B$150*(MAX(IF((24*$B$66)&lt;=$B$9,0,((24*$B$66)-$B$9)/$B$8),MIN(($B$5-IF((24*$B$66)&lt;=$B$9,0,((24*$B$66)-$B$9)/$B$8)),$B$127))),NA())</f>
        <v>#N/A</v>
      </c>
      <c r="GJ361" t="e">
        <f>IF(AND(AND($B$21=1,(24*$B$66)&lt;IF($B$63=1,$B$10-0.2,$B$62)),(24*$B$66)&gt;=$B$125),$B$152+$B$150*((24*$B$66)),NA())</f>
        <v>#N/A</v>
      </c>
      <c r="HQ361" t="e">
        <f>NA()</f>
        <v>#N/A</v>
      </c>
      <c r="HR361" t="e">
        <f>NA()</f>
        <v>#N/A</v>
      </c>
      <c r="HS361" t="e">
        <f>IF(AND(15&lt;=$B$12,$B$51&gt;0),$B$157+$B$156*(((15-0.5)*$B$13)-($B$51*$B$13)/2),NA())</f>
        <v>#N/A</v>
      </c>
      <c r="HT361" t="e">
        <f>IF(AND(15&lt;=$B$12,$B$51&gt;0),$B$158+$B$156*((1*$B$5/2+0.6*$B$159)+(((1*$B$5/2+$B$5/2-0.6*$B$159))-((1*$B$5/2+0.6*$B$159)))/2),NA())</f>
        <v>#N/A</v>
      </c>
      <c r="KI361" t="e">
        <f>NA()</f>
        <v>#N/A</v>
      </c>
      <c r="KJ361" t="e">
        <f>NA()</f>
        <v>#N/A</v>
      </c>
    </row>
    <row r="362">
      <c r="K362" t="e">
        <f>IF(AND(19&lt;=$B$12,$B$45=1),$B$133+$B$132*($B$13*19-$B$27/2),NA())</f>
        <v>#N/A</v>
      </c>
      <c r="L362" t="e">
        <f>IF(AND(19&lt;=$B$12,$B$45=1),$B$134+$B$132*($B$5/2+$B$27/2),NA())</f>
        <v>#N/A</v>
      </c>
      <c r="FE362" t="e">
        <f>IF(AND($B$21=1,(24*$B$66)&lt;$B$62),$B$145+$B$144*(IF((24*$B$66)&lt;$B$94,$B$98,$B$96)),NA())</f>
        <v>#N/A</v>
      </c>
      <c r="FF362" t="e">
        <f>IF(AND($B$21=1,(24*$B$66)&lt;$B$62),$B$146+$B$144*((24*$B$66)),NA())</f>
        <v>#N/A</v>
      </c>
      <c r="GI362" t="e">
        <f>IF(AND($B$21=1,(24*$B$66)&lt;IF($B$63=1,$B$10-0.2,$B$62)),$B$151+$B$150*(MAX(IF((24*$B$66)&lt;=$B$9,0,((24*$B$66)-$B$9)/$B$8),MIN(($B$5-IF((24*$B$66)&lt;=$B$9,0,((24*$B$66)-$B$9)/$B$8)),IF((24*$B$66)&lt;$B$125,$B$129,$B$127)))),NA())</f>
        <v>#N/A</v>
      </c>
      <c r="GJ362" t="e">
        <f>IF(AND($B$21=1,(24*$B$66)&lt;IF($B$63=1,$B$10-0.2,$B$62)),$B$152+$B$150*((24*$B$66)),NA())</f>
        <v>#N/A</v>
      </c>
      <c r="HQ362" t="e">
        <f>IF(AND(5&lt;=$B$23,6&lt;=$B$24),$B$157+$B$156*((IF(5=1,1,IF(5=$B$23,$B$12,5*(5-1)))-1)*$B$13),NA())</f>
        <v>#N/A</v>
      </c>
      <c r="HR362" t="e">
        <f>IF(AND(5&lt;=$B$23,6&lt;=$B$24),$B$158+$B$156*((1*$B$5/2+6*($B$5/2)/$B$24)),NA())</f>
        <v>#N/A</v>
      </c>
      <c r="HS362" t="e">
        <f>IF(AND(15&lt;=$B$12,$B$51&gt;0),$B$157+$B$156*(((15-0.5)*$B$13)+($B$51*$B$13)/2),NA())</f>
        <v>#N/A</v>
      </c>
      <c r="HT362" t="e">
        <f>IF(AND(15&lt;=$B$12,$B$51&gt;0),$B$158+$B$156*((1*$B$5/2+0.6*$B$159)+3*(((1*$B$5/2+$B$5/2-0.6*$B$159))-((1*$B$5/2+0.6*$B$159)))/4),NA())</f>
        <v>#N/A</v>
      </c>
      <c r="KI362" t="e">
        <f>IF(AND($B$21=1,30*$B$67&gt;$B$59,30*$B$67&lt;$B$178-$B$59,OR($B$63=0,ABS(30*$B$67-$B$178/2)&gt;$B$59/2)),$B$182+$B$181*($B$177*3/4+$B$60/2),NA())</f>
        <v>#N/A</v>
      </c>
      <c r="KJ362" t="e">
        <f>IF(AND($B$21=1,30*$B$67&gt;$B$59,30*$B$67&lt;$B$178-$B$59,OR($B$63=0,ABS(30*$B$67-$B$178/2)&gt;$B$59/2)),$B$183+$B$181*(30*$B$67),NA())</f>
        <v>#N/A</v>
      </c>
    </row>
    <row r="363">
      <c r="K363" t="e">
        <f>IF(AND(19&lt;=$B$12,$B$45=1),$B$133+$B$132*($B$13*19-$B$27/2),NA())</f>
        <v>#N/A</v>
      </c>
      <c r="L363" t="e">
        <f>IF(AND(19&lt;=$B$12,$B$45=1),$B$134+$B$132*($B$5/2-$B$27/2),NA())</f>
        <v>#N/A</v>
      </c>
      <c r="FE363" t="e">
        <f>IF(AND($B$21=1,(24*$B$66)&lt;$B$62),$B$145+$B$144*($B$6),NA())</f>
        <v>#N/A</v>
      </c>
      <c r="FF363" t="e">
        <f>IF(AND($B$21=1,(24*$B$66)&lt;$B$62),$B$146+$B$144*((24*$B$66)),NA())</f>
        <v>#N/A</v>
      </c>
      <c r="GI363" t="e">
        <f>IF(AND($B$21=1,(24*$B$66)&lt;IF($B$63=1,$B$10-0.2,$B$62)),$B$151+$B$150*(($B$5-IF((24*$B$66)&lt;=$B$9,0,((24*$B$66)-$B$9)/$B$8))),NA())</f>
        <v>#N/A</v>
      </c>
      <c r="GJ363" t="e">
        <f>IF(AND($B$21=1,(24*$B$66)&lt;IF($B$63=1,$B$10-0.2,$B$62)),$B$152+$B$150*((24*$B$66)),NA())</f>
        <v>#N/A</v>
      </c>
      <c r="HQ363" t="e">
        <f>IF(AND(5&lt;=$B$23,6&lt;=$B$24),$B$157+$B$156*(IF(5=1,1,IF(5=$B$23,$B$12,5*(5-1)))*$B$13),NA())</f>
        <v>#N/A</v>
      </c>
      <c r="HR363" t="e">
        <f>IF(AND(5&lt;=$B$23,6&lt;=$B$24),$B$158+$B$156*((1*$B$5/2+(6-1)*($B$5/2)/$B$24)),NA())</f>
        <v>#N/A</v>
      </c>
      <c r="HS363" t="e">
        <f>IF(AND(15&lt;=$B$12,$B$51&gt;0),$B$157+$B$156*(((15-0.5)*$B$13)-($B$51*$B$13)/2),NA())</f>
        <v>#N/A</v>
      </c>
      <c r="HT363" t="e">
        <f>IF(AND(15&lt;=$B$12,$B$51&gt;0),$B$158+$B$156*((1*$B$5/2+$B$5/2-0.6*$B$159)),NA())</f>
        <v>#N/A</v>
      </c>
      <c r="KI363" t="e">
        <f>IF(AND($B$21=1,30*$B$67&gt;$B$59,30*$B$67&lt;$B$178-$B$59,OR($B$63=0,ABS(30*$B$67-$B$178/2)&gt;$B$59/2)),$B$182+$B$181*($B$177),NA())</f>
        <v>#N/A</v>
      </c>
      <c r="KJ363" t="e">
        <f>IF(AND($B$21=1,30*$B$67&gt;$B$59,30*$B$67&lt;$B$178-$B$59,OR($B$63=0,ABS(30*$B$67-$B$178/2)&gt;$B$59/2)),$B$183+$B$181*(30*$B$67),NA())</f>
        <v>#N/A</v>
      </c>
    </row>
    <row r="364">
      <c r="K364" t="e">
        <f>NA()</f>
        <v>#N/A</v>
      </c>
      <c r="L364" t="e">
        <f>NA()</f>
        <v>#N/A</v>
      </c>
      <c r="FE364" t="e">
        <f>NA()</f>
        <v>#N/A</v>
      </c>
      <c r="FF364" t="e">
        <f>NA()</f>
        <v>#N/A</v>
      </c>
      <c r="GI364" t="e">
        <f>NA()</f>
        <v>#N/A</v>
      </c>
      <c r="GJ364" t="e">
        <f>NA()</f>
        <v>#N/A</v>
      </c>
      <c r="HQ364" t="e">
        <f>NA()</f>
        <v>#N/A</v>
      </c>
      <c r="HR364" t="e">
        <f>NA()</f>
        <v>#N/A</v>
      </c>
      <c r="HS364" t="e">
        <f>NA()</f>
        <v>#N/A</v>
      </c>
      <c r="HT364" t="e">
        <f>NA()</f>
        <v>#N/A</v>
      </c>
      <c r="KI364" t="e">
        <f>NA()</f>
        <v>#N/A</v>
      </c>
      <c r="KJ364" t="e">
        <f>NA()</f>
        <v>#N/A</v>
      </c>
    </row>
    <row r="365">
      <c r="K365" t="e">
        <f>IF(20&lt;=$B$12,$B$133+$B$132*($B$13*20-$B$27/2),NA())</f>
        <v>#N/A</v>
      </c>
      <c r="L365" t="e">
        <f>IF(20&lt;=$B$12,$B$134+$B$132*(0-$B$27/2),NA())</f>
        <v>#N/A</v>
      </c>
      <c r="FE365" t="e">
        <f>IF(AND($B$21=1,(25*$B$66)&lt;$B$62),$B$145+$B$144*(0),NA())</f>
        <v>#N/A</v>
      </c>
      <c r="FF365" t="e">
        <f>IF(AND($B$21=1,(25*$B$66)&lt;$B$62),$B$146+$B$144*((25*$B$66)),NA())</f>
        <v>#N/A</v>
      </c>
      <c r="GI365" t="e">
        <f>IF(AND($B$21=1,(25*$B$66)&lt;IF($B$63=1,$B$10-0.2,$B$62)),$B$151+$B$150*(IF((25*$B$66)&lt;=$B$9,0,((25*$B$66)-$B$9)/$B$8)),NA())</f>
        <v>#N/A</v>
      </c>
      <c r="GJ365" t="e">
        <f>IF(AND($B$21=1,(25*$B$66)&lt;IF($B$63=1,$B$10-0.2,$B$62)),$B$152+$B$150*((25*$B$66)),NA())</f>
        <v>#N/A</v>
      </c>
      <c r="HQ365" t="e">
        <f>IF(AND(6&lt;=$B$23,1&lt;=$B$24),$B$157+$B$156*((IF(6=1,1,IF(6=$B$23,$B$12,5*(6-1)))-1)*$B$13),NA())</f>
        <v>#N/A</v>
      </c>
      <c r="HR365" t="e">
        <f>IF(AND(6&lt;=$B$23,1&lt;=$B$24),$B$158+$B$156*((0*$B$5/2+(1-1)*($B$5/2)/$B$24)),NA())</f>
        <v>#N/A</v>
      </c>
      <c r="HS365" t="e">
        <f>IF(AND(16&lt;=$B$12,$B$51&gt;0),$B$157+$B$156*(((16-0.5)*$B$13)-($B$51*$B$13)/2),NA())</f>
        <v>#N/A</v>
      </c>
      <c r="HT365" t="e">
        <f>IF(AND(16&lt;=$B$12,$B$51&gt;0),$B$158+$B$156*((0*$B$5/2+0.6*$B$159)),NA())</f>
        <v>#N/A</v>
      </c>
      <c r="KI365" t="e">
        <f>IF(AND($B$21=1,31*$B$67&gt;$B$59,31*$B$67&lt;$B$178-$B$59,OR($B$63=0,ABS(31*$B$67-$B$178/2)&gt;$B$59/2)),$B$182+$B$181*(0),NA())</f>
        <v>#N/A</v>
      </c>
      <c r="KJ365" t="e">
        <f>IF(AND($B$21=1,31*$B$67&gt;$B$59,31*$B$67&lt;$B$178-$B$59,OR($B$63=0,ABS(31*$B$67-$B$178/2)&gt;$B$59/2)),$B$183+$B$181*(31*$B$67),NA())</f>
        <v>#N/A</v>
      </c>
    </row>
    <row r="366">
      <c r="K366" t="e">
        <f>IF(20&lt;=$B$12,$B$133+$B$132*($B$13*20+$B$27/2),NA())</f>
        <v>#N/A</v>
      </c>
      <c r="L366" t="e">
        <f>IF(20&lt;=$B$12,$B$134+$B$132*(0-$B$27/2),NA())</f>
        <v>#N/A</v>
      </c>
      <c r="FE366" t="e">
        <f>IF(AND($B$21=1,(25*$B$66)&lt;$B$62),$B$145+$B$144*(IF((25*$B$66)&lt;$B$73,$B$76,$B$75)),NA())</f>
        <v>#N/A</v>
      </c>
      <c r="FF366" t="e">
        <f>IF(AND($B$21=1,(25*$B$66)&lt;$B$62),$B$146+$B$144*((25*$B$66)),NA())</f>
        <v>#N/A</v>
      </c>
      <c r="GI366" t="e">
        <f>IF(AND($B$21=1,(25*$B$66)&lt;IF($B$63=1,$B$10-0.2,$B$62)),$B$151+$B$150*(MAX(IF((25*$B$66)&lt;=$B$9,0,((25*$B$66)-$B$9)/$B$8),MIN(($B$5-IF((25*$B$66)&lt;=$B$9,0,((25*$B$66)-$B$9)/$B$8)),IF((25*$B$66)&lt;$B$104,$B$107,$B$106)))),NA())</f>
        <v>#N/A</v>
      </c>
      <c r="GJ366" t="e">
        <f>IF(AND($B$21=1,(25*$B$66)&lt;IF($B$63=1,$B$10-0.2,$B$62)),$B$152+$B$150*((25*$B$66)),NA())</f>
        <v>#N/A</v>
      </c>
      <c r="HQ366" t="e">
        <f>IF(AND(6&lt;=$B$23,1&lt;=$B$24),$B$157+$B$156*(IF(6=1,1,IF(6=$B$23,$B$12,5*(6-1)))*$B$13),NA())</f>
        <v>#N/A</v>
      </c>
      <c r="HR366" t="e">
        <f>IF(AND(6&lt;=$B$23,1&lt;=$B$24),$B$158+$B$156*((0*$B$5/2+1*($B$5/2)/$B$24)),NA())</f>
        <v>#N/A</v>
      </c>
      <c r="HS366" t="e">
        <f>IF(AND(16&lt;=$B$12,$B$51&gt;0),$B$157+$B$156*(((16-0.5)*$B$13)+($B$51*$B$13)/2),NA())</f>
        <v>#N/A</v>
      </c>
      <c r="HT366" t="e">
        <f>IF(AND(16&lt;=$B$12,$B$51&gt;0),$B$158+$B$156*((0*$B$5/2+0.6*$B$159)),NA())</f>
        <v>#N/A</v>
      </c>
      <c r="KI366" t="e">
        <f>IF(AND($B$21=1,31*$B$67&gt;$B$59,31*$B$67&lt;$B$178-$B$59,OR($B$63=0,ABS(31*$B$67-$B$178/2)&gt;$B$59/2)),$B$182+$B$181*($B$177*1/4-$B$60/2),NA())</f>
        <v>#N/A</v>
      </c>
      <c r="KJ366" t="e">
        <f>IF(AND($B$21=1,31*$B$67&gt;$B$59,31*$B$67&lt;$B$178-$B$59,OR($B$63=0,ABS(31*$B$67-$B$178/2)&gt;$B$59/2)),$B$183+$B$181*(31*$B$67),NA())</f>
        <v>#N/A</v>
      </c>
    </row>
    <row r="367">
      <c r="K367" t="e">
        <f>IF(20&lt;=$B$12,$B$133+$B$132*($B$13*20+$B$27/2),NA())</f>
        <v>#N/A</v>
      </c>
      <c r="L367" t="e">
        <f>IF(20&lt;=$B$12,$B$134+$B$132*(0+$B$27/2),NA())</f>
        <v>#N/A</v>
      </c>
      <c r="FE367" t="e">
        <f>IF(AND(AND($B$21=1,(25*$B$66)&lt;$B$62),(25*$B$66)&gt;=$B$73),$B$145+$B$144*($B$75),NA())</f>
        <v>#N/A</v>
      </c>
      <c r="FF367" t="e">
        <f>IF(AND(AND($B$21=1,(25*$B$66)&lt;$B$62),(25*$B$66)&gt;=$B$73),$B$146+$B$144*((25*$B$66)),NA())</f>
        <v>#N/A</v>
      </c>
      <c r="GI367" t="e">
        <f>IF(AND(AND($B$21=1,(25*$B$66)&lt;IF($B$63=1,$B$10-0.2,$B$62)),(25*$B$66)&gt;=$B$104),$B$151+$B$150*(MAX(IF((25*$B$66)&lt;=$B$9,0,((25*$B$66)-$B$9)/$B$8),MIN(($B$5-IF((25*$B$66)&lt;=$B$9,0,((25*$B$66)-$B$9)/$B$8)),$B$106))),NA())</f>
        <v>#N/A</v>
      </c>
      <c r="GJ367" t="e">
        <f>IF(AND(AND($B$21=1,(25*$B$66)&lt;IF($B$63=1,$B$10-0.2,$B$62)),(25*$B$66)&gt;=$B$104),$B$152+$B$150*((25*$B$66)),NA())</f>
        <v>#N/A</v>
      </c>
      <c r="HQ367" t="e">
        <f>NA()</f>
        <v>#N/A</v>
      </c>
      <c r="HR367" t="e">
        <f>NA()</f>
        <v>#N/A</v>
      </c>
      <c r="HS367" t="e">
        <f>IF(AND(16&lt;=$B$12,$B$51&gt;0),$B$157+$B$156*(((16-0.5)*$B$13)+($B$51*$B$13)/2),NA())</f>
        <v>#N/A</v>
      </c>
      <c r="HT367" t="e">
        <f>IF(AND(16&lt;=$B$12,$B$51&gt;0),$B$158+$B$156*((0*$B$5/2+$B$5/2-0.6*$B$159)),NA())</f>
        <v>#N/A</v>
      </c>
      <c r="KI367" t="e">
        <f>NA()</f>
        <v>#N/A</v>
      </c>
      <c r="KJ367" t="e">
        <f>NA()</f>
        <v>#N/A</v>
      </c>
    </row>
    <row r="368">
      <c r="K368" t="e">
        <f>IF(20&lt;=$B$12,$B$133+$B$132*($B$13*20-$B$27/2),NA())</f>
        <v>#N/A</v>
      </c>
      <c r="L368" t="e">
        <f>IF(20&lt;=$B$12,$B$134+$B$132*(0+$B$27/2),NA())</f>
        <v>#N/A</v>
      </c>
      <c r="FE368" t="e">
        <f>IF(AND($B$21=1,(25*$B$66)&lt;$B$62),$B$145+$B$144*(IF((25*$B$66)&lt;$B$73,$B$77,$B$75)),NA())</f>
        <v>#N/A</v>
      </c>
      <c r="FF368" t="e">
        <f>IF(AND($B$21=1,(25*$B$66)&lt;$B$62),$B$146+$B$144*((25*$B$66)),NA())</f>
        <v>#N/A</v>
      </c>
      <c r="GI368" t="e">
        <f>IF(AND($B$21=1,(25*$B$66)&lt;IF($B$63=1,$B$10-0.2,$B$62)),$B$151+$B$150*(MAX(IF((25*$B$66)&lt;=$B$9,0,((25*$B$66)-$B$9)/$B$8),MIN(($B$5-IF((25*$B$66)&lt;=$B$9,0,((25*$B$66)-$B$9)/$B$8)),IF((25*$B$66)&lt;$B$104,$B$108,$B$106)))),NA())</f>
        <v>#N/A</v>
      </c>
      <c r="GJ368" t="e">
        <f>IF(AND($B$21=1,(25*$B$66)&lt;IF($B$63=1,$B$10-0.2,$B$62)),$B$152+$B$150*((25*$B$66)),NA())</f>
        <v>#N/A</v>
      </c>
      <c r="HQ368" t="e">
        <f>IF(AND(6&lt;=$B$23,1&lt;=$B$24),$B$157+$B$156*((IF(6=1,1,IF(6=$B$23,$B$12,5*(6-1)))-1)*$B$13),NA())</f>
        <v>#N/A</v>
      </c>
      <c r="HR368" t="e">
        <f>IF(AND(6&lt;=$B$23,1&lt;=$B$24),$B$158+$B$156*((0*$B$5/2+1*($B$5/2)/$B$24)),NA())</f>
        <v>#N/A</v>
      </c>
      <c r="HS368" t="e">
        <f>IF(AND(16&lt;=$B$12,$B$51&gt;0),$B$157+$B$156*(((16-0.5)*$B$13)-($B$51*$B$13)/2),NA())</f>
        <v>#N/A</v>
      </c>
      <c r="HT368" t="e">
        <f>IF(AND(16&lt;=$B$12,$B$51&gt;0),$B$158+$B$156*((0*$B$5/2+$B$5/2-0.6*$B$159)),NA())</f>
        <v>#N/A</v>
      </c>
      <c r="KI368" t="e">
        <f>IF(AND($B$21=1,31*$B$67&gt;$B$59,31*$B$67&lt;$B$178-$B$59,OR($B$63=0,ABS(31*$B$67-$B$178/2)&gt;$B$59/2)),$B$182+$B$181*($B$177*1/4+$B$60/2),NA())</f>
        <v>#N/A</v>
      </c>
      <c r="KJ368" t="e">
        <f>IF(AND($B$21=1,31*$B$67&gt;$B$59,31*$B$67&lt;$B$178-$B$59,OR($B$63=0,ABS(31*$B$67-$B$178/2)&gt;$B$59/2)),$B$183+$B$181*(31*$B$67),NA())</f>
        <v>#N/A</v>
      </c>
    </row>
    <row r="369">
      <c r="K369" t="e">
        <f>IF(20&lt;=$B$12,$B$133+$B$132*($B$13*20-$B$27/2),NA())</f>
        <v>#N/A</v>
      </c>
      <c r="L369" t="e">
        <f>IF(20&lt;=$B$12,$B$134+$B$132*(0-$B$27/2),NA())</f>
        <v>#N/A</v>
      </c>
      <c r="FE369" t="e">
        <f>IF(AND($B$21=1,(25*$B$66)&lt;$B$62),$B$145+$B$144*(IF((25*$B$66)&lt;$B$80,$B$83,$B$82)),NA())</f>
        <v>#N/A</v>
      </c>
      <c r="FF369" t="e">
        <f>IF(AND($B$21=1,(25*$B$66)&lt;$B$62),$B$146+$B$144*((25*$B$66)),NA())</f>
        <v>#N/A</v>
      </c>
      <c r="GI369" t="e">
        <f>IF(AND($B$21=1,(25*$B$66)&lt;IF($B$63=1,$B$10-0.2,$B$62)),$B$151+$B$150*(MAX(IF((25*$B$66)&lt;=$B$9,0,((25*$B$66)-$B$9)/$B$8),MIN(($B$5-IF((25*$B$66)&lt;=$B$9,0,((25*$B$66)-$B$9)/$B$8)),IF((25*$B$66)&lt;$B$111,$B$114,$B$113)))),NA())</f>
        <v>#N/A</v>
      </c>
      <c r="GJ369" t="e">
        <f>IF(AND($B$21=1,(25*$B$66)&lt;IF($B$63=1,$B$10-0.2,$B$62)),$B$152+$B$150*((25*$B$66)),NA())</f>
        <v>#N/A</v>
      </c>
      <c r="HQ369" t="e">
        <f>IF(AND(6&lt;=$B$23,1&lt;=$B$24),$B$157+$B$156*(IF(6=1,1,IF(6=$B$23,$B$12,5*(6-1)))*$B$13),NA())</f>
        <v>#N/A</v>
      </c>
      <c r="HR369" t="e">
        <f>IF(AND(6&lt;=$B$23,1&lt;=$B$24),$B$158+$B$156*((0*$B$5/2+(1-1)*($B$5/2)/$B$24)),NA())</f>
        <v>#N/A</v>
      </c>
      <c r="HS369" t="e">
        <f>IF(AND(16&lt;=$B$12,$B$51&gt;0),$B$157+$B$156*(((16-0.5)*$B$13)-($B$51*$B$13)/2),NA())</f>
        <v>#N/A</v>
      </c>
      <c r="HT369" t="e">
        <f>IF(AND(16&lt;=$B$12,$B$51&gt;0),$B$158+$B$156*((0*$B$5/2+0.6*$B$159)),NA())</f>
        <v>#N/A</v>
      </c>
      <c r="KI369" t="e">
        <f>IF(AND($B$21=1,31*$B$67&gt;$B$59,31*$B$67&lt;$B$178-$B$59,OR($B$63=0,ABS(31*$B$67-$B$178/2)&gt;$B$59/2)),$B$182+$B$181*($B$177*2/4-$B$60/2),NA())</f>
        <v>#N/A</v>
      </c>
      <c r="KJ369" t="e">
        <f>IF(AND($B$21=1,31*$B$67&gt;$B$59,31*$B$67&lt;$B$178-$B$59,OR($B$63=0,ABS(31*$B$67-$B$178/2)&gt;$B$59/2)),$B$183+$B$181*(31*$B$67),NA())</f>
        <v>#N/A</v>
      </c>
    </row>
    <row r="370">
      <c r="K370" t="e">
        <f>NA()</f>
        <v>#N/A</v>
      </c>
      <c r="L370" t="e">
        <f>NA()</f>
        <v>#N/A</v>
      </c>
      <c r="FE370" t="e">
        <f>IF(AND(AND($B$21=1,(25*$B$66)&lt;$B$62),(25*$B$66)&gt;=$B$80),$B$145+$B$144*($B$82),NA())</f>
        <v>#N/A</v>
      </c>
      <c r="FF370" t="e">
        <f>IF(AND(AND($B$21=1,(25*$B$66)&lt;$B$62),(25*$B$66)&gt;=$B$80),$B$146+$B$144*((25*$B$66)),NA())</f>
        <v>#N/A</v>
      </c>
      <c r="GI370" t="e">
        <f>IF(AND(AND($B$21=1,(25*$B$66)&lt;IF($B$63=1,$B$10-0.2,$B$62)),(25*$B$66)&gt;=$B$111),$B$151+$B$150*(MAX(IF((25*$B$66)&lt;=$B$9,0,((25*$B$66)-$B$9)/$B$8),MIN(($B$5-IF((25*$B$66)&lt;=$B$9,0,((25*$B$66)-$B$9)/$B$8)),$B$113))),NA())</f>
        <v>#N/A</v>
      </c>
      <c r="GJ370" t="e">
        <f>IF(AND(AND($B$21=1,(25*$B$66)&lt;IF($B$63=1,$B$10-0.2,$B$62)),(25*$B$66)&gt;=$B$111),$B$152+$B$150*((25*$B$66)),NA())</f>
        <v>#N/A</v>
      </c>
      <c r="HQ370" t="e">
        <f>NA()</f>
        <v>#N/A</v>
      </c>
      <c r="HR370" t="e">
        <f>NA()</f>
        <v>#N/A</v>
      </c>
      <c r="HS370" t="e">
        <f>NA()</f>
        <v>#N/A</v>
      </c>
      <c r="HT370" t="e">
        <f>NA()</f>
        <v>#N/A</v>
      </c>
      <c r="KI370" t="e">
        <f>NA()</f>
        <v>#N/A</v>
      </c>
      <c r="KJ370" t="e">
        <f>NA()</f>
        <v>#N/A</v>
      </c>
    </row>
    <row r="371">
      <c r="K371" t="e">
        <f>IF(20&lt;=$B$12,$B$133+$B$132*($B$13*20-$B$27/2),NA())</f>
        <v>#N/A</v>
      </c>
      <c r="L371" t="e">
        <f>IF(20&lt;=$B$12,$B$134+$B$132*($B$5-$B$27/2),NA())</f>
        <v>#N/A</v>
      </c>
      <c r="FE371" t="e">
        <f>IF(AND($B$21=1,(25*$B$66)&lt;$B$62),$B$145+$B$144*(IF((25*$B$66)&lt;$B$80,$B$84,$B$82)),NA())</f>
        <v>#N/A</v>
      </c>
      <c r="FF371" t="e">
        <f>IF(AND($B$21=1,(25*$B$66)&lt;$B$62),$B$146+$B$144*((25*$B$66)),NA())</f>
        <v>#N/A</v>
      </c>
      <c r="GI371" t="e">
        <f>IF(AND($B$21=1,(25*$B$66)&lt;IF($B$63=1,$B$10-0.2,$B$62)),$B$151+$B$150*(MAX(IF((25*$B$66)&lt;=$B$9,0,((25*$B$66)-$B$9)/$B$8),MIN(($B$5-IF((25*$B$66)&lt;=$B$9,0,((25*$B$66)-$B$9)/$B$8)),IF((25*$B$66)&lt;$B$111,$B$115,$B$113)))),NA())</f>
        <v>#N/A</v>
      </c>
      <c r="GJ371" t="e">
        <f>IF(AND($B$21=1,(25*$B$66)&lt;IF($B$63=1,$B$10-0.2,$B$62)),$B$152+$B$150*((25*$B$66)),NA())</f>
        <v>#N/A</v>
      </c>
      <c r="HQ371" t="e">
        <f>IF(AND(6&lt;=$B$23,2&lt;=$B$24),$B$157+$B$156*((IF(6=1,1,IF(6=$B$23,$B$12,5*(6-1)))-1)*$B$13),NA())</f>
        <v>#N/A</v>
      </c>
      <c r="HR371" t="e">
        <f>IF(AND(6&lt;=$B$23,2&lt;=$B$24),$B$158+$B$156*((0*$B$5/2+(2-1)*($B$5/2)/$B$24)),NA())</f>
        <v>#N/A</v>
      </c>
      <c r="HS371" t="e">
        <f>IF(AND(16&lt;=$B$12,$B$51&gt;0),$B$157+$B$156*(((16-0.5)*$B$13)-($B$51*$B$13)/2),NA())</f>
        <v>#N/A</v>
      </c>
      <c r="HT371" t="e">
        <f>IF(AND(16&lt;=$B$12,$B$51&gt;0),$B$158+$B$156*((0*$B$5/2+0.6*$B$159)),NA())</f>
        <v>#N/A</v>
      </c>
      <c r="KI371" t="e">
        <f>IF(AND($B$21=1,31*$B$67&gt;$B$59,31*$B$67&lt;$B$178-$B$59,OR($B$63=0,ABS(31*$B$67-$B$178/2)&gt;$B$59/2)),$B$182+$B$181*($B$177*2/4+$B$60/2),NA())</f>
        <v>#N/A</v>
      </c>
      <c r="KJ371" t="e">
        <f>IF(AND($B$21=1,31*$B$67&gt;$B$59,31*$B$67&lt;$B$178-$B$59,OR($B$63=0,ABS(31*$B$67-$B$178/2)&gt;$B$59/2)),$B$183+$B$181*(31*$B$67),NA())</f>
        <v>#N/A</v>
      </c>
    </row>
    <row r="372">
      <c r="K372" t="e">
        <f>IF(20&lt;=$B$12,$B$133+$B$132*($B$13*20+$B$27/2),NA())</f>
        <v>#N/A</v>
      </c>
      <c r="L372" t="e">
        <f>IF(20&lt;=$B$12,$B$134+$B$132*($B$5-$B$27/2),NA())</f>
        <v>#N/A</v>
      </c>
      <c r="FE372" t="e">
        <f>IF(AND($B$21=1,(25*$B$66)&lt;$B$62),$B$145+$B$144*(IF((25*$B$66)&lt;$B$87,$B$90,$B$89)),NA())</f>
        <v>#N/A</v>
      </c>
      <c r="FF372" t="e">
        <f>IF(AND($B$21=1,(25*$B$66)&lt;$B$62),$B$146+$B$144*((25*$B$66)),NA())</f>
        <v>#N/A</v>
      </c>
      <c r="GI372" t="e">
        <f>IF(AND($B$21=1,(25*$B$66)&lt;IF($B$63=1,$B$10-0.2,$B$62)),$B$151+$B$150*(MAX(IF((25*$B$66)&lt;=$B$9,0,((25*$B$66)-$B$9)/$B$8),MIN(($B$5-IF((25*$B$66)&lt;=$B$9,0,((25*$B$66)-$B$9)/$B$8)),IF((25*$B$66)&lt;$B$118,$B$121,$B$120)))),NA())</f>
        <v>#N/A</v>
      </c>
      <c r="GJ372" t="e">
        <f>IF(AND($B$21=1,(25*$B$66)&lt;IF($B$63=1,$B$10-0.2,$B$62)),$B$152+$B$150*((25*$B$66)),NA())</f>
        <v>#N/A</v>
      </c>
      <c r="HQ372" t="e">
        <f>IF(AND(6&lt;=$B$23,2&lt;=$B$24),$B$157+$B$156*(IF(6=1,1,IF(6=$B$23,$B$12,5*(6-1)))*$B$13),NA())</f>
        <v>#N/A</v>
      </c>
      <c r="HR372" t="e">
        <f>IF(AND(6&lt;=$B$23,2&lt;=$B$24),$B$158+$B$156*((0*$B$5/2+2*($B$5/2)/$B$24)),NA())</f>
        <v>#N/A</v>
      </c>
      <c r="HS372" t="e">
        <f>IF(AND(16&lt;=$B$12,$B$51&gt;0),$B$157+$B$156*(((16-0.5)*$B$13)+($B$51*$B$13)/2),NA())</f>
        <v>#N/A</v>
      </c>
      <c r="HT372" t="e">
        <f>IF(AND(16&lt;=$B$12,$B$51&gt;0),$B$158+$B$156*((0*$B$5/2+0.6*$B$159)+(((0*$B$5/2+$B$5/2-0.6*$B$159))-((0*$B$5/2+0.6*$B$159)))/4),NA())</f>
        <v>#N/A</v>
      </c>
      <c r="KI372" t="e">
        <f>IF(AND($B$21=1,31*$B$67&gt;$B$59,31*$B$67&lt;$B$178-$B$59,OR($B$63=0,ABS(31*$B$67-$B$178/2)&gt;$B$59/2)),$B$182+$B$181*($B$177*3/4-$B$60/2),NA())</f>
        <v>#N/A</v>
      </c>
      <c r="KJ372" t="e">
        <f>IF(AND($B$21=1,31*$B$67&gt;$B$59,31*$B$67&lt;$B$178-$B$59,OR($B$63=0,ABS(31*$B$67-$B$178/2)&gt;$B$59/2)),$B$183+$B$181*(31*$B$67),NA())</f>
        <v>#N/A</v>
      </c>
    </row>
    <row r="373">
      <c r="K373" t="e">
        <f>IF(20&lt;=$B$12,$B$133+$B$132*($B$13*20+$B$27/2),NA())</f>
        <v>#N/A</v>
      </c>
      <c r="L373" t="e">
        <f>IF(20&lt;=$B$12,$B$134+$B$132*($B$5+$B$27/2),NA())</f>
        <v>#N/A</v>
      </c>
      <c r="FE373" t="e">
        <f>IF(AND(AND($B$21=1,(25*$B$66)&lt;$B$62),(25*$B$66)&gt;=$B$87),$B$145+$B$144*($B$89),NA())</f>
        <v>#N/A</v>
      </c>
      <c r="FF373" t="e">
        <f>IF(AND(AND($B$21=1,(25*$B$66)&lt;$B$62),(25*$B$66)&gt;=$B$87),$B$146+$B$144*((25*$B$66)),NA())</f>
        <v>#N/A</v>
      </c>
      <c r="GI373" t="e">
        <f>IF(AND(AND($B$21=1,(25*$B$66)&lt;IF($B$63=1,$B$10-0.2,$B$62)),(25*$B$66)&gt;=$B$118),$B$151+$B$150*(MAX(IF((25*$B$66)&lt;=$B$9,0,((25*$B$66)-$B$9)/$B$8),MIN(($B$5-IF((25*$B$66)&lt;=$B$9,0,((25*$B$66)-$B$9)/$B$8)),$B$120))),NA())</f>
        <v>#N/A</v>
      </c>
      <c r="GJ373" t="e">
        <f>IF(AND(AND($B$21=1,(25*$B$66)&lt;IF($B$63=1,$B$10-0.2,$B$62)),(25*$B$66)&gt;=$B$118),$B$152+$B$150*((25*$B$66)),NA())</f>
        <v>#N/A</v>
      </c>
      <c r="HQ373" t="e">
        <f>NA()</f>
        <v>#N/A</v>
      </c>
      <c r="HR373" t="e">
        <f>NA()</f>
        <v>#N/A</v>
      </c>
      <c r="HS373" t="e">
        <f>IF(AND(16&lt;=$B$12,$B$51&gt;0),$B$157+$B$156*(((16-0.5)*$B$13)-($B$51*$B$13)/2),NA())</f>
        <v>#N/A</v>
      </c>
      <c r="HT373" t="e">
        <f>IF(AND(16&lt;=$B$12,$B$51&gt;0),$B$158+$B$156*((0*$B$5/2+0.6*$B$159)+(((0*$B$5/2+$B$5/2-0.6*$B$159))-((0*$B$5/2+0.6*$B$159)))/2),NA())</f>
        <v>#N/A</v>
      </c>
      <c r="KI373" t="e">
        <f>NA()</f>
        <v>#N/A</v>
      </c>
      <c r="KJ373" t="e">
        <f>NA()</f>
        <v>#N/A</v>
      </c>
    </row>
    <row r="374">
      <c r="K374" t="e">
        <f>IF(20&lt;=$B$12,$B$133+$B$132*($B$13*20-$B$27/2),NA())</f>
        <v>#N/A</v>
      </c>
      <c r="L374" t="e">
        <f>IF(20&lt;=$B$12,$B$134+$B$132*($B$5+$B$27/2),NA())</f>
        <v>#N/A</v>
      </c>
      <c r="FE374" t="e">
        <f>IF(AND($B$21=1,(25*$B$66)&lt;$B$62),$B$145+$B$144*(IF((25*$B$66)&lt;$B$87,$B$91,$B$89)),NA())</f>
        <v>#N/A</v>
      </c>
      <c r="FF374" t="e">
        <f>IF(AND($B$21=1,(25*$B$66)&lt;$B$62),$B$146+$B$144*((25*$B$66)),NA())</f>
        <v>#N/A</v>
      </c>
      <c r="GI374" t="e">
        <f>IF(AND($B$21=1,(25*$B$66)&lt;IF($B$63=1,$B$10-0.2,$B$62)),$B$151+$B$150*(MAX(IF((25*$B$66)&lt;=$B$9,0,((25*$B$66)-$B$9)/$B$8),MIN(($B$5-IF((25*$B$66)&lt;=$B$9,0,((25*$B$66)-$B$9)/$B$8)),IF((25*$B$66)&lt;$B$118,$B$122,$B$120)))),NA())</f>
        <v>#N/A</v>
      </c>
      <c r="GJ374" t="e">
        <f>IF(AND($B$21=1,(25*$B$66)&lt;IF($B$63=1,$B$10-0.2,$B$62)),$B$152+$B$150*((25*$B$66)),NA())</f>
        <v>#N/A</v>
      </c>
      <c r="HQ374" t="e">
        <f>IF(AND(6&lt;=$B$23,2&lt;=$B$24),$B$157+$B$156*((IF(6=1,1,IF(6=$B$23,$B$12,5*(6-1)))-1)*$B$13),NA())</f>
        <v>#N/A</v>
      </c>
      <c r="HR374" t="e">
        <f>IF(AND(6&lt;=$B$23,2&lt;=$B$24),$B$158+$B$156*((0*$B$5/2+2*($B$5/2)/$B$24)),NA())</f>
        <v>#N/A</v>
      </c>
      <c r="HS374" t="e">
        <f>IF(AND(16&lt;=$B$12,$B$51&gt;0),$B$157+$B$156*(((16-0.5)*$B$13)+($B$51*$B$13)/2),NA())</f>
        <v>#N/A</v>
      </c>
      <c r="HT374" t="e">
        <f>IF(AND(16&lt;=$B$12,$B$51&gt;0),$B$158+$B$156*((0*$B$5/2+0.6*$B$159)+3*(((0*$B$5/2+$B$5/2-0.6*$B$159))-((0*$B$5/2+0.6*$B$159)))/4),NA())</f>
        <v>#N/A</v>
      </c>
      <c r="KI374" t="e">
        <f>IF(AND($B$21=1,31*$B$67&gt;$B$59,31*$B$67&lt;$B$178-$B$59,OR($B$63=0,ABS(31*$B$67-$B$178/2)&gt;$B$59/2)),$B$182+$B$181*($B$177*3/4+$B$60/2),NA())</f>
        <v>#N/A</v>
      </c>
      <c r="KJ374" t="e">
        <f>IF(AND($B$21=1,31*$B$67&gt;$B$59,31*$B$67&lt;$B$178-$B$59,OR($B$63=0,ABS(31*$B$67-$B$178/2)&gt;$B$59/2)),$B$183+$B$181*(31*$B$67),NA())</f>
        <v>#N/A</v>
      </c>
    </row>
    <row r="375">
      <c r="K375" t="e">
        <f>IF(20&lt;=$B$12,$B$133+$B$132*($B$13*20-$B$27/2),NA())</f>
        <v>#N/A</v>
      </c>
      <c r="L375" t="e">
        <f>IF(20&lt;=$B$12,$B$134+$B$132*($B$5-$B$27/2),NA())</f>
        <v>#N/A</v>
      </c>
      <c r="FE375" t="e">
        <f>IF(AND($B$21=1,(25*$B$66)&lt;$B$62),$B$145+$B$144*(IF((25*$B$66)&lt;$B$94,$B$97,$B$96)),NA())</f>
        <v>#N/A</v>
      </c>
      <c r="FF375" t="e">
        <f>IF(AND($B$21=1,(25*$B$66)&lt;$B$62),$B$146+$B$144*((25*$B$66)),NA())</f>
        <v>#N/A</v>
      </c>
      <c r="GI375" t="e">
        <f>IF(AND($B$21=1,(25*$B$66)&lt;IF($B$63=1,$B$10-0.2,$B$62)),$B$151+$B$150*(MAX(IF((25*$B$66)&lt;=$B$9,0,((25*$B$66)-$B$9)/$B$8),MIN(($B$5-IF((25*$B$66)&lt;=$B$9,0,((25*$B$66)-$B$9)/$B$8)),IF((25*$B$66)&lt;$B$125,$B$128,$B$127)))),NA())</f>
        <v>#N/A</v>
      </c>
      <c r="GJ375" t="e">
        <f>IF(AND($B$21=1,(25*$B$66)&lt;IF($B$63=1,$B$10-0.2,$B$62)),$B$152+$B$150*((25*$B$66)),NA())</f>
        <v>#N/A</v>
      </c>
      <c r="HQ375" t="e">
        <f>IF(AND(6&lt;=$B$23,2&lt;=$B$24),$B$157+$B$156*(IF(6=1,1,IF(6=$B$23,$B$12,5*(6-1)))*$B$13),NA())</f>
        <v>#N/A</v>
      </c>
      <c r="HR375" t="e">
        <f>IF(AND(6&lt;=$B$23,2&lt;=$B$24),$B$158+$B$156*((0*$B$5/2+(2-1)*($B$5/2)/$B$24)),NA())</f>
        <v>#N/A</v>
      </c>
      <c r="HS375" t="e">
        <f>IF(AND(16&lt;=$B$12,$B$51&gt;0),$B$157+$B$156*(((16-0.5)*$B$13)-($B$51*$B$13)/2),NA())</f>
        <v>#N/A</v>
      </c>
      <c r="HT375" t="e">
        <f>IF(AND(16&lt;=$B$12,$B$51&gt;0),$B$158+$B$156*((0*$B$5/2+$B$5/2-0.6*$B$159)),NA())</f>
        <v>#N/A</v>
      </c>
      <c r="KI375" t="e">
        <f>IF(AND($B$21=1,31*$B$67&gt;$B$59,31*$B$67&lt;$B$178-$B$59,OR($B$63=0,ABS(31*$B$67-$B$178/2)&gt;$B$59/2)),$B$182+$B$181*($B$177),NA())</f>
        <v>#N/A</v>
      </c>
      <c r="KJ375" t="e">
        <f>IF(AND($B$21=1,31*$B$67&gt;$B$59,31*$B$67&lt;$B$178-$B$59,OR($B$63=0,ABS(31*$B$67-$B$178/2)&gt;$B$59/2)),$B$183+$B$181*(31*$B$67),NA())</f>
        <v>#N/A</v>
      </c>
    </row>
    <row r="376">
      <c r="K376" t="e">
        <f>NA()</f>
        <v>#N/A</v>
      </c>
      <c r="L376" t="e">
        <f>NA()</f>
        <v>#N/A</v>
      </c>
      <c r="FE376" t="e">
        <f>IF(AND(AND($B$21=1,(25*$B$66)&lt;$B$62),(25*$B$66)&gt;=$B$94),$B$145+$B$144*($B$96),NA())</f>
        <v>#N/A</v>
      </c>
      <c r="FF376" t="e">
        <f>IF(AND(AND($B$21=1,(25*$B$66)&lt;$B$62),(25*$B$66)&gt;=$B$94),$B$146+$B$144*((25*$B$66)),NA())</f>
        <v>#N/A</v>
      </c>
      <c r="GI376" t="e">
        <f>IF(AND(AND($B$21=1,(25*$B$66)&lt;IF($B$63=1,$B$10-0.2,$B$62)),(25*$B$66)&gt;=$B$125),$B$151+$B$150*(MAX(IF((25*$B$66)&lt;=$B$9,0,((25*$B$66)-$B$9)/$B$8),MIN(($B$5-IF((25*$B$66)&lt;=$B$9,0,((25*$B$66)-$B$9)/$B$8)),$B$127))),NA())</f>
        <v>#N/A</v>
      </c>
      <c r="GJ376" t="e">
        <f>IF(AND(AND($B$21=1,(25*$B$66)&lt;IF($B$63=1,$B$10-0.2,$B$62)),(25*$B$66)&gt;=$B$125),$B$152+$B$150*((25*$B$66)),NA())</f>
        <v>#N/A</v>
      </c>
      <c r="HQ376" t="e">
        <f>NA()</f>
        <v>#N/A</v>
      </c>
      <c r="HR376" t="e">
        <f>NA()</f>
        <v>#N/A</v>
      </c>
      <c r="HS376" t="e">
        <f>NA()</f>
        <v>#N/A</v>
      </c>
      <c r="HT376" t="e">
        <f>NA()</f>
        <v>#N/A</v>
      </c>
      <c r="KI376" t="e">
        <f>NA()</f>
        <v>#N/A</v>
      </c>
      <c r="KJ376" t="e">
        <f>NA()</f>
        <v>#N/A</v>
      </c>
    </row>
    <row r="377">
      <c r="K377" t="e">
        <f>IF(AND(20&lt;=$B$12,$B$45=1),$B$133+$B$132*($B$13*20-$B$27/2),NA())</f>
        <v>#N/A</v>
      </c>
      <c r="L377" t="e">
        <f>IF(AND(20&lt;=$B$12,$B$45=1),$B$134+$B$132*($B$5/2-$B$27/2),NA())</f>
        <v>#N/A</v>
      </c>
      <c r="FE377" t="e">
        <f>IF(AND($B$21=1,(25*$B$66)&lt;$B$62),$B$145+$B$144*(IF((25*$B$66)&lt;$B$94,$B$98,$B$96)),NA())</f>
        <v>#N/A</v>
      </c>
      <c r="FF377" t="e">
        <f>IF(AND($B$21=1,(25*$B$66)&lt;$B$62),$B$146+$B$144*((25*$B$66)),NA())</f>
        <v>#N/A</v>
      </c>
      <c r="GI377" t="e">
        <f>IF(AND($B$21=1,(25*$B$66)&lt;IF($B$63=1,$B$10-0.2,$B$62)),$B$151+$B$150*(MAX(IF((25*$B$66)&lt;=$B$9,0,((25*$B$66)-$B$9)/$B$8),MIN(($B$5-IF((25*$B$66)&lt;=$B$9,0,((25*$B$66)-$B$9)/$B$8)),IF((25*$B$66)&lt;$B$125,$B$129,$B$127)))),NA())</f>
        <v>#N/A</v>
      </c>
      <c r="GJ377" t="e">
        <f>IF(AND($B$21=1,(25*$B$66)&lt;IF($B$63=1,$B$10-0.2,$B$62)),$B$152+$B$150*((25*$B$66)),NA())</f>
        <v>#N/A</v>
      </c>
      <c r="HQ377" t="e">
        <f>IF(AND(6&lt;=$B$23,3&lt;=$B$24),$B$157+$B$156*((IF(6=1,1,IF(6=$B$23,$B$12,5*(6-1)))-1)*$B$13),NA())</f>
        <v>#N/A</v>
      </c>
      <c r="HR377" t="e">
        <f>IF(AND(6&lt;=$B$23,3&lt;=$B$24),$B$158+$B$156*((0*$B$5/2+(3-1)*($B$5/2)/$B$24)),NA())</f>
        <v>#N/A</v>
      </c>
      <c r="HS377" t="e">
        <f>IF(AND(16&lt;=$B$12,$B$51&gt;0),$B$157+$B$156*(((16-0.5)*$B$13)-($B$51*$B$13)/2),NA())</f>
        <v>#N/A</v>
      </c>
      <c r="HT377" t="e">
        <f>IF(AND(16&lt;=$B$12,$B$51&gt;0),$B$158+$B$156*((1*$B$5/2+0.6*$B$159)),NA())</f>
        <v>#N/A</v>
      </c>
      <c r="KI377" t="e">
        <f>IF(AND($B$21=1,32*$B$67&gt;$B$59,32*$B$67&lt;$B$178-$B$59,OR($B$63=0,ABS(32*$B$67-$B$178/2)&gt;$B$59/2)),$B$182+$B$181*(0),NA())</f>
        <v>#N/A</v>
      </c>
      <c r="KJ377" t="e">
        <f>IF(AND($B$21=1,32*$B$67&gt;$B$59,32*$B$67&lt;$B$178-$B$59,OR($B$63=0,ABS(32*$B$67-$B$178/2)&gt;$B$59/2)),$B$183+$B$181*(32*$B$67),NA())</f>
        <v>#N/A</v>
      </c>
    </row>
    <row r="378">
      <c r="K378" t="e">
        <f>IF(AND(20&lt;=$B$12,$B$45=1),$B$133+$B$132*($B$13*20+$B$27/2),NA())</f>
        <v>#N/A</v>
      </c>
      <c r="L378" t="e">
        <f>IF(AND(20&lt;=$B$12,$B$45=1),$B$134+$B$132*($B$5/2-$B$27/2),NA())</f>
        <v>#N/A</v>
      </c>
      <c r="FE378" t="e">
        <f>IF(AND($B$21=1,(25*$B$66)&lt;$B$62),$B$145+$B$144*($B$6),NA())</f>
        <v>#N/A</v>
      </c>
      <c r="FF378" t="e">
        <f>IF(AND($B$21=1,(25*$B$66)&lt;$B$62),$B$146+$B$144*((25*$B$66)),NA())</f>
        <v>#N/A</v>
      </c>
      <c r="GI378" t="e">
        <f>IF(AND($B$21=1,(25*$B$66)&lt;IF($B$63=1,$B$10-0.2,$B$62)),$B$151+$B$150*(($B$5-IF((25*$B$66)&lt;=$B$9,0,((25*$B$66)-$B$9)/$B$8))),NA())</f>
        <v>#N/A</v>
      </c>
      <c r="GJ378" t="e">
        <f>IF(AND($B$21=1,(25*$B$66)&lt;IF($B$63=1,$B$10-0.2,$B$62)),$B$152+$B$150*((25*$B$66)),NA())</f>
        <v>#N/A</v>
      </c>
      <c r="HQ378" t="e">
        <f>IF(AND(6&lt;=$B$23,3&lt;=$B$24),$B$157+$B$156*(IF(6=1,1,IF(6=$B$23,$B$12,5*(6-1)))*$B$13),NA())</f>
        <v>#N/A</v>
      </c>
      <c r="HR378" t="e">
        <f>IF(AND(6&lt;=$B$23,3&lt;=$B$24),$B$158+$B$156*((0*$B$5/2+3*($B$5/2)/$B$24)),NA())</f>
        <v>#N/A</v>
      </c>
      <c r="HS378" t="e">
        <f>IF(AND(16&lt;=$B$12,$B$51&gt;0),$B$157+$B$156*(((16-0.5)*$B$13)+($B$51*$B$13)/2),NA())</f>
        <v>#N/A</v>
      </c>
      <c r="HT378" t="e">
        <f>IF(AND(16&lt;=$B$12,$B$51&gt;0),$B$158+$B$156*((1*$B$5/2+0.6*$B$159)),NA())</f>
        <v>#N/A</v>
      </c>
      <c r="KI378" t="e">
        <f>IF(AND($B$21=1,32*$B$67&gt;$B$59,32*$B$67&lt;$B$178-$B$59,OR($B$63=0,ABS(32*$B$67-$B$178/2)&gt;$B$59/2)),$B$182+$B$181*($B$177*1/4-$B$60/2),NA())</f>
        <v>#N/A</v>
      </c>
      <c r="KJ378" t="e">
        <f>IF(AND($B$21=1,32*$B$67&gt;$B$59,32*$B$67&lt;$B$178-$B$59,OR($B$63=0,ABS(32*$B$67-$B$178/2)&gt;$B$59/2)),$B$183+$B$181*(32*$B$67),NA())</f>
        <v>#N/A</v>
      </c>
    </row>
    <row r="379">
      <c r="K379" t="e">
        <f>IF(AND(20&lt;=$B$12,$B$45=1),$B$133+$B$132*($B$13*20+$B$27/2),NA())</f>
        <v>#N/A</v>
      </c>
      <c r="L379" t="e">
        <f>IF(AND(20&lt;=$B$12,$B$45=1),$B$134+$B$132*($B$5/2+$B$27/2),NA())</f>
        <v>#N/A</v>
      </c>
      <c r="FE379" t="e">
        <f>NA()</f>
        <v>#N/A</v>
      </c>
      <c r="FF379" t="e">
        <f>NA()</f>
        <v>#N/A</v>
      </c>
      <c r="GI379" t="e">
        <f>NA()</f>
        <v>#N/A</v>
      </c>
      <c r="GJ379" t="e">
        <f>NA()</f>
        <v>#N/A</v>
      </c>
      <c r="HQ379" t="e">
        <f>NA()</f>
        <v>#N/A</v>
      </c>
      <c r="HR379" t="e">
        <f>NA()</f>
        <v>#N/A</v>
      </c>
      <c r="HS379" t="e">
        <f>IF(AND(16&lt;=$B$12,$B$51&gt;0),$B$157+$B$156*(((16-0.5)*$B$13)+($B$51*$B$13)/2),NA())</f>
        <v>#N/A</v>
      </c>
      <c r="HT379" t="e">
        <f>IF(AND(16&lt;=$B$12,$B$51&gt;0),$B$158+$B$156*((1*$B$5/2+$B$5/2-0.6*$B$159)),NA())</f>
        <v>#N/A</v>
      </c>
      <c r="KI379" t="e">
        <f>NA()</f>
        <v>#N/A</v>
      </c>
      <c r="KJ379" t="e">
        <f>NA()</f>
        <v>#N/A</v>
      </c>
    </row>
    <row r="380">
      <c r="K380" t="e">
        <f>IF(AND(20&lt;=$B$12,$B$45=1),$B$133+$B$132*($B$13*20-$B$27/2),NA())</f>
        <v>#N/A</v>
      </c>
      <c r="L380" t="e">
        <f>IF(AND(20&lt;=$B$12,$B$45=1),$B$134+$B$132*($B$5/2+$B$27/2),NA())</f>
        <v>#N/A</v>
      </c>
      <c r="FE380" t="e">
        <f>IF(AND($B$21=1,(26*$B$66)&lt;$B$62),$B$145+$B$144*(0),NA())</f>
        <v>#N/A</v>
      </c>
      <c r="FF380" t="e">
        <f>IF(AND($B$21=1,(26*$B$66)&lt;$B$62),$B$146+$B$144*((26*$B$66)),NA())</f>
        <v>#N/A</v>
      </c>
      <c r="GI380" t="e">
        <f>IF(AND($B$21=1,(26*$B$66)&lt;IF($B$63=1,$B$10-0.2,$B$62)),$B$151+$B$150*(IF((26*$B$66)&lt;=$B$9,0,((26*$B$66)-$B$9)/$B$8)),NA())</f>
        <v>#N/A</v>
      </c>
      <c r="GJ380" t="e">
        <f>IF(AND($B$21=1,(26*$B$66)&lt;IF($B$63=1,$B$10-0.2,$B$62)),$B$152+$B$150*((26*$B$66)),NA())</f>
        <v>#N/A</v>
      </c>
      <c r="HQ380" t="e">
        <f>IF(AND(6&lt;=$B$23,3&lt;=$B$24),$B$157+$B$156*((IF(6=1,1,IF(6=$B$23,$B$12,5*(6-1)))-1)*$B$13),NA())</f>
        <v>#N/A</v>
      </c>
      <c r="HR380" t="e">
        <f>IF(AND(6&lt;=$B$23,3&lt;=$B$24),$B$158+$B$156*((0*$B$5/2+3*($B$5/2)/$B$24)),NA())</f>
        <v>#N/A</v>
      </c>
      <c r="HS380" t="e">
        <f>IF(AND(16&lt;=$B$12,$B$51&gt;0),$B$157+$B$156*(((16-0.5)*$B$13)-($B$51*$B$13)/2),NA())</f>
        <v>#N/A</v>
      </c>
      <c r="HT380" t="e">
        <f>IF(AND(16&lt;=$B$12,$B$51&gt;0),$B$158+$B$156*((1*$B$5/2+$B$5/2-0.6*$B$159)),NA())</f>
        <v>#N/A</v>
      </c>
      <c r="KI380" t="e">
        <f>IF(AND($B$21=1,32*$B$67&gt;$B$59,32*$B$67&lt;$B$178-$B$59,OR($B$63=0,ABS(32*$B$67-$B$178/2)&gt;$B$59/2)),$B$182+$B$181*($B$177*1/4+$B$60/2),NA())</f>
        <v>#N/A</v>
      </c>
      <c r="KJ380" t="e">
        <f>IF(AND($B$21=1,32*$B$67&gt;$B$59,32*$B$67&lt;$B$178-$B$59,OR($B$63=0,ABS(32*$B$67-$B$178/2)&gt;$B$59/2)),$B$183+$B$181*(32*$B$67),NA())</f>
        <v>#N/A</v>
      </c>
    </row>
    <row r="381">
      <c r="K381" t="e">
        <f>IF(AND(20&lt;=$B$12,$B$45=1),$B$133+$B$132*($B$13*20-$B$27/2),NA())</f>
        <v>#N/A</v>
      </c>
      <c r="L381" t="e">
        <f>IF(AND(20&lt;=$B$12,$B$45=1),$B$134+$B$132*($B$5/2-$B$27/2),NA())</f>
        <v>#N/A</v>
      </c>
      <c r="FE381" t="e">
        <f>IF(AND($B$21=1,(26*$B$66)&lt;$B$62),$B$145+$B$144*(IF((26*$B$66)&lt;$B$73,$B$76,$B$75)),NA())</f>
        <v>#N/A</v>
      </c>
      <c r="FF381" t="e">
        <f>IF(AND($B$21=1,(26*$B$66)&lt;$B$62),$B$146+$B$144*((26*$B$66)),NA())</f>
        <v>#N/A</v>
      </c>
      <c r="GI381" t="e">
        <f>IF(AND($B$21=1,(26*$B$66)&lt;IF($B$63=1,$B$10-0.2,$B$62)),$B$151+$B$150*(MAX(IF((26*$B$66)&lt;=$B$9,0,((26*$B$66)-$B$9)/$B$8),MIN(($B$5-IF((26*$B$66)&lt;=$B$9,0,((26*$B$66)-$B$9)/$B$8)),IF((26*$B$66)&lt;$B$104,$B$107,$B$106)))),NA())</f>
        <v>#N/A</v>
      </c>
      <c r="GJ381" t="e">
        <f>IF(AND($B$21=1,(26*$B$66)&lt;IF($B$63=1,$B$10-0.2,$B$62)),$B$152+$B$150*((26*$B$66)),NA())</f>
        <v>#N/A</v>
      </c>
      <c r="HQ381" t="e">
        <f>IF(AND(6&lt;=$B$23,3&lt;=$B$24),$B$157+$B$156*(IF(6=1,1,IF(6=$B$23,$B$12,5*(6-1)))*$B$13),NA())</f>
        <v>#N/A</v>
      </c>
      <c r="HR381" t="e">
        <f>IF(AND(6&lt;=$B$23,3&lt;=$B$24),$B$158+$B$156*((0*$B$5/2+(3-1)*($B$5/2)/$B$24)),NA())</f>
        <v>#N/A</v>
      </c>
      <c r="HS381" t="e">
        <f>IF(AND(16&lt;=$B$12,$B$51&gt;0),$B$157+$B$156*(((16-0.5)*$B$13)-($B$51*$B$13)/2),NA())</f>
        <v>#N/A</v>
      </c>
      <c r="HT381" t="e">
        <f>IF(AND(16&lt;=$B$12,$B$51&gt;0),$B$158+$B$156*((1*$B$5/2+0.6*$B$159)),NA())</f>
        <v>#N/A</v>
      </c>
      <c r="KI381" t="e">
        <f>IF(AND($B$21=1,32*$B$67&gt;$B$59,32*$B$67&lt;$B$178-$B$59,OR($B$63=0,ABS(32*$B$67-$B$178/2)&gt;$B$59/2)),$B$182+$B$181*($B$177*2/4-$B$60/2),NA())</f>
        <v>#N/A</v>
      </c>
      <c r="KJ381" t="e">
        <f>IF(AND($B$21=1,32*$B$67&gt;$B$59,32*$B$67&lt;$B$178-$B$59,OR($B$63=0,ABS(32*$B$67-$B$178/2)&gt;$B$59/2)),$B$183+$B$181*(32*$B$67),NA())</f>
        <v>#N/A</v>
      </c>
    </row>
    <row r="382">
      <c r="K382" t="e">
        <f>NA()</f>
        <v>#N/A</v>
      </c>
      <c r="L382" t="e">
        <f>NA()</f>
        <v>#N/A</v>
      </c>
      <c r="FE382" t="e">
        <f>IF(AND(AND($B$21=1,(26*$B$66)&lt;$B$62),(26*$B$66)&gt;=$B$73),$B$145+$B$144*($B$75),NA())</f>
        <v>#N/A</v>
      </c>
      <c r="FF382" t="e">
        <f>IF(AND(AND($B$21=1,(26*$B$66)&lt;$B$62),(26*$B$66)&gt;=$B$73),$B$146+$B$144*((26*$B$66)),NA())</f>
        <v>#N/A</v>
      </c>
      <c r="GI382" t="e">
        <f>IF(AND(AND($B$21=1,(26*$B$66)&lt;IF($B$63=1,$B$10-0.2,$B$62)),(26*$B$66)&gt;=$B$104),$B$151+$B$150*(MAX(IF((26*$B$66)&lt;=$B$9,0,((26*$B$66)-$B$9)/$B$8),MIN(($B$5-IF((26*$B$66)&lt;=$B$9,0,((26*$B$66)-$B$9)/$B$8)),$B$106))),NA())</f>
        <v>#N/A</v>
      </c>
      <c r="GJ382" t="e">
        <f>IF(AND(AND($B$21=1,(26*$B$66)&lt;IF($B$63=1,$B$10-0.2,$B$62)),(26*$B$66)&gt;=$B$104),$B$152+$B$150*((26*$B$66)),NA())</f>
        <v>#N/A</v>
      </c>
      <c r="HQ382" t="e">
        <f>NA()</f>
        <v>#N/A</v>
      </c>
      <c r="HR382" t="e">
        <f>NA()</f>
        <v>#N/A</v>
      </c>
      <c r="HS382" t="e">
        <f>NA()</f>
        <v>#N/A</v>
      </c>
      <c r="HT382" t="e">
        <f>NA()</f>
        <v>#N/A</v>
      </c>
      <c r="KI382" t="e">
        <f>NA()</f>
        <v>#N/A</v>
      </c>
      <c r="KJ382" t="e">
        <f>NA()</f>
        <v>#N/A</v>
      </c>
    </row>
    <row r="383">
      <c r="K383" t="e">
        <f>IF(21&lt;=$B$12,$B$133+$B$132*($B$13*21-$B$27/2),NA())</f>
        <v>#N/A</v>
      </c>
      <c r="L383" t="e">
        <f>IF(21&lt;=$B$12,$B$134+$B$132*(0-$B$27/2),NA())</f>
        <v>#N/A</v>
      </c>
      <c r="FE383" t="e">
        <f>IF(AND($B$21=1,(26*$B$66)&lt;$B$62),$B$145+$B$144*(IF((26*$B$66)&lt;$B$73,$B$77,$B$75)),NA())</f>
        <v>#N/A</v>
      </c>
      <c r="FF383" t="e">
        <f>IF(AND($B$21=1,(26*$B$66)&lt;$B$62),$B$146+$B$144*((26*$B$66)),NA())</f>
        <v>#N/A</v>
      </c>
      <c r="GI383" t="e">
        <f>IF(AND($B$21=1,(26*$B$66)&lt;IF($B$63=1,$B$10-0.2,$B$62)),$B$151+$B$150*(MAX(IF((26*$B$66)&lt;=$B$9,0,((26*$B$66)-$B$9)/$B$8),MIN(($B$5-IF((26*$B$66)&lt;=$B$9,0,((26*$B$66)-$B$9)/$B$8)),IF((26*$B$66)&lt;$B$104,$B$108,$B$106)))),NA())</f>
        <v>#N/A</v>
      </c>
      <c r="GJ383" t="e">
        <f>IF(AND($B$21=1,(26*$B$66)&lt;IF($B$63=1,$B$10-0.2,$B$62)),$B$152+$B$150*((26*$B$66)),NA())</f>
        <v>#N/A</v>
      </c>
      <c r="HQ383" t="e">
        <f>IF(AND(6&lt;=$B$23,4&lt;=$B$24),$B$157+$B$156*((IF(6=1,1,IF(6=$B$23,$B$12,5*(6-1)))-1)*$B$13),NA())</f>
        <v>#N/A</v>
      </c>
      <c r="HR383" t="e">
        <f>IF(AND(6&lt;=$B$23,4&lt;=$B$24),$B$158+$B$156*((0*$B$5/2+(4-1)*($B$5/2)/$B$24)),NA())</f>
        <v>#N/A</v>
      </c>
      <c r="HS383" t="e">
        <f>IF(AND(16&lt;=$B$12,$B$51&gt;0),$B$157+$B$156*(((16-0.5)*$B$13)-($B$51*$B$13)/2),NA())</f>
        <v>#N/A</v>
      </c>
      <c r="HT383" t="e">
        <f>IF(AND(16&lt;=$B$12,$B$51&gt;0),$B$158+$B$156*((1*$B$5/2+0.6*$B$159)),NA())</f>
        <v>#N/A</v>
      </c>
      <c r="KI383" t="e">
        <f>IF(AND($B$21=1,32*$B$67&gt;$B$59,32*$B$67&lt;$B$178-$B$59,OR($B$63=0,ABS(32*$B$67-$B$178/2)&gt;$B$59/2)),$B$182+$B$181*($B$177*2/4+$B$60/2),NA())</f>
        <v>#N/A</v>
      </c>
      <c r="KJ383" t="e">
        <f>IF(AND($B$21=1,32*$B$67&gt;$B$59,32*$B$67&lt;$B$178-$B$59,OR($B$63=0,ABS(32*$B$67-$B$178/2)&gt;$B$59/2)),$B$183+$B$181*(32*$B$67),NA())</f>
        <v>#N/A</v>
      </c>
    </row>
    <row r="384">
      <c r="K384" t="e">
        <f>IF(21&lt;=$B$12,$B$133+$B$132*($B$13*21+$B$27/2),NA())</f>
        <v>#N/A</v>
      </c>
      <c r="L384" t="e">
        <f>IF(21&lt;=$B$12,$B$134+$B$132*(0-$B$27/2),NA())</f>
        <v>#N/A</v>
      </c>
      <c r="FE384" t="e">
        <f>IF(AND($B$21=1,(26*$B$66)&lt;$B$62),$B$145+$B$144*(IF((26*$B$66)&lt;$B$80,$B$83,$B$82)),NA())</f>
        <v>#N/A</v>
      </c>
      <c r="FF384" t="e">
        <f>IF(AND($B$21=1,(26*$B$66)&lt;$B$62),$B$146+$B$144*((26*$B$66)),NA())</f>
        <v>#N/A</v>
      </c>
      <c r="GI384" t="e">
        <f>IF(AND($B$21=1,(26*$B$66)&lt;IF($B$63=1,$B$10-0.2,$B$62)),$B$151+$B$150*(MAX(IF((26*$B$66)&lt;=$B$9,0,((26*$B$66)-$B$9)/$B$8),MIN(($B$5-IF((26*$B$66)&lt;=$B$9,0,((26*$B$66)-$B$9)/$B$8)),IF((26*$B$66)&lt;$B$111,$B$114,$B$113)))),NA())</f>
        <v>#N/A</v>
      </c>
      <c r="GJ384" t="e">
        <f>IF(AND($B$21=1,(26*$B$66)&lt;IF($B$63=1,$B$10-0.2,$B$62)),$B$152+$B$150*((26*$B$66)),NA())</f>
        <v>#N/A</v>
      </c>
      <c r="HQ384" t="e">
        <f>IF(AND(6&lt;=$B$23,4&lt;=$B$24),$B$157+$B$156*(IF(6=1,1,IF(6=$B$23,$B$12,5*(6-1)))*$B$13),NA())</f>
        <v>#N/A</v>
      </c>
      <c r="HR384" t="e">
        <f>IF(AND(6&lt;=$B$23,4&lt;=$B$24),$B$158+$B$156*((0*$B$5/2+4*($B$5/2)/$B$24)),NA())</f>
        <v>#N/A</v>
      </c>
      <c r="HS384" t="e">
        <f>IF(AND(16&lt;=$B$12,$B$51&gt;0),$B$157+$B$156*(((16-0.5)*$B$13)+($B$51*$B$13)/2),NA())</f>
        <v>#N/A</v>
      </c>
      <c r="HT384" t="e">
        <f>IF(AND(16&lt;=$B$12,$B$51&gt;0),$B$158+$B$156*((1*$B$5/2+0.6*$B$159)+(((1*$B$5/2+$B$5/2-0.6*$B$159))-((1*$B$5/2+0.6*$B$159)))/4),NA())</f>
        <v>#N/A</v>
      </c>
      <c r="KI384" t="e">
        <f>IF(AND($B$21=1,32*$B$67&gt;$B$59,32*$B$67&lt;$B$178-$B$59,OR($B$63=0,ABS(32*$B$67-$B$178/2)&gt;$B$59/2)),$B$182+$B$181*($B$177*3/4-$B$60/2),NA())</f>
        <v>#N/A</v>
      </c>
      <c r="KJ384" t="e">
        <f>IF(AND($B$21=1,32*$B$67&gt;$B$59,32*$B$67&lt;$B$178-$B$59,OR($B$63=0,ABS(32*$B$67-$B$178/2)&gt;$B$59/2)),$B$183+$B$181*(32*$B$67),NA())</f>
        <v>#N/A</v>
      </c>
    </row>
    <row r="385">
      <c r="K385" t="e">
        <f>IF(21&lt;=$B$12,$B$133+$B$132*($B$13*21+$B$27/2),NA())</f>
        <v>#N/A</v>
      </c>
      <c r="L385" t="e">
        <f>IF(21&lt;=$B$12,$B$134+$B$132*(0+$B$27/2),NA())</f>
        <v>#N/A</v>
      </c>
      <c r="FE385" t="e">
        <f>IF(AND(AND($B$21=1,(26*$B$66)&lt;$B$62),(26*$B$66)&gt;=$B$80),$B$145+$B$144*($B$82),NA())</f>
        <v>#N/A</v>
      </c>
      <c r="FF385" t="e">
        <f>IF(AND(AND($B$21=1,(26*$B$66)&lt;$B$62),(26*$B$66)&gt;=$B$80),$B$146+$B$144*((26*$B$66)),NA())</f>
        <v>#N/A</v>
      </c>
      <c r="GI385" t="e">
        <f>IF(AND(AND($B$21=1,(26*$B$66)&lt;IF($B$63=1,$B$10-0.2,$B$62)),(26*$B$66)&gt;=$B$111),$B$151+$B$150*(MAX(IF((26*$B$66)&lt;=$B$9,0,((26*$B$66)-$B$9)/$B$8),MIN(($B$5-IF((26*$B$66)&lt;=$B$9,0,((26*$B$66)-$B$9)/$B$8)),$B$113))),NA())</f>
        <v>#N/A</v>
      </c>
      <c r="GJ385" t="e">
        <f>IF(AND(AND($B$21=1,(26*$B$66)&lt;IF($B$63=1,$B$10-0.2,$B$62)),(26*$B$66)&gt;=$B$111),$B$152+$B$150*((26*$B$66)),NA())</f>
        <v>#N/A</v>
      </c>
      <c r="HQ385" t="e">
        <f>NA()</f>
        <v>#N/A</v>
      </c>
      <c r="HR385" t="e">
        <f>NA()</f>
        <v>#N/A</v>
      </c>
      <c r="HS385" t="e">
        <f>IF(AND(16&lt;=$B$12,$B$51&gt;0),$B$157+$B$156*(((16-0.5)*$B$13)-($B$51*$B$13)/2),NA())</f>
        <v>#N/A</v>
      </c>
      <c r="HT385" t="e">
        <f>IF(AND(16&lt;=$B$12,$B$51&gt;0),$B$158+$B$156*((1*$B$5/2+0.6*$B$159)+(((1*$B$5/2+$B$5/2-0.6*$B$159))-((1*$B$5/2+0.6*$B$159)))/2),NA())</f>
        <v>#N/A</v>
      </c>
      <c r="KI385" t="e">
        <f>NA()</f>
        <v>#N/A</v>
      </c>
      <c r="KJ385" t="e">
        <f>NA()</f>
        <v>#N/A</v>
      </c>
    </row>
    <row r="386">
      <c r="K386" t="e">
        <f>IF(21&lt;=$B$12,$B$133+$B$132*($B$13*21-$B$27/2),NA())</f>
        <v>#N/A</v>
      </c>
      <c r="L386" t="e">
        <f>IF(21&lt;=$B$12,$B$134+$B$132*(0+$B$27/2),NA())</f>
        <v>#N/A</v>
      </c>
      <c r="FE386" t="e">
        <f>IF(AND($B$21=1,(26*$B$66)&lt;$B$62),$B$145+$B$144*(IF((26*$B$66)&lt;$B$80,$B$84,$B$82)),NA())</f>
        <v>#N/A</v>
      </c>
      <c r="FF386" t="e">
        <f>IF(AND($B$21=1,(26*$B$66)&lt;$B$62),$B$146+$B$144*((26*$B$66)),NA())</f>
        <v>#N/A</v>
      </c>
      <c r="GI386" t="e">
        <f>IF(AND($B$21=1,(26*$B$66)&lt;IF($B$63=1,$B$10-0.2,$B$62)),$B$151+$B$150*(MAX(IF((26*$B$66)&lt;=$B$9,0,((26*$B$66)-$B$9)/$B$8),MIN(($B$5-IF((26*$B$66)&lt;=$B$9,0,((26*$B$66)-$B$9)/$B$8)),IF((26*$B$66)&lt;$B$111,$B$115,$B$113)))),NA())</f>
        <v>#N/A</v>
      </c>
      <c r="GJ386" t="e">
        <f>IF(AND($B$21=1,(26*$B$66)&lt;IF($B$63=1,$B$10-0.2,$B$62)),$B$152+$B$150*((26*$B$66)),NA())</f>
        <v>#N/A</v>
      </c>
      <c r="HQ386" t="e">
        <f>IF(AND(6&lt;=$B$23,4&lt;=$B$24),$B$157+$B$156*((IF(6=1,1,IF(6=$B$23,$B$12,5*(6-1)))-1)*$B$13),NA())</f>
        <v>#N/A</v>
      </c>
      <c r="HR386" t="e">
        <f>IF(AND(6&lt;=$B$23,4&lt;=$B$24),$B$158+$B$156*((0*$B$5/2+4*($B$5/2)/$B$24)),NA())</f>
        <v>#N/A</v>
      </c>
      <c r="HS386" t="e">
        <f>IF(AND(16&lt;=$B$12,$B$51&gt;0),$B$157+$B$156*(((16-0.5)*$B$13)+($B$51*$B$13)/2),NA())</f>
        <v>#N/A</v>
      </c>
      <c r="HT386" t="e">
        <f>IF(AND(16&lt;=$B$12,$B$51&gt;0),$B$158+$B$156*((1*$B$5/2+0.6*$B$159)+3*(((1*$B$5/2+$B$5/2-0.6*$B$159))-((1*$B$5/2+0.6*$B$159)))/4),NA())</f>
        <v>#N/A</v>
      </c>
      <c r="KI386" t="e">
        <f>IF(AND($B$21=1,32*$B$67&gt;$B$59,32*$B$67&lt;$B$178-$B$59,OR($B$63=0,ABS(32*$B$67-$B$178/2)&gt;$B$59/2)),$B$182+$B$181*($B$177*3/4+$B$60/2),NA())</f>
        <v>#N/A</v>
      </c>
      <c r="KJ386" t="e">
        <f>IF(AND($B$21=1,32*$B$67&gt;$B$59,32*$B$67&lt;$B$178-$B$59,OR($B$63=0,ABS(32*$B$67-$B$178/2)&gt;$B$59/2)),$B$183+$B$181*(32*$B$67),NA())</f>
        <v>#N/A</v>
      </c>
    </row>
    <row r="387">
      <c r="K387" t="e">
        <f>IF(21&lt;=$B$12,$B$133+$B$132*($B$13*21-$B$27/2),NA())</f>
        <v>#N/A</v>
      </c>
      <c r="L387" t="e">
        <f>IF(21&lt;=$B$12,$B$134+$B$132*(0-$B$27/2),NA())</f>
        <v>#N/A</v>
      </c>
      <c r="FE387" t="e">
        <f>IF(AND($B$21=1,(26*$B$66)&lt;$B$62),$B$145+$B$144*(IF((26*$B$66)&lt;$B$87,$B$90,$B$89)),NA())</f>
        <v>#N/A</v>
      </c>
      <c r="FF387" t="e">
        <f>IF(AND($B$21=1,(26*$B$66)&lt;$B$62),$B$146+$B$144*((26*$B$66)),NA())</f>
        <v>#N/A</v>
      </c>
      <c r="GI387" t="e">
        <f>IF(AND($B$21=1,(26*$B$66)&lt;IF($B$63=1,$B$10-0.2,$B$62)),$B$151+$B$150*(MAX(IF((26*$B$66)&lt;=$B$9,0,((26*$B$66)-$B$9)/$B$8),MIN(($B$5-IF((26*$B$66)&lt;=$B$9,0,((26*$B$66)-$B$9)/$B$8)),IF((26*$B$66)&lt;$B$118,$B$121,$B$120)))),NA())</f>
        <v>#N/A</v>
      </c>
      <c r="GJ387" t="e">
        <f>IF(AND($B$21=1,(26*$B$66)&lt;IF($B$63=1,$B$10-0.2,$B$62)),$B$152+$B$150*((26*$B$66)),NA())</f>
        <v>#N/A</v>
      </c>
      <c r="HQ387" t="e">
        <f>IF(AND(6&lt;=$B$23,4&lt;=$B$24),$B$157+$B$156*(IF(6=1,1,IF(6=$B$23,$B$12,5*(6-1)))*$B$13),NA())</f>
        <v>#N/A</v>
      </c>
      <c r="HR387" t="e">
        <f>IF(AND(6&lt;=$B$23,4&lt;=$B$24),$B$158+$B$156*((0*$B$5/2+(4-1)*($B$5/2)/$B$24)),NA())</f>
        <v>#N/A</v>
      </c>
      <c r="HS387" t="e">
        <f>IF(AND(16&lt;=$B$12,$B$51&gt;0),$B$157+$B$156*(((16-0.5)*$B$13)-($B$51*$B$13)/2),NA())</f>
        <v>#N/A</v>
      </c>
      <c r="HT387" t="e">
        <f>IF(AND(16&lt;=$B$12,$B$51&gt;0),$B$158+$B$156*((1*$B$5/2+$B$5/2-0.6*$B$159)),NA())</f>
        <v>#N/A</v>
      </c>
      <c r="KI387" t="e">
        <f>IF(AND($B$21=1,32*$B$67&gt;$B$59,32*$B$67&lt;$B$178-$B$59,OR($B$63=0,ABS(32*$B$67-$B$178/2)&gt;$B$59/2)),$B$182+$B$181*($B$177),NA())</f>
        <v>#N/A</v>
      </c>
      <c r="KJ387" t="e">
        <f>IF(AND($B$21=1,32*$B$67&gt;$B$59,32*$B$67&lt;$B$178-$B$59,OR($B$63=0,ABS(32*$B$67-$B$178/2)&gt;$B$59/2)),$B$183+$B$181*(32*$B$67),NA())</f>
        <v>#N/A</v>
      </c>
    </row>
    <row r="388">
      <c r="K388" t="e">
        <f>NA()</f>
        <v>#N/A</v>
      </c>
      <c r="L388" t="e">
        <f>NA()</f>
        <v>#N/A</v>
      </c>
      <c r="FE388" t="e">
        <f>IF(AND(AND($B$21=1,(26*$B$66)&lt;$B$62),(26*$B$66)&gt;=$B$87),$B$145+$B$144*($B$89),NA())</f>
        <v>#N/A</v>
      </c>
      <c r="FF388" t="e">
        <f>IF(AND(AND($B$21=1,(26*$B$66)&lt;$B$62),(26*$B$66)&gt;=$B$87),$B$146+$B$144*((26*$B$66)),NA())</f>
        <v>#N/A</v>
      </c>
      <c r="GI388" t="e">
        <f>IF(AND(AND($B$21=1,(26*$B$66)&lt;IF($B$63=1,$B$10-0.2,$B$62)),(26*$B$66)&gt;=$B$118),$B$151+$B$150*(MAX(IF((26*$B$66)&lt;=$B$9,0,((26*$B$66)-$B$9)/$B$8),MIN(($B$5-IF((26*$B$66)&lt;=$B$9,0,((26*$B$66)-$B$9)/$B$8)),$B$120))),NA())</f>
        <v>#N/A</v>
      </c>
      <c r="GJ388" t="e">
        <f>IF(AND(AND($B$21=1,(26*$B$66)&lt;IF($B$63=1,$B$10-0.2,$B$62)),(26*$B$66)&gt;=$B$118),$B$152+$B$150*((26*$B$66)),NA())</f>
        <v>#N/A</v>
      </c>
      <c r="HQ388" t="e">
        <f>NA()</f>
        <v>#N/A</v>
      </c>
      <c r="HR388" t="e">
        <f>NA()</f>
        <v>#N/A</v>
      </c>
      <c r="HS388" t="e">
        <f>NA()</f>
        <v>#N/A</v>
      </c>
      <c r="HT388" t="e">
        <f>NA()</f>
        <v>#N/A</v>
      </c>
      <c r="KI388" t="e">
        <f>NA()</f>
        <v>#N/A</v>
      </c>
      <c r="KJ388" t="e">
        <f>NA()</f>
        <v>#N/A</v>
      </c>
    </row>
    <row r="389">
      <c r="K389" t="e">
        <f>IF(21&lt;=$B$12,$B$133+$B$132*($B$13*21-$B$27/2),NA())</f>
        <v>#N/A</v>
      </c>
      <c r="L389" t="e">
        <f>IF(21&lt;=$B$12,$B$134+$B$132*($B$5-$B$27/2),NA())</f>
        <v>#N/A</v>
      </c>
      <c r="FE389" t="e">
        <f>IF(AND($B$21=1,(26*$B$66)&lt;$B$62),$B$145+$B$144*(IF((26*$B$66)&lt;$B$87,$B$91,$B$89)),NA())</f>
        <v>#N/A</v>
      </c>
      <c r="FF389" t="e">
        <f>IF(AND($B$21=1,(26*$B$66)&lt;$B$62),$B$146+$B$144*((26*$B$66)),NA())</f>
        <v>#N/A</v>
      </c>
      <c r="GI389" t="e">
        <f>IF(AND($B$21=1,(26*$B$66)&lt;IF($B$63=1,$B$10-0.2,$B$62)),$B$151+$B$150*(MAX(IF((26*$B$66)&lt;=$B$9,0,((26*$B$66)-$B$9)/$B$8),MIN(($B$5-IF((26*$B$66)&lt;=$B$9,0,((26*$B$66)-$B$9)/$B$8)),IF((26*$B$66)&lt;$B$118,$B$122,$B$120)))),NA())</f>
        <v>#N/A</v>
      </c>
      <c r="GJ389" t="e">
        <f>IF(AND($B$21=1,(26*$B$66)&lt;IF($B$63=1,$B$10-0.2,$B$62)),$B$152+$B$150*((26*$B$66)),NA())</f>
        <v>#N/A</v>
      </c>
      <c r="HQ389" t="e">
        <f>IF(AND(6&lt;=$B$23,5&lt;=$B$24),$B$157+$B$156*((IF(6=1,1,IF(6=$B$23,$B$12,5*(6-1)))-1)*$B$13),NA())</f>
        <v>#N/A</v>
      </c>
      <c r="HR389" t="e">
        <f>IF(AND(6&lt;=$B$23,5&lt;=$B$24),$B$158+$B$156*((0*$B$5/2+(5-1)*($B$5/2)/$B$24)),NA())</f>
        <v>#N/A</v>
      </c>
      <c r="HS389" t="e">
        <f>IF(AND(17&lt;=$B$12,$B$51&gt;0),$B$157+$B$156*(((17-0.5)*$B$13)-($B$51*$B$13)/2),NA())</f>
        <v>#N/A</v>
      </c>
      <c r="HT389" t="e">
        <f>IF(AND(17&lt;=$B$12,$B$51&gt;0),$B$158+$B$156*((0*$B$5/2+0.6*$B$159)),NA())</f>
        <v>#N/A</v>
      </c>
      <c r="KI389" t="e">
        <f>IF(AND($B$21=1,33*$B$67&gt;$B$59,33*$B$67&lt;$B$178-$B$59,OR($B$63=0,ABS(33*$B$67-$B$178/2)&gt;$B$59/2)),$B$182+$B$181*(0),NA())</f>
        <v>#N/A</v>
      </c>
      <c r="KJ389" t="e">
        <f>IF(AND($B$21=1,33*$B$67&gt;$B$59,33*$B$67&lt;$B$178-$B$59,OR($B$63=0,ABS(33*$B$67-$B$178/2)&gt;$B$59/2)),$B$183+$B$181*(33*$B$67),NA())</f>
        <v>#N/A</v>
      </c>
    </row>
    <row r="390">
      <c r="K390" t="e">
        <f>IF(21&lt;=$B$12,$B$133+$B$132*($B$13*21+$B$27/2),NA())</f>
        <v>#N/A</v>
      </c>
      <c r="L390" t="e">
        <f>IF(21&lt;=$B$12,$B$134+$B$132*($B$5-$B$27/2),NA())</f>
        <v>#N/A</v>
      </c>
      <c r="FE390" t="e">
        <f>IF(AND($B$21=1,(26*$B$66)&lt;$B$62),$B$145+$B$144*(IF((26*$B$66)&lt;$B$94,$B$97,$B$96)),NA())</f>
        <v>#N/A</v>
      </c>
      <c r="FF390" t="e">
        <f>IF(AND($B$21=1,(26*$B$66)&lt;$B$62),$B$146+$B$144*((26*$B$66)),NA())</f>
        <v>#N/A</v>
      </c>
      <c r="GI390" t="e">
        <f>IF(AND($B$21=1,(26*$B$66)&lt;IF($B$63=1,$B$10-0.2,$B$62)),$B$151+$B$150*(MAX(IF((26*$B$66)&lt;=$B$9,0,((26*$B$66)-$B$9)/$B$8),MIN(($B$5-IF((26*$B$66)&lt;=$B$9,0,((26*$B$66)-$B$9)/$B$8)),IF((26*$B$66)&lt;$B$125,$B$128,$B$127)))),NA())</f>
        <v>#N/A</v>
      </c>
      <c r="GJ390" t="e">
        <f>IF(AND($B$21=1,(26*$B$66)&lt;IF($B$63=1,$B$10-0.2,$B$62)),$B$152+$B$150*((26*$B$66)),NA())</f>
        <v>#N/A</v>
      </c>
      <c r="HQ390" t="e">
        <f>IF(AND(6&lt;=$B$23,5&lt;=$B$24),$B$157+$B$156*(IF(6=1,1,IF(6=$B$23,$B$12,5*(6-1)))*$B$13),NA())</f>
        <v>#N/A</v>
      </c>
      <c r="HR390" t="e">
        <f>IF(AND(6&lt;=$B$23,5&lt;=$B$24),$B$158+$B$156*((0*$B$5/2+5*($B$5/2)/$B$24)),NA())</f>
        <v>#N/A</v>
      </c>
      <c r="HS390" t="e">
        <f>IF(AND(17&lt;=$B$12,$B$51&gt;0),$B$157+$B$156*(((17-0.5)*$B$13)+($B$51*$B$13)/2),NA())</f>
        <v>#N/A</v>
      </c>
      <c r="HT390" t="e">
        <f>IF(AND(17&lt;=$B$12,$B$51&gt;0),$B$158+$B$156*((0*$B$5/2+0.6*$B$159)),NA())</f>
        <v>#N/A</v>
      </c>
      <c r="KI390" t="e">
        <f>IF(AND($B$21=1,33*$B$67&gt;$B$59,33*$B$67&lt;$B$178-$B$59,OR($B$63=0,ABS(33*$B$67-$B$178/2)&gt;$B$59/2)),$B$182+$B$181*($B$177*1/4-$B$60/2),NA())</f>
        <v>#N/A</v>
      </c>
      <c r="KJ390" t="e">
        <f>IF(AND($B$21=1,33*$B$67&gt;$B$59,33*$B$67&lt;$B$178-$B$59,OR($B$63=0,ABS(33*$B$67-$B$178/2)&gt;$B$59/2)),$B$183+$B$181*(33*$B$67),NA())</f>
        <v>#N/A</v>
      </c>
    </row>
    <row r="391">
      <c r="K391" t="e">
        <f>IF(21&lt;=$B$12,$B$133+$B$132*($B$13*21+$B$27/2),NA())</f>
        <v>#N/A</v>
      </c>
      <c r="L391" t="e">
        <f>IF(21&lt;=$B$12,$B$134+$B$132*($B$5+$B$27/2),NA())</f>
        <v>#N/A</v>
      </c>
      <c r="FE391" t="e">
        <f>IF(AND(AND($B$21=1,(26*$B$66)&lt;$B$62),(26*$B$66)&gt;=$B$94),$B$145+$B$144*($B$96),NA())</f>
        <v>#N/A</v>
      </c>
      <c r="FF391" t="e">
        <f>IF(AND(AND($B$21=1,(26*$B$66)&lt;$B$62),(26*$B$66)&gt;=$B$94),$B$146+$B$144*((26*$B$66)),NA())</f>
        <v>#N/A</v>
      </c>
      <c r="GI391" t="e">
        <f>IF(AND(AND($B$21=1,(26*$B$66)&lt;IF($B$63=1,$B$10-0.2,$B$62)),(26*$B$66)&gt;=$B$125),$B$151+$B$150*(MAX(IF((26*$B$66)&lt;=$B$9,0,((26*$B$66)-$B$9)/$B$8),MIN(($B$5-IF((26*$B$66)&lt;=$B$9,0,((26*$B$66)-$B$9)/$B$8)),$B$127))),NA())</f>
        <v>#N/A</v>
      </c>
      <c r="GJ391" t="e">
        <f>IF(AND(AND($B$21=1,(26*$B$66)&lt;IF($B$63=1,$B$10-0.2,$B$62)),(26*$B$66)&gt;=$B$125),$B$152+$B$150*((26*$B$66)),NA())</f>
        <v>#N/A</v>
      </c>
      <c r="HQ391" t="e">
        <f>NA()</f>
        <v>#N/A</v>
      </c>
      <c r="HR391" t="e">
        <f>NA()</f>
        <v>#N/A</v>
      </c>
      <c r="HS391" t="e">
        <f>IF(AND(17&lt;=$B$12,$B$51&gt;0),$B$157+$B$156*(((17-0.5)*$B$13)+($B$51*$B$13)/2),NA())</f>
        <v>#N/A</v>
      </c>
      <c r="HT391" t="e">
        <f>IF(AND(17&lt;=$B$12,$B$51&gt;0),$B$158+$B$156*((0*$B$5/2+$B$5/2-0.6*$B$159)),NA())</f>
        <v>#N/A</v>
      </c>
      <c r="KI391" t="e">
        <f>NA()</f>
        <v>#N/A</v>
      </c>
      <c r="KJ391" t="e">
        <f>NA()</f>
        <v>#N/A</v>
      </c>
    </row>
    <row r="392">
      <c r="K392" t="e">
        <f>IF(21&lt;=$B$12,$B$133+$B$132*($B$13*21-$B$27/2),NA())</f>
        <v>#N/A</v>
      </c>
      <c r="L392" t="e">
        <f>IF(21&lt;=$B$12,$B$134+$B$132*($B$5+$B$27/2),NA())</f>
        <v>#N/A</v>
      </c>
      <c r="FE392" t="e">
        <f>IF(AND($B$21=1,(26*$B$66)&lt;$B$62),$B$145+$B$144*(IF((26*$B$66)&lt;$B$94,$B$98,$B$96)),NA())</f>
        <v>#N/A</v>
      </c>
      <c r="FF392" t="e">
        <f>IF(AND($B$21=1,(26*$B$66)&lt;$B$62),$B$146+$B$144*((26*$B$66)),NA())</f>
        <v>#N/A</v>
      </c>
      <c r="GI392" t="e">
        <f>IF(AND($B$21=1,(26*$B$66)&lt;IF($B$63=1,$B$10-0.2,$B$62)),$B$151+$B$150*(MAX(IF((26*$B$66)&lt;=$B$9,0,((26*$B$66)-$B$9)/$B$8),MIN(($B$5-IF((26*$B$66)&lt;=$B$9,0,((26*$B$66)-$B$9)/$B$8)),IF((26*$B$66)&lt;$B$125,$B$129,$B$127)))),NA())</f>
        <v>#N/A</v>
      </c>
      <c r="GJ392" t="e">
        <f>IF(AND($B$21=1,(26*$B$66)&lt;IF($B$63=1,$B$10-0.2,$B$62)),$B$152+$B$150*((26*$B$66)),NA())</f>
        <v>#N/A</v>
      </c>
      <c r="HQ392" t="e">
        <f>IF(AND(6&lt;=$B$23,5&lt;=$B$24),$B$157+$B$156*((IF(6=1,1,IF(6=$B$23,$B$12,5*(6-1)))-1)*$B$13),NA())</f>
        <v>#N/A</v>
      </c>
      <c r="HR392" t="e">
        <f>IF(AND(6&lt;=$B$23,5&lt;=$B$24),$B$158+$B$156*((0*$B$5/2+5*($B$5/2)/$B$24)),NA())</f>
        <v>#N/A</v>
      </c>
      <c r="HS392" t="e">
        <f>IF(AND(17&lt;=$B$12,$B$51&gt;0),$B$157+$B$156*(((17-0.5)*$B$13)-($B$51*$B$13)/2),NA())</f>
        <v>#N/A</v>
      </c>
      <c r="HT392" t="e">
        <f>IF(AND(17&lt;=$B$12,$B$51&gt;0),$B$158+$B$156*((0*$B$5/2+$B$5/2-0.6*$B$159)),NA())</f>
        <v>#N/A</v>
      </c>
      <c r="KI392" t="e">
        <f>IF(AND($B$21=1,33*$B$67&gt;$B$59,33*$B$67&lt;$B$178-$B$59,OR($B$63=0,ABS(33*$B$67-$B$178/2)&gt;$B$59/2)),$B$182+$B$181*($B$177*1/4+$B$60/2),NA())</f>
        <v>#N/A</v>
      </c>
      <c r="KJ392" t="e">
        <f>IF(AND($B$21=1,33*$B$67&gt;$B$59,33*$B$67&lt;$B$178-$B$59,OR($B$63=0,ABS(33*$B$67-$B$178/2)&gt;$B$59/2)),$B$183+$B$181*(33*$B$67),NA())</f>
        <v>#N/A</v>
      </c>
    </row>
    <row r="393">
      <c r="K393" t="e">
        <f>IF(21&lt;=$B$12,$B$133+$B$132*($B$13*21-$B$27/2),NA())</f>
        <v>#N/A</v>
      </c>
      <c r="L393" t="e">
        <f>IF(21&lt;=$B$12,$B$134+$B$132*($B$5-$B$27/2),NA())</f>
        <v>#N/A</v>
      </c>
      <c r="FE393" t="e">
        <f>IF(AND($B$21=1,(26*$B$66)&lt;$B$62),$B$145+$B$144*($B$6),NA())</f>
        <v>#N/A</v>
      </c>
      <c r="FF393" t="e">
        <f>IF(AND($B$21=1,(26*$B$66)&lt;$B$62),$B$146+$B$144*((26*$B$66)),NA())</f>
        <v>#N/A</v>
      </c>
      <c r="GI393" t="e">
        <f>IF(AND($B$21=1,(26*$B$66)&lt;IF($B$63=1,$B$10-0.2,$B$62)),$B$151+$B$150*(($B$5-IF((26*$B$66)&lt;=$B$9,0,((26*$B$66)-$B$9)/$B$8))),NA())</f>
        <v>#N/A</v>
      </c>
      <c r="GJ393" t="e">
        <f>IF(AND($B$21=1,(26*$B$66)&lt;IF($B$63=1,$B$10-0.2,$B$62)),$B$152+$B$150*((26*$B$66)),NA())</f>
        <v>#N/A</v>
      </c>
      <c r="HQ393" t="e">
        <f>IF(AND(6&lt;=$B$23,5&lt;=$B$24),$B$157+$B$156*(IF(6=1,1,IF(6=$B$23,$B$12,5*(6-1)))*$B$13),NA())</f>
        <v>#N/A</v>
      </c>
      <c r="HR393" t="e">
        <f>IF(AND(6&lt;=$B$23,5&lt;=$B$24),$B$158+$B$156*((0*$B$5/2+(5-1)*($B$5/2)/$B$24)),NA())</f>
        <v>#N/A</v>
      </c>
      <c r="HS393" t="e">
        <f>IF(AND(17&lt;=$B$12,$B$51&gt;0),$B$157+$B$156*(((17-0.5)*$B$13)-($B$51*$B$13)/2),NA())</f>
        <v>#N/A</v>
      </c>
      <c r="HT393" t="e">
        <f>IF(AND(17&lt;=$B$12,$B$51&gt;0),$B$158+$B$156*((0*$B$5/2+0.6*$B$159)),NA())</f>
        <v>#N/A</v>
      </c>
      <c r="KI393" t="e">
        <f>IF(AND($B$21=1,33*$B$67&gt;$B$59,33*$B$67&lt;$B$178-$B$59,OR($B$63=0,ABS(33*$B$67-$B$178/2)&gt;$B$59/2)),$B$182+$B$181*($B$177*2/4-$B$60/2),NA())</f>
        <v>#N/A</v>
      </c>
      <c r="KJ393" t="e">
        <f>IF(AND($B$21=1,33*$B$67&gt;$B$59,33*$B$67&lt;$B$178-$B$59,OR($B$63=0,ABS(33*$B$67-$B$178/2)&gt;$B$59/2)),$B$183+$B$181*(33*$B$67),NA())</f>
        <v>#N/A</v>
      </c>
    </row>
    <row r="394">
      <c r="K394" t="e">
        <f>NA()</f>
        <v>#N/A</v>
      </c>
      <c r="L394" t="e">
        <f>NA()</f>
        <v>#N/A</v>
      </c>
      <c r="FE394" t="e">
        <f>NA()</f>
        <v>#N/A</v>
      </c>
      <c r="FF394" t="e">
        <f>NA()</f>
        <v>#N/A</v>
      </c>
      <c r="GI394" t="e">
        <f>NA()</f>
        <v>#N/A</v>
      </c>
      <c r="GJ394" t="e">
        <f>NA()</f>
        <v>#N/A</v>
      </c>
      <c r="HQ394" t="e">
        <f>NA()</f>
        <v>#N/A</v>
      </c>
      <c r="HR394" t="e">
        <f>NA()</f>
        <v>#N/A</v>
      </c>
      <c r="HS394" t="e">
        <f>NA()</f>
        <v>#N/A</v>
      </c>
      <c r="HT394" t="e">
        <f>NA()</f>
        <v>#N/A</v>
      </c>
      <c r="KI394" t="e">
        <f>NA()</f>
        <v>#N/A</v>
      </c>
      <c r="KJ394" t="e">
        <f>NA()</f>
        <v>#N/A</v>
      </c>
    </row>
    <row r="395">
      <c r="K395" t="e">
        <f>IF(AND(21&lt;=$B$12,$B$45=1),$B$133+$B$132*($B$13*21-$B$27/2),NA())</f>
        <v>#N/A</v>
      </c>
      <c r="L395" t="e">
        <f>IF(AND(21&lt;=$B$12,$B$45=1),$B$134+$B$132*($B$5/2-$B$27/2),NA())</f>
        <v>#N/A</v>
      </c>
      <c r="FE395" t="e">
        <f>IF(AND($B$21=1,(27*$B$66)&lt;$B$62),$B$145+$B$144*(0),NA())</f>
        <v>#N/A</v>
      </c>
      <c r="FF395" t="e">
        <f>IF(AND($B$21=1,(27*$B$66)&lt;$B$62),$B$146+$B$144*((27*$B$66)),NA())</f>
        <v>#N/A</v>
      </c>
      <c r="GI395" t="e">
        <f>IF(AND($B$21=1,(27*$B$66)&lt;IF($B$63=1,$B$10-0.2,$B$62)),$B$151+$B$150*(IF((27*$B$66)&lt;=$B$9,0,((27*$B$66)-$B$9)/$B$8)),NA())</f>
        <v>#N/A</v>
      </c>
      <c r="GJ395" t="e">
        <f>IF(AND($B$21=1,(27*$B$66)&lt;IF($B$63=1,$B$10-0.2,$B$62)),$B$152+$B$150*((27*$B$66)),NA())</f>
        <v>#N/A</v>
      </c>
      <c r="HQ395" t="e">
        <f>IF(AND(6&lt;=$B$23,6&lt;=$B$24),$B$157+$B$156*((IF(6=1,1,IF(6=$B$23,$B$12,5*(6-1)))-1)*$B$13),NA())</f>
        <v>#N/A</v>
      </c>
      <c r="HR395" t="e">
        <f>IF(AND(6&lt;=$B$23,6&lt;=$B$24),$B$158+$B$156*((0*$B$5/2+(6-1)*($B$5/2)/$B$24)),NA())</f>
        <v>#N/A</v>
      </c>
      <c r="HS395" t="e">
        <f>IF(AND(17&lt;=$B$12,$B$51&gt;0),$B$157+$B$156*(((17-0.5)*$B$13)-($B$51*$B$13)/2),NA())</f>
        <v>#N/A</v>
      </c>
      <c r="HT395" t="e">
        <f>IF(AND(17&lt;=$B$12,$B$51&gt;0),$B$158+$B$156*((0*$B$5/2+0.6*$B$159)),NA())</f>
        <v>#N/A</v>
      </c>
      <c r="KI395" t="e">
        <f>IF(AND($B$21=1,33*$B$67&gt;$B$59,33*$B$67&lt;$B$178-$B$59,OR($B$63=0,ABS(33*$B$67-$B$178/2)&gt;$B$59/2)),$B$182+$B$181*($B$177*2/4+$B$60/2),NA())</f>
        <v>#N/A</v>
      </c>
      <c r="KJ395" t="e">
        <f>IF(AND($B$21=1,33*$B$67&gt;$B$59,33*$B$67&lt;$B$178-$B$59,OR($B$63=0,ABS(33*$B$67-$B$178/2)&gt;$B$59/2)),$B$183+$B$181*(33*$B$67),NA())</f>
        <v>#N/A</v>
      </c>
    </row>
    <row r="396">
      <c r="K396" t="e">
        <f>IF(AND(21&lt;=$B$12,$B$45=1),$B$133+$B$132*($B$13*21+$B$27/2),NA())</f>
        <v>#N/A</v>
      </c>
      <c r="L396" t="e">
        <f>IF(AND(21&lt;=$B$12,$B$45=1),$B$134+$B$132*($B$5/2-$B$27/2),NA())</f>
        <v>#N/A</v>
      </c>
      <c r="FE396" t="e">
        <f>IF(AND($B$21=1,(27*$B$66)&lt;$B$62),$B$145+$B$144*(IF((27*$B$66)&lt;$B$73,$B$76,$B$75)),NA())</f>
        <v>#N/A</v>
      </c>
      <c r="FF396" t="e">
        <f>IF(AND($B$21=1,(27*$B$66)&lt;$B$62),$B$146+$B$144*((27*$B$66)),NA())</f>
        <v>#N/A</v>
      </c>
      <c r="GI396" t="e">
        <f>IF(AND($B$21=1,(27*$B$66)&lt;IF($B$63=1,$B$10-0.2,$B$62)),$B$151+$B$150*(MAX(IF((27*$B$66)&lt;=$B$9,0,((27*$B$66)-$B$9)/$B$8),MIN(($B$5-IF((27*$B$66)&lt;=$B$9,0,((27*$B$66)-$B$9)/$B$8)),IF((27*$B$66)&lt;$B$104,$B$107,$B$106)))),NA())</f>
        <v>#N/A</v>
      </c>
      <c r="GJ396" t="e">
        <f>IF(AND($B$21=1,(27*$B$66)&lt;IF($B$63=1,$B$10-0.2,$B$62)),$B$152+$B$150*((27*$B$66)),NA())</f>
        <v>#N/A</v>
      </c>
      <c r="HQ396" t="e">
        <f>IF(AND(6&lt;=$B$23,6&lt;=$B$24),$B$157+$B$156*(IF(6=1,1,IF(6=$B$23,$B$12,5*(6-1)))*$B$13),NA())</f>
        <v>#N/A</v>
      </c>
      <c r="HR396" t="e">
        <f>IF(AND(6&lt;=$B$23,6&lt;=$B$24),$B$158+$B$156*((0*$B$5/2+6*($B$5/2)/$B$24)),NA())</f>
        <v>#N/A</v>
      </c>
      <c r="HS396" t="e">
        <f>IF(AND(17&lt;=$B$12,$B$51&gt;0),$B$157+$B$156*(((17-0.5)*$B$13)+($B$51*$B$13)/2),NA())</f>
        <v>#N/A</v>
      </c>
      <c r="HT396" t="e">
        <f>IF(AND(17&lt;=$B$12,$B$51&gt;0),$B$158+$B$156*((0*$B$5/2+0.6*$B$159)+(((0*$B$5/2+$B$5/2-0.6*$B$159))-((0*$B$5/2+0.6*$B$159)))/4),NA())</f>
        <v>#N/A</v>
      </c>
      <c r="KI396" t="e">
        <f>IF(AND($B$21=1,33*$B$67&gt;$B$59,33*$B$67&lt;$B$178-$B$59,OR($B$63=0,ABS(33*$B$67-$B$178/2)&gt;$B$59/2)),$B$182+$B$181*($B$177*3/4-$B$60/2),NA())</f>
        <v>#N/A</v>
      </c>
      <c r="KJ396" t="e">
        <f>IF(AND($B$21=1,33*$B$67&gt;$B$59,33*$B$67&lt;$B$178-$B$59,OR($B$63=0,ABS(33*$B$67-$B$178/2)&gt;$B$59/2)),$B$183+$B$181*(33*$B$67),NA())</f>
        <v>#N/A</v>
      </c>
    </row>
    <row r="397">
      <c r="K397" t="e">
        <f>IF(AND(21&lt;=$B$12,$B$45=1),$B$133+$B$132*($B$13*21+$B$27/2),NA())</f>
        <v>#N/A</v>
      </c>
      <c r="L397" t="e">
        <f>IF(AND(21&lt;=$B$12,$B$45=1),$B$134+$B$132*($B$5/2+$B$27/2),NA())</f>
        <v>#N/A</v>
      </c>
      <c r="FE397" t="e">
        <f>IF(AND(AND($B$21=1,(27*$B$66)&lt;$B$62),(27*$B$66)&gt;=$B$73),$B$145+$B$144*($B$75),NA())</f>
        <v>#N/A</v>
      </c>
      <c r="FF397" t="e">
        <f>IF(AND(AND($B$21=1,(27*$B$66)&lt;$B$62),(27*$B$66)&gt;=$B$73),$B$146+$B$144*((27*$B$66)),NA())</f>
        <v>#N/A</v>
      </c>
      <c r="GI397" t="e">
        <f>IF(AND(AND($B$21=1,(27*$B$66)&lt;IF($B$63=1,$B$10-0.2,$B$62)),(27*$B$66)&gt;=$B$104),$B$151+$B$150*(MAX(IF((27*$B$66)&lt;=$B$9,0,((27*$B$66)-$B$9)/$B$8),MIN(($B$5-IF((27*$B$66)&lt;=$B$9,0,((27*$B$66)-$B$9)/$B$8)),$B$106))),NA())</f>
        <v>#N/A</v>
      </c>
      <c r="GJ397" t="e">
        <f>IF(AND(AND($B$21=1,(27*$B$66)&lt;IF($B$63=1,$B$10-0.2,$B$62)),(27*$B$66)&gt;=$B$104),$B$152+$B$150*((27*$B$66)),NA())</f>
        <v>#N/A</v>
      </c>
      <c r="HQ397" t="e">
        <f>NA()</f>
        <v>#N/A</v>
      </c>
      <c r="HR397" t="e">
        <f>NA()</f>
        <v>#N/A</v>
      </c>
      <c r="HS397" t="e">
        <f>IF(AND(17&lt;=$B$12,$B$51&gt;0),$B$157+$B$156*(((17-0.5)*$B$13)-($B$51*$B$13)/2),NA())</f>
        <v>#N/A</v>
      </c>
      <c r="HT397" t="e">
        <f>IF(AND(17&lt;=$B$12,$B$51&gt;0),$B$158+$B$156*((0*$B$5/2+0.6*$B$159)+(((0*$B$5/2+$B$5/2-0.6*$B$159))-((0*$B$5/2+0.6*$B$159)))/2),NA())</f>
        <v>#N/A</v>
      </c>
      <c r="KI397" t="e">
        <f>NA()</f>
        <v>#N/A</v>
      </c>
      <c r="KJ397" t="e">
        <f>NA()</f>
        <v>#N/A</v>
      </c>
    </row>
    <row r="398">
      <c r="K398" t="e">
        <f>IF(AND(21&lt;=$B$12,$B$45=1),$B$133+$B$132*($B$13*21-$B$27/2),NA())</f>
        <v>#N/A</v>
      </c>
      <c r="L398" t="e">
        <f>IF(AND(21&lt;=$B$12,$B$45=1),$B$134+$B$132*($B$5/2+$B$27/2),NA())</f>
        <v>#N/A</v>
      </c>
      <c r="FE398" t="e">
        <f>IF(AND($B$21=1,(27*$B$66)&lt;$B$62),$B$145+$B$144*(IF((27*$B$66)&lt;$B$73,$B$77,$B$75)),NA())</f>
        <v>#N/A</v>
      </c>
      <c r="FF398" t="e">
        <f>IF(AND($B$21=1,(27*$B$66)&lt;$B$62),$B$146+$B$144*((27*$B$66)),NA())</f>
        <v>#N/A</v>
      </c>
      <c r="GI398" t="e">
        <f>IF(AND($B$21=1,(27*$B$66)&lt;IF($B$63=1,$B$10-0.2,$B$62)),$B$151+$B$150*(MAX(IF((27*$B$66)&lt;=$B$9,0,((27*$B$66)-$B$9)/$B$8),MIN(($B$5-IF((27*$B$66)&lt;=$B$9,0,((27*$B$66)-$B$9)/$B$8)),IF((27*$B$66)&lt;$B$104,$B$108,$B$106)))),NA())</f>
        <v>#N/A</v>
      </c>
      <c r="GJ398" t="e">
        <f>IF(AND($B$21=1,(27*$B$66)&lt;IF($B$63=1,$B$10-0.2,$B$62)),$B$152+$B$150*((27*$B$66)),NA())</f>
        <v>#N/A</v>
      </c>
      <c r="HQ398" t="e">
        <f>IF(AND(6&lt;=$B$23,6&lt;=$B$24),$B$157+$B$156*((IF(6=1,1,IF(6=$B$23,$B$12,5*(6-1)))-1)*$B$13),NA())</f>
        <v>#N/A</v>
      </c>
      <c r="HR398" t="e">
        <f>IF(AND(6&lt;=$B$23,6&lt;=$B$24),$B$158+$B$156*((0*$B$5/2+6*($B$5/2)/$B$24)),NA())</f>
        <v>#N/A</v>
      </c>
      <c r="HS398" t="e">
        <f>IF(AND(17&lt;=$B$12,$B$51&gt;0),$B$157+$B$156*(((17-0.5)*$B$13)+($B$51*$B$13)/2),NA())</f>
        <v>#N/A</v>
      </c>
      <c r="HT398" t="e">
        <f>IF(AND(17&lt;=$B$12,$B$51&gt;0),$B$158+$B$156*((0*$B$5/2+0.6*$B$159)+3*(((0*$B$5/2+$B$5/2-0.6*$B$159))-((0*$B$5/2+0.6*$B$159)))/4),NA())</f>
        <v>#N/A</v>
      </c>
      <c r="KI398" t="e">
        <f>IF(AND($B$21=1,33*$B$67&gt;$B$59,33*$B$67&lt;$B$178-$B$59,OR($B$63=0,ABS(33*$B$67-$B$178/2)&gt;$B$59/2)),$B$182+$B$181*($B$177*3/4+$B$60/2),NA())</f>
        <v>#N/A</v>
      </c>
      <c r="KJ398" t="e">
        <f>IF(AND($B$21=1,33*$B$67&gt;$B$59,33*$B$67&lt;$B$178-$B$59,OR($B$63=0,ABS(33*$B$67-$B$178/2)&gt;$B$59/2)),$B$183+$B$181*(33*$B$67),NA())</f>
        <v>#N/A</v>
      </c>
    </row>
    <row r="399">
      <c r="K399" t="e">
        <f>IF(AND(21&lt;=$B$12,$B$45=1),$B$133+$B$132*($B$13*21-$B$27/2),NA())</f>
        <v>#N/A</v>
      </c>
      <c r="L399" t="e">
        <f>IF(AND(21&lt;=$B$12,$B$45=1),$B$134+$B$132*($B$5/2-$B$27/2),NA())</f>
        <v>#N/A</v>
      </c>
      <c r="FE399" t="e">
        <f>IF(AND($B$21=1,(27*$B$66)&lt;$B$62),$B$145+$B$144*(IF((27*$B$66)&lt;$B$80,$B$83,$B$82)),NA())</f>
        <v>#N/A</v>
      </c>
      <c r="FF399" t="e">
        <f>IF(AND($B$21=1,(27*$B$66)&lt;$B$62),$B$146+$B$144*((27*$B$66)),NA())</f>
        <v>#N/A</v>
      </c>
      <c r="GI399" t="e">
        <f>IF(AND($B$21=1,(27*$B$66)&lt;IF($B$63=1,$B$10-0.2,$B$62)),$B$151+$B$150*(MAX(IF((27*$B$66)&lt;=$B$9,0,((27*$B$66)-$B$9)/$B$8),MIN(($B$5-IF((27*$B$66)&lt;=$B$9,0,((27*$B$66)-$B$9)/$B$8)),IF((27*$B$66)&lt;$B$111,$B$114,$B$113)))),NA())</f>
        <v>#N/A</v>
      </c>
      <c r="GJ399" t="e">
        <f>IF(AND($B$21=1,(27*$B$66)&lt;IF($B$63=1,$B$10-0.2,$B$62)),$B$152+$B$150*((27*$B$66)),NA())</f>
        <v>#N/A</v>
      </c>
      <c r="HQ399" t="e">
        <f>IF(AND(6&lt;=$B$23,6&lt;=$B$24),$B$157+$B$156*(IF(6=1,1,IF(6=$B$23,$B$12,5*(6-1)))*$B$13),NA())</f>
        <v>#N/A</v>
      </c>
      <c r="HR399" t="e">
        <f>IF(AND(6&lt;=$B$23,6&lt;=$B$24),$B$158+$B$156*((0*$B$5/2+(6-1)*($B$5/2)/$B$24)),NA())</f>
        <v>#N/A</v>
      </c>
      <c r="HS399" t="e">
        <f>IF(AND(17&lt;=$B$12,$B$51&gt;0),$B$157+$B$156*(((17-0.5)*$B$13)-($B$51*$B$13)/2),NA())</f>
        <v>#N/A</v>
      </c>
      <c r="HT399" t="e">
        <f>IF(AND(17&lt;=$B$12,$B$51&gt;0),$B$158+$B$156*((0*$B$5/2+$B$5/2-0.6*$B$159)),NA())</f>
        <v>#N/A</v>
      </c>
      <c r="KI399" t="e">
        <f>IF(AND($B$21=1,33*$B$67&gt;$B$59,33*$B$67&lt;$B$178-$B$59,OR($B$63=0,ABS(33*$B$67-$B$178/2)&gt;$B$59/2)),$B$182+$B$181*($B$177),NA())</f>
        <v>#N/A</v>
      </c>
      <c r="KJ399" t="e">
        <f>IF(AND($B$21=1,33*$B$67&gt;$B$59,33*$B$67&lt;$B$178-$B$59,OR($B$63=0,ABS(33*$B$67-$B$178/2)&gt;$B$59/2)),$B$183+$B$181*(33*$B$67),NA())</f>
        <v>#N/A</v>
      </c>
    </row>
    <row r="400">
      <c r="K400" t="e">
        <f>NA()</f>
        <v>#N/A</v>
      </c>
      <c r="L400" t="e">
        <f>NA()</f>
        <v>#N/A</v>
      </c>
      <c r="FE400" t="e">
        <f>IF(AND(AND($B$21=1,(27*$B$66)&lt;$B$62),(27*$B$66)&gt;=$B$80),$B$145+$B$144*($B$82),NA())</f>
        <v>#N/A</v>
      </c>
      <c r="FF400" t="e">
        <f>IF(AND(AND($B$21=1,(27*$B$66)&lt;$B$62),(27*$B$66)&gt;=$B$80),$B$146+$B$144*((27*$B$66)),NA())</f>
        <v>#N/A</v>
      </c>
      <c r="GI400" t="e">
        <f>IF(AND(AND($B$21=1,(27*$B$66)&lt;IF($B$63=1,$B$10-0.2,$B$62)),(27*$B$66)&gt;=$B$111),$B$151+$B$150*(MAX(IF((27*$B$66)&lt;=$B$9,0,((27*$B$66)-$B$9)/$B$8),MIN(($B$5-IF((27*$B$66)&lt;=$B$9,0,((27*$B$66)-$B$9)/$B$8)),$B$113))),NA())</f>
        <v>#N/A</v>
      </c>
      <c r="GJ400" t="e">
        <f>IF(AND(AND($B$21=1,(27*$B$66)&lt;IF($B$63=1,$B$10-0.2,$B$62)),(27*$B$66)&gt;=$B$111),$B$152+$B$150*((27*$B$66)),NA())</f>
        <v>#N/A</v>
      </c>
      <c r="HQ400" t="e">
        <f>NA()</f>
        <v>#N/A</v>
      </c>
      <c r="HR400" t="e">
        <f>NA()</f>
        <v>#N/A</v>
      </c>
      <c r="HS400" t="e">
        <f>NA()</f>
        <v>#N/A</v>
      </c>
      <c r="HT400" t="e">
        <f>NA()</f>
        <v>#N/A</v>
      </c>
      <c r="KI400" t="e">
        <f>NA()</f>
        <v>#N/A</v>
      </c>
      <c r="KJ400" t="e">
        <f>NA()</f>
        <v>#N/A</v>
      </c>
    </row>
    <row r="401">
      <c r="K401" t="e">
        <f>IF(22&lt;=$B$12,$B$133+$B$132*($B$13*22-$B$27/2),NA())</f>
        <v>#N/A</v>
      </c>
      <c r="L401" t="e">
        <f>IF(22&lt;=$B$12,$B$134+$B$132*(0-$B$27/2),NA())</f>
        <v>#N/A</v>
      </c>
      <c r="FE401" t="e">
        <f>IF(AND($B$21=1,(27*$B$66)&lt;$B$62),$B$145+$B$144*(IF((27*$B$66)&lt;$B$80,$B$84,$B$82)),NA())</f>
        <v>#N/A</v>
      </c>
      <c r="FF401" t="e">
        <f>IF(AND($B$21=1,(27*$B$66)&lt;$B$62),$B$146+$B$144*((27*$B$66)),NA())</f>
        <v>#N/A</v>
      </c>
      <c r="GI401" t="e">
        <f>IF(AND($B$21=1,(27*$B$66)&lt;IF($B$63=1,$B$10-0.2,$B$62)),$B$151+$B$150*(MAX(IF((27*$B$66)&lt;=$B$9,0,((27*$B$66)-$B$9)/$B$8),MIN(($B$5-IF((27*$B$66)&lt;=$B$9,0,((27*$B$66)-$B$9)/$B$8)),IF((27*$B$66)&lt;$B$111,$B$115,$B$113)))),NA())</f>
        <v>#N/A</v>
      </c>
      <c r="GJ401" t="e">
        <f>IF(AND($B$21=1,(27*$B$66)&lt;IF($B$63=1,$B$10-0.2,$B$62)),$B$152+$B$150*((27*$B$66)),NA())</f>
        <v>#N/A</v>
      </c>
      <c r="HQ401" t="e">
        <f>IF(AND(6&lt;=$B$23,1&lt;=$B$24),$B$157+$B$156*((IF(6=1,1,IF(6=$B$23,$B$12,5*(6-1)))-1)*$B$13),NA())</f>
        <v>#N/A</v>
      </c>
      <c r="HR401" t="e">
        <f>IF(AND(6&lt;=$B$23,1&lt;=$B$24),$B$158+$B$156*((1*$B$5/2+(1-1)*($B$5/2)/$B$24)),NA())</f>
        <v>#N/A</v>
      </c>
      <c r="HS401" t="e">
        <f>IF(AND(17&lt;=$B$12,$B$51&gt;0),$B$157+$B$156*(((17-0.5)*$B$13)-($B$51*$B$13)/2),NA())</f>
        <v>#N/A</v>
      </c>
      <c r="HT401" t="e">
        <f>IF(AND(17&lt;=$B$12,$B$51&gt;0),$B$158+$B$156*((1*$B$5/2+0.6*$B$159)),NA())</f>
        <v>#N/A</v>
      </c>
      <c r="KI401" t="e">
        <f>IF(AND($B$21=1,34*$B$67&gt;$B$59,34*$B$67&lt;$B$178-$B$59,OR($B$63=0,ABS(34*$B$67-$B$178/2)&gt;$B$59/2)),$B$182+$B$181*(0),NA())</f>
        <v>#N/A</v>
      </c>
      <c r="KJ401" t="e">
        <f>IF(AND($B$21=1,34*$B$67&gt;$B$59,34*$B$67&lt;$B$178-$B$59,OR($B$63=0,ABS(34*$B$67-$B$178/2)&gt;$B$59/2)),$B$183+$B$181*(34*$B$67),NA())</f>
        <v>#N/A</v>
      </c>
    </row>
    <row r="402">
      <c r="K402" t="e">
        <f>IF(22&lt;=$B$12,$B$133+$B$132*($B$13*22+$B$27/2),NA())</f>
        <v>#N/A</v>
      </c>
      <c r="L402" t="e">
        <f>IF(22&lt;=$B$12,$B$134+$B$132*(0-$B$27/2),NA())</f>
        <v>#N/A</v>
      </c>
      <c r="FE402" t="e">
        <f>IF(AND($B$21=1,(27*$B$66)&lt;$B$62),$B$145+$B$144*(IF((27*$B$66)&lt;$B$87,$B$90,$B$89)),NA())</f>
        <v>#N/A</v>
      </c>
      <c r="FF402" t="e">
        <f>IF(AND($B$21=1,(27*$B$66)&lt;$B$62),$B$146+$B$144*((27*$B$66)),NA())</f>
        <v>#N/A</v>
      </c>
      <c r="GI402" t="e">
        <f>IF(AND($B$21=1,(27*$B$66)&lt;IF($B$63=1,$B$10-0.2,$B$62)),$B$151+$B$150*(MAX(IF((27*$B$66)&lt;=$B$9,0,((27*$B$66)-$B$9)/$B$8),MIN(($B$5-IF((27*$B$66)&lt;=$B$9,0,((27*$B$66)-$B$9)/$B$8)),IF((27*$B$66)&lt;$B$118,$B$121,$B$120)))),NA())</f>
        <v>#N/A</v>
      </c>
      <c r="GJ402" t="e">
        <f>IF(AND($B$21=1,(27*$B$66)&lt;IF($B$63=1,$B$10-0.2,$B$62)),$B$152+$B$150*((27*$B$66)),NA())</f>
        <v>#N/A</v>
      </c>
      <c r="HQ402" t="e">
        <f>IF(AND(6&lt;=$B$23,1&lt;=$B$24),$B$157+$B$156*(IF(6=1,1,IF(6=$B$23,$B$12,5*(6-1)))*$B$13),NA())</f>
        <v>#N/A</v>
      </c>
      <c r="HR402" t="e">
        <f>IF(AND(6&lt;=$B$23,1&lt;=$B$24),$B$158+$B$156*((1*$B$5/2+1*($B$5/2)/$B$24)),NA())</f>
        <v>#N/A</v>
      </c>
      <c r="HS402" t="e">
        <f>IF(AND(17&lt;=$B$12,$B$51&gt;0),$B$157+$B$156*(((17-0.5)*$B$13)+($B$51*$B$13)/2),NA())</f>
        <v>#N/A</v>
      </c>
      <c r="HT402" t="e">
        <f>IF(AND(17&lt;=$B$12,$B$51&gt;0),$B$158+$B$156*((1*$B$5/2+0.6*$B$159)),NA())</f>
        <v>#N/A</v>
      </c>
      <c r="KI402" t="e">
        <f>IF(AND($B$21=1,34*$B$67&gt;$B$59,34*$B$67&lt;$B$178-$B$59,OR($B$63=0,ABS(34*$B$67-$B$178/2)&gt;$B$59/2)),$B$182+$B$181*($B$177*1/4-$B$60/2),NA())</f>
        <v>#N/A</v>
      </c>
      <c r="KJ402" t="e">
        <f>IF(AND($B$21=1,34*$B$67&gt;$B$59,34*$B$67&lt;$B$178-$B$59,OR($B$63=0,ABS(34*$B$67-$B$178/2)&gt;$B$59/2)),$B$183+$B$181*(34*$B$67),NA())</f>
        <v>#N/A</v>
      </c>
    </row>
    <row r="403">
      <c r="K403" t="e">
        <f>IF(22&lt;=$B$12,$B$133+$B$132*($B$13*22+$B$27/2),NA())</f>
        <v>#N/A</v>
      </c>
      <c r="L403" t="e">
        <f>IF(22&lt;=$B$12,$B$134+$B$132*(0+$B$27/2),NA())</f>
        <v>#N/A</v>
      </c>
      <c r="FE403" t="e">
        <f>IF(AND(AND($B$21=1,(27*$B$66)&lt;$B$62),(27*$B$66)&gt;=$B$87),$B$145+$B$144*($B$89),NA())</f>
        <v>#N/A</v>
      </c>
      <c r="FF403" t="e">
        <f>IF(AND(AND($B$21=1,(27*$B$66)&lt;$B$62),(27*$B$66)&gt;=$B$87),$B$146+$B$144*((27*$B$66)),NA())</f>
        <v>#N/A</v>
      </c>
      <c r="GI403" t="e">
        <f>IF(AND(AND($B$21=1,(27*$B$66)&lt;IF($B$63=1,$B$10-0.2,$B$62)),(27*$B$66)&gt;=$B$118),$B$151+$B$150*(MAX(IF((27*$B$66)&lt;=$B$9,0,((27*$B$66)-$B$9)/$B$8),MIN(($B$5-IF((27*$B$66)&lt;=$B$9,0,((27*$B$66)-$B$9)/$B$8)),$B$120))),NA())</f>
        <v>#N/A</v>
      </c>
      <c r="GJ403" t="e">
        <f>IF(AND(AND($B$21=1,(27*$B$66)&lt;IF($B$63=1,$B$10-0.2,$B$62)),(27*$B$66)&gt;=$B$118),$B$152+$B$150*((27*$B$66)),NA())</f>
        <v>#N/A</v>
      </c>
      <c r="HQ403" t="e">
        <f>NA()</f>
        <v>#N/A</v>
      </c>
      <c r="HR403" t="e">
        <f>NA()</f>
        <v>#N/A</v>
      </c>
      <c r="HS403" t="e">
        <f>IF(AND(17&lt;=$B$12,$B$51&gt;0),$B$157+$B$156*(((17-0.5)*$B$13)+($B$51*$B$13)/2),NA())</f>
        <v>#N/A</v>
      </c>
      <c r="HT403" t="e">
        <f>IF(AND(17&lt;=$B$12,$B$51&gt;0),$B$158+$B$156*((1*$B$5/2+$B$5/2-0.6*$B$159)),NA())</f>
        <v>#N/A</v>
      </c>
      <c r="KI403" t="e">
        <f>NA()</f>
        <v>#N/A</v>
      </c>
      <c r="KJ403" t="e">
        <f>NA()</f>
        <v>#N/A</v>
      </c>
    </row>
    <row r="404">
      <c r="K404" t="e">
        <f>IF(22&lt;=$B$12,$B$133+$B$132*($B$13*22-$B$27/2),NA())</f>
        <v>#N/A</v>
      </c>
      <c r="L404" t="e">
        <f>IF(22&lt;=$B$12,$B$134+$B$132*(0+$B$27/2),NA())</f>
        <v>#N/A</v>
      </c>
      <c r="FE404" t="e">
        <f>IF(AND($B$21=1,(27*$B$66)&lt;$B$62),$B$145+$B$144*(IF((27*$B$66)&lt;$B$87,$B$91,$B$89)),NA())</f>
        <v>#N/A</v>
      </c>
      <c r="FF404" t="e">
        <f>IF(AND($B$21=1,(27*$B$66)&lt;$B$62),$B$146+$B$144*((27*$B$66)),NA())</f>
        <v>#N/A</v>
      </c>
      <c r="GI404" t="e">
        <f>IF(AND($B$21=1,(27*$B$66)&lt;IF($B$63=1,$B$10-0.2,$B$62)),$B$151+$B$150*(MAX(IF((27*$B$66)&lt;=$B$9,0,((27*$B$66)-$B$9)/$B$8),MIN(($B$5-IF((27*$B$66)&lt;=$B$9,0,((27*$B$66)-$B$9)/$B$8)),IF((27*$B$66)&lt;$B$118,$B$122,$B$120)))),NA())</f>
        <v>#N/A</v>
      </c>
      <c r="GJ404" t="e">
        <f>IF(AND($B$21=1,(27*$B$66)&lt;IF($B$63=1,$B$10-0.2,$B$62)),$B$152+$B$150*((27*$B$66)),NA())</f>
        <v>#N/A</v>
      </c>
      <c r="HQ404" t="e">
        <f>IF(AND(6&lt;=$B$23,1&lt;=$B$24),$B$157+$B$156*((IF(6=1,1,IF(6=$B$23,$B$12,5*(6-1)))-1)*$B$13),NA())</f>
        <v>#N/A</v>
      </c>
      <c r="HR404" t="e">
        <f>IF(AND(6&lt;=$B$23,1&lt;=$B$24),$B$158+$B$156*((1*$B$5/2+1*($B$5/2)/$B$24)),NA())</f>
        <v>#N/A</v>
      </c>
      <c r="HS404" t="e">
        <f>IF(AND(17&lt;=$B$12,$B$51&gt;0),$B$157+$B$156*(((17-0.5)*$B$13)-($B$51*$B$13)/2),NA())</f>
        <v>#N/A</v>
      </c>
      <c r="HT404" t="e">
        <f>IF(AND(17&lt;=$B$12,$B$51&gt;0),$B$158+$B$156*((1*$B$5/2+$B$5/2-0.6*$B$159)),NA())</f>
        <v>#N/A</v>
      </c>
      <c r="KI404" t="e">
        <f>IF(AND($B$21=1,34*$B$67&gt;$B$59,34*$B$67&lt;$B$178-$B$59,OR($B$63=0,ABS(34*$B$67-$B$178/2)&gt;$B$59/2)),$B$182+$B$181*($B$177*1/4+$B$60/2),NA())</f>
        <v>#N/A</v>
      </c>
      <c r="KJ404" t="e">
        <f>IF(AND($B$21=1,34*$B$67&gt;$B$59,34*$B$67&lt;$B$178-$B$59,OR($B$63=0,ABS(34*$B$67-$B$178/2)&gt;$B$59/2)),$B$183+$B$181*(34*$B$67),NA())</f>
        <v>#N/A</v>
      </c>
    </row>
    <row r="405">
      <c r="K405" t="e">
        <f>IF(22&lt;=$B$12,$B$133+$B$132*($B$13*22-$B$27/2),NA())</f>
        <v>#N/A</v>
      </c>
      <c r="L405" t="e">
        <f>IF(22&lt;=$B$12,$B$134+$B$132*(0-$B$27/2),NA())</f>
        <v>#N/A</v>
      </c>
      <c r="FE405" t="e">
        <f>IF(AND($B$21=1,(27*$B$66)&lt;$B$62),$B$145+$B$144*(IF((27*$B$66)&lt;$B$94,$B$97,$B$96)),NA())</f>
        <v>#N/A</v>
      </c>
      <c r="FF405" t="e">
        <f>IF(AND($B$21=1,(27*$B$66)&lt;$B$62),$B$146+$B$144*((27*$B$66)),NA())</f>
        <v>#N/A</v>
      </c>
      <c r="GI405" t="e">
        <f>IF(AND($B$21=1,(27*$B$66)&lt;IF($B$63=1,$B$10-0.2,$B$62)),$B$151+$B$150*(MAX(IF((27*$B$66)&lt;=$B$9,0,((27*$B$66)-$B$9)/$B$8),MIN(($B$5-IF((27*$B$66)&lt;=$B$9,0,((27*$B$66)-$B$9)/$B$8)),IF((27*$B$66)&lt;$B$125,$B$128,$B$127)))),NA())</f>
        <v>#N/A</v>
      </c>
      <c r="GJ405" t="e">
        <f>IF(AND($B$21=1,(27*$B$66)&lt;IF($B$63=1,$B$10-0.2,$B$62)),$B$152+$B$150*((27*$B$66)),NA())</f>
        <v>#N/A</v>
      </c>
      <c r="HQ405" t="e">
        <f>IF(AND(6&lt;=$B$23,1&lt;=$B$24),$B$157+$B$156*(IF(6=1,1,IF(6=$B$23,$B$12,5*(6-1)))*$B$13),NA())</f>
        <v>#N/A</v>
      </c>
      <c r="HR405" t="e">
        <f>IF(AND(6&lt;=$B$23,1&lt;=$B$24),$B$158+$B$156*((1*$B$5/2+(1-1)*($B$5/2)/$B$24)),NA())</f>
        <v>#N/A</v>
      </c>
      <c r="HS405" t="e">
        <f>IF(AND(17&lt;=$B$12,$B$51&gt;0),$B$157+$B$156*(((17-0.5)*$B$13)-($B$51*$B$13)/2),NA())</f>
        <v>#N/A</v>
      </c>
      <c r="HT405" t="e">
        <f>IF(AND(17&lt;=$B$12,$B$51&gt;0),$B$158+$B$156*((1*$B$5/2+0.6*$B$159)),NA())</f>
        <v>#N/A</v>
      </c>
      <c r="KI405" t="e">
        <f>IF(AND($B$21=1,34*$B$67&gt;$B$59,34*$B$67&lt;$B$178-$B$59,OR($B$63=0,ABS(34*$B$67-$B$178/2)&gt;$B$59/2)),$B$182+$B$181*($B$177*2/4-$B$60/2),NA())</f>
        <v>#N/A</v>
      </c>
      <c r="KJ405" t="e">
        <f>IF(AND($B$21=1,34*$B$67&gt;$B$59,34*$B$67&lt;$B$178-$B$59,OR($B$63=0,ABS(34*$B$67-$B$178/2)&gt;$B$59/2)),$B$183+$B$181*(34*$B$67),NA())</f>
        <v>#N/A</v>
      </c>
    </row>
    <row r="406">
      <c r="K406" t="e">
        <f>NA()</f>
        <v>#N/A</v>
      </c>
      <c r="L406" t="e">
        <f>NA()</f>
        <v>#N/A</v>
      </c>
      <c r="FE406" t="e">
        <f>IF(AND(AND($B$21=1,(27*$B$66)&lt;$B$62),(27*$B$66)&gt;=$B$94),$B$145+$B$144*($B$96),NA())</f>
        <v>#N/A</v>
      </c>
      <c r="FF406" t="e">
        <f>IF(AND(AND($B$21=1,(27*$B$66)&lt;$B$62),(27*$B$66)&gt;=$B$94),$B$146+$B$144*((27*$B$66)),NA())</f>
        <v>#N/A</v>
      </c>
      <c r="GI406" t="e">
        <f>IF(AND(AND($B$21=1,(27*$B$66)&lt;IF($B$63=1,$B$10-0.2,$B$62)),(27*$B$66)&gt;=$B$125),$B$151+$B$150*(MAX(IF((27*$B$66)&lt;=$B$9,0,((27*$B$66)-$B$9)/$B$8),MIN(($B$5-IF((27*$B$66)&lt;=$B$9,0,((27*$B$66)-$B$9)/$B$8)),$B$127))),NA())</f>
        <v>#N/A</v>
      </c>
      <c r="GJ406" t="e">
        <f>IF(AND(AND($B$21=1,(27*$B$66)&lt;IF($B$63=1,$B$10-0.2,$B$62)),(27*$B$66)&gt;=$B$125),$B$152+$B$150*((27*$B$66)),NA())</f>
        <v>#N/A</v>
      </c>
      <c r="HQ406" t="e">
        <f>NA()</f>
        <v>#N/A</v>
      </c>
      <c r="HR406" t="e">
        <f>NA()</f>
        <v>#N/A</v>
      </c>
      <c r="HS406" t="e">
        <f>NA()</f>
        <v>#N/A</v>
      </c>
      <c r="HT406" t="e">
        <f>NA()</f>
        <v>#N/A</v>
      </c>
      <c r="KI406" t="e">
        <f>NA()</f>
        <v>#N/A</v>
      </c>
      <c r="KJ406" t="e">
        <f>NA()</f>
        <v>#N/A</v>
      </c>
    </row>
    <row r="407">
      <c r="K407" t="e">
        <f>IF(22&lt;=$B$12,$B$133+$B$132*($B$13*22-$B$27/2),NA())</f>
        <v>#N/A</v>
      </c>
      <c r="L407" t="e">
        <f>IF(22&lt;=$B$12,$B$134+$B$132*($B$5-$B$27/2),NA())</f>
        <v>#N/A</v>
      </c>
      <c r="FE407" t="e">
        <f>IF(AND($B$21=1,(27*$B$66)&lt;$B$62),$B$145+$B$144*(IF((27*$B$66)&lt;$B$94,$B$98,$B$96)),NA())</f>
        <v>#N/A</v>
      </c>
      <c r="FF407" t="e">
        <f>IF(AND($B$21=1,(27*$B$66)&lt;$B$62),$B$146+$B$144*((27*$B$66)),NA())</f>
        <v>#N/A</v>
      </c>
      <c r="GI407" t="e">
        <f>IF(AND($B$21=1,(27*$B$66)&lt;IF($B$63=1,$B$10-0.2,$B$62)),$B$151+$B$150*(MAX(IF((27*$B$66)&lt;=$B$9,0,((27*$B$66)-$B$9)/$B$8),MIN(($B$5-IF((27*$B$66)&lt;=$B$9,0,((27*$B$66)-$B$9)/$B$8)),IF((27*$B$66)&lt;$B$125,$B$129,$B$127)))),NA())</f>
        <v>#N/A</v>
      </c>
      <c r="GJ407" t="e">
        <f>IF(AND($B$21=1,(27*$B$66)&lt;IF($B$63=1,$B$10-0.2,$B$62)),$B$152+$B$150*((27*$B$66)),NA())</f>
        <v>#N/A</v>
      </c>
      <c r="HQ407" t="e">
        <f>IF(AND(6&lt;=$B$23,2&lt;=$B$24),$B$157+$B$156*((IF(6=1,1,IF(6=$B$23,$B$12,5*(6-1)))-1)*$B$13),NA())</f>
        <v>#N/A</v>
      </c>
      <c r="HR407" t="e">
        <f>IF(AND(6&lt;=$B$23,2&lt;=$B$24),$B$158+$B$156*((1*$B$5/2+(2-1)*($B$5/2)/$B$24)),NA())</f>
        <v>#N/A</v>
      </c>
      <c r="HS407" t="e">
        <f>IF(AND(17&lt;=$B$12,$B$51&gt;0),$B$157+$B$156*(((17-0.5)*$B$13)-($B$51*$B$13)/2),NA())</f>
        <v>#N/A</v>
      </c>
      <c r="HT407" t="e">
        <f>IF(AND(17&lt;=$B$12,$B$51&gt;0),$B$158+$B$156*((1*$B$5/2+0.6*$B$159)),NA())</f>
        <v>#N/A</v>
      </c>
      <c r="KI407" t="e">
        <f>IF(AND($B$21=1,34*$B$67&gt;$B$59,34*$B$67&lt;$B$178-$B$59,OR($B$63=0,ABS(34*$B$67-$B$178/2)&gt;$B$59/2)),$B$182+$B$181*($B$177*2/4+$B$60/2),NA())</f>
        <v>#N/A</v>
      </c>
      <c r="KJ407" t="e">
        <f>IF(AND($B$21=1,34*$B$67&gt;$B$59,34*$B$67&lt;$B$178-$B$59,OR($B$63=0,ABS(34*$B$67-$B$178/2)&gt;$B$59/2)),$B$183+$B$181*(34*$B$67),NA())</f>
        <v>#N/A</v>
      </c>
    </row>
    <row r="408">
      <c r="K408" t="e">
        <f>IF(22&lt;=$B$12,$B$133+$B$132*($B$13*22+$B$27/2),NA())</f>
        <v>#N/A</v>
      </c>
      <c r="L408" t="e">
        <f>IF(22&lt;=$B$12,$B$134+$B$132*($B$5-$B$27/2),NA())</f>
        <v>#N/A</v>
      </c>
      <c r="FE408" t="e">
        <f>IF(AND($B$21=1,(27*$B$66)&lt;$B$62),$B$145+$B$144*($B$6),NA())</f>
        <v>#N/A</v>
      </c>
      <c r="FF408" t="e">
        <f>IF(AND($B$21=1,(27*$B$66)&lt;$B$62),$B$146+$B$144*((27*$B$66)),NA())</f>
        <v>#N/A</v>
      </c>
      <c r="GI408" t="e">
        <f>IF(AND($B$21=1,(27*$B$66)&lt;IF($B$63=1,$B$10-0.2,$B$62)),$B$151+$B$150*(($B$5-IF((27*$B$66)&lt;=$B$9,0,((27*$B$66)-$B$9)/$B$8))),NA())</f>
        <v>#N/A</v>
      </c>
      <c r="GJ408" t="e">
        <f>IF(AND($B$21=1,(27*$B$66)&lt;IF($B$63=1,$B$10-0.2,$B$62)),$B$152+$B$150*((27*$B$66)),NA())</f>
        <v>#N/A</v>
      </c>
      <c r="HQ408" t="e">
        <f>IF(AND(6&lt;=$B$23,2&lt;=$B$24),$B$157+$B$156*(IF(6=1,1,IF(6=$B$23,$B$12,5*(6-1)))*$B$13),NA())</f>
        <v>#N/A</v>
      </c>
      <c r="HR408" t="e">
        <f>IF(AND(6&lt;=$B$23,2&lt;=$B$24),$B$158+$B$156*((1*$B$5/2+2*($B$5/2)/$B$24)),NA())</f>
        <v>#N/A</v>
      </c>
      <c r="HS408" t="e">
        <f>IF(AND(17&lt;=$B$12,$B$51&gt;0),$B$157+$B$156*(((17-0.5)*$B$13)+($B$51*$B$13)/2),NA())</f>
        <v>#N/A</v>
      </c>
      <c r="HT408" t="e">
        <f>IF(AND(17&lt;=$B$12,$B$51&gt;0),$B$158+$B$156*((1*$B$5/2+0.6*$B$159)+(((1*$B$5/2+$B$5/2-0.6*$B$159))-((1*$B$5/2+0.6*$B$159)))/4),NA())</f>
        <v>#N/A</v>
      </c>
      <c r="KI408" t="e">
        <f>IF(AND($B$21=1,34*$B$67&gt;$B$59,34*$B$67&lt;$B$178-$B$59,OR($B$63=0,ABS(34*$B$67-$B$178/2)&gt;$B$59/2)),$B$182+$B$181*($B$177*3/4-$B$60/2),NA())</f>
        <v>#N/A</v>
      </c>
      <c r="KJ408" t="e">
        <f>IF(AND($B$21=1,34*$B$67&gt;$B$59,34*$B$67&lt;$B$178-$B$59,OR($B$63=0,ABS(34*$B$67-$B$178/2)&gt;$B$59/2)),$B$183+$B$181*(34*$B$67),NA())</f>
        <v>#N/A</v>
      </c>
    </row>
    <row r="409">
      <c r="K409" t="e">
        <f>IF(22&lt;=$B$12,$B$133+$B$132*($B$13*22+$B$27/2),NA())</f>
        <v>#N/A</v>
      </c>
      <c r="L409" t="e">
        <f>IF(22&lt;=$B$12,$B$134+$B$132*($B$5+$B$27/2),NA())</f>
        <v>#N/A</v>
      </c>
      <c r="FE409" t="e">
        <f>NA()</f>
        <v>#N/A</v>
      </c>
      <c r="FF409" t="e">
        <f>NA()</f>
        <v>#N/A</v>
      </c>
      <c r="GI409" t="e">
        <f>NA()</f>
        <v>#N/A</v>
      </c>
      <c r="GJ409" t="e">
        <f>NA()</f>
        <v>#N/A</v>
      </c>
      <c r="HQ409" t="e">
        <f>NA()</f>
        <v>#N/A</v>
      </c>
      <c r="HR409" t="e">
        <f>NA()</f>
        <v>#N/A</v>
      </c>
      <c r="HS409" t="e">
        <f>IF(AND(17&lt;=$B$12,$B$51&gt;0),$B$157+$B$156*(((17-0.5)*$B$13)-($B$51*$B$13)/2),NA())</f>
        <v>#N/A</v>
      </c>
      <c r="HT409" t="e">
        <f>IF(AND(17&lt;=$B$12,$B$51&gt;0),$B$158+$B$156*((1*$B$5/2+0.6*$B$159)+(((1*$B$5/2+$B$5/2-0.6*$B$159))-((1*$B$5/2+0.6*$B$159)))/2),NA())</f>
        <v>#N/A</v>
      </c>
      <c r="KI409" t="e">
        <f>NA()</f>
        <v>#N/A</v>
      </c>
      <c r="KJ409" t="e">
        <f>NA()</f>
        <v>#N/A</v>
      </c>
    </row>
    <row r="410">
      <c r="K410" t="e">
        <f>IF(22&lt;=$B$12,$B$133+$B$132*($B$13*22-$B$27/2),NA())</f>
        <v>#N/A</v>
      </c>
      <c r="L410" t="e">
        <f>IF(22&lt;=$B$12,$B$134+$B$132*($B$5+$B$27/2),NA())</f>
        <v>#N/A</v>
      </c>
      <c r="FE410" t="e">
        <f>IF(AND($B$21=1,(28*$B$66)&lt;$B$62),$B$145+$B$144*(0),NA())</f>
        <v>#N/A</v>
      </c>
      <c r="FF410" t="e">
        <f>IF(AND($B$21=1,(28*$B$66)&lt;$B$62),$B$146+$B$144*((28*$B$66)),NA())</f>
        <v>#N/A</v>
      </c>
      <c r="GI410" t="e">
        <f>IF(AND($B$21=1,(28*$B$66)&lt;IF($B$63=1,$B$10-0.2,$B$62)),$B$151+$B$150*(IF((28*$B$66)&lt;=$B$9,0,((28*$B$66)-$B$9)/$B$8)),NA())</f>
        <v>#N/A</v>
      </c>
      <c r="GJ410" t="e">
        <f>IF(AND($B$21=1,(28*$B$66)&lt;IF($B$63=1,$B$10-0.2,$B$62)),$B$152+$B$150*((28*$B$66)),NA())</f>
        <v>#N/A</v>
      </c>
      <c r="HQ410" t="e">
        <f>IF(AND(6&lt;=$B$23,2&lt;=$B$24),$B$157+$B$156*((IF(6=1,1,IF(6=$B$23,$B$12,5*(6-1)))-1)*$B$13),NA())</f>
        <v>#N/A</v>
      </c>
      <c r="HR410" t="e">
        <f>IF(AND(6&lt;=$B$23,2&lt;=$B$24),$B$158+$B$156*((1*$B$5/2+2*($B$5/2)/$B$24)),NA())</f>
        <v>#N/A</v>
      </c>
      <c r="HS410" t="e">
        <f>IF(AND(17&lt;=$B$12,$B$51&gt;0),$B$157+$B$156*(((17-0.5)*$B$13)+($B$51*$B$13)/2),NA())</f>
        <v>#N/A</v>
      </c>
      <c r="HT410" t="e">
        <f>IF(AND(17&lt;=$B$12,$B$51&gt;0),$B$158+$B$156*((1*$B$5/2+0.6*$B$159)+3*(((1*$B$5/2+$B$5/2-0.6*$B$159))-((1*$B$5/2+0.6*$B$159)))/4),NA())</f>
        <v>#N/A</v>
      </c>
      <c r="KI410" t="e">
        <f>IF(AND($B$21=1,34*$B$67&gt;$B$59,34*$B$67&lt;$B$178-$B$59,OR($B$63=0,ABS(34*$B$67-$B$178/2)&gt;$B$59/2)),$B$182+$B$181*($B$177*3/4+$B$60/2),NA())</f>
        <v>#N/A</v>
      </c>
      <c r="KJ410" t="e">
        <f>IF(AND($B$21=1,34*$B$67&gt;$B$59,34*$B$67&lt;$B$178-$B$59,OR($B$63=0,ABS(34*$B$67-$B$178/2)&gt;$B$59/2)),$B$183+$B$181*(34*$B$67),NA())</f>
        <v>#N/A</v>
      </c>
    </row>
    <row r="411">
      <c r="K411" t="e">
        <f>IF(22&lt;=$B$12,$B$133+$B$132*($B$13*22-$B$27/2),NA())</f>
        <v>#N/A</v>
      </c>
      <c r="L411" t="e">
        <f>IF(22&lt;=$B$12,$B$134+$B$132*($B$5-$B$27/2),NA())</f>
        <v>#N/A</v>
      </c>
      <c r="FE411" t="e">
        <f>IF(AND($B$21=1,(28*$B$66)&lt;$B$62),$B$145+$B$144*(IF((28*$B$66)&lt;$B$73,$B$76,$B$75)),NA())</f>
        <v>#N/A</v>
      </c>
      <c r="FF411" t="e">
        <f>IF(AND($B$21=1,(28*$B$66)&lt;$B$62),$B$146+$B$144*((28*$B$66)),NA())</f>
        <v>#N/A</v>
      </c>
      <c r="GI411" t="e">
        <f>IF(AND($B$21=1,(28*$B$66)&lt;IF($B$63=1,$B$10-0.2,$B$62)),$B$151+$B$150*(MAX(IF((28*$B$66)&lt;=$B$9,0,((28*$B$66)-$B$9)/$B$8),MIN(($B$5-IF((28*$B$66)&lt;=$B$9,0,((28*$B$66)-$B$9)/$B$8)),IF((28*$B$66)&lt;$B$104,$B$107,$B$106)))),NA())</f>
        <v>#N/A</v>
      </c>
      <c r="GJ411" t="e">
        <f>IF(AND($B$21=1,(28*$B$66)&lt;IF($B$63=1,$B$10-0.2,$B$62)),$B$152+$B$150*((28*$B$66)),NA())</f>
        <v>#N/A</v>
      </c>
      <c r="HQ411" t="e">
        <f>IF(AND(6&lt;=$B$23,2&lt;=$B$24),$B$157+$B$156*(IF(6=1,1,IF(6=$B$23,$B$12,5*(6-1)))*$B$13),NA())</f>
        <v>#N/A</v>
      </c>
      <c r="HR411" t="e">
        <f>IF(AND(6&lt;=$B$23,2&lt;=$B$24),$B$158+$B$156*((1*$B$5/2+(2-1)*($B$5/2)/$B$24)),NA())</f>
        <v>#N/A</v>
      </c>
      <c r="HS411" t="e">
        <f>IF(AND(17&lt;=$B$12,$B$51&gt;0),$B$157+$B$156*(((17-0.5)*$B$13)-($B$51*$B$13)/2),NA())</f>
        <v>#N/A</v>
      </c>
      <c r="HT411" t="e">
        <f>IF(AND(17&lt;=$B$12,$B$51&gt;0),$B$158+$B$156*((1*$B$5/2+$B$5/2-0.6*$B$159)),NA())</f>
        <v>#N/A</v>
      </c>
      <c r="KI411" t="e">
        <f>IF(AND($B$21=1,34*$B$67&gt;$B$59,34*$B$67&lt;$B$178-$B$59,OR($B$63=0,ABS(34*$B$67-$B$178/2)&gt;$B$59/2)),$B$182+$B$181*($B$177),NA())</f>
        <v>#N/A</v>
      </c>
      <c r="KJ411" t="e">
        <f>IF(AND($B$21=1,34*$B$67&gt;$B$59,34*$B$67&lt;$B$178-$B$59,OR($B$63=0,ABS(34*$B$67-$B$178/2)&gt;$B$59/2)),$B$183+$B$181*(34*$B$67),NA())</f>
        <v>#N/A</v>
      </c>
    </row>
    <row r="412">
      <c r="K412" t="e">
        <f>NA()</f>
        <v>#N/A</v>
      </c>
      <c r="L412" t="e">
        <f>NA()</f>
        <v>#N/A</v>
      </c>
      <c r="FE412" t="e">
        <f>IF(AND(AND($B$21=1,(28*$B$66)&lt;$B$62),(28*$B$66)&gt;=$B$73),$B$145+$B$144*($B$75),NA())</f>
        <v>#N/A</v>
      </c>
      <c r="FF412" t="e">
        <f>IF(AND(AND($B$21=1,(28*$B$66)&lt;$B$62),(28*$B$66)&gt;=$B$73),$B$146+$B$144*((28*$B$66)),NA())</f>
        <v>#N/A</v>
      </c>
      <c r="GI412" t="e">
        <f>IF(AND(AND($B$21=1,(28*$B$66)&lt;IF($B$63=1,$B$10-0.2,$B$62)),(28*$B$66)&gt;=$B$104),$B$151+$B$150*(MAX(IF((28*$B$66)&lt;=$B$9,0,((28*$B$66)-$B$9)/$B$8),MIN(($B$5-IF((28*$B$66)&lt;=$B$9,0,((28*$B$66)-$B$9)/$B$8)),$B$106))),NA())</f>
        <v>#N/A</v>
      </c>
      <c r="GJ412" t="e">
        <f>IF(AND(AND($B$21=1,(28*$B$66)&lt;IF($B$63=1,$B$10-0.2,$B$62)),(28*$B$66)&gt;=$B$104),$B$152+$B$150*((28*$B$66)),NA())</f>
        <v>#N/A</v>
      </c>
      <c r="HQ412" t="e">
        <f>NA()</f>
        <v>#N/A</v>
      </c>
      <c r="HR412" t="e">
        <f>NA()</f>
        <v>#N/A</v>
      </c>
      <c r="HS412" t="e">
        <f>NA()</f>
        <v>#N/A</v>
      </c>
      <c r="HT412" t="e">
        <f>NA()</f>
        <v>#N/A</v>
      </c>
      <c r="KI412" t="e">
        <f>NA()</f>
        <v>#N/A</v>
      </c>
      <c r="KJ412" t="e">
        <f>NA()</f>
        <v>#N/A</v>
      </c>
    </row>
    <row r="413">
      <c r="K413" t="e">
        <f>IF(AND(22&lt;=$B$12,$B$45=1),$B$133+$B$132*($B$13*22-$B$27/2),NA())</f>
        <v>#N/A</v>
      </c>
      <c r="L413" t="e">
        <f>IF(AND(22&lt;=$B$12,$B$45=1),$B$134+$B$132*($B$5/2-$B$27/2),NA())</f>
        <v>#N/A</v>
      </c>
      <c r="FE413" t="e">
        <f>IF(AND($B$21=1,(28*$B$66)&lt;$B$62),$B$145+$B$144*(IF((28*$B$66)&lt;$B$73,$B$77,$B$75)),NA())</f>
        <v>#N/A</v>
      </c>
      <c r="FF413" t="e">
        <f>IF(AND($B$21=1,(28*$B$66)&lt;$B$62),$B$146+$B$144*((28*$B$66)),NA())</f>
        <v>#N/A</v>
      </c>
      <c r="GI413" t="e">
        <f>IF(AND($B$21=1,(28*$B$66)&lt;IF($B$63=1,$B$10-0.2,$B$62)),$B$151+$B$150*(MAX(IF((28*$B$66)&lt;=$B$9,0,((28*$B$66)-$B$9)/$B$8),MIN(($B$5-IF((28*$B$66)&lt;=$B$9,0,((28*$B$66)-$B$9)/$B$8)),IF((28*$B$66)&lt;$B$104,$B$108,$B$106)))),NA())</f>
        <v>#N/A</v>
      </c>
      <c r="GJ413" t="e">
        <f>IF(AND($B$21=1,(28*$B$66)&lt;IF($B$63=1,$B$10-0.2,$B$62)),$B$152+$B$150*((28*$B$66)),NA())</f>
        <v>#N/A</v>
      </c>
      <c r="HQ413" t="e">
        <f>IF(AND(6&lt;=$B$23,3&lt;=$B$24),$B$157+$B$156*((IF(6=1,1,IF(6=$B$23,$B$12,5*(6-1)))-1)*$B$13),NA())</f>
        <v>#N/A</v>
      </c>
      <c r="HR413" t="e">
        <f>IF(AND(6&lt;=$B$23,3&lt;=$B$24),$B$158+$B$156*((1*$B$5/2+(3-1)*($B$5/2)/$B$24)),NA())</f>
        <v>#N/A</v>
      </c>
      <c r="HS413" t="e">
        <f>IF(AND(18&lt;=$B$12,$B$51&gt;0),$B$157+$B$156*(((18-0.5)*$B$13)-($B$51*$B$13)/2),NA())</f>
        <v>#N/A</v>
      </c>
      <c r="HT413" t="e">
        <f>IF(AND(18&lt;=$B$12,$B$51&gt;0),$B$158+$B$156*((0*$B$5/2+0.6*$B$159)),NA())</f>
        <v>#N/A</v>
      </c>
      <c r="KI413" t="e">
        <f>IF(AND($B$21=1,35*$B$67&gt;$B$59,35*$B$67&lt;$B$178-$B$59,OR($B$63=0,ABS(35*$B$67-$B$178/2)&gt;$B$59/2)),$B$182+$B$181*(0),NA())</f>
        <v>#N/A</v>
      </c>
      <c r="KJ413" t="e">
        <f>IF(AND($B$21=1,35*$B$67&gt;$B$59,35*$B$67&lt;$B$178-$B$59,OR($B$63=0,ABS(35*$B$67-$B$178/2)&gt;$B$59/2)),$B$183+$B$181*(35*$B$67),NA())</f>
        <v>#N/A</v>
      </c>
    </row>
    <row r="414">
      <c r="K414" t="e">
        <f>IF(AND(22&lt;=$B$12,$B$45=1),$B$133+$B$132*($B$13*22+$B$27/2),NA())</f>
        <v>#N/A</v>
      </c>
      <c r="L414" t="e">
        <f>IF(AND(22&lt;=$B$12,$B$45=1),$B$134+$B$132*($B$5/2-$B$27/2),NA())</f>
        <v>#N/A</v>
      </c>
      <c r="FE414" t="e">
        <f>IF(AND($B$21=1,(28*$B$66)&lt;$B$62),$B$145+$B$144*(IF((28*$B$66)&lt;$B$80,$B$83,$B$82)),NA())</f>
        <v>#N/A</v>
      </c>
      <c r="FF414" t="e">
        <f>IF(AND($B$21=1,(28*$B$66)&lt;$B$62),$B$146+$B$144*((28*$B$66)),NA())</f>
        <v>#N/A</v>
      </c>
      <c r="GI414" t="e">
        <f>IF(AND($B$21=1,(28*$B$66)&lt;IF($B$63=1,$B$10-0.2,$B$62)),$B$151+$B$150*(MAX(IF((28*$B$66)&lt;=$B$9,0,((28*$B$66)-$B$9)/$B$8),MIN(($B$5-IF((28*$B$66)&lt;=$B$9,0,((28*$B$66)-$B$9)/$B$8)),IF((28*$B$66)&lt;$B$111,$B$114,$B$113)))),NA())</f>
        <v>#N/A</v>
      </c>
      <c r="GJ414" t="e">
        <f>IF(AND($B$21=1,(28*$B$66)&lt;IF($B$63=1,$B$10-0.2,$B$62)),$B$152+$B$150*((28*$B$66)),NA())</f>
        <v>#N/A</v>
      </c>
      <c r="HQ414" t="e">
        <f>IF(AND(6&lt;=$B$23,3&lt;=$B$24),$B$157+$B$156*(IF(6=1,1,IF(6=$B$23,$B$12,5*(6-1)))*$B$13),NA())</f>
        <v>#N/A</v>
      </c>
      <c r="HR414" t="e">
        <f>IF(AND(6&lt;=$B$23,3&lt;=$B$24),$B$158+$B$156*((1*$B$5/2+3*($B$5/2)/$B$24)),NA())</f>
        <v>#N/A</v>
      </c>
      <c r="HS414" t="e">
        <f>IF(AND(18&lt;=$B$12,$B$51&gt;0),$B$157+$B$156*(((18-0.5)*$B$13)+($B$51*$B$13)/2),NA())</f>
        <v>#N/A</v>
      </c>
      <c r="HT414" t="e">
        <f>IF(AND(18&lt;=$B$12,$B$51&gt;0),$B$158+$B$156*((0*$B$5/2+0.6*$B$159)),NA())</f>
        <v>#N/A</v>
      </c>
      <c r="KI414" t="e">
        <f>IF(AND($B$21=1,35*$B$67&gt;$B$59,35*$B$67&lt;$B$178-$B$59,OR($B$63=0,ABS(35*$B$67-$B$178/2)&gt;$B$59/2)),$B$182+$B$181*($B$177*1/4-$B$60/2),NA())</f>
        <v>#N/A</v>
      </c>
      <c r="KJ414" t="e">
        <f>IF(AND($B$21=1,35*$B$67&gt;$B$59,35*$B$67&lt;$B$178-$B$59,OR($B$63=0,ABS(35*$B$67-$B$178/2)&gt;$B$59/2)),$B$183+$B$181*(35*$B$67),NA())</f>
        <v>#N/A</v>
      </c>
    </row>
    <row r="415">
      <c r="K415" t="e">
        <f>IF(AND(22&lt;=$B$12,$B$45=1),$B$133+$B$132*($B$13*22+$B$27/2),NA())</f>
        <v>#N/A</v>
      </c>
      <c r="L415" t="e">
        <f>IF(AND(22&lt;=$B$12,$B$45=1),$B$134+$B$132*($B$5/2+$B$27/2),NA())</f>
        <v>#N/A</v>
      </c>
      <c r="FE415" t="e">
        <f>IF(AND(AND($B$21=1,(28*$B$66)&lt;$B$62),(28*$B$66)&gt;=$B$80),$B$145+$B$144*($B$82),NA())</f>
        <v>#N/A</v>
      </c>
      <c r="FF415" t="e">
        <f>IF(AND(AND($B$21=1,(28*$B$66)&lt;$B$62),(28*$B$66)&gt;=$B$80),$B$146+$B$144*((28*$B$66)),NA())</f>
        <v>#N/A</v>
      </c>
      <c r="GI415" t="e">
        <f>IF(AND(AND($B$21=1,(28*$B$66)&lt;IF($B$63=1,$B$10-0.2,$B$62)),(28*$B$66)&gt;=$B$111),$B$151+$B$150*(MAX(IF((28*$B$66)&lt;=$B$9,0,((28*$B$66)-$B$9)/$B$8),MIN(($B$5-IF((28*$B$66)&lt;=$B$9,0,((28*$B$66)-$B$9)/$B$8)),$B$113))),NA())</f>
        <v>#N/A</v>
      </c>
      <c r="GJ415" t="e">
        <f>IF(AND(AND($B$21=1,(28*$B$66)&lt;IF($B$63=1,$B$10-0.2,$B$62)),(28*$B$66)&gt;=$B$111),$B$152+$B$150*((28*$B$66)),NA())</f>
        <v>#N/A</v>
      </c>
      <c r="HQ415" t="e">
        <f>NA()</f>
        <v>#N/A</v>
      </c>
      <c r="HR415" t="e">
        <f>NA()</f>
        <v>#N/A</v>
      </c>
      <c r="HS415" t="e">
        <f>IF(AND(18&lt;=$B$12,$B$51&gt;0),$B$157+$B$156*(((18-0.5)*$B$13)+($B$51*$B$13)/2),NA())</f>
        <v>#N/A</v>
      </c>
      <c r="HT415" t="e">
        <f>IF(AND(18&lt;=$B$12,$B$51&gt;0),$B$158+$B$156*((0*$B$5/2+$B$5/2-0.6*$B$159)),NA())</f>
        <v>#N/A</v>
      </c>
      <c r="KI415" t="e">
        <f>NA()</f>
        <v>#N/A</v>
      </c>
      <c r="KJ415" t="e">
        <f>NA()</f>
        <v>#N/A</v>
      </c>
    </row>
    <row r="416">
      <c r="K416" t="e">
        <f>IF(AND(22&lt;=$B$12,$B$45=1),$B$133+$B$132*($B$13*22-$B$27/2),NA())</f>
        <v>#N/A</v>
      </c>
      <c r="L416" t="e">
        <f>IF(AND(22&lt;=$B$12,$B$45=1),$B$134+$B$132*($B$5/2+$B$27/2),NA())</f>
        <v>#N/A</v>
      </c>
      <c r="FE416" t="e">
        <f>IF(AND($B$21=1,(28*$B$66)&lt;$B$62),$B$145+$B$144*(IF((28*$B$66)&lt;$B$80,$B$84,$B$82)),NA())</f>
        <v>#N/A</v>
      </c>
      <c r="FF416" t="e">
        <f>IF(AND($B$21=1,(28*$B$66)&lt;$B$62),$B$146+$B$144*((28*$B$66)),NA())</f>
        <v>#N/A</v>
      </c>
      <c r="GI416" t="e">
        <f>IF(AND($B$21=1,(28*$B$66)&lt;IF($B$63=1,$B$10-0.2,$B$62)),$B$151+$B$150*(MAX(IF((28*$B$66)&lt;=$B$9,0,((28*$B$66)-$B$9)/$B$8),MIN(($B$5-IF((28*$B$66)&lt;=$B$9,0,((28*$B$66)-$B$9)/$B$8)),IF((28*$B$66)&lt;$B$111,$B$115,$B$113)))),NA())</f>
        <v>#N/A</v>
      </c>
      <c r="GJ416" t="e">
        <f>IF(AND($B$21=1,(28*$B$66)&lt;IF($B$63=1,$B$10-0.2,$B$62)),$B$152+$B$150*((28*$B$66)),NA())</f>
        <v>#N/A</v>
      </c>
      <c r="HQ416" t="e">
        <f>IF(AND(6&lt;=$B$23,3&lt;=$B$24),$B$157+$B$156*((IF(6=1,1,IF(6=$B$23,$B$12,5*(6-1)))-1)*$B$13),NA())</f>
        <v>#N/A</v>
      </c>
      <c r="HR416" t="e">
        <f>IF(AND(6&lt;=$B$23,3&lt;=$B$24),$B$158+$B$156*((1*$B$5/2+3*($B$5/2)/$B$24)),NA())</f>
        <v>#N/A</v>
      </c>
      <c r="HS416" t="e">
        <f>IF(AND(18&lt;=$B$12,$B$51&gt;0),$B$157+$B$156*(((18-0.5)*$B$13)-($B$51*$B$13)/2),NA())</f>
        <v>#N/A</v>
      </c>
      <c r="HT416" t="e">
        <f>IF(AND(18&lt;=$B$12,$B$51&gt;0),$B$158+$B$156*((0*$B$5/2+$B$5/2-0.6*$B$159)),NA())</f>
        <v>#N/A</v>
      </c>
      <c r="KI416" t="e">
        <f>IF(AND($B$21=1,35*$B$67&gt;$B$59,35*$B$67&lt;$B$178-$B$59,OR($B$63=0,ABS(35*$B$67-$B$178/2)&gt;$B$59/2)),$B$182+$B$181*($B$177*1/4+$B$60/2),NA())</f>
        <v>#N/A</v>
      </c>
      <c r="KJ416" t="e">
        <f>IF(AND($B$21=1,35*$B$67&gt;$B$59,35*$B$67&lt;$B$178-$B$59,OR($B$63=0,ABS(35*$B$67-$B$178/2)&gt;$B$59/2)),$B$183+$B$181*(35*$B$67),NA())</f>
        <v>#N/A</v>
      </c>
    </row>
    <row r="417">
      <c r="K417" t="e">
        <f>IF(AND(22&lt;=$B$12,$B$45=1),$B$133+$B$132*($B$13*22-$B$27/2),NA())</f>
        <v>#N/A</v>
      </c>
      <c r="L417" t="e">
        <f>IF(AND(22&lt;=$B$12,$B$45=1),$B$134+$B$132*($B$5/2-$B$27/2),NA())</f>
        <v>#N/A</v>
      </c>
      <c r="FE417" t="e">
        <f>IF(AND($B$21=1,(28*$B$66)&lt;$B$62),$B$145+$B$144*(IF((28*$B$66)&lt;$B$87,$B$90,$B$89)),NA())</f>
        <v>#N/A</v>
      </c>
      <c r="FF417" t="e">
        <f>IF(AND($B$21=1,(28*$B$66)&lt;$B$62),$B$146+$B$144*((28*$B$66)),NA())</f>
        <v>#N/A</v>
      </c>
      <c r="GI417" t="e">
        <f>IF(AND($B$21=1,(28*$B$66)&lt;IF($B$63=1,$B$10-0.2,$B$62)),$B$151+$B$150*(MAX(IF((28*$B$66)&lt;=$B$9,0,((28*$B$66)-$B$9)/$B$8),MIN(($B$5-IF((28*$B$66)&lt;=$B$9,0,((28*$B$66)-$B$9)/$B$8)),IF((28*$B$66)&lt;$B$118,$B$121,$B$120)))),NA())</f>
        <v>#N/A</v>
      </c>
      <c r="GJ417" t="e">
        <f>IF(AND($B$21=1,(28*$B$66)&lt;IF($B$63=1,$B$10-0.2,$B$62)),$B$152+$B$150*((28*$B$66)),NA())</f>
        <v>#N/A</v>
      </c>
      <c r="HQ417" t="e">
        <f>IF(AND(6&lt;=$B$23,3&lt;=$B$24),$B$157+$B$156*(IF(6=1,1,IF(6=$B$23,$B$12,5*(6-1)))*$B$13),NA())</f>
        <v>#N/A</v>
      </c>
      <c r="HR417" t="e">
        <f>IF(AND(6&lt;=$B$23,3&lt;=$B$24),$B$158+$B$156*((1*$B$5/2+(3-1)*($B$5/2)/$B$24)),NA())</f>
        <v>#N/A</v>
      </c>
      <c r="HS417" t="e">
        <f>IF(AND(18&lt;=$B$12,$B$51&gt;0),$B$157+$B$156*(((18-0.5)*$B$13)-($B$51*$B$13)/2),NA())</f>
        <v>#N/A</v>
      </c>
      <c r="HT417" t="e">
        <f>IF(AND(18&lt;=$B$12,$B$51&gt;0),$B$158+$B$156*((0*$B$5/2+0.6*$B$159)),NA())</f>
        <v>#N/A</v>
      </c>
      <c r="KI417" t="e">
        <f>IF(AND($B$21=1,35*$B$67&gt;$B$59,35*$B$67&lt;$B$178-$B$59,OR($B$63=0,ABS(35*$B$67-$B$178/2)&gt;$B$59/2)),$B$182+$B$181*($B$177*2/4-$B$60/2),NA())</f>
        <v>#N/A</v>
      </c>
      <c r="KJ417" t="e">
        <f>IF(AND($B$21=1,35*$B$67&gt;$B$59,35*$B$67&lt;$B$178-$B$59,OR($B$63=0,ABS(35*$B$67-$B$178/2)&gt;$B$59/2)),$B$183+$B$181*(35*$B$67),NA())</f>
        <v>#N/A</v>
      </c>
    </row>
    <row r="418">
      <c r="K418" t="e">
        <f>NA()</f>
        <v>#N/A</v>
      </c>
      <c r="L418" t="e">
        <f>NA()</f>
        <v>#N/A</v>
      </c>
      <c r="FE418" t="e">
        <f>IF(AND(AND($B$21=1,(28*$B$66)&lt;$B$62),(28*$B$66)&gt;=$B$87),$B$145+$B$144*($B$89),NA())</f>
        <v>#N/A</v>
      </c>
      <c r="FF418" t="e">
        <f>IF(AND(AND($B$21=1,(28*$B$66)&lt;$B$62),(28*$B$66)&gt;=$B$87),$B$146+$B$144*((28*$B$66)),NA())</f>
        <v>#N/A</v>
      </c>
      <c r="GI418" t="e">
        <f>IF(AND(AND($B$21=1,(28*$B$66)&lt;IF($B$63=1,$B$10-0.2,$B$62)),(28*$B$66)&gt;=$B$118),$B$151+$B$150*(MAX(IF((28*$B$66)&lt;=$B$9,0,((28*$B$66)-$B$9)/$B$8),MIN(($B$5-IF((28*$B$66)&lt;=$B$9,0,((28*$B$66)-$B$9)/$B$8)),$B$120))),NA())</f>
        <v>#N/A</v>
      </c>
      <c r="GJ418" t="e">
        <f>IF(AND(AND($B$21=1,(28*$B$66)&lt;IF($B$63=1,$B$10-0.2,$B$62)),(28*$B$66)&gt;=$B$118),$B$152+$B$150*((28*$B$66)),NA())</f>
        <v>#N/A</v>
      </c>
      <c r="HQ418" t="e">
        <f>NA()</f>
        <v>#N/A</v>
      </c>
      <c r="HR418" t="e">
        <f>NA()</f>
        <v>#N/A</v>
      </c>
      <c r="HS418" t="e">
        <f>NA()</f>
        <v>#N/A</v>
      </c>
      <c r="HT418" t="e">
        <f>NA()</f>
        <v>#N/A</v>
      </c>
      <c r="KI418" t="e">
        <f>NA()</f>
        <v>#N/A</v>
      </c>
      <c r="KJ418" t="e">
        <f>NA()</f>
        <v>#N/A</v>
      </c>
    </row>
    <row r="419">
      <c r="K419" t="e">
        <f>IF(23&lt;=$B$12,$B$133+$B$132*($B$13*23-$B$27/2),NA())</f>
        <v>#N/A</v>
      </c>
      <c r="L419" t="e">
        <f>IF(23&lt;=$B$12,$B$134+$B$132*(0-$B$27/2),NA())</f>
        <v>#N/A</v>
      </c>
      <c r="FE419" t="e">
        <f>IF(AND($B$21=1,(28*$B$66)&lt;$B$62),$B$145+$B$144*(IF((28*$B$66)&lt;$B$87,$B$91,$B$89)),NA())</f>
        <v>#N/A</v>
      </c>
      <c r="FF419" t="e">
        <f>IF(AND($B$21=1,(28*$B$66)&lt;$B$62),$B$146+$B$144*((28*$B$66)),NA())</f>
        <v>#N/A</v>
      </c>
      <c r="GI419" t="e">
        <f>IF(AND($B$21=1,(28*$B$66)&lt;IF($B$63=1,$B$10-0.2,$B$62)),$B$151+$B$150*(MAX(IF((28*$B$66)&lt;=$B$9,0,((28*$B$66)-$B$9)/$B$8),MIN(($B$5-IF((28*$B$66)&lt;=$B$9,0,((28*$B$66)-$B$9)/$B$8)),IF((28*$B$66)&lt;$B$118,$B$122,$B$120)))),NA())</f>
        <v>#N/A</v>
      </c>
      <c r="GJ419" t="e">
        <f>IF(AND($B$21=1,(28*$B$66)&lt;IF($B$63=1,$B$10-0.2,$B$62)),$B$152+$B$150*((28*$B$66)),NA())</f>
        <v>#N/A</v>
      </c>
      <c r="HQ419" t="e">
        <f>IF(AND(6&lt;=$B$23,4&lt;=$B$24),$B$157+$B$156*((IF(6=1,1,IF(6=$B$23,$B$12,5*(6-1)))-1)*$B$13),NA())</f>
        <v>#N/A</v>
      </c>
      <c r="HR419" t="e">
        <f>IF(AND(6&lt;=$B$23,4&lt;=$B$24),$B$158+$B$156*((1*$B$5/2+(4-1)*($B$5/2)/$B$24)),NA())</f>
        <v>#N/A</v>
      </c>
      <c r="HS419" t="e">
        <f>IF(AND(18&lt;=$B$12,$B$51&gt;0),$B$157+$B$156*(((18-0.5)*$B$13)-($B$51*$B$13)/2),NA())</f>
        <v>#N/A</v>
      </c>
      <c r="HT419" t="e">
        <f>IF(AND(18&lt;=$B$12,$B$51&gt;0),$B$158+$B$156*((0*$B$5/2+0.6*$B$159)),NA())</f>
        <v>#N/A</v>
      </c>
      <c r="KI419" t="e">
        <f>IF(AND($B$21=1,35*$B$67&gt;$B$59,35*$B$67&lt;$B$178-$B$59,OR($B$63=0,ABS(35*$B$67-$B$178/2)&gt;$B$59/2)),$B$182+$B$181*($B$177*2/4+$B$60/2),NA())</f>
        <v>#N/A</v>
      </c>
      <c r="KJ419" t="e">
        <f>IF(AND($B$21=1,35*$B$67&gt;$B$59,35*$B$67&lt;$B$178-$B$59,OR($B$63=0,ABS(35*$B$67-$B$178/2)&gt;$B$59/2)),$B$183+$B$181*(35*$B$67),NA())</f>
        <v>#N/A</v>
      </c>
    </row>
    <row r="420">
      <c r="K420" t="e">
        <f>IF(23&lt;=$B$12,$B$133+$B$132*($B$13*23+$B$27/2),NA())</f>
        <v>#N/A</v>
      </c>
      <c r="L420" t="e">
        <f>IF(23&lt;=$B$12,$B$134+$B$132*(0-$B$27/2),NA())</f>
        <v>#N/A</v>
      </c>
      <c r="FE420" t="e">
        <f>IF(AND($B$21=1,(28*$B$66)&lt;$B$62),$B$145+$B$144*(IF((28*$B$66)&lt;$B$94,$B$97,$B$96)),NA())</f>
        <v>#N/A</v>
      </c>
      <c r="FF420" t="e">
        <f>IF(AND($B$21=1,(28*$B$66)&lt;$B$62),$B$146+$B$144*((28*$B$66)),NA())</f>
        <v>#N/A</v>
      </c>
      <c r="GI420" t="e">
        <f>IF(AND($B$21=1,(28*$B$66)&lt;IF($B$63=1,$B$10-0.2,$B$62)),$B$151+$B$150*(MAX(IF((28*$B$66)&lt;=$B$9,0,((28*$B$66)-$B$9)/$B$8),MIN(($B$5-IF((28*$B$66)&lt;=$B$9,0,((28*$B$66)-$B$9)/$B$8)),IF((28*$B$66)&lt;$B$125,$B$128,$B$127)))),NA())</f>
        <v>#N/A</v>
      </c>
      <c r="GJ420" t="e">
        <f>IF(AND($B$21=1,(28*$B$66)&lt;IF($B$63=1,$B$10-0.2,$B$62)),$B$152+$B$150*((28*$B$66)),NA())</f>
        <v>#N/A</v>
      </c>
      <c r="HQ420" t="e">
        <f>IF(AND(6&lt;=$B$23,4&lt;=$B$24),$B$157+$B$156*(IF(6=1,1,IF(6=$B$23,$B$12,5*(6-1)))*$B$13),NA())</f>
        <v>#N/A</v>
      </c>
      <c r="HR420" t="e">
        <f>IF(AND(6&lt;=$B$23,4&lt;=$B$24),$B$158+$B$156*((1*$B$5/2+4*($B$5/2)/$B$24)),NA())</f>
        <v>#N/A</v>
      </c>
      <c r="HS420" t="e">
        <f>IF(AND(18&lt;=$B$12,$B$51&gt;0),$B$157+$B$156*(((18-0.5)*$B$13)+($B$51*$B$13)/2),NA())</f>
        <v>#N/A</v>
      </c>
      <c r="HT420" t="e">
        <f>IF(AND(18&lt;=$B$12,$B$51&gt;0),$B$158+$B$156*((0*$B$5/2+0.6*$B$159)+(((0*$B$5/2+$B$5/2-0.6*$B$159))-((0*$B$5/2+0.6*$B$159)))/4),NA())</f>
        <v>#N/A</v>
      </c>
      <c r="KI420" t="e">
        <f>IF(AND($B$21=1,35*$B$67&gt;$B$59,35*$B$67&lt;$B$178-$B$59,OR($B$63=0,ABS(35*$B$67-$B$178/2)&gt;$B$59/2)),$B$182+$B$181*($B$177*3/4-$B$60/2),NA())</f>
        <v>#N/A</v>
      </c>
      <c r="KJ420" t="e">
        <f>IF(AND($B$21=1,35*$B$67&gt;$B$59,35*$B$67&lt;$B$178-$B$59,OR($B$63=0,ABS(35*$B$67-$B$178/2)&gt;$B$59/2)),$B$183+$B$181*(35*$B$67),NA())</f>
        <v>#N/A</v>
      </c>
    </row>
    <row r="421">
      <c r="K421" t="e">
        <f>IF(23&lt;=$B$12,$B$133+$B$132*($B$13*23+$B$27/2),NA())</f>
        <v>#N/A</v>
      </c>
      <c r="L421" t="e">
        <f>IF(23&lt;=$B$12,$B$134+$B$132*(0+$B$27/2),NA())</f>
        <v>#N/A</v>
      </c>
      <c r="FE421" t="e">
        <f>IF(AND(AND($B$21=1,(28*$B$66)&lt;$B$62),(28*$B$66)&gt;=$B$94),$B$145+$B$144*($B$96),NA())</f>
        <v>#N/A</v>
      </c>
      <c r="FF421" t="e">
        <f>IF(AND(AND($B$21=1,(28*$B$66)&lt;$B$62),(28*$B$66)&gt;=$B$94),$B$146+$B$144*((28*$B$66)),NA())</f>
        <v>#N/A</v>
      </c>
      <c r="GI421" t="e">
        <f>IF(AND(AND($B$21=1,(28*$B$66)&lt;IF($B$63=1,$B$10-0.2,$B$62)),(28*$B$66)&gt;=$B$125),$B$151+$B$150*(MAX(IF((28*$B$66)&lt;=$B$9,0,((28*$B$66)-$B$9)/$B$8),MIN(($B$5-IF((28*$B$66)&lt;=$B$9,0,((28*$B$66)-$B$9)/$B$8)),$B$127))),NA())</f>
        <v>#N/A</v>
      </c>
      <c r="GJ421" t="e">
        <f>IF(AND(AND($B$21=1,(28*$B$66)&lt;IF($B$63=1,$B$10-0.2,$B$62)),(28*$B$66)&gt;=$B$125),$B$152+$B$150*((28*$B$66)),NA())</f>
        <v>#N/A</v>
      </c>
      <c r="HQ421" t="e">
        <f>NA()</f>
        <v>#N/A</v>
      </c>
      <c r="HR421" t="e">
        <f>NA()</f>
        <v>#N/A</v>
      </c>
      <c r="HS421" t="e">
        <f>IF(AND(18&lt;=$B$12,$B$51&gt;0),$B$157+$B$156*(((18-0.5)*$B$13)-($B$51*$B$13)/2),NA())</f>
        <v>#N/A</v>
      </c>
      <c r="HT421" t="e">
        <f>IF(AND(18&lt;=$B$12,$B$51&gt;0),$B$158+$B$156*((0*$B$5/2+0.6*$B$159)+(((0*$B$5/2+$B$5/2-0.6*$B$159))-((0*$B$5/2+0.6*$B$159)))/2),NA())</f>
        <v>#N/A</v>
      </c>
      <c r="KI421" t="e">
        <f>NA()</f>
        <v>#N/A</v>
      </c>
      <c r="KJ421" t="e">
        <f>NA()</f>
        <v>#N/A</v>
      </c>
    </row>
    <row r="422">
      <c r="K422" t="e">
        <f>IF(23&lt;=$B$12,$B$133+$B$132*($B$13*23-$B$27/2),NA())</f>
        <v>#N/A</v>
      </c>
      <c r="L422" t="e">
        <f>IF(23&lt;=$B$12,$B$134+$B$132*(0+$B$27/2),NA())</f>
        <v>#N/A</v>
      </c>
      <c r="FE422" t="e">
        <f>IF(AND($B$21=1,(28*$B$66)&lt;$B$62),$B$145+$B$144*(IF((28*$B$66)&lt;$B$94,$B$98,$B$96)),NA())</f>
        <v>#N/A</v>
      </c>
      <c r="FF422" t="e">
        <f>IF(AND($B$21=1,(28*$B$66)&lt;$B$62),$B$146+$B$144*((28*$B$66)),NA())</f>
        <v>#N/A</v>
      </c>
      <c r="GI422" t="e">
        <f>IF(AND($B$21=1,(28*$B$66)&lt;IF($B$63=1,$B$10-0.2,$B$62)),$B$151+$B$150*(MAX(IF((28*$B$66)&lt;=$B$9,0,((28*$B$66)-$B$9)/$B$8),MIN(($B$5-IF((28*$B$66)&lt;=$B$9,0,((28*$B$66)-$B$9)/$B$8)),IF((28*$B$66)&lt;$B$125,$B$129,$B$127)))),NA())</f>
        <v>#N/A</v>
      </c>
      <c r="GJ422" t="e">
        <f>IF(AND($B$21=1,(28*$B$66)&lt;IF($B$63=1,$B$10-0.2,$B$62)),$B$152+$B$150*((28*$B$66)),NA())</f>
        <v>#N/A</v>
      </c>
      <c r="HQ422" t="e">
        <f>IF(AND(6&lt;=$B$23,4&lt;=$B$24),$B$157+$B$156*((IF(6=1,1,IF(6=$B$23,$B$12,5*(6-1)))-1)*$B$13),NA())</f>
        <v>#N/A</v>
      </c>
      <c r="HR422" t="e">
        <f>IF(AND(6&lt;=$B$23,4&lt;=$B$24),$B$158+$B$156*((1*$B$5/2+4*($B$5/2)/$B$24)),NA())</f>
        <v>#N/A</v>
      </c>
      <c r="HS422" t="e">
        <f>IF(AND(18&lt;=$B$12,$B$51&gt;0),$B$157+$B$156*(((18-0.5)*$B$13)+($B$51*$B$13)/2),NA())</f>
        <v>#N/A</v>
      </c>
      <c r="HT422" t="e">
        <f>IF(AND(18&lt;=$B$12,$B$51&gt;0),$B$158+$B$156*((0*$B$5/2+0.6*$B$159)+3*(((0*$B$5/2+$B$5/2-0.6*$B$159))-((0*$B$5/2+0.6*$B$159)))/4),NA())</f>
        <v>#N/A</v>
      </c>
      <c r="KI422" t="e">
        <f>IF(AND($B$21=1,35*$B$67&gt;$B$59,35*$B$67&lt;$B$178-$B$59,OR($B$63=0,ABS(35*$B$67-$B$178/2)&gt;$B$59/2)),$B$182+$B$181*($B$177*3/4+$B$60/2),NA())</f>
        <v>#N/A</v>
      </c>
      <c r="KJ422" t="e">
        <f>IF(AND($B$21=1,35*$B$67&gt;$B$59,35*$B$67&lt;$B$178-$B$59,OR($B$63=0,ABS(35*$B$67-$B$178/2)&gt;$B$59/2)),$B$183+$B$181*(35*$B$67),NA())</f>
        <v>#N/A</v>
      </c>
    </row>
    <row r="423">
      <c r="K423" t="e">
        <f>IF(23&lt;=$B$12,$B$133+$B$132*($B$13*23-$B$27/2),NA())</f>
        <v>#N/A</v>
      </c>
      <c r="L423" t="e">
        <f>IF(23&lt;=$B$12,$B$134+$B$132*(0-$B$27/2),NA())</f>
        <v>#N/A</v>
      </c>
      <c r="FE423" t="e">
        <f>IF(AND($B$21=1,(28*$B$66)&lt;$B$62),$B$145+$B$144*($B$6),NA())</f>
        <v>#N/A</v>
      </c>
      <c r="FF423" t="e">
        <f>IF(AND($B$21=1,(28*$B$66)&lt;$B$62),$B$146+$B$144*((28*$B$66)),NA())</f>
        <v>#N/A</v>
      </c>
      <c r="GI423" t="e">
        <f>IF(AND($B$21=1,(28*$B$66)&lt;IF($B$63=1,$B$10-0.2,$B$62)),$B$151+$B$150*(($B$5-IF((28*$B$66)&lt;=$B$9,0,((28*$B$66)-$B$9)/$B$8))),NA())</f>
        <v>#N/A</v>
      </c>
      <c r="GJ423" t="e">
        <f>IF(AND($B$21=1,(28*$B$66)&lt;IF($B$63=1,$B$10-0.2,$B$62)),$B$152+$B$150*((28*$B$66)),NA())</f>
        <v>#N/A</v>
      </c>
      <c r="HQ423" t="e">
        <f>IF(AND(6&lt;=$B$23,4&lt;=$B$24),$B$157+$B$156*(IF(6=1,1,IF(6=$B$23,$B$12,5*(6-1)))*$B$13),NA())</f>
        <v>#N/A</v>
      </c>
      <c r="HR423" t="e">
        <f>IF(AND(6&lt;=$B$23,4&lt;=$B$24),$B$158+$B$156*((1*$B$5/2+(4-1)*($B$5/2)/$B$24)),NA())</f>
        <v>#N/A</v>
      </c>
      <c r="HS423" t="e">
        <f>IF(AND(18&lt;=$B$12,$B$51&gt;0),$B$157+$B$156*(((18-0.5)*$B$13)-($B$51*$B$13)/2),NA())</f>
        <v>#N/A</v>
      </c>
      <c r="HT423" t="e">
        <f>IF(AND(18&lt;=$B$12,$B$51&gt;0),$B$158+$B$156*((0*$B$5/2+$B$5/2-0.6*$B$159)),NA())</f>
        <v>#N/A</v>
      </c>
      <c r="KI423" t="e">
        <f>IF(AND($B$21=1,35*$B$67&gt;$B$59,35*$B$67&lt;$B$178-$B$59,OR($B$63=0,ABS(35*$B$67-$B$178/2)&gt;$B$59/2)),$B$182+$B$181*($B$177),NA())</f>
        <v>#N/A</v>
      </c>
      <c r="KJ423" t="e">
        <f>IF(AND($B$21=1,35*$B$67&gt;$B$59,35*$B$67&lt;$B$178-$B$59,OR($B$63=0,ABS(35*$B$67-$B$178/2)&gt;$B$59/2)),$B$183+$B$181*(35*$B$67),NA())</f>
        <v>#N/A</v>
      </c>
    </row>
    <row r="424">
      <c r="K424" t="e">
        <f>NA()</f>
        <v>#N/A</v>
      </c>
      <c r="L424" t="e">
        <f>NA()</f>
        <v>#N/A</v>
      </c>
      <c r="FE424" t="e">
        <f>NA()</f>
        <v>#N/A</v>
      </c>
      <c r="FF424" t="e">
        <f>NA()</f>
        <v>#N/A</v>
      </c>
      <c r="GI424" t="e">
        <f>NA()</f>
        <v>#N/A</v>
      </c>
      <c r="GJ424" t="e">
        <f>NA()</f>
        <v>#N/A</v>
      </c>
      <c r="HQ424" t="e">
        <f>NA()</f>
        <v>#N/A</v>
      </c>
      <c r="HR424" t="e">
        <f>NA()</f>
        <v>#N/A</v>
      </c>
      <c r="HS424" t="e">
        <f>NA()</f>
        <v>#N/A</v>
      </c>
      <c r="HT424" t="e">
        <f>NA()</f>
        <v>#N/A</v>
      </c>
      <c r="KI424" t="e">
        <f>NA()</f>
        <v>#N/A</v>
      </c>
      <c r="KJ424" t="e">
        <f>NA()</f>
        <v>#N/A</v>
      </c>
    </row>
    <row r="425">
      <c r="K425" t="e">
        <f>IF(23&lt;=$B$12,$B$133+$B$132*($B$13*23-$B$27/2),NA())</f>
        <v>#N/A</v>
      </c>
      <c r="L425" t="e">
        <f>IF(23&lt;=$B$12,$B$134+$B$132*($B$5-$B$27/2),NA())</f>
        <v>#N/A</v>
      </c>
      <c r="FE425" t="e">
        <f>IF(AND($B$21=1,(29*$B$66)&lt;$B$62),$B$145+$B$144*(0),NA())</f>
        <v>#N/A</v>
      </c>
      <c r="FF425" t="e">
        <f>IF(AND($B$21=1,(29*$B$66)&lt;$B$62),$B$146+$B$144*((29*$B$66)),NA())</f>
        <v>#N/A</v>
      </c>
      <c r="GI425" t="e">
        <f>IF(AND($B$21=1,(29*$B$66)&lt;IF($B$63=1,$B$10-0.2,$B$62)),$B$151+$B$150*(IF((29*$B$66)&lt;=$B$9,0,((29*$B$66)-$B$9)/$B$8)),NA())</f>
        <v>#N/A</v>
      </c>
      <c r="GJ425" t="e">
        <f>IF(AND($B$21=1,(29*$B$66)&lt;IF($B$63=1,$B$10-0.2,$B$62)),$B$152+$B$150*((29*$B$66)),NA())</f>
        <v>#N/A</v>
      </c>
      <c r="HQ425" t="e">
        <f>IF(AND(6&lt;=$B$23,5&lt;=$B$24),$B$157+$B$156*((IF(6=1,1,IF(6=$B$23,$B$12,5*(6-1)))-1)*$B$13),NA())</f>
        <v>#N/A</v>
      </c>
      <c r="HR425" t="e">
        <f>IF(AND(6&lt;=$B$23,5&lt;=$B$24),$B$158+$B$156*((1*$B$5/2+(5-1)*($B$5/2)/$B$24)),NA())</f>
        <v>#N/A</v>
      </c>
      <c r="HS425" t="e">
        <f>IF(AND(18&lt;=$B$12,$B$51&gt;0),$B$157+$B$156*(((18-0.5)*$B$13)-($B$51*$B$13)/2),NA())</f>
        <v>#N/A</v>
      </c>
      <c r="HT425" t="e">
        <f>IF(AND(18&lt;=$B$12,$B$51&gt;0),$B$158+$B$156*((1*$B$5/2+0.6*$B$159)),NA())</f>
        <v>#N/A</v>
      </c>
      <c r="KI425" t="e">
        <f>IF(AND($B$21=1,36*$B$67&gt;$B$59,36*$B$67&lt;$B$178-$B$59,OR($B$63=0,ABS(36*$B$67-$B$178/2)&gt;$B$59/2)),$B$182+$B$181*(0),NA())</f>
        <v>#N/A</v>
      </c>
      <c r="KJ425" t="e">
        <f>IF(AND($B$21=1,36*$B$67&gt;$B$59,36*$B$67&lt;$B$178-$B$59,OR($B$63=0,ABS(36*$B$67-$B$178/2)&gt;$B$59/2)),$B$183+$B$181*(36*$B$67),NA())</f>
        <v>#N/A</v>
      </c>
    </row>
    <row r="426">
      <c r="K426" t="e">
        <f>IF(23&lt;=$B$12,$B$133+$B$132*($B$13*23+$B$27/2),NA())</f>
        <v>#N/A</v>
      </c>
      <c r="L426" t="e">
        <f>IF(23&lt;=$B$12,$B$134+$B$132*($B$5-$B$27/2),NA())</f>
        <v>#N/A</v>
      </c>
      <c r="FE426" t="e">
        <f>IF(AND($B$21=1,(29*$B$66)&lt;$B$62),$B$145+$B$144*(IF((29*$B$66)&lt;$B$73,$B$76,$B$75)),NA())</f>
        <v>#N/A</v>
      </c>
      <c r="FF426" t="e">
        <f>IF(AND($B$21=1,(29*$B$66)&lt;$B$62),$B$146+$B$144*((29*$B$66)),NA())</f>
        <v>#N/A</v>
      </c>
      <c r="GI426" t="e">
        <f>IF(AND($B$21=1,(29*$B$66)&lt;IF($B$63=1,$B$10-0.2,$B$62)),$B$151+$B$150*(MAX(IF((29*$B$66)&lt;=$B$9,0,((29*$B$66)-$B$9)/$B$8),MIN(($B$5-IF((29*$B$66)&lt;=$B$9,0,((29*$B$66)-$B$9)/$B$8)),IF((29*$B$66)&lt;$B$104,$B$107,$B$106)))),NA())</f>
        <v>#N/A</v>
      </c>
      <c r="GJ426" t="e">
        <f>IF(AND($B$21=1,(29*$B$66)&lt;IF($B$63=1,$B$10-0.2,$B$62)),$B$152+$B$150*((29*$B$66)),NA())</f>
        <v>#N/A</v>
      </c>
      <c r="HQ426" t="e">
        <f>IF(AND(6&lt;=$B$23,5&lt;=$B$24),$B$157+$B$156*(IF(6=1,1,IF(6=$B$23,$B$12,5*(6-1)))*$B$13),NA())</f>
        <v>#N/A</v>
      </c>
      <c r="HR426" t="e">
        <f>IF(AND(6&lt;=$B$23,5&lt;=$B$24),$B$158+$B$156*((1*$B$5/2+5*($B$5/2)/$B$24)),NA())</f>
        <v>#N/A</v>
      </c>
      <c r="HS426" t="e">
        <f>IF(AND(18&lt;=$B$12,$B$51&gt;0),$B$157+$B$156*(((18-0.5)*$B$13)+($B$51*$B$13)/2),NA())</f>
        <v>#N/A</v>
      </c>
      <c r="HT426" t="e">
        <f>IF(AND(18&lt;=$B$12,$B$51&gt;0),$B$158+$B$156*((1*$B$5/2+0.6*$B$159)),NA())</f>
        <v>#N/A</v>
      </c>
      <c r="KI426" t="e">
        <f>IF(AND($B$21=1,36*$B$67&gt;$B$59,36*$B$67&lt;$B$178-$B$59,OR($B$63=0,ABS(36*$B$67-$B$178/2)&gt;$B$59/2)),$B$182+$B$181*($B$177*1/4-$B$60/2),NA())</f>
        <v>#N/A</v>
      </c>
      <c r="KJ426" t="e">
        <f>IF(AND($B$21=1,36*$B$67&gt;$B$59,36*$B$67&lt;$B$178-$B$59,OR($B$63=0,ABS(36*$B$67-$B$178/2)&gt;$B$59/2)),$B$183+$B$181*(36*$B$67),NA())</f>
        <v>#N/A</v>
      </c>
    </row>
    <row r="427">
      <c r="K427" t="e">
        <f>IF(23&lt;=$B$12,$B$133+$B$132*($B$13*23+$B$27/2),NA())</f>
        <v>#N/A</v>
      </c>
      <c r="L427" t="e">
        <f>IF(23&lt;=$B$12,$B$134+$B$132*($B$5+$B$27/2),NA())</f>
        <v>#N/A</v>
      </c>
      <c r="FE427" t="e">
        <f>IF(AND(AND($B$21=1,(29*$B$66)&lt;$B$62),(29*$B$66)&gt;=$B$73),$B$145+$B$144*($B$75),NA())</f>
        <v>#N/A</v>
      </c>
      <c r="FF427" t="e">
        <f>IF(AND(AND($B$21=1,(29*$B$66)&lt;$B$62),(29*$B$66)&gt;=$B$73),$B$146+$B$144*((29*$B$66)),NA())</f>
        <v>#N/A</v>
      </c>
      <c r="GI427" t="e">
        <f>IF(AND(AND($B$21=1,(29*$B$66)&lt;IF($B$63=1,$B$10-0.2,$B$62)),(29*$B$66)&gt;=$B$104),$B$151+$B$150*(MAX(IF((29*$B$66)&lt;=$B$9,0,((29*$B$66)-$B$9)/$B$8),MIN(($B$5-IF((29*$B$66)&lt;=$B$9,0,((29*$B$66)-$B$9)/$B$8)),$B$106))),NA())</f>
        <v>#N/A</v>
      </c>
      <c r="GJ427" t="e">
        <f>IF(AND(AND($B$21=1,(29*$B$66)&lt;IF($B$63=1,$B$10-0.2,$B$62)),(29*$B$66)&gt;=$B$104),$B$152+$B$150*((29*$B$66)),NA())</f>
        <v>#N/A</v>
      </c>
      <c r="HQ427" t="e">
        <f>NA()</f>
        <v>#N/A</v>
      </c>
      <c r="HR427" t="e">
        <f>NA()</f>
        <v>#N/A</v>
      </c>
      <c r="HS427" t="e">
        <f>IF(AND(18&lt;=$B$12,$B$51&gt;0),$B$157+$B$156*(((18-0.5)*$B$13)+($B$51*$B$13)/2),NA())</f>
        <v>#N/A</v>
      </c>
      <c r="HT427" t="e">
        <f>IF(AND(18&lt;=$B$12,$B$51&gt;0),$B$158+$B$156*((1*$B$5/2+$B$5/2-0.6*$B$159)),NA())</f>
        <v>#N/A</v>
      </c>
      <c r="KI427" t="e">
        <f>NA()</f>
        <v>#N/A</v>
      </c>
      <c r="KJ427" t="e">
        <f>NA()</f>
        <v>#N/A</v>
      </c>
    </row>
    <row r="428">
      <c r="K428" t="e">
        <f>IF(23&lt;=$B$12,$B$133+$B$132*($B$13*23-$B$27/2),NA())</f>
        <v>#N/A</v>
      </c>
      <c r="L428" t="e">
        <f>IF(23&lt;=$B$12,$B$134+$B$132*($B$5+$B$27/2),NA())</f>
        <v>#N/A</v>
      </c>
      <c r="FE428" t="e">
        <f>IF(AND($B$21=1,(29*$B$66)&lt;$B$62),$B$145+$B$144*(IF((29*$B$66)&lt;$B$73,$B$77,$B$75)),NA())</f>
        <v>#N/A</v>
      </c>
      <c r="FF428" t="e">
        <f>IF(AND($B$21=1,(29*$B$66)&lt;$B$62),$B$146+$B$144*((29*$B$66)),NA())</f>
        <v>#N/A</v>
      </c>
      <c r="GI428" t="e">
        <f>IF(AND($B$21=1,(29*$B$66)&lt;IF($B$63=1,$B$10-0.2,$B$62)),$B$151+$B$150*(MAX(IF((29*$B$66)&lt;=$B$9,0,((29*$B$66)-$B$9)/$B$8),MIN(($B$5-IF((29*$B$66)&lt;=$B$9,0,((29*$B$66)-$B$9)/$B$8)),IF((29*$B$66)&lt;$B$104,$B$108,$B$106)))),NA())</f>
        <v>#N/A</v>
      </c>
      <c r="GJ428" t="e">
        <f>IF(AND($B$21=1,(29*$B$66)&lt;IF($B$63=1,$B$10-0.2,$B$62)),$B$152+$B$150*((29*$B$66)),NA())</f>
        <v>#N/A</v>
      </c>
      <c r="HQ428" t="e">
        <f>IF(AND(6&lt;=$B$23,5&lt;=$B$24),$B$157+$B$156*((IF(6=1,1,IF(6=$B$23,$B$12,5*(6-1)))-1)*$B$13),NA())</f>
        <v>#N/A</v>
      </c>
      <c r="HR428" t="e">
        <f>IF(AND(6&lt;=$B$23,5&lt;=$B$24),$B$158+$B$156*((1*$B$5/2+5*($B$5/2)/$B$24)),NA())</f>
        <v>#N/A</v>
      </c>
      <c r="HS428" t="e">
        <f>IF(AND(18&lt;=$B$12,$B$51&gt;0),$B$157+$B$156*(((18-0.5)*$B$13)-($B$51*$B$13)/2),NA())</f>
        <v>#N/A</v>
      </c>
      <c r="HT428" t="e">
        <f>IF(AND(18&lt;=$B$12,$B$51&gt;0),$B$158+$B$156*((1*$B$5/2+$B$5/2-0.6*$B$159)),NA())</f>
        <v>#N/A</v>
      </c>
      <c r="KI428" t="e">
        <f>IF(AND($B$21=1,36*$B$67&gt;$B$59,36*$B$67&lt;$B$178-$B$59,OR($B$63=0,ABS(36*$B$67-$B$178/2)&gt;$B$59/2)),$B$182+$B$181*($B$177*1/4+$B$60/2),NA())</f>
        <v>#N/A</v>
      </c>
      <c r="KJ428" t="e">
        <f>IF(AND($B$21=1,36*$B$67&gt;$B$59,36*$B$67&lt;$B$178-$B$59,OR($B$63=0,ABS(36*$B$67-$B$178/2)&gt;$B$59/2)),$B$183+$B$181*(36*$B$67),NA())</f>
        <v>#N/A</v>
      </c>
    </row>
    <row r="429">
      <c r="K429" t="e">
        <f>IF(23&lt;=$B$12,$B$133+$B$132*($B$13*23-$B$27/2),NA())</f>
        <v>#N/A</v>
      </c>
      <c r="L429" t="e">
        <f>IF(23&lt;=$B$12,$B$134+$B$132*($B$5-$B$27/2),NA())</f>
        <v>#N/A</v>
      </c>
      <c r="FE429" t="e">
        <f>IF(AND($B$21=1,(29*$B$66)&lt;$B$62),$B$145+$B$144*(IF((29*$B$66)&lt;$B$80,$B$83,$B$82)),NA())</f>
        <v>#N/A</v>
      </c>
      <c r="FF429" t="e">
        <f>IF(AND($B$21=1,(29*$B$66)&lt;$B$62),$B$146+$B$144*((29*$B$66)),NA())</f>
        <v>#N/A</v>
      </c>
      <c r="GI429" t="e">
        <f>IF(AND($B$21=1,(29*$B$66)&lt;IF($B$63=1,$B$10-0.2,$B$62)),$B$151+$B$150*(MAX(IF((29*$B$66)&lt;=$B$9,0,((29*$B$66)-$B$9)/$B$8),MIN(($B$5-IF((29*$B$66)&lt;=$B$9,0,((29*$B$66)-$B$9)/$B$8)),IF((29*$B$66)&lt;$B$111,$B$114,$B$113)))),NA())</f>
        <v>#N/A</v>
      </c>
      <c r="GJ429" t="e">
        <f>IF(AND($B$21=1,(29*$B$66)&lt;IF($B$63=1,$B$10-0.2,$B$62)),$B$152+$B$150*((29*$B$66)),NA())</f>
        <v>#N/A</v>
      </c>
      <c r="HQ429" t="e">
        <f>IF(AND(6&lt;=$B$23,5&lt;=$B$24),$B$157+$B$156*(IF(6=1,1,IF(6=$B$23,$B$12,5*(6-1)))*$B$13),NA())</f>
        <v>#N/A</v>
      </c>
      <c r="HR429" t="e">
        <f>IF(AND(6&lt;=$B$23,5&lt;=$B$24),$B$158+$B$156*((1*$B$5/2+(5-1)*($B$5/2)/$B$24)),NA())</f>
        <v>#N/A</v>
      </c>
      <c r="HS429" t="e">
        <f>IF(AND(18&lt;=$B$12,$B$51&gt;0),$B$157+$B$156*(((18-0.5)*$B$13)-($B$51*$B$13)/2),NA())</f>
        <v>#N/A</v>
      </c>
      <c r="HT429" t="e">
        <f>IF(AND(18&lt;=$B$12,$B$51&gt;0),$B$158+$B$156*((1*$B$5/2+0.6*$B$159)),NA())</f>
        <v>#N/A</v>
      </c>
      <c r="KI429" t="e">
        <f>IF(AND($B$21=1,36*$B$67&gt;$B$59,36*$B$67&lt;$B$178-$B$59,OR($B$63=0,ABS(36*$B$67-$B$178/2)&gt;$B$59/2)),$B$182+$B$181*($B$177*2/4-$B$60/2),NA())</f>
        <v>#N/A</v>
      </c>
      <c r="KJ429" t="e">
        <f>IF(AND($B$21=1,36*$B$67&gt;$B$59,36*$B$67&lt;$B$178-$B$59,OR($B$63=0,ABS(36*$B$67-$B$178/2)&gt;$B$59/2)),$B$183+$B$181*(36*$B$67),NA())</f>
        <v>#N/A</v>
      </c>
    </row>
    <row r="430">
      <c r="K430" t="e">
        <f>NA()</f>
        <v>#N/A</v>
      </c>
      <c r="L430" t="e">
        <f>NA()</f>
        <v>#N/A</v>
      </c>
      <c r="FE430" t="e">
        <f>IF(AND(AND($B$21=1,(29*$B$66)&lt;$B$62),(29*$B$66)&gt;=$B$80),$B$145+$B$144*($B$82),NA())</f>
        <v>#N/A</v>
      </c>
      <c r="FF430" t="e">
        <f>IF(AND(AND($B$21=1,(29*$B$66)&lt;$B$62),(29*$B$66)&gt;=$B$80),$B$146+$B$144*((29*$B$66)),NA())</f>
        <v>#N/A</v>
      </c>
      <c r="GI430" t="e">
        <f>IF(AND(AND($B$21=1,(29*$B$66)&lt;IF($B$63=1,$B$10-0.2,$B$62)),(29*$B$66)&gt;=$B$111),$B$151+$B$150*(MAX(IF((29*$B$66)&lt;=$B$9,0,((29*$B$66)-$B$9)/$B$8),MIN(($B$5-IF((29*$B$66)&lt;=$B$9,0,((29*$B$66)-$B$9)/$B$8)),$B$113))),NA())</f>
        <v>#N/A</v>
      </c>
      <c r="GJ430" t="e">
        <f>IF(AND(AND($B$21=1,(29*$B$66)&lt;IF($B$63=1,$B$10-0.2,$B$62)),(29*$B$66)&gt;=$B$111),$B$152+$B$150*((29*$B$66)),NA())</f>
        <v>#N/A</v>
      </c>
      <c r="HQ430" t="e">
        <f>NA()</f>
        <v>#N/A</v>
      </c>
      <c r="HR430" t="e">
        <f>NA()</f>
        <v>#N/A</v>
      </c>
      <c r="HS430" t="e">
        <f>NA()</f>
        <v>#N/A</v>
      </c>
      <c r="HT430" t="e">
        <f>NA()</f>
        <v>#N/A</v>
      </c>
      <c r="KI430" t="e">
        <f>NA()</f>
        <v>#N/A</v>
      </c>
      <c r="KJ430" t="e">
        <f>NA()</f>
        <v>#N/A</v>
      </c>
    </row>
    <row r="431">
      <c r="K431" t="e">
        <f>IF(AND(23&lt;=$B$12,$B$45=1),$B$133+$B$132*($B$13*23-$B$27/2),NA())</f>
        <v>#N/A</v>
      </c>
      <c r="L431" t="e">
        <f>IF(AND(23&lt;=$B$12,$B$45=1),$B$134+$B$132*($B$5/2-$B$27/2),NA())</f>
        <v>#N/A</v>
      </c>
      <c r="FE431" t="e">
        <f>IF(AND($B$21=1,(29*$B$66)&lt;$B$62),$B$145+$B$144*(IF((29*$B$66)&lt;$B$80,$B$84,$B$82)),NA())</f>
        <v>#N/A</v>
      </c>
      <c r="FF431" t="e">
        <f>IF(AND($B$21=1,(29*$B$66)&lt;$B$62),$B$146+$B$144*((29*$B$66)),NA())</f>
        <v>#N/A</v>
      </c>
      <c r="GI431" t="e">
        <f>IF(AND($B$21=1,(29*$B$66)&lt;IF($B$63=1,$B$10-0.2,$B$62)),$B$151+$B$150*(MAX(IF((29*$B$66)&lt;=$B$9,0,((29*$B$66)-$B$9)/$B$8),MIN(($B$5-IF((29*$B$66)&lt;=$B$9,0,((29*$B$66)-$B$9)/$B$8)),IF((29*$B$66)&lt;$B$111,$B$115,$B$113)))),NA())</f>
        <v>#N/A</v>
      </c>
      <c r="GJ431" t="e">
        <f>IF(AND($B$21=1,(29*$B$66)&lt;IF($B$63=1,$B$10-0.2,$B$62)),$B$152+$B$150*((29*$B$66)),NA())</f>
        <v>#N/A</v>
      </c>
      <c r="HQ431" t="e">
        <f>IF(AND(6&lt;=$B$23,6&lt;=$B$24),$B$157+$B$156*((IF(6=1,1,IF(6=$B$23,$B$12,5*(6-1)))-1)*$B$13),NA())</f>
        <v>#N/A</v>
      </c>
      <c r="HR431" t="e">
        <f>IF(AND(6&lt;=$B$23,6&lt;=$B$24),$B$158+$B$156*((1*$B$5/2+(6-1)*($B$5/2)/$B$24)),NA())</f>
        <v>#N/A</v>
      </c>
      <c r="HS431" t="e">
        <f>IF(AND(18&lt;=$B$12,$B$51&gt;0),$B$157+$B$156*(((18-0.5)*$B$13)-($B$51*$B$13)/2),NA())</f>
        <v>#N/A</v>
      </c>
      <c r="HT431" t="e">
        <f>IF(AND(18&lt;=$B$12,$B$51&gt;0),$B$158+$B$156*((1*$B$5/2+0.6*$B$159)),NA())</f>
        <v>#N/A</v>
      </c>
      <c r="KI431" t="e">
        <f>IF(AND($B$21=1,36*$B$67&gt;$B$59,36*$B$67&lt;$B$178-$B$59,OR($B$63=0,ABS(36*$B$67-$B$178/2)&gt;$B$59/2)),$B$182+$B$181*($B$177*2/4+$B$60/2),NA())</f>
        <v>#N/A</v>
      </c>
      <c r="KJ431" t="e">
        <f>IF(AND($B$21=1,36*$B$67&gt;$B$59,36*$B$67&lt;$B$178-$B$59,OR($B$63=0,ABS(36*$B$67-$B$178/2)&gt;$B$59/2)),$B$183+$B$181*(36*$B$67),NA())</f>
        <v>#N/A</v>
      </c>
    </row>
    <row r="432">
      <c r="K432" t="e">
        <f>IF(AND(23&lt;=$B$12,$B$45=1),$B$133+$B$132*($B$13*23+$B$27/2),NA())</f>
        <v>#N/A</v>
      </c>
      <c r="L432" t="e">
        <f>IF(AND(23&lt;=$B$12,$B$45=1),$B$134+$B$132*($B$5/2-$B$27/2),NA())</f>
        <v>#N/A</v>
      </c>
      <c r="FE432" t="e">
        <f>IF(AND($B$21=1,(29*$B$66)&lt;$B$62),$B$145+$B$144*(IF((29*$B$66)&lt;$B$87,$B$90,$B$89)),NA())</f>
        <v>#N/A</v>
      </c>
      <c r="FF432" t="e">
        <f>IF(AND($B$21=1,(29*$B$66)&lt;$B$62),$B$146+$B$144*((29*$B$66)),NA())</f>
        <v>#N/A</v>
      </c>
      <c r="GI432" t="e">
        <f>IF(AND($B$21=1,(29*$B$66)&lt;IF($B$63=1,$B$10-0.2,$B$62)),$B$151+$B$150*(MAX(IF((29*$B$66)&lt;=$B$9,0,((29*$B$66)-$B$9)/$B$8),MIN(($B$5-IF((29*$B$66)&lt;=$B$9,0,((29*$B$66)-$B$9)/$B$8)),IF((29*$B$66)&lt;$B$118,$B$121,$B$120)))),NA())</f>
        <v>#N/A</v>
      </c>
      <c r="GJ432" t="e">
        <f>IF(AND($B$21=1,(29*$B$66)&lt;IF($B$63=1,$B$10-0.2,$B$62)),$B$152+$B$150*((29*$B$66)),NA())</f>
        <v>#N/A</v>
      </c>
      <c r="HQ432" t="e">
        <f>IF(AND(6&lt;=$B$23,6&lt;=$B$24),$B$157+$B$156*(IF(6=1,1,IF(6=$B$23,$B$12,5*(6-1)))*$B$13),NA())</f>
        <v>#N/A</v>
      </c>
      <c r="HR432" t="e">
        <f>IF(AND(6&lt;=$B$23,6&lt;=$B$24),$B$158+$B$156*((1*$B$5/2+6*($B$5/2)/$B$24)),NA())</f>
        <v>#N/A</v>
      </c>
      <c r="HS432" t="e">
        <f>IF(AND(18&lt;=$B$12,$B$51&gt;0),$B$157+$B$156*(((18-0.5)*$B$13)+($B$51*$B$13)/2),NA())</f>
        <v>#N/A</v>
      </c>
      <c r="HT432" t="e">
        <f>IF(AND(18&lt;=$B$12,$B$51&gt;0),$B$158+$B$156*((1*$B$5/2+0.6*$B$159)+(((1*$B$5/2+$B$5/2-0.6*$B$159))-((1*$B$5/2+0.6*$B$159)))/4),NA())</f>
        <v>#N/A</v>
      </c>
      <c r="KI432" t="e">
        <f>IF(AND($B$21=1,36*$B$67&gt;$B$59,36*$B$67&lt;$B$178-$B$59,OR($B$63=0,ABS(36*$B$67-$B$178/2)&gt;$B$59/2)),$B$182+$B$181*($B$177*3/4-$B$60/2),NA())</f>
        <v>#N/A</v>
      </c>
      <c r="KJ432" t="e">
        <f>IF(AND($B$21=1,36*$B$67&gt;$B$59,36*$B$67&lt;$B$178-$B$59,OR($B$63=0,ABS(36*$B$67-$B$178/2)&gt;$B$59/2)),$B$183+$B$181*(36*$B$67),NA())</f>
        <v>#N/A</v>
      </c>
    </row>
    <row r="433">
      <c r="K433" t="e">
        <f>IF(AND(23&lt;=$B$12,$B$45=1),$B$133+$B$132*($B$13*23+$B$27/2),NA())</f>
        <v>#N/A</v>
      </c>
      <c r="L433" t="e">
        <f>IF(AND(23&lt;=$B$12,$B$45=1),$B$134+$B$132*($B$5/2+$B$27/2),NA())</f>
        <v>#N/A</v>
      </c>
      <c r="FE433" t="e">
        <f>IF(AND(AND($B$21=1,(29*$B$66)&lt;$B$62),(29*$B$66)&gt;=$B$87),$B$145+$B$144*($B$89),NA())</f>
        <v>#N/A</v>
      </c>
      <c r="FF433" t="e">
        <f>IF(AND(AND($B$21=1,(29*$B$66)&lt;$B$62),(29*$B$66)&gt;=$B$87),$B$146+$B$144*((29*$B$66)),NA())</f>
        <v>#N/A</v>
      </c>
      <c r="GI433" t="e">
        <f>IF(AND(AND($B$21=1,(29*$B$66)&lt;IF($B$63=1,$B$10-0.2,$B$62)),(29*$B$66)&gt;=$B$118),$B$151+$B$150*(MAX(IF((29*$B$66)&lt;=$B$9,0,((29*$B$66)-$B$9)/$B$8),MIN(($B$5-IF((29*$B$66)&lt;=$B$9,0,((29*$B$66)-$B$9)/$B$8)),$B$120))),NA())</f>
        <v>#N/A</v>
      </c>
      <c r="GJ433" t="e">
        <f>IF(AND(AND($B$21=1,(29*$B$66)&lt;IF($B$63=1,$B$10-0.2,$B$62)),(29*$B$66)&gt;=$B$118),$B$152+$B$150*((29*$B$66)),NA())</f>
        <v>#N/A</v>
      </c>
      <c r="HQ433" t="e">
        <f>NA()</f>
        <v>#N/A</v>
      </c>
      <c r="HR433" t="e">
        <f>NA()</f>
        <v>#N/A</v>
      </c>
      <c r="HS433" t="e">
        <f>IF(AND(18&lt;=$B$12,$B$51&gt;0),$B$157+$B$156*(((18-0.5)*$B$13)-($B$51*$B$13)/2),NA())</f>
        <v>#N/A</v>
      </c>
      <c r="HT433" t="e">
        <f>IF(AND(18&lt;=$B$12,$B$51&gt;0),$B$158+$B$156*((1*$B$5/2+0.6*$B$159)+(((1*$B$5/2+$B$5/2-0.6*$B$159))-((1*$B$5/2+0.6*$B$159)))/2),NA())</f>
        <v>#N/A</v>
      </c>
      <c r="KI433" t="e">
        <f>NA()</f>
        <v>#N/A</v>
      </c>
      <c r="KJ433" t="e">
        <f>NA()</f>
        <v>#N/A</v>
      </c>
    </row>
    <row r="434">
      <c r="K434" t="e">
        <f>IF(AND(23&lt;=$B$12,$B$45=1),$B$133+$B$132*($B$13*23-$B$27/2),NA())</f>
        <v>#N/A</v>
      </c>
      <c r="L434" t="e">
        <f>IF(AND(23&lt;=$B$12,$B$45=1),$B$134+$B$132*($B$5/2+$B$27/2),NA())</f>
        <v>#N/A</v>
      </c>
      <c r="FE434" t="e">
        <f>IF(AND($B$21=1,(29*$B$66)&lt;$B$62),$B$145+$B$144*(IF((29*$B$66)&lt;$B$87,$B$91,$B$89)),NA())</f>
        <v>#N/A</v>
      </c>
      <c r="FF434" t="e">
        <f>IF(AND($B$21=1,(29*$B$66)&lt;$B$62),$B$146+$B$144*((29*$B$66)),NA())</f>
        <v>#N/A</v>
      </c>
      <c r="GI434" t="e">
        <f>IF(AND($B$21=1,(29*$B$66)&lt;IF($B$63=1,$B$10-0.2,$B$62)),$B$151+$B$150*(MAX(IF((29*$B$66)&lt;=$B$9,0,((29*$B$66)-$B$9)/$B$8),MIN(($B$5-IF((29*$B$66)&lt;=$B$9,0,((29*$B$66)-$B$9)/$B$8)),IF((29*$B$66)&lt;$B$118,$B$122,$B$120)))),NA())</f>
        <v>#N/A</v>
      </c>
      <c r="GJ434" t="e">
        <f>IF(AND($B$21=1,(29*$B$66)&lt;IF($B$63=1,$B$10-0.2,$B$62)),$B$152+$B$150*((29*$B$66)),NA())</f>
        <v>#N/A</v>
      </c>
      <c r="HQ434" t="e">
        <f>IF(AND(6&lt;=$B$23,6&lt;=$B$24),$B$157+$B$156*((IF(6=1,1,IF(6=$B$23,$B$12,5*(6-1)))-1)*$B$13),NA())</f>
        <v>#N/A</v>
      </c>
      <c r="HR434" t="e">
        <f>IF(AND(6&lt;=$B$23,6&lt;=$B$24),$B$158+$B$156*((1*$B$5/2+6*($B$5/2)/$B$24)),NA())</f>
        <v>#N/A</v>
      </c>
      <c r="HS434" t="e">
        <f>IF(AND(18&lt;=$B$12,$B$51&gt;0),$B$157+$B$156*(((18-0.5)*$B$13)+($B$51*$B$13)/2),NA())</f>
        <v>#N/A</v>
      </c>
      <c r="HT434" t="e">
        <f>IF(AND(18&lt;=$B$12,$B$51&gt;0),$B$158+$B$156*((1*$B$5/2+0.6*$B$159)+3*(((1*$B$5/2+$B$5/2-0.6*$B$159))-((1*$B$5/2+0.6*$B$159)))/4),NA())</f>
        <v>#N/A</v>
      </c>
      <c r="KI434" t="e">
        <f>IF(AND($B$21=1,36*$B$67&gt;$B$59,36*$B$67&lt;$B$178-$B$59,OR($B$63=0,ABS(36*$B$67-$B$178/2)&gt;$B$59/2)),$B$182+$B$181*($B$177*3/4+$B$60/2),NA())</f>
        <v>#N/A</v>
      </c>
      <c r="KJ434" t="e">
        <f>IF(AND($B$21=1,36*$B$67&gt;$B$59,36*$B$67&lt;$B$178-$B$59,OR($B$63=0,ABS(36*$B$67-$B$178/2)&gt;$B$59/2)),$B$183+$B$181*(36*$B$67),NA())</f>
        <v>#N/A</v>
      </c>
    </row>
    <row r="435">
      <c r="K435" t="e">
        <f>IF(AND(23&lt;=$B$12,$B$45=1),$B$133+$B$132*($B$13*23-$B$27/2),NA())</f>
        <v>#N/A</v>
      </c>
      <c r="L435" t="e">
        <f>IF(AND(23&lt;=$B$12,$B$45=1),$B$134+$B$132*($B$5/2-$B$27/2),NA())</f>
        <v>#N/A</v>
      </c>
      <c r="FE435" t="e">
        <f>IF(AND($B$21=1,(29*$B$66)&lt;$B$62),$B$145+$B$144*(IF((29*$B$66)&lt;$B$94,$B$97,$B$96)),NA())</f>
        <v>#N/A</v>
      </c>
      <c r="FF435" t="e">
        <f>IF(AND($B$21=1,(29*$B$66)&lt;$B$62),$B$146+$B$144*((29*$B$66)),NA())</f>
        <v>#N/A</v>
      </c>
      <c r="GI435" t="e">
        <f>IF(AND($B$21=1,(29*$B$66)&lt;IF($B$63=1,$B$10-0.2,$B$62)),$B$151+$B$150*(MAX(IF((29*$B$66)&lt;=$B$9,0,((29*$B$66)-$B$9)/$B$8),MIN(($B$5-IF((29*$B$66)&lt;=$B$9,0,((29*$B$66)-$B$9)/$B$8)),IF((29*$B$66)&lt;$B$125,$B$128,$B$127)))),NA())</f>
        <v>#N/A</v>
      </c>
      <c r="GJ435" t="e">
        <f>IF(AND($B$21=1,(29*$B$66)&lt;IF($B$63=1,$B$10-0.2,$B$62)),$B$152+$B$150*((29*$B$66)),NA())</f>
        <v>#N/A</v>
      </c>
      <c r="HQ435" t="e">
        <f>IF(AND(6&lt;=$B$23,6&lt;=$B$24),$B$157+$B$156*(IF(6=1,1,IF(6=$B$23,$B$12,5*(6-1)))*$B$13),NA())</f>
        <v>#N/A</v>
      </c>
      <c r="HR435" t="e">
        <f>IF(AND(6&lt;=$B$23,6&lt;=$B$24),$B$158+$B$156*((1*$B$5/2+(6-1)*($B$5/2)/$B$24)),NA())</f>
        <v>#N/A</v>
      </c>
      <c r="HS435" t="e">
        <f>IF(AND(18&lt;=$B$12,$B$51&gt;0),$B$157+$B$156*(((18-0.5)*$B$13)-($B$51*$B$13)/2),NA())</f>
        <v>#N/A</v>
      </c>
      <c r="HT435" t="e">
        <f>IF(AND(18&lt;=$B$12,$B$51&gt;0),$B$158+$B$156*((1*$B$5/2+$B$5/2-0.6*$B$159)),NA())</f>
        <v>#N/A</v>
      </c>
      <c r="KI435" t="e">
        <f>IF(AND($B$21=1,36*$B$67&gt;$B$59,36*$B$67&lt;$B$178-$B$59,OR($B$63=0,ABS(36*$B$67-$B$178/2)&gt;$B$59/2)),$B$182+$B$181*($B$177),NA())</f>
        <v>#N/A</v>
      </c>
      <c r="KJ435" t="e">
        <f>IF(AND($B$21=1,36*$B$67&gt;$B$59,36*$B$67&lt;$B$178-$B$59,OR($B$63=0,ABS(36*$B$67-$B$178/2)&gt;$B$59/2)),$B$183+$B$181*(36*$B$67),NA())</f>
        <v>#N/A</v>
      </c>
    </row>
    <row r="436">
      <c r="K436" t="e">
        <f>NA()</f>
        <v>#N/A</v>
      </c>
      <c r="L436" t="e">
        <f>NA()</f>
        <v>#N/A</v>
      </c>
      <c r="FE436" t="e">
        <f>IF(AND(AND($B$21=1,(29*$B$66)&lt;$B$62),(29*$B$66)&gt;=$B$94),$B$145+$B$144*($B$96),NA())</f>
        <v>#N/A</v>
      </c>
      <c r="FF436" t="e">
        <f>IF(AND(AND($B$21=1,(29*$B$66)&lt;$B$62),(29*$B$66)&gt;=$B$94),$B$146+$B$144*((29*$B$66)),NA())</f>
        <v>#N/A</v>
      </c>
      <c r="GI436" t="e">
        <f>IF(AND(AND($B$21=1,(29*$B$66)&lt;IF($B$63=1,$B$10-0.2,$B$62)),(29*$B$66)&gt;=$B$125),$B$151+$B$150*(MAX(IF((29*$B$66)&lt;=$B$9,0,((29*$B$66)-$B$9)/$B$8),MIN(($B$5-IF((29*$B$66)&lt;=$B$9,0,((29*$B$66)-$B$9)/$B$8)),$B$127))),NA())</f>
        <v>#N/A</v>
      </c>
      <c r="GJ436" t="e">
        <f>IF(AND(AND($B$21=1,(29*$B$66)&lt;IF($B$63=1,$B$10-0.2,$B$62)),(29*$B$66)&gt;=$B$125),$B$152+$B$150*((29*$B$66)),NA())</f>
        <v>#N/A</v>
      </c>
      <c r="HQ436" t="e">
        <f>NA()</f>
        <v>#N/A</v>
      </c>
      <c r="HR436" t="e">
        <f>NA()</f>
        <v>#N/A</v>
      </c>
      <c r="HS436" t="e">
        <f>NA()</f>
        <v>#N/A</v>
      </c>
      <c r="HT436" t="e">
        <f>NA()</f>
        <v>#N/A</v>
      </c>
      <c r="KI436" t="e">
        <f>NA()</f>
        <v>#N/A</v>
      </c>
      <c r="KJ436" t="e">
        <f>NA()</f>
        <v>#N/A</v>
      </c>
    </row>
    <row r="437">
      <c r="K437" t="e">
        <f>IF(24&lt;=$B$12,$B$133+$B$132*($B$13*24-$B$27/2),NA())</f>
        <v>#N/A</v>
      </c>
      <c r="L437" t="e">
        <f>IF(24&lt;=$B$12,$B$134+$B$132*(0-$B$27/2),NA())</f>
        <v>#N/A</v>
      </c>
      <c r="FE437" t="e">
        <f>IF(AND($B$21=1,(29*$B$66)&lt;$B$62),$B$145+$B$144*(IF((29*$B$66)&lt;$B$94,$B$98,$B$96)),NA())</f>
        <v>#N/A</v>
      </c>
      <c r="FF437" t="e">
        <f>IF(AND($B$21=1,(29*$B$66)&lt;$B$62),$B$146+$B$144*((29*$B$66)),NA())</f>
        <v>#N/A</v>
      </c>
      <c r="GI437" t="e">
        <f>IF(AND($B$21=1,(29*$B$66)&lt;IF($B$63=1,$B$10-0.2,$B$62)),$B$151+$B$150*(MAX(IF((29*$B$66)&lt;=$B$9,0,((29*$B$66)-$B$9)/$B$8),MIN(($B$5-IF((29*$B$66)&lt;=$B$9,0,((29*$B$66)-$B$9)/$B$8)),IF((29*$B$66)&lt;$B$125,$B$129,$B$127)))),NA())</f>
        <v>#N/A</v>
      </c>
      <c r="GJ437" t="e">
        <f>IF(AND($B$21=1,(29*$B$66)&lt;IF($B$63=1,$B$10-0.2,$B$62)),$B$152+$B$150*((29*$B$66)),NA())</f>
        <v>#N/A</v>
      </c>
      <c r="HQ437" t="e">
        <f>IF(AND(7&lt;=$B$23,1&lt;=$B$24),$B$157+$B$156*((IF(7=1,1,IF(7=$B$23,$B$12,5*(7-1)))-1)*$B$13),NA())</f>
        <v>#N/A</v>
      </c>
      <c r="HR437" t="e">
        <f>IF(AND(7&lt;=$B$23,1&lt;=$B$24),$B$158+$B$156*((0*$B$5/2+(1-1)*($B$5/2)/$B$24)),NA())</f>
        <v>#N/A</v>
      </c>
      <c r="HS437" t="e">
        <f>IF(AND(19&lt;=$B$12,$B$51&gt;0),$B$157+$B$156*(((19-0.5)*$B$13)-($B$51*$B$13)/2),NA())</f>
        <v>#N/A</v>
      </c>
      <c r="HT437" t="e">
        <f>IF(AND(19&lt;=$B$12,$B$51&gt;0),$B$158+$B$156*((0*$B$5/2+0.6*$B$159)),NA())</f>
        <v>#N/A</v>
      </c>
      <c r="KI437" t="e">
        <f>IF(AND($B$21=1,37*$B$67&gt;$B$59,37*$B$67&lt;$B$178-$B$59,OR($B$63=0,ABS(37*$B$67-$B$178/2)&gt;$B$59/2)),$B$182+$B$181*(0),NA())</f>
        <v>#N/A</v>
      </c>
      <c r="KJ437" t="e">
        <f>IF(AND($B$21=1,37*$B$67&gt;$B$59,37*$B$67&lt;$B$178-$B$59,OR($B$63=0,ABS(37*$B$67-$B$178/2)&gt;$B$59/2)),$B$183+$B$181*(37*$B$67),NA())</f>
        <v>#N/A</v>
      </c>
    </row>
    <row r="438">
      <c r="K438" t="e">
        <f>IF(24&lt;=$B$12,$B$133+$B$132*($B$13*24+$B$27/2),NA())</f>
        <v>#N/A</v>
      </c>
      <c r="L438" t="e">
        <f>IF(24&lt;=$B$12,$B$134+$B$132*(0-$B$27/2),NA())</f>
        <v>#N/A</v>
      </c>
      <c r="FE438" t="e">
        <f>IF(AND($B$21=1,(29*$B$66)&lt;$B$62),$B$145+$B$144*($B$6),NA())</f>
        <v>#N/A</v>
      </c>
      <c r="FF438" t="e">
        <f>IF(AND($B$21=1,(29*$B$66)&lt;$B$62),$B$146+$B$144*((29*$B$66)),NA())</f>
        <v>#N/A</v>
      </c>
      <c r="GI438" t="e">
        <f>IF(AND($B$21=1,(29*$B$66)&lt;IF($B$63=1,$B$10-0.2,$B$62)),$B$151+$B$150*(($B$5-IF((29*$B$66)&lt;=$B$9,0,((29*$B$66)-$B$9)/$B$8))),NA())</f>
        <v>#N/A</v>
      </c>
      <c r="GJ438" t="e">
        <f>IF(AND($B$21=1,(29*$B$66)&lt;IF($B$63=1,$B$10-0.2,$B$62)),$B$152+$B$150*((29*$B$66)),NA())</f>
        <v>#N/A</v>
      </c>
      <c r="HQ438" t="e">
        <f>IF(AND(7&lt;=$B$23,1&lt;=$B$24),$B$157+$B$156*(IF(7=1,1,IF(7=$B$23,$B$12,5*(7-1)))*$B$13),NA())</f>
        <v>#N/A</v>
      </c>
      <c r="HR438" t="e">
        <f>IF(AND(7&lt;=$B$23,1&lt;=$B$24),$B$158+$B$156*((0*$B$5/2+1*($B$5/2)/$B$24)),NA())</f>
        <v>#N/A</v>
      </c>
      <c r="HS438" t="e">
        <f>IF(AND(19&lt;=$B$12,$B$51&gt;0),$B$157+$B$156*(((19-0.5)*$B$13)+($B$51*$B$13)/2),NA())</f>
        <v>#N/A</v>
      </c>
      <c r="HT438" t="e">
        <f>IF(AND(19&lt;=$B$12,$B$51&gt;0),$B$158+$B$156*((0*$B$5/2+0.6*$B$159)),NA())</f>
        <v>#N/A</v>
      </c>
      <c r="KI438" t="e">
        <f>IF(AND($B$21=1,37*$B$67&gt;$B$59,37*$B$67&lt;$B$178-$B$59,OR($B$63=0,ABS(37*$B$67-$B$178/2)&gt;$B$59/2)),$B$182+$B$181*($B$177*1/4-$B$60/2),NA())</f>
        <v>#N/A</v>
      </c>
      <c r="KJ438" t="e">
        <f>IF(AND($B$21=1,37*$B$67&gt;$B$59,37*$B$67&lt;$B$178-$B$59,OR($B$63=0,ABS(37*$B$67-$B$178/2)&gt;$B$59/2)),$B$183+$B$181*(37*$B$67),NA())</f>
        <v>#N/A</v>
      </c>
    </row>
    <row r="439">
      <c r="K439" t="e">
        <f>IF(24&lt;=$B$12,$B$133+$B$132*($B$13*24+$B$27/2),NA())</f>
        <v>#N/A</v>
      </c>
      <c r="L439" t="e">
        <f>IF(24&lt;=$B$12,$B$134+$B$132*(0+$B$27/2),NA())</f>
        <v>#N/A</v>
      </c>
      <c r="FE439" t="e">
        <f>NA()</f>
        <v>#N/A</v>
      </c>
      <c r="FF439" t="e">
        <f>NA()</f>
        <v>#N/A</v>
      </c>
      <c r="GI439" t="e">
        <f>NA()</f>
        <v>#N/A</v>
      </c>
      <c r="GJ439" t="e">
        <f>NA()</f>
        <v>#N/A</v>
      </c>
      <c r="HQ439" t="e">
        <f>NA()</f>
        <v>#N/A</v>
      </c>
      <c r="HR439" t="e">
        <f>NA()</f>
        <v>#N/A</v>
      </c>
      <c r="HS439" t="e">
        <f>IF(AND(19&lt;=$B$12,$B$51&gt;0),$B$157+$B$156*(((19-0.5)*$B$13)+($B$51*$B$13)/2),NA())</f>
        <v>#N/A</v>
      </c>
      <c r="HT439" t="e">
        <f>IF(AND(19&lt;=$B$12,$B$51&gt;0),$B$158+$B$156*((0*$B$5/2+$B$5/2-0.6*$B$159)),NA())</f>
        <v>#N/A</v>
      </c>
      <c r="KI439" t="e">
        <f>NA()</f>
        <v>#N/A</v>
      </c>
      <c r="KJ439" t="e">
        <f>NA()</f>
        <v>#N/A</v>
      </c>
    </row>
    <row r="440">
      <c r="K440" t="e">
        <f>IF(24&lt;=$B$12,$B$133+$B$132*($B$13*24-$B$27/2),NA())</f>
        <v>#N/A</v>
      </c>
      <c r="L440" t="e">
        <f>IF(24&lt;=$B$12,$B$134+$B$132*(0+$B$27/2),NA())</f>
        <v>#N/A</v>
      </c>
      <c r="FE440" t="e">
        <f>IF(AND($B$21=1,(30*$B$66)&lt;$B$62),$B$145+$B$144*(0),NA())</f>
        <v>#N/A</v>
      </c>
      <c r="FF440" t="e">
        <f>IF(AND($B$21=1,(30*$B$66)&lt;$B$62),$B$146+$B$144*((30*$B$66)),NA())</f>
        <v>#N/A</v>
      </c>
      <c r="GI440" t="e">
        <f>IF(AND($B$21=1,(30*$B$66)&lt;IF($B$63=1,$B$10-0.2,$B$62)),$B$151+$B$150*(IF((30*$B$66)&lt;=$B$9,0,((30*$B$66)-$B$9)/$B$8)),NA())</f>
        <v>#N/A</v>
      </c>
      <c r="GJ440" t="e">
        <f>IF(AND($B$21=1,(30*$B$66)&lt;IF($B$63=1,$B$10-0.2,$B$62)),$B$152+$B$150*((30*$B$66)),NA())</f>
        <v>#N/A</v>
      </c>
      <c r="HQ440" t="e">
        <f>IF(AND(7&lt;=$B$23,1&lt;=$B$24),$B$157+$B$156*((IF(7=1,1,IF(7=$B$23,$B$12,5*(7-1)))-1)*$B$13),NA())</f>
        <v>#N/A</v>
      </c>
      <c r="HR440" t="e">
        <f>IF(AND(7&lt;=$B$23,1&lt;=$B$24),$B$158+$B$156*((0*$B$5/2+1*($B$5/2)/$B$24)),NA())</f>
        <v>#N/A</v>
      </c>
      <c r="HS440" t="e">
        <f>IF(AND(19&lt;=$B$12,$B$51&gt;0),$B$157+$B$156*(((19-0.5)*$B$13)-($B$51*$B$13)/2),NA())</f>
        <v>#N/A</v>
      </c>
      <c r="HT440" t="e">
        <f>IF(AND(19&lt;=$B$12,$B$51&gt;0),$B$158+$B$156*((0*$B$5/2+$B$5/2-0.6*$B$159)),NA())</f>
        <v>#N/A</v>
      </c>
      <c r="KI440" t="e">
        <f>IF(AND($B$21=1,37*$B$67&gt;$B$59,37*$B$67&lt;$B$178-$B$59,OR($B$63=0,ABS(37*$B$67-$B$178/2)&gt;$B$59/2)),$B$182+$B$181*($B$177*1/4+$B$60/2),NA())</f>
        <v>#N/A</v>
      </c>
      <c r="KJ440" t="e">
        <f>IF(AND($B$21=1,37*$B$67&gt;$B$59,37*$B$67&lt;$B$178-$B$59,OR($B$63=0,ABS(37*$B$67-$B$178/2)&gt;$B$59/2)),$B$183+$B$181*(37*$B$67),NA())</f>
        <v>#N/A</v>
      </c>
    </row>
    <row r="441">
      <c r="K441" t="e">
        <f>IF(24&lt;=$B$12,$B$133+$B$132*($B$13*24-$B$27/2),NA())</f>
        <v>#N/A</v>
      </c>
      <c r="L441" t="e">
        <f>IF(24&lt;=$B$12,$B$134+$B$132*(0-$B$27/2),NA())</f>
        <v>#N/A</v>
      </c>
      <c r="FE441" t="e">
        <f>IF(AND($B$21=1,(30*$B$66)&lt;$B$62),$B$145+$B$144*(IF((30*$B$66)&lt;$B$73,$B$76,$B$75)),NA())</f>
        <v>#N/A</v>
      </c>
      <c r="FF441" t="e">
        <f>IF(AND($B$21=1,(30*$B$66)&lt;$B$62),$B$146+$B$144*((30*$B$66)),NA())</f>
        <v>#N/A</v>
      </c>
      <c r="GI441" t="e">
        <f>IF(AND($B$21=1,(30*$B$66)&lt;IF($B$63=1,$B$10-0.2,$B$62)),$B$151+$B$150*(MAX(IF((30*$B$66)&lt;=$B$9,0,((30*$B$66)-$B$9)/$B$8),MIN(($B$5-IF((30*$B$66)&lt;=$B$9,0,((30*$B$66)-$B$9)/$B$8)),IF((30*$B$66)&lt;$B$104,$B$107,$B$106)))),NA())</f>
        <v>#N/A</v>
      </c>
      <c r="GJ441" t="e">
        <f>IF(AND($B$21=1,(30*$B$66)&lt;IF($B$63=1,$B$10-0.2,$B$62)),$B$152+$B$150*((30*$B$66)),NA())</f>
        <v>#N/A</v>
      </c>
      <c r="HQ441" t="e">
        <f>IF(AND(7&lt;=$B$23,1&lt;=$B$24),$B$157+$B$156*(IF(7=1,1,IF(7=$B$23,$B$12,5*(7-1)))*$B$13),NA())</f>
        <v>#N/A</v>
      </c>
      <c r="HR441" t="e">
        <f>IF(AND(7&lt;=$B$23,1&lt;=$B$24),$B$158+$B$156*((0*$B$5/2+(1-1)*($B$5/2)/$B$24)),NA())</f>
        <v>#N/A</v>
      </c>
      <c r="HS441" t="e">
        <f>IF(AND(19&lt;=$B$12,$B$51&gt;0),$B$157+$B$156*(((19-0.5)*$B$13)-($B$51*$B$13)/2),NA())</f>
        <v>#N/A</v>
      </c>
      <c r="HT441" t="e">
        <f>IF(AND(19&lt;=$B$12,$B$51&gt;0),$B$158+$B$156*((0*$B$5/2+0.6*$B$159)),NA())</f>
        <v>#N/A</v>
      </c>
      <c r="KI441" t="e">
        <f>IF(AND($B$21=1,37*$B$67&gt;$B$59,37*$B$67&lt;$B$178-$B$59,OR($B$63=0,ABS(37*$B$67-$B$178/2)&gt;$B$59/2)),$B$182+$B$181*($B$177*2/4-$B$60/2),NA())</f>
        <v>#N/A</v>
      </c>
      <c r="KJ441" t="e">
        <f>IF(AND($B$21=1,37*$B$67&gt;$B$59,37*$B$67&lt;$B$178-$B$59,OR($B$63=0,ABS(37*$B$67-$B$178/2)&gt;$B$59/2)),$B$183+$B$181*(37*$B$67),NA())</f>
        <v>#N/A</v>
      </c>
    </row>
    <row r="442">
      <c r="K442" t="e">
        <f>NA()</f>
        <v>#N/A</v>
      </c>
      <c r="L442" t="e">
        <f>NA()</f>
        <v>#N/A</v>
      </c>
      <c r="FE442" t="e">
        <f>IF(AND(AND($B$21=1,(30*$B$66)&lt;$B$62),(30*$B$66)&gt;=$B$73),$B$145+$B$144*($B$75),NA())</f>
        <v>#N/A</v>
      </c>
      <c r="FF442" t="e">
        <f>IF(AND(AND($B$21=1,(30*$B$66)&lt;$B$62),(30*$B$66)&gt;=$B$73),$B$146+$B$144*((30*$B$66)),NA())</f>
        <v>#N/A</v>
      </c>
      <c r="GI442" t="e">
        <f>IF(AND(AND($B$21=1,(30*$B$66)&lt;IF($B$63=1,$B$10-0.2,$B$62)),(30*$B$66)&gt;=$B$104),$B$151+$B$150*(MAX(IF((30*$B$66)&lt;=$B$9,0,((30*$B$66)-$B$9)/$B$8),MIN(($B$5-IF((30*$B$66)&lt;=$B$9,0,((30*$B$66)-$B$9)/$B$8)),$B$106))),NA())</f>
        <v>#N/A</v>
      </c>
      <c r="GJ442" t="e">
        <f>IF(AND(AND($B$21=1,(30*$B$66)&lt;IF($B$63=1,$B$10-0.2,$B$62)),(30*$B$66)&gt;=$B$104),$B$152+$B$150*((30*$B$66)),NA())</f>
        <v>#N/A</v>
      </c>
      <c r="HQ442" t="e">
        <f>NA()</f>
        <v>#N/A</v>
      </c>
      <c r="HR442" t="e">
        <f>NA()</f>
        <v>#N/A</v>
      </c>
      <c r="HS442" t="e">
        <f>NA()</f>
        <v>#N/A</v>
      </c>
      <c r="HT442" t="e">
        <f>NA()</f>
        <v>#N/A</v>
      </c>
      <c r="KI442" t="e">
        <f>NA()</f>
        <v>#N/A</v>
      </c>
      <c r="KJ442" t="e">
        <f>NA()</f>
        <v>#N/A</v>
      </c>
    </row>
    <row r="443">
      <c r="K443" t="e">
        <f>IF(24&lt;=$B$12,$B$133+$B$132*($B$13*24-$B$27/2),NA())</f>
        <v>#N/A</v>
      </c>
      <c r="L443" t="e">
        <f>IF(24&lt;=$B$12,$B$134+$B$132*($B$5-$B$27/2),NA())</f>
        <v>#N/A</v>
      </c>
      <c r="FE443" t="e">
        <f>IF(AND($B$21=1,(30*$B$66)&lt;$B$62),$B$145+$B$144*(IF((30*$B$66)&lt;$B$73,$B$77,$B$75)),NA())</f>
        <v>#N/A</v>
      </c>
      <c r="FF443" t="e">
        <f>IF(AND($B$21=1,(30*$B$66)&lt;$B$62),$B$146+$B$144*((30*$B$66)),NA())</f>
        <v>#N/A</v>
      </c>
      <c r="GI443" t="e">
        <f>IF(AND($B$21=1,(30*$B$66)&lt;IF($B$63=1,$B$10-0.2,$B$62)),$B$151+$B$150*(MAX(IF((30*$B$66)&lt;=$B$9,0,((30*$B$66)-$B$9)/$B$8),MIN(($B$5-IF((30*$B$66)&lt;=$B$9,0,((30*$B$66)-$B$9)/$B$8)),IF((30*$B$66)&lt;$B$104,$B$108,$B$106)))),NA())</f>
        <v>#N/A</v>
      </c>
      <c r="GJ443" t="e">
        <f>IF(AND($B$21=1,(30*$B$66)&lt;IF($B$63=1,$B$10-0.2,$B$62)),$B$152+$B$150*((30*$B$66)),NA())</f>
        <v>#N/A</v>
      </c>
      <c r="HQ443" t="e">
        <f>IF(AND(7&lt;=$B$23,2&lt;=$B$24),$B$157+$B$156*((IF(7=1,1,IF(7=$B$23,$B$12,5*(7-1)))-1)*$B$13),NA())</f>
        <v>#N/A</v>
      </c>
      <c r="HR443" t="e">
        <f>IF(AND(7&lt;=$B$23,2&lt;=$B$24),$B$158+$B$156*((0*$B$5/2+(2-1)*($B$5/2)/$B$24)),NA())</f>
        <v>#N/A</v>
      </c>
      <c r="HS443" t="e">
        <f>IF(AND(19&lt;=$B$12,$B$51&gt;0),$B$157+$B$156*(((19-0.5)*$B$13)-($B$51*$B$13)/2),NA())</f>
        <v>#N/A</v>
      </c>
      <c r="HT443" t="e">
        <f>IF(AND(19&lt;=$B$12,$B$51&gt;0),$B$158+$B$156*((0*$B$5/2+0.6*$B$159)),NA())</f>
        <v>#N/A</v>
      </c>
      <c r="KI443" t="e">
        <f>IF(AND($B$21=1,37*$B$67&gt;$B$59,37*$B$67&lt;$B$178-$B$59,OR($B$63=0,ABS(37*$B$67-$B$178/2)&gt;$B$59/2)),$B$182+$B$181*($B$177*2/4+$B$60/2),NA())</f>
        <v>#N/A</v>
      </c>
      <c r="KJ443" t="e">
        <f>IF(AND($B$21=1,37*$B$67&gt;$B$59,37*$B$67&lt;$B$178-$B$59,OR($B$63=0,ABS(37*$B$67-$B$178/2)&gt;$B$59/2)),$B$183+$B$181*(37*$B$67),NA())</f>
        <v>#N/A</v>
      </c>
    </row>
    <row r="444">
      <c r="K444" t="e">
        <f>IF(24&lt;=$B$12,$B$133+$B$132*($B$13*24+$B$27/2),NA())</f>
        <v>#N/A</v>
      </c>
      <c r="L444" t="e">
        <f>IF(24&lt;=$B$12,$B$134+$B$132*($B$5-$B$27/2),NA())</f>
        <v>#N/A</v>
      </c>
      <c r="FE444" t="e">
        <f>IF(AND($B$21=1,(30*$B$66)&lt;$B$62),$B$145+$B$144*(IF((30*$B$66)&lt;$B$80,$B$83,$B$82)),NA())</f>
        <v>#N/A</v>
      </c>
      <c r="FF444" t="e">
        <f>IF(AND($B$21=1,(30*$B$66)&lt;$B$62),$B$146+$B$144*((30*$B$66)),NA())</f>
        <v>#N/A</v>
      </c>
      <c r="GI444" t="e">
        <f>IF(AND($B$21=1,(30*$B$66)&lt;IF($B$63=1,$B$10-0.2,$B$62)),$B$151+$B$150*(MAX(IF((30*$B$66)&lt;=$B$9,0,((30*$B$66)-$B$9)/$B$8),MIN(($B$5-IF((30*$B$66)&lt;=$B$9,0,((30*$B$66)-$B$9)/$B$8)),IF((30*$B$66)&lt;$B$111,$B$114,$B$113)))),NA())</f>
        <v>#N/A</v>
      </c>
      <c r="GJ444" t="e">
        <f>IF(AND($B$21=1,(30*$B$66)&lt;IF($B$63=1,$B$10-0.2,$B$62)),$B$152+$B$150*((30*$B$66)),NA())</f>
        <v>#N/A</v>
      </c>
      <c r="HQ444" t="e">
        <f>IF(AND(7&lt;=$B$23,2&lt;=$B$24),$B$157+$B$156*(IF(7=1,1,IF(7=$B$23,$B$12,5*(7-1)))*$B$13),NA())</f>
        <v>#N/A</v>
      </c>
      <c r="HR444" t="e">
        <f>IF(AND(7&lt;=$B$23,2&lt;=$B$24),$B$158+$B$156*((0*$B$5/2+2*($B$5/2)/$B$24)),NA())</f>
        <v>#N/A</v>
      </c>
      <c r="HS444" t="e">
        <f>IF(AND(19&lt;=$B$12,$B$51&gt;0),$B$157+$B$156*(((19-0.5)*$B$13)+($B$51*$B$13)/2),NA())</f>
        <v>#N/A</v>
      </c>
      <c r="HT444" t="e">
        <f>IF(AND(19&lt;=$B$12,$B$51&gt;0),$B$158+$B$156*((0*$B$5/2+0.6*$B$159)+(((0*$B$5/2+$B$5/2-0.6*$B$159))-((0*$B$5/2+0.6*$B$159)))/4),NA())</f>
        <v>#N/A</v>
      </c>
      <c r="KI444" t="e">
        <f>IF(AND($B$21=1,37*$B$67&gt;$B$59,37*$B$67&lt;$B$178-$B$59,OR($B$63=0,ABS(37*$B$67-$B$178/2)&gt;$B$59/2)),$B$182+$B$181*($B$177*3/4-$B$60/2),NA())</f>
        <v>#N/A</v>
      </c>
      <c r="KJ444" t="e">
        <f>IF(AND($B$21=1,37*$B$67&gt;$B$59,37*$B$67&lt;$B$178-$B$59,OR($B$63=0,ABS(37*$B$67-$B$178/2)&gt;$B$59/2)),$B$183+$B$181*(37*$B$67),NA())</f>
        <v>#N/A</v>
      </c>
    </row>
    <row r="445">
      <c r="K445" t="e">
        <f>IF(24&lt;=$B$12,$B$133+$B$132*($B$13*24+$B$27/2),NA())</f>
        <v>#N/A</v>
      </c>
      <c r="L445" t="e">
        <f>IF(24&lt;=$B$12,$B$134+$B$132*($B$5+$B$27/2),NA())</f>
        <v>#N/A</v>
      </c>
      <c r="FE445" t="e">
        <f>IF(AND(AND($B$21=1,(30*$B$66)&lt;$B$62),(30*$B$66)&gt;=$B$80),$B$145+$B$144*($B$82),NA())</f>
        <v>#N/A</v>
      </c>
      <c r="FF445" t="e">
        <f>IF(AND(AND($B$21=1,(30*$B$66)&lt;$B$62),(30*$B$66)&gt;=$B$80),$B$146+$B$144*((30*$B$66)),NA())</f>
        <v>#N/A</v>
      </c>
      <c r="GI445" t="e">
        <f>IF(AND(AND($B$21=1,(30*$B$66)&lt;IF($B$63=1,$B$10-0.2,$B$62)),(30*$B$66)&gt;=$B$111),$B$151+$B$150*(MAX(IF((30*$B$66)&lt;=$B$9,0,((30*$B$66)-$B$9)/$B$8),MIN(($B$5-IF((30*$B$66)&lt;=$B$9,0,((30*$B$66)-$B$9)/$B$8)),$B$113))),NA())</f>
        <v>#N/A</v>
      </c>
      <c r="GJ445" t="e">
        <f>IF(AND(AND($B$21=1,(30*$B$66)&lt;IF($B$63=1,$B$10-0.2,$B$62)),(30*$B$66)&gt;=$B$111),$B$152+$B$150*((30*$B$66)),NA())</f>
        <v>#N/A</v>
      </c>
      <c r="HQ445" t="e">
        <f>NA()</f>
        <v>#N/A</v>
      </c>
      <c r="HR445" t="e">
        <f>NA()</f>
        <v>#N/A</v>
      </c>
      <c r="HS445" t="e">
        <f>IF(AND(19&lt;=$B$12,$B$51&gt;0),$B$157+$B$156*(((19-0.5)*$B$13)-($B$51*$B$13)/2),NA())</f>
        <v>#N/A</v>
      </c>
      <c r="HT445" t="e">
        <f>IF(AND(19&lt;=$B$12,$B$51&gt;0),$B$158+$B$156*((0*$B$5/2+0.6*$B$159)+(((0*$B$5/2+$B$5/2-0.6*$B$159))-((0*$B$5/2+0.6*$B$159)))/2),NA())</f>
        <v>#N/A</v>
      </c>
      <c r="KI445" t="e">
        <f>NA()</f>
        <v>#N/A</v>
      </c>
      <c r="KJ445" t="e">
        <f>NA()</f>
        <v>#N/A</v>
      </c>
    </row>
    <row r="446">
      <c r="K446" t="e">
        <f>IF(24&lt;=$B$12,$B$133+$B$132*($B$13*24-$B$27/2),NA())</f>
        <v>#N/A</v>
      </c>
      <c r="L446" t="e">
        <f>IF(24&lt;=$B$12,$B$134+$B$132*($B$5+$B$27/2),NA())</f>
        <v>#N/A</v>
      </c>
      <c r="FE446" t="e">
        <f>IF(AND($B$21=1,(30*$B$66)&lt;$B$62),$B$145+$B$144*(IF((30*$B$66)&lt;$B$80,$B$84,$B$82)),NA())</f>
        <v>#N/A</v>
      </c>
      <c r="FF446" t="e">
        <f>IF(AND($B$21=1,(30*$B$66)&lt;$B$62),$B$146+$B$144*((30*$B$66)),NA())</f>
        <v>#N/A</v>
      </c>
      <c r="GI446" t="e">
        <f>IF(AND($B$21=1,(30*$B$66)&lt;IF($B$63=1,$B$10-0.2,$B$62)),$B$151+$B$150*(MAX(IF((30*$B$66)&lt;=$B$9,0,((30*$B$66)-$B$9)/$B$8),MIN(($B$5-IF((30*$B$66)&lt;=$B$9,0,((30*$B$66)-$B$9)/$B$8)),IF((30*$B$66)&lt;$B$111,$B$115,$B$113)))),NA())</f>
        <v>#N/A</v>
      </c>
      <c r="GJ446" t="e">
        <f>IF(AND($B$21=1,(30*$B$66)&lt;IF($B$63=1,$B$10-0.2,$B$62)),$B$152+$B$150*((30*$B$66)),NA())</f>
        <v>#N/A</v>
      </c>
      <c r="HQ446" t="e">
        <f>IF(AND(7&lt;=$B$23,2&lt;=$B$24),$B$157+$B$156*((IF(7=1,1,IF(7=$B$23,$B$12,5*(7-1)))-1)*$B$13),NA())</f>
        <v>#N/A</v>
      </c>
      <c r="HR446" t="e">
        <f>IF(AND(7&lt;=$B$23,2&lt;=$B$24),$B$158+$B$156*((0*$B$5/2+2*($B$5/2)/$B$24)),NA())</f>
        <v>#N/A</v>
      </c>
      <c r="HS446" t="e">
        <f>IF(AND(19&lt;=$B$12,$B$51&gt;0),$B$157+$B$156*(((19-0.5)*$B$13)+($B$51*$B$13)/2),NA())</f>
        <v>#N/A</v>
      </c>
      <c r="HT446" t="e">
        <f>IF(AND(19&lt;=$B$12,$B$51&gt;0),$B$158+$B$156*((0*$B$5/2+0.6*$B$159)+3*(((0*$B$5/2+$B$5/2-0.6*$B$159))-((0*$B$5/2+0.6*$B$159)))/4),NA())</f>
        <v>#N/A</v>
      </c>
      <c r="KI446" t="e">
        <f>IF(AND($B$21=1,37*$B$67&gt;$B$59,37*$B$67&lt;$B$178-$B$59,OR($B$63=0,ABS(37*$B$67-$B$178/2)&gt;$B$59/2)),$B$182+$B$181*($B$177*3/4+$B$60/2),NA())</f>
        <v>#N/A</v>
      </c>
      <c r="KJ446" t="e">
        <f>IF(AND($B$21=1,37*$B$67&gt;$B$59,37*$B$67&lt;$B$178-$B$59,OR($B$63=0,ABS(37*$B$67-$B$178/2)&gt;$B$59/2)),$B$183+$B$181*(37*$B$67),NA())</f>
        <v>#N/A</v>
      </c>
    </row>
    <row r="447">
      <c r="K447" t="e">
        <f>IF(24&lt;=$B$12,$B$133+$B$132*($B$13*24-$B$27/2),NA())</f>
        <v>#N/A</v>
      </c>
      <c r="L447" t="e">
        <f>IF(24&lt;=$B$12,$B$134+$B$132*($B$5-$B$27/2),NA())</f>
        <v>#N/A</v>
      </c>
      <c r="FE447" t="e">
        <f>IF(AND($B$21=1,(30*$B$66)&lt;$B$62),$B$145+$B$144*(IF((30*$B$66)&lt;$B$87,$B$90,$B$89)),NA())</f>
        <v>#N/A</v>
      </c>
      <c r="FF447" t="e">
        <f>IF(AND($B$21=1,(30*$B$66)&lt;$B$62),$B$146+$B$144*((30*$B$66)),NA())</f>
        <v>#N/A</v>
      </c>
      <c r="GI447" t="e">
        <f>IF(AND($B$21=1,(30*$B$66)&lt;IF($B$63=1,$B$10-0.2,$B$62)),$B$151+$B$150*(MAX(IF((30*$B$66)&lt;=$B$9,0,((30*$B$66)-$B$9)/$B$8),MIN(($B$5-IF((30*$B$66)&lt;=$B$9,0,((30*$B$66)-$B$9)/$B$8)),IF((30*$B$66)&lt;$B$118,$B$121,$B$120)))),NA())</f>
        <v>#N/A</v>
      </c>
      <c r="GJ447" t="e">
        <f>IF(AND($B$21=1,(30*$B$66)&lt;IF($B$63=1,$B$10-0.2,$B$62)),$B$152+$B$150*((30*$B$66)),NA())</f>
        <v>#N/A</v>
      </c>
      <c r="HQ447" t="e">
        <f>IF(AND(7&lt;=$B$23,2&lt;=$B$24),$B$157+$B$156*(IF(7=1,1,IF(7=$B$23,$B$12,5*(7-1)))*$B$13),NA())</f>
        <v>#N/A</v>
      </c>
      <c r="HR447" t="e">
        <f>IF(AND(7&lt;=$B$23,2&lt;=$B$24),$B$158+$B$156*((0*$B$5/2+(2-1)*($B$5/2)/$B$24)),NA())</f>
        <v>#N/A</v>
      </c>
      <c r="HS447" t="e">
        <f>IF(AND(19&lt;=$B$12,$B$51&gt;0),$B$157+$B$156*(((19-0.5)*$B$13)-($B$51*$B$13)/2),NA())</f>
        <v>#N/A</v>
      </c>
      <c r="HT447" t="e">
        <f>IF(AND(19&lt;=$B$12,$B$51&gt;0),$B$158+$B$156*((0*$B$5/2+$B$5/2-0.6*$B$159)),NA())</f>
        <v>#N/A</v>
      </c>
      <c r="KI447" t="e">
        <f>IF(AND($B$21=1,37*$B$67&gt;$B$59,37*$B$67&lt;$B$178-$B$59,OR($B$63=0,ABS(37*$B$67-$B$178/2)&gt;$B$59/2)),$B$182+$B$181*($B$177),NA())</f>
        <v>#N/A</v>
      </c>
      <c r="KJ447" t="e">
        <f>IF(AND($B$21=1,37*$B$67&gt;$B$59,37*$B$67&lt;$B$178-$B$59,OR($B$63=0,ABS(37*$B$67-$B$178/2)&gt;$B$59/2)),$B$183+$B$181*(37*$B$67),NA())</f>
        <v>#N/A</v>
      </c>
    </row>
    <row r="448">
      <c r="K448" t="e">
        <f>NA()</f>
        <v>#N/A</v>
      </c>
      <c r="L448" t="e">
        <f>NA()</f>
        <v>#N/A</v>
      </c>
      <c r="FE448" t="e">
        <f>IF(AND(AND($B$21=1,(30*$B$66)&lt;$B$62),(30*$B$66)&gt;=$B$87),$B$145+$B$144*($B$89),NA())</f>
        <v>#N/A</v>
      </c>
      <c r="FF448" t="e">
        <f>IF(AND(AND($B$21=1,(30*$B$66)&lt;$B$62),(30*$B$66)&gt;=$B$87),$B$146+$B$144*((30*$B$66)),NA())</f>
        <v>#N/A</v>
      </c>
      <c r="GI448" t="e">
        <f>IF(AND(AND($B$21=1,(30*$B$66)&lt;IF($B$63=1,$B$10-0.2,$B$62)),(30*$B$66)&gt;=$B$118),$B$151+$B$150*(MAX(IF((30*$B$66)&lt;=$B$9,0,((30*$B$66)-$B$9)/$B$8),MIN(($B$5-IF((30*$B$66)&lt;=$B$9,0,((30*$B$66)-$B$9)/$B$8)),$B$120))),NA())</f>
        <v>#N/A</v>
      </c>
      <c r="GJ448" t="e">
        <f>IF(AND(AND($B$21=1,(30*$B$66)&lt;IF($B$63=1,$B$10-0.2,$B$62)),(30*$B$66)&gt;=$B$118),$B$152+$B$150*((30*$B$66)),NA())</f>
        <v>#N/A</v>
      </c>
      <c r="HQ448" t="e">
        <f>NA()</f>
        <v>#N/A</v>
      </c>
      <c r="HR448" t="e">
        <f>NA()</f>
        <v>#N/A</v>
      </c>
      <c r="HS448" t="e">
        <f>NA()</f>
        <v>#N/A</v>
      </c>
      <c r="HT448" t="e">
        <f>NA()</f>
        <v>#N/A</v>
      </c>
      <c r="KI448" t="e">
        <f>NA()</f>
        <v>#N/A</v>
      </c>
      <c r="KJ448" t="e">
        <f>NA()</f>
        <v>#N/A</v>
      </c>
    </row>
    <row r="449">
      <c r="K449" t="e">
        <f>IF(AND(24&lt;=$B$12,$B$45=1),$B$133+$B$132*($B$13*24-$B$27/2),NA())</f>
        <v>#N/A</v>
      </c>
      <c r="L449" t="e">
        <f>IF(AND(24&lt;=$B$12,$B$45=1),$B$134+$B$132*($B$5/2-$B$27/2),NA())</f>
        <v>#N/A</v>
      </c>
      <c r="FE449" t="e">
        <f>IF(AND($B$21=1,(30*$B$66)&lt;$B$62),$B$145+$B$144*(IF((30*$B$66)&lt;$B$87,$B$91,$B$89)),NA())</f>
        <v>#N/A</v>
      </c>
      <c r="FF449" t="e">
        <f>IF(AND($B$21=1,(30*$B$66)&lt;$B$62),$B$146+$B$144*((30*$B$66)),NA())</f>
        <v>#N/A</v>
      </c>
      <c r="GI449" t="e">
        <f>IF(AND($B$21=1,(30*$B$66)&lt;IF($B$63=1,$B$10-0.2,$B$62)),$B$151+$B$150*(MAX(IF((30*$B$66)&lt;=$B$9,0,((30*$B$66)-$B$9)/$B$8),MIN(($B$5-IF((30*$B$66)&lt;=$B$9,0,((30*$B$66)-$B$9)/$B$8)),IF((30*$B$66)&lt;$B$118,$B$122,$B$120)))),NA())</f>
        <v>#N/A</v>
      </c>
      <c r="GJ449" t="e">
        <f>IF(AND($B$21=1,(30*$B$66)&lt;IF($B$63=1,$B$10-0.2,$B$62)),$B$152+$B$150*((30*$B$66)),NA())</f>
        <v>#N/A</v>
      </c>
      <c r="HQ449" t="e">
        <f>IF(AND(7&lt;=$B$23,3&lt;=$B$24),$B$157+$B$156*((IF(7=1,1,IF(7=$B$23,$B$12,5*(7-1)))-1)*$B$13),NA())</f>
        <v>#N/A</v>
      </c>
      <c r="HR449" t="e">
        <f>IF(AND(7&lt;=$B$23,3&lt;=$B$24),$B$158+$B$156*((0*$B$5/2+(3-1)*($B$5/2)/$B$24)),NA())</f>
        <v>#N/A</v>
      </c>
      <c r="HS449" t="e">
        <f>IF(AND(19&lt;=$B$12,$B$51&gt;0),$B$157+$B$156*(((19-0.5)*$B$13)-($B$51*$B$13)/2),NA())</f>
        <v>#N/A</v>
      </c>
      <c r="HT449" t="e">
        <f>IF(AND(19&lt;=$B$12,$B$51&gt;0),$B$158+$B$156*((1*$B$5/2+0.6*$B$159)),NA())</f>
        <v>#N/A</v>
      </c>
      <c r="KI449" t="e">
        <f>IF(AND($B$21=1,38*$B$67&gt;$B$59,38*$B$67&lt;$B$178-$B$59,OR($B$63=0,ABS(38*$B$67-$B$178/2)&gt;$B$59/2)),$B$182+$B$181*(0),NA())</f>
        <v>#N/A</v>
      </c>
      <c r="KJ449" t="e">
        <f>IF(AND($B$21=1,38*$B$67&gt;$B$59,38*$B$67&lt;$B$178-$B$59,OR($B$63=0,ABS(38*$B$67-$B$178/2)&gt;$B$59/2)),$B$183+$B$181*(38*$B$67),NA())</f>
        <v>#N/A</v>
      </c>
    </row>
    <row r="450">
      <c r="K450" t="e">
        <f>IF(AND(24&lt;=$B$12,$B$45=1),$B$133+$B$132*($B$13*24+$B$27/2),NA())</f>
        <v>#N/A</v>
      </c>
      <c r="L450" t="e">
        <f>IF(AND(24&lt;=$B$12,$B$45=1),$B$134+$B$132*($B$5/2-$B$27/2),NA())</f>
        <v>#N/A</v>
      </c>
      <c r="FE450" t="e">
        <f>IF(AND($B$21=1,(30*$B$66)&lt;$B$62),$B$145+$B$144*(IF((30*$B$66)&lt;$B$94,$B$97,$B$96)),NA())</f>
        <v>#N/A</v>
      </c>
      <c r="FF450" t="e">
        <f>IF(AND($B$21=1,(30*$B$66)&lt;$B$62),$B$146+$B$144*((30*$B$66)),NA())</f>
        <v>#N/A</v>
      </c>
      <c r="GI450" t="e">
        <f>IF(AND($B$21=1,(30*$B$66)&lt;IF($B$63=1,$B$10-0.2,$B$62)),$B$151+$B$150*(MAX(IF((30*$B$66)&lt;=$B$9,0,((30*$B$66)-$B$9)/$B$8),MIN(($B$5-IF((30*$B$66)&lt;=$B$9,0,((30*$B$66)-$B$9)/$B$8)),IF((30*$B$66)&lt;$B$125,$B$128,$B$127)))),NA())</f>
        <v>#N/A</v>
      </c>
      <c r="GJ450" t="e">
        <f>IF(AND($B$21=1,(30*$B$66)&lt;IF($B$63=1,$B$10-0.2,$B$62)),$B$152+$B$150*((30*$B$66)),NA())</f>
        <v>#N/A</v>
      </c>
      <c r="HQ450" t="e">
        <f>IF(AND(7&lt;=$B$23,3&lt;=$B$24),$B$157+$B$156*(IF(7=1,1,IF(7=$B$23,$B$12,5*(7-1)))*$B$13),NA())</f>
        <v>#N/A</v>
      </c>
      <c r="HR450" t="e">
        <f>IF(AND(7&lt;=$B$23,3&lt;=$B$24),$B$158+$B$156*((0*$B$5/2+3*($B$5/2)/$B$24)),NA())</f>
        <v>#N/A</v>
      </c>
      <c r="HS450" t="e">
        <f>IF(AND(19&lt;=$B$12,$B$51&gt;0),$B$157+$B$156*(((19-0.5)*$B$13)+($B$51*$B$13)/2),NA())</f>
        <v>#N/A</v>
      </c>
      <c r="HT450" t="e">
        <f>IF(AND(19&lt;=$B$12,$B$51&gt;0),$B$158+$B$156*((1*$B$5/2+0.6*$B$159)),NA())</f>
        <v>#N/A</v>
      </c>
      <c r="KI450" t="e">
        <f>IF(AND($B$21=1,38*$B$67&gt;$B$59,38*$B$67&lt;$B$178-$B$59,OR($B$63=0,ABS(38*$B$67-$B$178/2)&gt;$B$59/2)),$B$182+$B$181*($B$177*1/4-$B$60/2),NA())</f>
        <v>#N/A</v>
      </c>
      <c r="KJ450" t="e">
        <f>IF(AND($B$21=1,38*$B$67&gt;$B$59,38*$B$67&lt;$B$178-$B$59,OR($B$63=0,ABS(38*$B$67-$B$178/2)&gt;$B$59/2)),$B$183+$B$181*(38*$B$67),NA())</f>
        <v>#N/A</v>
      </c>
    </row>
    <row r="451">
      <c r="K451" t="e">
        <f>IF(AND(24&lt;=$B$12,$B$45=1),$B$133+$B$132*($B$13*24+$B$27/2),NA())</f>
        <v>#N/A</v>
      </c>
      <c r="L451" t="e">
        <f>IF(AND(24&lt;=$B$12,$B$45=1),$B$134+$B$132*($B$5/2+$B$27/2),NA())</f>
        <v>#N/A</v>
      </c>
      <c r="FE451" t="e">
        <f>IF(AND(AND($B$21=1,(30*$B$66)&lt;$B$62),(30*$B$66)&gt;=$B$94),$B$145+$B$144*($B$96),NA())</f>
        <v>#N/A</v>
      </c>
      <c r="FF451" t="e">
        <f>IF(AND(AND($B$21=1,(30*$B$66)&lt;$B$62),(30*$B$66)&gt;=$B$94),$B$146+$B$144*((30*$B$66)),NA())</f>
        <v>#N/A</v>
      </c>
      <c r="GI451" t="e">
        <f>IF(AND(AND($B$21=1,(30*$B$66)&lt;IF($B$63=1,$B$10-0.2,$B$62)),(30*$B$66)&gt;=$B$125),$B$151+$B$150*(MAX(IF((30*$B$66)&lt;=$B$9,0,((30*$B$66)-$B$9)/$B$8),MIN(($B$5-IF((30*$B$66)&lt;=$B$9,0,((30*$B$66)-$B$9)/$B$8)),$B$127))),NA())</f>
        <v>#N/A</v>
      </c>
      <c r="GJ451" t="e">
        <f>IF(AND(AND($B$21=1,(30*$B$66)&lt;IF($B$63=1,$B$10-0.2,$B$62)),(30*$B$66)&gt;=$B$125),$B$152+$B$150*((30*$B$66)),NA())</f>
        <v>#N/A</v>
      </c>
      <c r="HQ451" t="e">
        <f>NA()</f>
        <v>#N/A</v>
      </c>
      <c r="HR451" t="e">
        <f>NA()</f>
        <v>#N/A</v>
      </c>
      <c r="HS451" t="e">
        <f>IF(AND(19&lt;=$B$12,$B$51&gt;0),$B$157+$B$156*(((19-0.5)*$B$13)+($B$51*$B$13)/2),NA())</f>
        <v>#N/A</v>
      </c>
      <c r="HT451" t="e">
        <f>IF(AND(19&lt;=$B$12,$B$51&gt;0),$B$158+$B$156*((1*$B$5/2+$B$5/2-0.6*$B$159)),NA())</f>
        <v>#N/A</v>
      </c>
      <c r="KI451" t="e">
        <f>NA()</f>
        <v>#N/A</v>
      </c>
      <c r="KJ451" t="e">
        <f>NA()</f>
        <v>#N/A</v>
      </c>
    </row>
    <row r="452">
      <c r="K452" t="e">
        <f>IF(AND(24&lt;=$B$12,$B$45=1),$B$133+$B$132*($B$13*24-$B$27/2),NA())</f>
        <v>#N/A</v>
      </c>
      <c r="L452" t="e">
        <f>IF(AND(24&lt;=$B$12,$B$45=1),$B$134+$B$132*($B$5/2+$B$27/2),NA())</f>
        <v>#N/A</v>
      </c>
      <c r="FE452" t="e">
        <f>IF(AND($B$21=1,(30*$B$66)&lt;$B$62),$B$145+$B$144*(IF((30*$B$66)&lt;$B$94,$B$98,$B$96)),NA())</f>
        <v>#N/A</v>
      </c>
      <c r="FF452" t="e">
        <f>IF(AND($B$21=1,(30*$B$66)&lt;$B$62),$B$146+$B$144*((30*$B$66)),NA())</f>
        <v>#N/A</v>
      </c>
      <c r="GI452" t="e">
        <f>IF(AND($B$21=1,(30*$B$66)&lt;IF($B$63=1,$B$10-0.2,$B$62)),$B$151+$B$150*(MAX(IF((30*$B$66)&lt;=$B$9,0,((30*$B$66)-$B$9)/$B$8),MIN(($B$5-IF((30*$B$66)&lt;=$B$9,0,((30*$B$66)-$B$9)/$B$8)),IF((30*$B$66)&lt;$B$125,$B$129,$B$127)))),NA())</f>
        <v>#N/A</v>
      </c>
      <c r="GJ452" t="e">
        <f>IF(AND($B$21=1,(30*$B$66)&lt;IF($B$63=1,$B$10-0.2,$B$62)),$B$152+$B$150*((30*$B$66)),NA())</f>
        <v>#N/A</v>
      </c>
      <c r="HQ452" t="e">
        <f>IF(AND(7&lt;=$B$23,3&lt;=$B$24),$B$157+$B$156*((IF(7=1,1,IF(7=$B$23,$B$12,5*(7-1)))-1)*$B$13),NA())</f>
        <v>#N/A</v>
      </c>
      <c r="HR452" t="e">
        <f>IF(AND(7&lt;=$B$23,3&lt;=$B$24),$B$158+$B$156*((0*$B$5/2+3*($B$5/2)/$B$24)),NA())</f>
        <v>#N/A</v>
      </c>
      <c r="HS452" t="e">
        <f>IF(AND(19&lt;=$B$12,$B$51&gt;0),$B$157+$B$156*(((19-0.5)*$B$13)-($B$51*$B$13)/2),NA())</f>
        <v>#N/A</v>
      </c>
      <c r="HT452" t="e">
        <f>IF(AND(19&lt;=$B$12,$B$51&gt;0),$B$158+$B$156*((1*$B$5/2+$B$5/2-0.6*$B$159)),NA())</f>
        <v>#N/A</v>
      </c>
      <c r="KI452" t="e">
        <f>IF(AND($B$21=1,38*$B$67&gt;$B$59,38*$B$67&lt;$B$178-$B$59,OR($B$63=0,ABS(38*$B$67-$B$178/2)&gt;$B$59/2)),$B$182+$B$181*($B$177*1/4+$B$60/2),NA())</f>
        <v>#N/A</v>
      </c>
      <c r="KJ452" t="e">
        <f>IF(AND($B$21=1,38*$B$67&gt;$B$59,38*$B$67&lt;$B$178-$B$59,OR($B$63=0,ABS(38*$B$67-$B$178/2)&gt;$B$59/2)),$B$183+$B$181*(38*$B$67),NA())</f>
        <v>#N/A</v>
      </c>
    </row>
    <row r="453">
      <c r="K453" t="e">
        <f>IF(AND(24&lt;=$B$12,$B$45=1),$B$133+$B$132*($B$13*24-$B$27/2),NA())</f>
        <v>#N/A</v>
      </c>
      <c r="L453" t="e">
        <f>IF(AND(24&lt;=$B$12,$B$45=1),$B$134+$B$132*($B$5/2-$B$27/2),NA())</f>
        <v>#N/A</v>
      </c>
      <c r="FE453" t="e">
        <f>IF(AND($B$21=1,(30*$B$66)&lt;$B$62),$B$145+$B$144*($B$6),NA())</f>
        <v>#N/A</v>
      </c>
      <c r="FF453" t="e">
        <f>IF(AND($B$21=1,(30*$B$66)&lt;$B$62),$B$146+$B$144*((30*$B$66)),NA())</f>
        <v>#N/A</v>
      </c>
      <c r="GI453" t="e">
        <f>IF(AND($B$21=1,(30*$B$66)&lt;IF($B$63=1,$B$10-0.2,$B$62)),$B$151+$B$150*(($B$5-IF((30*$B$66)&lt;=$B$9,0,((30*$B$66)-$B$9)/$B$8))),NA())</f>
        <v>#N/A</v>
      </c>
      <c r="GJ453" t="e">
        <f>IF(AND($B$21=1,(30*$B$66)&lt;IF($B$63=1,$B$10-0.2,$B$62)),$B$152+$B$150*((30*$B$66)),NA())</f>
        <v>#N/A</v>
      </c>
      <c r="HQ453" t="e">
        <f>IF(AND(7&lt;=$B$23,3&lt;=$B$24),$B$157+$B$156*(IF(7=1,1,IF(7=$B$23,$B$12,5*(7-1)))*$B$13),NA())</f>
        <v>#N/A</v>
      </c>
      <c r="HR453" t="e">
        <f>IF(AND(7&lt;=$B$23,3&lt;=$B$24),$B$158+$B$156*((0*$B$5/2+(3-1)*($B$5/2)/$B$24)),NA())</f>
        <v>#N/A</v>
      </c>
      <c r="HS453" t="e">
        <f>IF(AND(19&lt;=$B$12,$B$51&gt;0),$B$157+$B$156*(((19-0.5)*$B$13)-($B$51*$B$13)/2),NA())</f>
        <v>#N/A</v>
      </c>
      <c r="HT453" t="e">
        <f>IF(AND(19&lt;=$B$12,$B$51&gt;0),$B$158+$B$156*((1*$B$5/2+0.6*$B$159)),NA())</f>
        <v>#N/A</v>
      </c>
      <c r="KI453" t="e">
        <f>IF(AND($B$21=1,38*$B$67&gt;$B$59,38*$B$67&lt;$B$178-$B$59,OR($B$63=0,ABS(38*$B$67-$B$178/2)&gt;$B$59/2)),$B$182+$B$181*($B$177*2/4-$B$60/2),NA())</f>
        <v>#N/A</v>
      </c>
      <c r="KJ453" t="e">
        <f>IF(AND($B$21=1,38*$B$67&gt;$B$59,38*$B$67&lt;$B$178-$B$59,OR($B$63=0,ABS(38*$B$67-$B$178/2)&gt;$B$59/2)),$B$183+$B$181*(38*$B$67),NA())</f>
        <v>#N/A</v>
      </c>
    </row>
    <row r="454">
      <c r="K454" t="e">
        <f>NA()</f>
        <v>#N/A</v>
      </c>
      <c r="L454" t="e">
        <f>NA()</f>
        <v>#N/A</v>
      </c>
      <c r="FE454" t="e">
        <f>NA()</f>
        <v>#N/A</v>
      </c>
      <c r="FF454" t="e">
        <f>NA()</f>
        <v>#N/A</v>
      </c>
      <c r="GI454" t="e">
        <f>NA()</f>
        <v>#N/A</v>
      </c>
      <c r="GJ454" t="e">
        <f>NA()</f>
        <v>#N/A</v>
      </c>
      <c r="HQ454" t="e">
        <f>NA()</f>
        <v>#N/A</v>
      </c>
      <c r="HR454" t="e">
        <f>NA()</f>
        <v>#N/A</v>
      </c>
      <c r="HS454" t="e">
        <f>NA()</f>
        <v>#N/A</v>
      </c>
      <c r="HT454" t="e">
        <f>NA()</f>
        <v>#N/A</v>
      </c>
      <c r="KI454" t="e">
        <f>NA()</f>
        <v>#N/A</v>
      </c>
      <c r="KJ454" t="e">
        <f>NA()</f>
        <v>#N/A</v>
      </c>
    </row>
    <row r="455">
      <c r="K455" t="e">
        <f>IF(25&lt;=$B$12,$B$133+$B$132*($B$13*25-$B$27/2),NA())</f>
        <v>#N/A</v>
      </c>
      <c r="L455" t="e">
        <f>IF(25&lt;=$B$12,$B$134+$B$132*(0-$B$27/2),NA())</f>
        <v>#N/A</v>
      </c>
      <c r="FE455" t="e">
        <f>IF(AND($B$21=1,(31*$B$66)&lt;$B$62),$B$145+$B$144*(0),NA())</f>
        <v>#N/A</v>
      </c>
      <c r="FF455" t="e">
        <f>IF(AND($B$21=1,(31*$B$66)&lt;$B$62),$B$146+$B$144*((31*$B$66)),NA())</f>
        <v>#N/A</v>
      </c>
      <c r="GI455" t="e">
        <f>IF(AND($B$21=1,(31*$B$66)&lt;IF($B$63=1,$B$10-0.2,$B$62)),$B$151+$B$150*(IF((31*$B$66)&lt;=$B$9,0,((31*$B$66)-$B$9)/$B$8)),NA())</f>
        <v>#N/A</v>
      </c>
      <c r="GJ455" t="e">
        <f>IF(AND($B$21=1,(31*$B$66)&lt;IF($B$63=1,$B$10-0.2,$B$62)),$B$152+$B$150*((31*$B$66)),NA())</f>
        <v>#N/A</v>
      </c>
      <c r="HQ455" t="e">
        <f>IF(AND(7&lt;=$B$23,4&lt;=$B$24),$B$157+$B$156*((IF(7=1,1,IF(7=$B$23,$B$12,5*(7-1)))-1)*$B$13),NA())</f>
        <v>#N/A</v>
      </c>
      <c r="HR455" t="e">
        <f>IF(AND(7&lt;=$B$23,4&lt;=$B$24),$B$158+$B$156*((0*$B$5/2+(4-1)*($B$5/2)/$B$24)),NA())</f>
        <v>#N/A</v>
      </c>
      <c r="HS455" t="e">
        <f>IF(AND(19&lt;=$B$12,$B$51&gt;0),$B$157+$B$156*(((19-0.5)*$B$13)-($B$51*$B$13)/2),NA())</f>
        <v>#N/A</v>
      </c>
      <c r="HT455" t="e">
        <f>IF(AND(19&lt;=$B$12,$B$51&gt;0),$B$158+$B$156*((1*$B$5/2+0.6*$B$159)),NA())</f>
        <v>#N/A</v>
      </c>
      <c r="KI455" t="e">
        <f>IF(AND($B$21=1,38*$B$67&gt;$B$59,38*$B$67&lt;$B$178-$B$59,OR($B$63=0,ABS(38*$B$67-$B$178/2)&gt;$B$59/2)),$B$182+$B$181*($B$177*2/4+$B$60/2),NA())</f>
        <v>#N/A</v>
      </c>
      <c r="KJ455" t="e">
        <f>IF(AND($B$21=1,38*$B$67&gt;$B$59,38*$B$67&lt;$B$178-$B$59,OR($B$63=0,ABS(38*$B$67-$B$178/2)&gt;$B$59/2)),$B$183+$B$181*(38*$B$67),NA())</f>
        <v>#N/A</v>
      </c>
    </row>
    <row r="456">
      <c r="K456" t="e">
        <f>IF(25&lt;=$B$12,$B$133+$B$132*($B$13*25+$B$27/2),NA())</f>
        <v>#N/A</v>
      </c>
      <c r="L456" t="e">
        <f>IF(25&lt;=$B$12,$B$134+$B$132*(0-$B$27/2),NA())</f>
        <v>#N/A</v>
      </c>
      <c r="FE456" t="e">
        <f>IF(AND($B$21=1,(31*$B$66)&lt;$B$62),$B$145+$B$144*(IF((31*$B$66)&lt;$B$73,$B$76,$B$75)),NA())</f>
        <v>#N/A</v>
      </c>
      <c r="FF456" t="e">
        <f>IF(AND($B$21=1,(31*$B$66)&lt;$B$62),$B$146+$B$144*((31*$B$66)),NA())</f>
        <v>#N/A</v>
      </c>
      <c r="GI456" t="e">
        <f>IF(AND($B$21=1,(31*$B$66)&lt;IF($B$63=1,$B$10-0.2,$B$62)),$B$151+$B$150*(MAX(IF((31*$B$66)&lt;=$B$9,0,((31*$B$66)-$B$9)/$B$8),MIN(($B$5-IF((31*$B$66)&lt;=$B$9,0,((31*$B$66)-$B$9)/$B$8)),IF((31*$B$66)&lt;$B$104,$B$107,$B$106)))),NA())</f>
        <v>#N/A</v>
      </c>
      <c r="GJ456" t="e">
        <f>IF(AND($B$21=1,(31*$B$66)&lt;IF($B$63=1,$B$10-0.2,$B$62)),$B$152+$B$150*((31*$B$66)),NA())</f>
        <v>#N/A</v>
      </c>
      <c r="HQ456" t="e">
        <f>IF(AND(7&lt;=$B$23,4&lt;=$B$24),$B$157+$B$156*(IF(7=1,1,IF(7=$B$23,$B$12,5*(7-1)))*$B$13),NA())</f>
        <v>#N/A</v>
      </c>
      <c r="HR456" t="e">
        <f>IF(AND(7&lt;=$B$23,4&lt;=$B$24),$B$158+$B$156*((0*$B$5/2+4*($B$5/2)/$B$24)),NA())</f>
        <v>#N/A</v>
      </c>
      <c r="HS456" t="e">
        <f>IF(AND(19&lt;=$B$12,$B$51&gt;0),$B$157+$B$156*(((19-0.5)*$B$13)+($B$51*$B$13)/2),NA())</f>
        <v>#N/A</v>
      </c>
      <c r="HT456" t="e">
        <f>IF(AND(19&lt;=$B$12,$B$51&gt;0),$B$158+$B$156*((1*$B$5/2+0.6*$B$159)+(((1*$B$5/2+$B$5/2-0.6*$B$159))-((1*$B$5/2+0.6*$B$159)))/4),NA())</f>
        <v>#N/A</v>
      </c>
      <c r="KI456" t="e">
        <f>IF(AND($B$21=1,38*$B$67&gt;$B$59,38*$B$67&lt;$B$178-$B$59,OR($B$63=0,ABS(38*$B$67-$B$178/2)&gt;$B$59/2)),$B$182+$B$181*($B$177*3/4-$B$60/2),NA())</f>
        <v>#N/A</v>
      </c>
      <c r="KJ456" t="e">
        <f>IF(AND($B$21=1,38*$B$67&gt;$B$59,38*$B$67&lt;$B$178-$B$59,OR($B$63=0,ABS(38*$B$67-$B$178/2)&gt;$B$59/2)),$B$183+$B$181*(38*$B$67),NA())</f>
        <v>#N/A</v>
      </c>
    </row>
    <row r="457">
      <c r="K457" t="e">
        <f>IF(25&lt;=$B$12,$B$133+$B$132*($B$13*25+$B$27/2),NA())</f>
        <v>#N/A</v>
      </c>
      <c r="L457" t="e">
        <f>IF(25&lt;=$B$12,$B$134+$B$132*(0+$B$27/2),NA())</f>
        <v>#N/A</v>
      </c>
      <c r="FE457" t="e">
        <f>IF(AND(AND($B$21=1,(31*$B$66)&lt;$B$62),(31*$B$66)&gt;=$B$73),$B$145+$B$144*($B$75),NA())</f>
        <v>#N/A</v>
      </c>
      <c r="FF457" t="e">
        <f>IF(AND(AND($B$21=1,(31*$B$66)&lt;$B$62),(31*$B$66)&gt;=$B$73),$B$146+$B$144*((31*$B$66)),NA())</f>
        <v>#N/A</v>
      </c>
      <c r="GI457" t="e">
        <f>IF(AND(AND($B$21=1,(31*$B$66)&lt;IF($B$63=1,$B$10-0.2,$B$62)),(31*$B$66)&gt;=$B$104),$B$151+$B$150*(MAX(IF((31*$B$66)&lt;=$B$9,0,((31*$B$66)-$B$9)/$B$8),MIN(($B$5-IF((31*$B$66)&lt;=$B$9,0,((31*$B$66)-$B$9)/$B$8)),$B$106))),NA())</f>
        <v>#N/A</v>
      </c>
      <c r="GJ457" t="e">
        <f>IF(AND(AND($B$21=1,(31*$B$66)&lt;IF($B$63=1,$B$10-0.2,$B$62)),(31*$B$66)&gt;=$B$104),$B$152+$B$150*((31*$B$66)),NA())</f>
        <v>#N/A</v>
      </c>
      <c r="HQ457" t="e">
        <f>NA()</f>
        <v>#N/A</v>
      </c>
      <c r="HR457" t="e">
        <f>NA()</f>
        <v>#N/A</v>
      </c>
      <c r="HS457" t="e">
        <f>IF(AND(19&lt;=$B$12,$B$51&gt;0),$B$157+$B$156*(((19-0.5)*$B$13)-($B$51*$B$13)/2),NA())</f>
        <v>#N/A</v>
      </c>
      <c r="HT457" t="e">
        <f>IF(AND(19&lt;=$B$12,$B$51&gt;0),$B$158+$B$156*((1*$B$5/2+0.6*$B$159)+(((1*$B$5/2+$B$5/2-0.6*$B$159))-((1*$B$5/2+0.6*$B$159)))/2),NA())</f>
        <v>#N/A</v>
      </c>
      <c r="KI457" t="e">
        <f>NA()</f>
        <v>#N/A</v>
      </c>
      <c r="KJ457" t="e">
        <f>NA()</f>
        <v>#N/A</v>
      </c>
    </row>
    <row r="458">
      <c r="K458" t="e">
        <f>IF(25&lt;=$B$12,$B$133+$B$132*($B$13*25-$B$27/2),NA())</f>
        <v>#N/A</v>
      </c>
      <c r="L458" t="e">
        <f>IF(25&lt;=$B$12,$B$134+$B$132*(0+$B$27/2),NA())</f>
        <v>#N/A</v>
      </c>
      <c r="FE458" t="e">
        <f>IF(AND($B$21=1,(31*$B$66)&lt;$B$62),$B$145+$B$144*(IF((31*$B$66)&lt;$B$73,$B$77,$B$75)),NA())</f>
        <v>#N/A</v>
      </c>
      <c r="FF458" t="e">
        <f>IF(AND($B$21=1,(31*$B$66)&lt;$B$62),$B$146+$B$144*((31*$B$66)),NA())</f>
        <v>#N/A</v>
      </c>
      <c r="GI458" t="e">
        <f>IF(AND($B$21=1,(31*$B$66)&lt;IF($B$63=1,$B$10-0.2,$B$62)),$B$151+$B$150*(MAX(IF((31*$B$66)&lt;=$B$9,0,((31*$B$66)-$B$9)/$B$8),MIN(($B$5-IF((31*$B$66)&lt;=$B$9,0,((31*$B$66)-$B$9)/$B$8)),IF((31*$B$66)&lt;$B$104,$B$108,$B$106)))),NA())</f>
        <v>#N/A</v>
      </c>
      <c r="GJ458" t="e">
        <f>IF(AND($B$21=1,(31*$B$66)&lt;IF($B$63=1,$B$10-0.2,$B$62)),$B$152+$B$150*((31*$B$66)),NA())</f>
        <v>#N/A</v>
      </c>
      <c r="HQ458" t="e">
        <f>IF(AND(7&lt;=$B$23,4&lt;=$B$24),$B$157+$B$156*((IF(7=1,1,IF(7=$B$23,$B$12,5*(7-1)))-1)*$B$13),NA())</f>
        <v>#N/A</v>
      </c>
      <c r="HR458" t="e">
        <f>IF(AND(7&lt;=$B$23,4&lt;=$B$24),$B$158+$B$156*((0*$B$5/2+4*($B$5/2)/$B$24)),NA())</f>
        <v>#N/A</v>
      </c>
      <c r="HS458" t="e">
        <f>IF(AND(19&lt;=$B$12,$B$51&gt;0),$B$157+$B$156*(((19-0.5)*$B$13)+($B$51*$B$13)/2),NA())</f>
        <v>#N/A</v>
      </c>
      <c r="HT458" t="e">
        <f>IF(AND(19&lt;=$B$12,$B$51&gt;0),$B$158+$B$156*((1*$B$5/2+0.6*$B$159)+3*(((1*$B$5/2+$B$5/2-0.6*$B$159))-((1*$B$5/2+0.6*$B$159)))/4),NA())</f>
        <v>#N/A</v>
      </c>
      <c r="KI458" t="e">
        <f>IF(AND($B$21=1,38*$B$67&gt;$B$59,38*$B$67&lt;$B$178-$B$59,OR($B$63=0,ABS(38*$B$67-$B$178/2)&gt;$B$59/2)),$B$182+$B$181*($B$177*3/4+$B$60/2),NA())</f>
        <v>#N/A</v>
      </c>
      <c r="KJ458" t="e">
        <f>IF(AND($B$21=1,38*$B$67&gt;$B$59,38*$B$67&lt;$B$178-$B$59,OR($B$63=0,ABS(38*$B$67-$B$178/2)&gt;$B$59/2)),$B$183+$B$181*(38*$B$67),NA())</f>
        <v>#N/A</v>
      </c>
    </row>
    <row r="459">
      <c r="K459" t="e">
        <f>IF(25&lt;=$B$12,$B$133+$B$132*($B$13*25-$B$27/2),NA())</f>
        <v>#N/A</v>
      </c>
      <c r="L459" t="e">
        <f>IF(25&lt;=$B$12,$B$134+$B$132*(0-$B$27/2),NA())</f>
        <v>#N/A</v>
      </c>
      <c r="FE459" t="e">
        <f>IF(AND($B$21=1,(31*$B$66)&lt;$B$62),$B$145+$B$144*(IF((31*$B$66)&lt;$B$80,$B$83,$B$82)),NA())</f>
        <v>#N/A</v>
      </c>
      <c r="FF459" t="e">
        <f>IF(AND($B$21=1,(31*$B$66)&lt;$B$62),$B$146+$B$144*((31*$B$66)),NA())</f>
        <v>#N/A</v>
      </c>
      <c r="GI459" t="e">
        <f>IF(AND($B$21=1,(31*$B$66)&lt;IF($B$63=1,$B$10-0.2,$B$62)),$B$151+$B$150*(MAX(IF((31*$B$66)&lt;=$B$9,0,((31*$B$66)-$B$9)/$B$8),MIN(($B$5-IF((31*$B$66)&lt;=$B$9,0,((31*$B$66)-$B$9)/$B$8)),IF((31*$B$66)&lt;$B$111,$B$114,$B$113)))),NA())</f>
        <v>#N/A</v>
      </c>
      <c r="GJ459" t="e">
        <f>IF(AND($B$21=1,(31*$B$66)&lt;IF($B$63=1,$B$10-0.2,$B$62)),$B$152+$B$150*((31*$B$66)),NA())</f>
        <v>#N/A</v>
      </c>
      <c r="HQ459" t="e">
        <f>IF(AND(7&lt;=$B$23,4&lt;=$B$24),$B$157+$B$156*(IF(7=1,1,IF(7=$B$23,$B$12,5*(7-1)))*$B$13),NA())</f>
        <v>#N/A</v>
      </c>
      <c r="HR459" t="e">
        <f>IF(AND(7&lt;=$B$23,4&lt;=$B$24),$B$158+$B$156*((0*$B$5/2+(4-1)*($B$5/2)/$B$24)),NA())</f>
        <v>#N/A</v>
      </c>
      <c r="HS459" t="e">
        <f>IF(AND(19&lt;=$B$12,$B$51&gt;0),$B$157+$B$156*(((19-0.5)*$B$13)-($B$51*$B$13)/2),NA())</f>
        <v>#N/A</v>
      </c>
      <c r="HT459" t="e">
        <f>IF(AND(19&lt;=$B$12,$B$51&gt;0),$B$158+$B$156*((1*$B$5/2+$B$5/2-0.6*$B$159)),NA())</f>
        <v>#N/A</v>
      </c>
      <c r="KI459" t="e">
        <f>IF(AND($B$21=1,38*$B$67&gt;$B$59,38*$B$67&lt;$B$178-$B$59,OR($B$63=0,ABS(38*$B$67-$B$178/2)&gt;$B$59/2)),$B$182+$B$181*($B$177),NA())</f>
        <v>#N/A</v>
      </c>
      <c r="KJ459" t="e">
        <f>IF(AND($B$21=1,38*$B$67&gt;$B$59,38*$B$67&lt;$B$178-$B$59,OR($B$63=0,ABS(38*$B$67-$B$178/2)&gt;$B$59/2)),$B$183+$B$181*(38*$B$67),NA())</f>
        <v>#N/A</v>
      </c>
    </row>
    <row r="460">
      <c r="K460" t="e">
        <f>NA()</f>
        <v>#N/A</v>
      </c>
      <c r="L460" t="e">
        <f>NA()</f>
        <v>#N/A</v>
      </c>
      <c r="FE460" t="e">
        <f>IF(AND(AND($B$21=1,(31*$B$66)&lt;$B$62),(31*$B$66)&gt;=$B$80),$B$145+$B$144*($B$82),NA())</f>
        <v>#N/A</v>
      </c>
      <c r="FF460" t="e">
        <f>IF(AND(AND($B$21=1,(31*$B$66)&lt;$B$62),(31*$B$66)&gt;=$B$80),$B$146+$B$144*((31*$B$66)),NA())</f>
        <v>#N/A</v>
      </c>
      <c r="GI460" t="e">
        <f>IF(AND(AND($B$21=1,(31*$B$66)&lt;IF($B$63=1,$B$10-0.2,$B$62)),(31*$B$66)&gt;=$B$111),$B$151+$B$150*(MAX(IF((31*$B$66)&lt;=$B$9,0,((31*$B$66)-$B$9)/$B$8),MIN(($B$5-IF((31*$B$66)&lt;=$B$9,0,((31*$B$66)-$B$9)/$B$8)),$B$113))),NA())</f>
        <v>#N/A</v>
      </c>
      <c r="GJ460" t="e">
        <f>IF(AND(AND($B$21=1,(31*$B$66)&lt;IF($B$63=1,$B$10-0.2,$B$62)),(31*$B$66)&gt;=$B$111),$B$152+$B$150*((31*$B$66)),NA())</f>
        <v>#N/A</v>
      </c>
      <c r="HQ460" t="e">
        <f>NA()</f>
        <v>#N/A</v>
      </c>
      <c r="HR460" t="e">
        <f>NA()</f>
        <v>#N/A</v>
      </c>
      <c r="HS460" t="e">
        <f>NA()</f>
        <v>#N/A</v>
      </c>
      <c r="HT460" t="e">
        <f>NA()</f>
        <v>#N/A</v>
      </c>
      <c r="KI460" t="e">
        <f>NA()</f>
        <v>#N/A</v>
      </c>
      <c r="KJ460" t="e">
        <f>NA()</f>
        <v>#N/A</v>
      </c>
    </row>
    <row r="461">
      <c r="K461" t="e">
        <f>IF(25&lt;=$B$12,$B$133+$B$132*($B$13*25-$B$27/2),NA())</f>
        <v>#N/A</v>
      </c>
      <c r="L461" t="e">
        <f>IF(25&lt;=$B$12,$B$134+$B$132*($B$5-$B$27/2),NA())</f>
        <v>#N/A</v>
      </c>
      <c r="FE461" t="e">
        <f>IF(AND($B$21=1,(31*$B$66)&lt;$B$62),$B$145+$B$144*(IF((31*$B$66)&lt;$B$80,$B$84,$B$82)),NA())</f>
        <v>#N/A</v>
      </c>
      <c r="FF461" t="e">
        <f>IF(AND($B$21=1,(31*$B$66)&lt;$B$62),$B$146+$B$144*((31*$B$66)),NA())</f>
        <v>#N/A</v>
      </c>
      <c r="GI461" t="e">
        <f>IF(AND($B$21=1,(31*$B$66)&lt;IF($B$63=1,$B$10-0.2,$B$62)),$B$151+$B$150*(MAX(IF((31*$B$66)&lt;=$B$9,0,((31*$B$66)-$B$9)/$B$8),MIN(($B$5-IF((31*$B$66)&lt;=$B$9,0,((31*$B$66)-$B$9)/$B$8)),IF((31*$B$66)&lt;$B$111,$B$115,$B$113)))),NA())</f>
        <v>#N/A</v>
      </c>
      <c r="GJ461" t="e">
        <f>IF(AND($B$21=1,(31*$B$66)&lt;IF($B$63=1,$B$10-0.2,$B$62)),$B$152+$B$150*((31*$B$66)),NA())</f>
        <v>#N/A</v>
      </c>
      <c r="HQ461" t="e">
        <f>IF(AND(7&lt;=$B$23,5&lt;=$B$24),$B$157+$B$156*((IF(7=1,1,IF(7=$B$23,$B$12,5*(7-1)))-1)*$B$13),NA())</f>
        <v>#N/A</v>
      </c>
      <c r="HR461" t="e">
        <f>IF(AND(7&lt;=$B$23,5&lt;=$B$24),$B$158+$B$156*((0*$B$5/2+(5-1)*($B$5/2)/$B$24)),NA())</f>
        <v>#N/A</v>
      </c>
      <c r="HS461" t="e">
        <f>IF(AND(20&lt;=$B$12,$B$51&gt;0),$B$157+$B$156*(((20-0.5)*$B$13)-($B$51*$B$13)/2),NA())</f>
        <v>#N/A</v>
      </c>
      <c r="HT461" t="e">
        <f>IF(AND(20&lt;=$B$12,$B$51&gt;0),$B$158+$B$156*((0*$B$5/2+0.6*$B$159)),NA())</f>
        <v>#N/A</v>
      </c>
      <c r="KI461" t="e">
        <f>IF(AND($B$21=1,39*$B$67&gt;$B$59,39*$B$67&lt;$B$178-$B$59,OR($B$63=0,ABS(39*$B$67-$B$178/2)&gt;$B$59/2)),$B$182+$B$181*(0),NA())</f>
        <v>#N/A</v>
      </c>
      <c r="KJ461" t="e">
        <f>IF(AND($B$21=1,39*$B$67&gt;$B$59,39*$B$67&lt;$B$178-$B$59,OR($B$63=0,ABS(39*$B$67-$B$178/2)&gt;$B$59/2)),$B$183+$B$181*(39*$B$67),NA())</f>
        <v>#N/A</v>
      </c>
    </row>
    <row r="462">
      <c r="K462" t="e">
        <f>IF(25&lt;=$B$12,$B$133+$B$132*($B$13*25+$B$27/2),NA())</f>
        <v>#N/A</v>
      </c>
      <c r="L462" t="e">
        <f>IF(25&lt;=$B$12,$B$134+$B$132*($B$5-$B$27/2),NA())</f>
        <v>#N/A</v>
      </c>
      <c r="FE462" t="e">
        <f>IF(AND($B$21=1,(31*$B$66)&lt;$B$62),$B$145+$B$144*(IF((31*$B$66)&lt;$B$87,$B$90,$B$89)),NA())</f>
        <v>#N/A</v>
      </c>
      <c r="FF462" t="e">
        <f>IF(AND($B$21=1,(31*$B$66)&lt;$B$62),$B$146+$B$144*((31*$B$66)),NA())</f>
        <v>#N/A</v>
      </c>
      <c r="GI462" t="e">
        <f>IF(AND($B$21=1,(31*$B$66)&lt;IF($B$63=1,$B$10-0.2,$B$62)),$B$151+$B$150*(MAX(IF((31*$B$66)&lt;=$B$9,0,((31*$B$66)-$B$9)/$B$8),MIN(($B$5-IF((31*$B$66)&lt;=$B$9,0,((31*$B$66)-$B$9)/$B$8)),IF((31*$B$66)&lt;$B$118,$B$121,$B$120)))),NA())</f>
        <v>#N/A</v>
      </c>
      <c r="GJ462" t="e">
        <f>IF(AND($B$21=1,(31*$B$66)&lt;IF($B$63=1,$B$10-0.2,$B$62)),$B$152+$B$150*((31*$B$66)),NA())</f>
        <v>#N/A</v>
      </c>
      <c r="HQ462" t="e">
        <f>IF(AND(7&lt;=$B$23,5&lt;=$B$24),$B$157+$B$156*(IF(7=1,1,IF(7=$B$23,$B$12,5*(7-1)))*$B$13),NA())</f>
        <v>#N/A</v>
      </c>
      <c r="HR462" t="e">
        <f>IF(AND(7&lt;=$B$23,5&lt;=$B$24),$B$158+$B$156*((0*$B$5/2+5*($B$5/2)/$B$24)),NA())</f>
        <v>#N/A</v>
      </c>
      <c r="HS462" t="e">
        <f>IF(AND(20&lt;=$B$12,$B$51&gt;0),$B$157+$B$156*(((20-0.5)*$B$13)+($B$51*$B$13)/2),NA())</f>
        <v>#N/A</v>
      </c>
      <c r="HT462" t="e">
        <f>IF(AND(20&lt;=$B$12,$B$51&gt;0),$B$158+$B$156*((0*$B$5/2+0.6*$B$159)),NA())</f>
        <v>#N/A</v>
      </c>
      <c r="KI462" t="e">
        <f>IF(AND($B$21=1,39*$B$67&gt;$B$59,39*$B$67&lt;$B$178-$B$59,OR($B$63=0,ABS(39*$B$67-$B$178/2)&gt;$B$59/2)),$B$182+$B$181*($B$177*1/4-$B$60/2),NA())</f>
        <v>#N/A</v>
      </c>
      <c r="KJ462" t="e">
        <f>IF(AND($B$21=1,39*$B$67&gt;$B$59,39*$B$67&lt;$B$178-$B$59,OR($B$63=0,ABS(39*$B$67-$B$178/2)&gt;$B$59/2)),$B$183+$B$181*(39*$B$67),NA())</f>
        <v>#N/A</v>
      </c>
    </row>
    <row r="463">
      <c r="K463" t="e">
        <f>IF(25&lt;=$B$12,$B$133+$B$132*($B$13*25+$B$27/2),NA())</f>
        <v>#N/A</v>
      </c>
      <c r="L463" t="e">
        <f>IF(25&lt;=$B$12,$B$134+$B$132*($B$5+$B$27/2),NA())</f>
        <v>#N/A</v>
      </c>
      <c r="FE463" t="e">
        <f>IF(AND(AND($B$21=1,(31*$B$66)&lt;$B$62),(31*$B$66)&gt;=$B$87),$B$145+$B$144*($B$89),NA())</f>
        <v>#N/A</v>
      </c>
      <c r="FF463" t="e">
        <f>IF(AND(AND($B$21=1,(31*$B$66)&lt;$B$62),(31*$B$66)&gt;=$B$87),$B$146+$B$144*((31*$B$66)),NA())</f>
        <v>#N/A</v>
      </c>
      <c r="GI463" t="e">
        <f>IF(AND(AND($B$21=1,(31*$B$66)&lt;IF($B$63=1,$B$10-0.2,$B$62)),(31*$B$66)&gt;=$B$118),$B$151+$B$150*(MAX(IF((31*$B$66)&lt;=$B$9,0,((31*$B$66)-$B$9)/$B$8),MIN(($B$5-IF((31*$B$66)&lt;=$B$9,0,((31*$B$66)-$B$9)/$B$8)),$B$120))),NA())</f>
        <v>#N/A</v>
      </c>
      <c r="GJ463" t="e">
        <f>IF(AND(AND($B$21=1,(31*$B$66)&lt;IF($B$63=1,$B$10-0.2,$B$62)),(31*$B$66)&gt;=$B$118),$B$152+$B$150*((31*$B$66)),NA())</f>
        <v>#N/A</v>
      </c>
      <c r="HQ463" t="e">
        <f>NA()</f>
        <v>#N/A</v>
      </c>
      <c r="HR463" t="e">
        <f>NA()</f>
        <v>#N/A</v>
      </c>
      <c r="HS463" t="e">
        <f>IF(AND(20&lt;=$B$12,$B$51&gt;0),$B$157+$B$156*(((20-0.5)*$B$13)+($B$51*$B$13)/2),NA())</f>
        <v>#N/A</v>
      </c>
      <c r="HT463" t="e">
        <f>IF(AND(20&lt;=$B$12,$B$51&gt;0),$B$158+$B$156*((0*$B$5/2+$B$5/2-0.6*$B$159)),NA())</f>
        <v>#N/A</v>
      </c>
      <c r="KI463" t="e">
        <f>NA()</f>
        <v>#N/A</v>
      </c>
      <c r="KJ463" t="e">
        <f>NA()</f>
        <v>#N/A</v>
      </c>
    </row>
    <row r="464">
      <c r="K464" t="e">
        <f>IF(25&lt;=$B$12,$B$133+$B$132*($B$13*25-$B$27/2),NA())</f>
        <v>#N/A</v>
      </c>
      <c r="L464" t="e">
        <f>IF(25&lt;=$B$12,$B$134+$B$132*($B$5+$B$27/2),NA())</f>
        <v>#N/A</v>
      </c>
      <c r="FE464" t="e">
        <f>IF(AND($B$21=1,(31*$B$66)&lt;$B$62),$B$145+$B$144*(IF((31*$B$66)&lt;$B$87,$B$91,$B$89)),NA())</f>
        <v>#N/A</v>
      </c>
      <c r="FF464" t="e">
        <f>IF(AND($B$21=1,(31*$B$66)&lt;$B$62),$B$146+$B$144*((31*$B$66)),NA())</f>
        <v>#N/A</v>
      </c>
      <c r="GI464" t="e">
        <f>IF(AND($B$21=1,(31*$B$66)&lt;IF($B$63=1,$B$10-0.2,$B$62)),$B$151+$B$150*(MAX(IF((31*$B$66)&lt;=$B$9,0,((31*$B$66)-$B$9)/$B$8),MIN(($B$5-IF((31*$B$66)&lt;=$B$9,0,((31*$B$66)-$B$9)/$B$8)),IF((31*$B$66)&lt;$B$118,$B$122,$B$120)))),NA())</f>
        <v>#N/A</v>
      </c>
      <c r="GJ464" t="e">
        <f>IF(AND($B$21=1,(31*$B$66)&lt;IF($B$63=1,$B$10-0.2,$B$62)),$B$152+$B$150*((31*$B$66)),NA())</f>
        <v>#N/A</v>
      </c>
      <c r="HQ464" t="e">
        <f>IF(AND(7&lt;=$B$23,5&lt;=$B$24),$B$157+$B$156*((IF(7=1,1,IF(7=$B$23,$B$12,5*(7-1)))-1)*$B$13),NA())</f>
        <v>#N/A</v>
      </c>
      <c r="HR464" t="e">
        <f>IF(AND(7&lt;=$B$23,5&lt;=$B$24),$B$158+$B$156*((0*$B$5/2+5*($B$5/2)/$B$24)),NA())</f>
        <v>#N/A</v>
      </c>
      <c r="HS464" t="e">
        <f>IF(AND(20&lt;=$B$12,$B$51&gt;0),$B$157+$B$156*(((20-0.5)*$B$13)-($B$51*$B$13)/2),NA())</f>
        <v>#N/A</v>
      </c>
      <c r="HT464" t="e">
        <f>IF(AND(20&lt;=$B$12,$B$51&gt;0),$B$158+$B$156*((0*$B$5/2+$B$5/2-0.6*$B$159)),NA())</f>
        <v>#N/A</v>
      </c>
      <c r="KI464" t="e">
        <f>IF(AND($B$21=1,39*$B$67&gt;$B$59,39*$B$67&lt;$B$178-$B$59,OR($B$63=0,ABS(39*$B$67-$B$178/2)&gt;$B$59/2)),$B$182+$B$181*($B$177*1/4+$B$60/2),NA())</f>
        <v>#N/A</v>
      </c>
      <c r="KJ464" t="e">
        <f>IF(AND($B$21=1,39*$B$67&gt;$B$59,39*$B$67&lt;$B$178-$B$59,OR($B$63=0,ABS(39*$B$67-$B$178/2)&gt;$B$59/2)),$B$183+$B$181*(39*$B$67),NA())</f>
        <v>#N/A</v>
      </c>
    </row>
    <row r="465">
      <c r="K465" t="e">
        <f>IF(25&lt;=$B$12,$B$133+$B$132*($B$13*25-$B$27/2),NA())</f>
        <v>#N/A</v>
      </c>
      <c r="L465" t="e">
        <f>IF(25&lt;=$B$12,$B$134+$B$132*($B$5-$B$27/2),NA())</f>
        <v>#N/A</v>
      </c>
      <c r="FE465" t="e">
        <f>IF(AND($B$21=1,(31*$B$66)&lt;$B$62),$B$145+$B$144*(IF((31*$B$66)&lt;$B$94,$B$97,$B$96)),NA())</f>
        <v>#N/A</v>
      </c>
      <c r="FF465" t="e">
        <f>IF(AND($B$21=1,(31*$B$66)&lt;$B$62),$B$146+$B$144*((31*$B$66)),NA())</f>
        <v>#N/A</v>
      </c>
      <c r="GI465" t="e">
        <f>IF(AND($B$21=1,(31*$B$66)&lt;IF($B$63=1,$B$10-0.2,$B$62)),$B$151+$B$150*(MAX(IF((31*$B$66)&lt;=$B$9,0,((31*$B$66)-$B$9)/$B$8),MIN(($B$5-IF((31*$B$66)&lt;=$B$9,0,((31*$B$66)-$B$9)/$B$8)),IF((31*$B$66)&lt;$B$125,$B$128,$B$127)))),NA())</f>
        <v>#N/A</v>
      </c>
      <c r="GJ465" t="e">
        <f>IF(AND($B$21=1,(31*$B$66)&lt;IF($B$63=1,$B$10-0.2,$B$62)),$B$152+$B$150*((31*$B$66)),NA())</f>
        <v>#N/A</v>
      </c>
      <c r="HQ465" t="e">
        <f>IF(AND(7&lt;=$B$23,5&lt;=$B$24),$B$157+$B$156*(IF(7=1,1,IF(7=$B$23,$B$12,5*(7-1)))*$B$13),NA())</f>
        <v>#N/A</v>
      </c>
      <c r="HR465" t="e">
        <f>IF(AND(7&lt;=$B$23,5&lt;=$B$24),$B$158+$B$156*((0*$B$5/2+(5-1)*($B$5/2)/$B$24)),NA())</f>
        <v>#N/A</v>
      </c>
      <c r="HS465" t="e">
        <f>IF(AND(20&lt;=$B$12,$B$51&gt;0),$B$157+$B$156*(((20-0.5)*$B$13)-($B$51*$B$13)/2),NA())</f>
        <v>#N/A</v>
      </c>
      <c r="HT465" t="e">
        <f>IF(AND(20&lt;=$B$12,$B$51&gt;0),$B$158+$B$156*((0*$B$5/2+0.6*$B$159)),NA())</f>
        <v>#N/A</v>
      </c>
      <c r="KI465" t="e">
        <f>IF(AND($B$21=1,39*$B$67&gt;$B$59,39*$B$67&lt;$B$178-$B$59,OR($B$63=0,ABS(39*$B$67-$B$178/2)&gt;$B$59/2)),$B$182+$B$181*($B$177*2/4-$B$60/2),NA())</f>
        <v>#N/A</v>
      </c>
      <c r="KJ465" t="e">
        <f>IF(AND($B$21=1,39*$B$67&gt;$B$59,39*$B$67&lt;$B$178-$B$59,OR($B$63=0,ABS(39*$B$67-$B$178/2)&gt;$B$59/2)),$B$183+$B$181*(39*$B$67),NA())</f>
        <v>#N/A</v>
      </c>
    </row>
    <row r="466">
      <c r="K466" t="e">
        <f>NA()</f>
        <v>#N/A</v>
      </c>
      <c r="L466" t="e">
        <f>NA()</f>
        <v>#N/A</v>
      </c>
      <c r="FE466" t="e">
        <f>IF(AND(AND($B$21=1,(31*$B$66)&lt;$B$62),(31*$B$66)&gt;=$B$94),$B$145+$B$144*($B$96),NA())</f>
        <v>#N/A</v>
      </c>
      <c r="FF466" t="e">
        <f>IF(AND(AND($B$21=1,(31*$B$66)&lt;$B$62),(31*$B$66)&gt;=$B$94),$B$146+$B$144*((31*$B$66)),NA())</f>
        <v>#N/A</v>
      </c>
      <c r="GI466" t="e">
        <f>IF(AND(AND($B$21=1,(31*$B$66)&lt;IF($B$63=1,$B$10-0.2,$B$62)),(31*$B$66)&gt;=$B$125),$B$151+$B$150*(MAX(IF((31*$B$66)&lt;=$B$9,0,((31*$B$66)-$B$9)/$B$8),MIN(($B$5-IF((31*$B$66)&lt;=$B$9,0,((31*$B$66)-$B$9)/$B$8)),$B$127))),NA())</f>
        <v>#N/A</v>
      </c>
      <c r="GJ466" t="e">
        <f>IF(AND(AND($B$21=1,(31*$B$66)&lt;IF($B$63=1,$B$10-0.2,$B$62)),(31*$B$66)&gt;=$B$125),$B$152+$B$150*((31*$B$66)),NA())</f>
        <v>#N/A</v>
      </c>
      <c r="HQ466" t="e">
        <f>NA()</f>
        <v>#N/A</v>
      </c>
      <c r="HR466" t="e">
        <f>NA()</f>
        <v>#N/A</v>
      </c>
      <c r="HS466" t="e">
        <f>NA()</f>
        <v>#N/A</v>
      </c>
      <c r="HT466" t="e">
        <f>NA()</f>
        <v>#N/A</v>
      </c>
      <c r="KI466" t="e">
        <f>NA()</f>
        <v>#N/A</v>
      </c>
      <c r="KJ466" t="e">
        <f>NA()</f>
        <v>#N/A</v>
      </c>
    </row>
    <row r="467">
      <c r="K467" t="e">
        <f>IF(AND(25&lt;=$B$12,$B$45=1),$B$133+$B$132*($B$13*25-$B$27/2),NA())</f>
        <v>#N/A</v>
      </c>
      <c r="L467" t="e">
        <f>IF(AND(25&lt;=$B$12,$B$45=1),$B$134+$B$132*($B$5/2-$B$27/2),NA())</f>
        <v>#N/A</v>
      </c>
      <c r="FE467" t="e">
        <f>IF(AND($B$21=1,(31*$B$66)&lt;$B$62),$B$145+$B$144*(IF((31*$B$66)&lt;$B$94,$B$98,$B$96)),NA())</f>
        <v>#N/A</v>
      </c>
      <c r="FF467" t="e">
        <f>IF(AND($B$21=1,(31*$B$66)&lt;$B$62),$B$146+$B$144*((31*$B$66)),NA())</f>
        <v>#N/A</v>
      </c>
      <c r="GI467" t="e">
        <f>IF(AND($B$21=1,(31*$B$66)&lt;IF($B$63=1,$B$10-0.2,$B$62)),$B$151+$B$150*(MAX(IF((31*$B$66)&lt;=$B$9,0,((31*$B$66)-$B$9)/$B$8),MIN(($B$5-IF((31*$B$66)&lt;=$B$9,0,((31*$B$66)-$B$9)/$B$8)),IF((31*$B$66)&lt;$B$125,$B$129,$B$127)))),NA())</f>
        <v>#N/A</v>
      </c>
      <c r="GJ467" t="e">
        <f>IF(AND($B$21=1,(31*$B$66)&lt;IF($B$63=1,$B$10-0.2,$B$62)),$B$152+$B$150*((31*$B$66)),NA())</f>
        <v>#N/A</v>
      </c>
      <c r="HQ467" t="e">
        <f>IF(AND(7&lt;=$B$23,6&lt;=$B$24),$B$157+$B$156*((IF(7=1,1,IF(7=$B$23,$B$12,5*(7-1)))-1)*$B$13),NA())</f>
        <v>#N/A</v>
      </c>
      <c r="HR467" t="e">
        <f>IF(AND(7&lt;=$B$23,6&lt;=$B$24),$B$158+$B$156*((0*$B$5/2+(6-1)*($B$5/2)/$B$24)),NA())</f>
        <v>#N/A</v>
      </c>
      <c r="HS467" t="e">
        <f>IF(AND(20&lt;=$B$12,$B$51&gt;0),$B$157+$B$156*(((20-0.5)*$B$13)-($B$51*$B$13)/2),NA())</f>
        <v>#N/A</v>
      </c>
      <c r="HT467" t="e">
        <f>IF(AND(20&lt;=$B$12,$B$51&gt;0),$B$158+$B$156*((0*$B$5/2+0.6*$B$159)),NA())</f>
        <v>#N/A</v>
      </c>
      <c r="KI467" t="e">
        <f>IF(AND($B$21=1,39*$B$67&gt;$B$59,39*$B$67&lt;$B$178-$B$59,OR($B$63=0,ABS(39*$B$67-$B$178/2)&gt;$B$59/2)),$B$182+$B$181*($B$177*2/4+$B$60/2),NA())</f>
        <v>#N/A</v>
      </c>
      <c r="KJ467" t="e">
        <f>IF(AND($B$21=1,39*$B$67&gt;$B$59,39*$B$67&lt;$B$178-$B$59,OR($B$63=0,ABS(39*$B$67-$B$178/2)&gt;$B$59/2)),$B$183+$B$181*(39*$B$67),NA())</f>
        <v>#N/A</v>
      </c>
    </row>
    <row r="468">
      <c r="K468" t="e">
        <f>IF(AND(25&lt;=$B$12,$B$45=1),$B$133+$B$132*($B$13*25+$B$27/2),NA())</f>
        <v>#N/A</v>
      </c>
      <c r="L468" t="e">
        <f>IF(AND(25&lt;=$B$12,$B$45=1),$B$134+$B$132*($B$5/2-$B$27/2),NA())</f>
        <v>#N/A</v>
      </c>
      <c r="FE468" t="e">
        <f>IF(AND($B$21=1,(31*$B$66)&lt;$B$62),$B$145+$B$144*($B$6),NA())</f>
        <v>#N/A</v>
      </c>
      <c r="FF468" t="e">
        <f>IF(AND($B$21=1,(31*$B$66)&lt;$B$62),$B$146+$B$144*((31*$B$66)),NA())</f>
        <v>#N/A</v>
      </c>
      <c r="GI468" t="e">
        <f>IF(AND($B$21=1,(31*$B$66)&lt;IF($B$63=1,$B$10-0.2,$B$62)),$B$151+$B$150*(($B$5-IF((31*$B$66)&lt;=$B$9,0,((31*$B$66)-$B$9)/$B$8))),NA())</f>
        <v>#N/A</v>
      </c>
      <c r="GJ468" t="e">
        <f>IF(AND($B$21=1,(31*$B$66)&lt;IF($B$63=1,$B$10-0.2,$B$62)),$B$152+$B$150*((31*$B$66)),NA())</f>
        <v>#N/A</v>
      </c>
      <c r="HQ468" t="e">
        <f>IF(AND(7&lt;=$B$23,6&lt;=$B$24),$B$157+$B$156*(IF(7=1,1,IF(7=$B$23,$B$12,5*(7-1)))*$B$13),NA())</f>
        <v>#N/A</v>
      </c>
      <c r="HR468" t="e">
        <f>IF(AND(7&lt;=$B$23,6&lt;=$B$24),$B$158+$B$156*((0*$B$5/2+6*($B$5/2)/$B$24)),NA())</f>
        <v>#N/A</v>
      </c>
      <c r="HS468" t="e">
        <f>IF(AND(20&lt;=$B$12,$B$51&gt;0),$B$157+$B$156*(((20-0.5)*$B$13)+($B$51*$B$13)/2),NA())</f>
        <v>#N/A</v>
      </c>
      <c r="HT468" t="e">
        <f>IF(AND(20&lt;=$B$12,$B$51&gt;0),$B$158+$B$156*((0*$B$5/2+0.6*$B$159)+(((0*$B$5/2+$B$5/2-0.6*$B$159))-((0*$B$5/2+0.6*$B$159)))/4),NA())</f>
        <v>#N/A</v>
      </c>
      <c r="KI468" t="e">
        <f>IF(AND($B$21=1,39*$B$67&gt;$B$59,39*$B$67&lt;$B$178-$B$59,OR($B$63=0,ABS(39*$B$67-$B$178/2)&gt;$B$59/2)),$B$182+$B$181*($B$177*3/4-$B$60/2),NA())</f>
        <v>#N/A</v>
      </c>
      <c r="KJ468" t="e">
        <f>IF(AND($B$21=1,39*$B$67&gt;$B$59,39*$B$67&lt;$B$178-$B$59,OR($B$63=0,ABS(39*$B$67-$B$178/2)&gt;$B$59/2)),$B$183+$B$181*(39*$B$67),NA())</f>
        <v>#N/A</v>
      </c>
    </row>
    <row r="469">
      <c r="K469" t="e">
        <f>IF(AND(25&lt;=$B$12,$B$45=1),$B$133+$B$132*($B$13*25+$B$27/2),NA())</f>
        <v>#N/A</v>
      </c>
      <c r="L469" t="e">
        <f>IF(AND(25&lt;=$B$12,$B$45=1),$B$134+$B$132*($B$5/2+$B$27/2),NA())</f>
        <v>#N/A</v>
      </c>
      <c r="FE469" t="e">
        <f>NA()</f>
        <v>#N/A</v>
      </c>
      <c r="FF469" t="e">
        <f>NA()</f>
        <v>#N/A</v>
      </c>
      <c r="GI469" t="e">
        <f>NA()</f>
        <v>#N/A</v>
      </c>
      <c r="GJ469" t="e">
        <f>NA()</f>
        <v>#N/A</v>
      </c>
      <c r="HQ469" t="e">
        <f>NA()</f>
        <v>#N/A</v>
      </c>
      <c r="HR469" t="e">
        <f>NA()</f>
        <v>#N/A</v>
      </c>
      <c r="HS469" t="e">
        <f>IF(AND(20&lt;=$B$12,$B$51&gt;0),$B$157+$B$156*(((20-0.5)*$B$13)-($B$51*$B$13)/2),NA())</f>
        <v>#N/A</v>
      </c>
      <c r="HT469" t="e">
        <f>IF(AND(20&lt;=$B$12,$B$51&gt;0),$B$158+$B$156*((0*$B$5/2+0.6*$B$159)+(((0*$B$5/2+$B$5/2-0.6*$B$159))-((0*$B$5/2+0.6*$B$159)))/2),NA())</f>
        <v>#N/A</v>
      </c>
      <c r="KI469" t="e">
        <f>NA()</f>
        <v>#N/A</v>
      </c>
      <c r="KJ469" t="e">
        <f>NA()</f>
        <v>#N/A</v>
      </c>
    </row>
    <row r="470">
      <c r="K470" t="e">
        <f>IF(AND(25&lt;=$B$12,$B$45=1),$B$133+$B$132*($B$13*25-$B$27/2),NA())</f>
        <v>#N/A</v>
      </c>
      <c r="L470" t="e">
        <f>IF(AND(25&lt;=$B$12,$B$45=1),$B$134+$B$132*($B$5/2+$B$27/2),NA())</f>
        <v>#N/A</v>
      </c>
      <c r="FE470" t="e">
        <f>IF(AND($B$21=1,(32*$B$66)&lt;$B$62),$B$145+$B$144*(0),NA())</f>
        <v>#N/A</v>
      </c>
      <c r="FF470" t="e">
        <f>IF(AND($B$21=1,(32*$B$66)&lt;$B$62),$B$146+$B$144*((32*$B$66)),NA())</f>
        <v>#N/A</v>
      </c>
      <c r="GI470" t="e">
        <f>IF(AND($B$21=1,(32*$B$66)&lt;IF($B$63=1,$B$10-0.2,$B$62)),$B$151+$B$150*(IF((32*$B$66)&lt;=$B$9,0,((32*$B$66)-$B$9)/$B$8)),NA())</f>
        <v>#N/A</v>
      </c>
      <c r="GJ470" t="e">
        <f>IF(AND($B$21=1,(32*$B$66)&lt;IF($B$63=1,$B$10-0.2,$B$62)),$B$152+$B$150*((32*$B$66)),NA())</f>
        <v>#N/A</v>
      </c>
      <c r="HQ470" t="e">
        <f>IF(AND(7&lt;=$B$23,6&lt;=$B$24),$B$157+$B$156*((IF(7=1,1,IF(7=$B$23,$B$12,5*(7-1)))-1)*$B$13),NA())</f>
        <v>#N/A</v>
      </c>
      <c r="HR470" t="e">
        <f>IF(AND(7&lt;=$B$23,6&lt;=$B$24),$B$158+$B$156*((0*$B$5/2+6*($B$5/2)/$B$24)),NA())</f>
        <v>#N/A</v>
      </c>
      <c r="HS470" t="e">
        <f>IF(AND(20&lt;=$B$12,$B$51&gt;0),$B$157+$B$156*(((20-0.5)*$B$13)+($B$51*$B$13)/2),NA())</f>
        <v>#N/A</v>
      </c>
      <c r="HT470" t="e">
        <f>IF(AND(20&lt;=$B$12,$B$51&gt;0),$B$158+$B$156*((0*$B$5/2+0.6*$B$159)+3*(((0*$B$5/2+$B$5/2-0.6*$B$159))-((0*$B$5/2+0.6*$B$159)))/4),NA())</f>
        <v>#N/A</v>
      </c>
      <c r="KI470" t="e">
        <f>IF(AND($B$21=1,39*$B$67&gt;$B$59,39*$B$67&lt;$B$178-$B$59,OR($B$63=0,ABS(39*$B$67-$B$178/2)&gt;$B$59/2)),$B$182+$B$181*($B$177*3/4+$B$60/2),NA())</f>
        <v>#N/A</v>
      </c>
      <c r="KJ470" t="e">
        <f>IF(AND($B$21=1,39*$B$67&gt;$B$59,39*$B$67&lt;$B$178-$B$59,OR($B$63=0,ABS(39*$B$67-$B$178/2)&gt;$B$59/2)),$B$183+$B$181*(39*$B$67),NA())</f>
        <v>#N/A</v>
      </c>
    </row>
    <row r="471">
      <c r="K471" t="e">
        <f>IF(AND(25&lt;=$B$12,$B$45=1),$B$133+$B$132*($B$13*25-$B$27/2),NA())</f>
        <v>#N/A</v>
      </c>
      <c r="L471" t="e">
        <f>IF(AND(25&lt;=$B$12,$B$45=1),$B$134+$B$132*($B$5/2-$B$27/2),NA())</f>
        <v>#N/A</v>
      </c>
      <c r="FE471" t="e">
        <f>IF(AND($B$21=1,(32*$B$66)&lt;$B$62),$B$145+$B$144*(IF((32*$B$66)&lt;$B$73,$B$76,$B$75)),NA())</f>
        <v>#N/A</v>
      </c>
      <c r="FF471" t="e">
        <f>IF(AND($B$21=1,(32*$B$66)&lt;$B$62),$B$146+$B$144*((32*$B$66)),NA())</f>
        <v>#N/A</v>
      </c>
      <c r="GI471" t="e">
        <f>IF(AND($B$21=1,(32*$B$66)&lt;IF($B$63=1,$B$10-0.2,$B$62)),$B$151+$B$150*(MAX(IF((32*$B$66)&lt;=$B$9,0,((32*$B$66)-$B$9)/$B$8),MIN(($B$5-IF((32*$B$66)&lt;=$B$9,0,((32*$B$66)-$B$9)/$B$8)),IF((32*$B$66)&lt;$B$104,$B$107,$B$106)))),NA())</f>
        <v>#N/A</v>
      </c>
      <c r="GJ471" t="e">
        <f>IF(AND($B$21=1,(32*$B$66)&lt;IF($B$63=1,$B$10-0.2,$B$62)),$B$152+$B$150*((32*$B$66)),NA())</f>
        <v>#N/A</v>
      </c>
      <c r="HQ471" t="e">
        <f>IF(AND(7&lt;=$B$23,6&lt;=$B$24),$B$157+$B$156*(IF(7=1,1,IF(7=$B$23,$B$12,5*(7-1)))*$B$13),NA())</f>
        <v>#N/A</v>
      </c>
      <c r="HR471" t="e">
        <f>IF(AND(7&lt;=$B$23,6&lt;=$B$24),$B$158+$B$156*((0*$B$5/2+(6-1)*($B$5/2)/$B$24)),NA())</f>
        <v>#N/A</v>
      </c>
      <c r="HS471" t="e">
        <f>IF(AND(20&lt;=$B$12,$B$51&gt;0),$B$157+$B$156*(((20-0.5)*$B$13)-($B$51*$B$13)/2),NA())</f>
        <v>#N/A</v>
      </c>
      <c r="HT471" t="e">
        <f>IF(AND(20&lt;=$B$12,$B$51&gt;0),$B$158+$B$156*((0*$B$5/2+$B$5/2-0.6*$B$159)),NA())</f>
        <v>#N/A</v>
      </c>
      <c r="KI471" t="e">
        <f>IF(AND($B$21=1,39*$B$67&gt;$B$59,39*$B$67&lt;$B$178-$B$59,OR($B$63=0,ABS(39*$B$67-$B$178/2)&gt;$B$59/2)),$B$182+$B$181*($B$177),NA())</f>
        <v>#N/A</v>
      </c>
      <c r="KJ471" t="e">
        <f>IF(AND($B$21=1,39*$B$67&gt;$B$59,39*$B$67&lt;$B$178-$B$59,OR($B$63=0,ABS(39*$B$67-$B$178/2)&gt;$B$59/2)),$B$183+$B$181*(39*$B$67),NA())</f>
        <v>#N/A</v>
      </c>
    </row>
    <row r="472">
      <c r="K472" t="e">
        <f>NA()</f>
        <v>#N/A</v>
      </c>
      <c r="L472" t="e">
        <f>NA()</f>
        <v>#N/A</v>
      </c>
      <c r="FE472" t="e">
        <f>IF(AND(AND($B$21=1,(32*$B$66)&lt;$B$62),(32*$B$66)&gt;=$B$73),$B$145+$B$144*($B$75),NA())</f>
        <v>#N/A</v>
      </c>
      <c r="FF472" t="e">
        <f>IF(AND(AND($B$21=1,(32*$B$66)&lt;$B$62),(32*$B$66)&gt;=$B$73),$B$146+$B$144*((32*$B$66)),NA())</f>
        <v>#N/A</v>
      </c>
      <c r="GI472" t="e">
        <f>IF(AND(AND($B$21=1,(32*$B$66)&lt;IF($B$63=1,$B$10-0.2,$B$62)),(32*$B$66)&gt;=$B$104),$B$151+$B$150*(MAX(IF((32*$B$66)&lt;=$B$9,0,((32*$B$66)-$B$9)/$B$8),MIN(($B$5-IF((32*$B$66)&lt;=$B$9,0,((32*$B$66)-$B$9)/$B$8)),$B$106))),NA())</f>
        <v>#N/A</v>
      </c>
      <c r="GJ472" t="e">
        <f>IF(AND(AND($B$21=1,(32*$B$66)&lt;IF($B$63=1,$B$10-0.2,$B$62)),(32*$B$66)&gt;=$B$104),$B$152+$B$150*((32*$B$66)),NA())</f>
        <v>#N/A</v>
      </c>
      <c r="HQ472" t="e">
        <f>NA()</f>
        <v>#N/A</v>
      </c>
      <c r="HR472" t="e">
        <f>NA()</f>
        <v>#N/A</v>
      </c>
      <c r="HS472" t="e">
        <f>NA()</f>
        <v>#N/A</v>
      </c>
      <c r="HT472" t="e">
        <f>NA()</f>
        <v>#N/A</v>
      </c>
      <c r="KI472" t="e">
        <f>NA()</f>
        <v>#N/A</v>
      </c>
      <c r="KJ472" t="e">
        <f>NA()</f>
        <v>#N/A</v>
      </c>
    </row>
    <row r="473">
      <c r="K473" t="e">
        <f>IF(26&lt;=$B$12,$B$133+$B$132*($B$13*26-$B$27/2),NA())</f>
        <v>#N/A</v>
      </c>
      <c r="L473" t="e">
        <f>IF(26&lt;=$B$12,$B$134+$B$132*(0-$B$27/2),NA())</f>
        <v>#N/A</v>
      </c>
      <c r="FE473" t="e">
        <f>IF(AND($B$21=1,(32*$B$66)&lt;$B$62),$B$145+$B$144*(IF((32*$B$66)&lt;$B$73,$B$77,$B$75)),NA())</f>
        <v>#N/A</v>
      </c>
      <c r="FF473" t="e">
        <f>IF(AND($B$21=1,(32*$B$66)&lt;$B$62),$B$146+$B$144*((32*$B$66)),NA())</f>
        <v>#N/A</v>
      </c>
      <c r="GI473" t="e">
        <f>IF(AND($B$21=1,(32*$B$66)&lt;IF($B$63=1,$B$10-0.2,$B$62)),$B$151+$B$150*(MAX(IF((32*$B$66)&lt;=$B$9,0,((32*$B$66)-$B$9)/$B$8),MIN(($B$5-IF((32*$B$66)&lt;=$B$9,0,((32*$B$66)-$B$9)/$B$8)),IF((32*$B$66)&lt;$B$104,$B$108,$B$106)))),NA())</f>
        <v>#N/A</v>
      </c>
      <c r="GJ473" t="e">
        <f>IF(AND($B$21=1,(32*$B$66)&lt;IF($B$63=1,$B$10-0.2,$B$62)),$B$152+$B$150*((32*$B$66)),NA())</f>
        <v>#N/A</v>
      </c>
      <c r="HQ473" t="e">
        <f>IF(AND(7&lt;=$B$23,1&lt;=$B$24),$B$157+$B$156*((IF(7=1,1,IF(7=$B$23,$B$12,5*(7-1)))-1)*$B$13),NA())</f>
        <v>#N/A</v>
      </c>
      <c r="HR473" t="e">
        <f>IF(AND(7&lt;=$B$23,1&lt;=$B$24),$B$158+$B$156*((1*$B$5/2+(1-1)*($B$5/2)/$B$24)),NA())</f>
        <v>#N/A</v>
      </c>
      <c r="HS473" t="e">
        <f>IF(AND(20&lt;=$B$12,$B$51&gt;0),$B$157+$B$156*(((20-0.5)*$B$13)-($B$51*$B$13)/2),NA())</f>
        <v>#N/A</v>
      </c>
      <c r="HT473" t="e">
        <f>IF(AND(20&lt;=$B$12,$B$51&gt;0),$B$158+$B$156*((1*$B$5/2+0.6*$B$159)),NA())</f>
        <v>#N/A</v>
      </c>
      <c r="KI473" t="e">
        <f>IF(AND($B$21=1,40*$B$67&gt;$B$59,40*$B$67&lt;$B$178-$B$59,OR($B$63=0,ABS(40*$B$67-$B$178/2)&gt;$B$59/2)),$B$182+$B$181*(0),NA())</f>
        <v>#N/A</v>
      </c>
      <c r="KJ473" t="e">
        <f>IF(AND($B$21=1,40*$B$67&gt;$B$59,40*$B$67&lt;$B$178-$B$59,OR($B$63=0,ABS(40*$B$67-$B$178/2)&gt;$B$59/2)),$B$183+$B$181*(40*$B$67),NA())</f>
        <v>#N/A</v>
      </c>
    </row>
    <row r="474">
      <c r="K474" t="e">
        <f>IF(26&lt;=$B$12,$B$133+$B$132*($B$13*26+$B$27/2),NA())</f>
        <v>#N/A</v>
      </c>
      <c r="L474" t="e">
        <f>IF(26&lt;=$B$12,$B$134+$B$132*(0-$B$27/2),NA())</f>
        <v>#N/A</v>
      </c>
      <c r="FE474" t="e">
        <f>IF(AND($B$21=1,(32*$B$66)&lt;$B$62),$B$145+$B$144*(IF((32*$B$66)&lt;$B$80,$B$83,$B$82)),NA())</f>
        <v>#N/A</v>
      </c>
      <c r="FF474" t="e">
        <f>IF(AND($B$21=1,(32*$B$66)&lt;$B$62),$B$146+$B$144*((32*$B$66)),NA())</f>
        <v>#N/A</v>
      </c>
      <c r="GI474" t="e">
        <f>IF(AND($B$21=1,(32*$B$66)&lt;IF($B$63=1,$B$10-0.2,$B$62)),$B$151+$B$150*(MAX(IF((32*$B$66)&lt;=$B$9,0,((32*$B$66)-$B$9)/$B$8),MIN(($B$5-IF((32*$B$66)&lt;=$B$9,0,((32*$B$66)-$B$9)/$B$8)),IF((32*$B$66)&lt;$B$111,$B$114,$B$113)))),NA())</f>
        <v>#N/A</v>
      </c>
      <c r="GJ474" t="e">
        <f>IF(AND($B$21=1,(32*$B$66)&lt;IF($B$63=1,$B$10-0.2,$B$62)),$B$152+$B$150*((32*$B$66)),NA())</f>
        <v>#N/A</v>
      </c>
      <c r="HQ474" t="e">
        <f>IF(AND(7&lt;=$B$23,1&lt;=$B$24),$B$157+$B$156*(IF(7=1,1,IF(7=$B$23,$B$12,5*(7-1)))*$B$13),NA())</f>
        <v>#N/A</v>
      </c>
      <c r="HR474" t="e">
        <f>IF(AND(7&lt;=$B$23,1&lt;=$B$24),$B$158+$B$156*((1*$B$5/2+1*($B$5/2)/$B$24)),NA())</f>
        <v>#N/A</v>
      </c>
      <c r="HS474" t="e">
        <f>IF(AND(20&lt;=$B$12,$B$51&gt;0),$B$157+$B$156*(((20-0.5)*$B$13)+($B$51*$B$13)/2),NA())</f>
        <v>#N/A</v>
      </c>
      <c r="HT474" t="e">
        <f>IF(AND(20&lt;=$B$12,$B$51&gt;0),$B$158+$B$156*((1*$B$5/2+0.6*$B$159)),NA())</f>
        <v>#N/A</v>
      </c>
      <c r="KI474" t="e">
        <f>IF(AND($B$21=1,40*$B$67&gt;$B$59,40*$B$67&lt;$B$178-$B$59,OR($B$63=0,ABS(40*$B$67-$B$178/2)&gt;$B$59/2)),$B$182+$B$181*($B$177*1/4-$B$60/2),NA())</f>
        <v>#N/A</v>
      </c>
      <c r="KJ474" t="e">
        <f>IF(AND($B$21=1,40*$B$67&gt;$B$59,40*$B$67&lt;$B$178-$B$59,OR($B$63=0,ABS(40*$B$67-$B$178/2)&gt;$B$59/2)),$B$183+$B$181*(40*$B$67),NA())</f>
        <v>#N/A</v>
      </c>
    </row>
    <row r="475">
      <c r="K475" t="e">
        <f>IF(26&lt;=$B$12,$B$133+$B$132*($B$13*26+$B$27/2),NA())</f>
        <v>#N/A</v>
      </c>
      <c r="L475" t="e">
        <f>IF(26&lt;=$B$12,$B$134+$B$132*(0+$B$27/2),NA())</f>
        <v>#N/A</v>
      </c>
      <c r="FE475" t="e">
        <f>IF(AND(AND($B$21=1,(32*$B$66)&lt;$B$62),(32*$B$66)&gt;=$B$80),$B$145+$B$144*($B$82),NA())</f>
        <v>#N/A</v>
      </c>
      <c r="FF475" t="e">
        <f>IF(AND(AND($B$21=1,(32*$B$66)&lt;$B$62),(32*$B$66)&gt;=$B$80),$B$146+$B$144*((32*$B$66)),NA())</f>
        <v>#N/A</v>
      </c>
      <c r="GI475" t="e">
        <f>IF(AND(AND($B$21=1,(32*$B$66)&lt;IF($B$63=1,$B$10-0.2,$B$62)),(32*$B$66)&gt;=$B$111),$B$151+$B$150*(MAX(IF((32*$B$66)&lt;=$B$9,0,((32*$B$66)-$B$9)/$B$8),MIN(($B$5-IF((32*$B$66)&lt;=$B$9,0,((32*$B$66)-$B$9)/$B$8)),$B$113))),NA())</f>
        <v>#N/A</v>
      </c>
      <c r="GJ475" t="e">
        <f>IF(AND(AND($B$21=1,(32*$B$66)&lt;IF($B$63=1,$B$10-0.2,$B$62)),(32*$B$66)&gt;=$B$111),$B$152+$B$150*((32*$B$66)),NA())</f>
        <v>#N/A</v>
      </c>
      <c r="HQ475" t="e">
        <f>NA()</f>
        <v>#N/A</v>
      </c>
      <c r="HR475" t="e">
        <f>NA()</f>
        <v>#N/A</v>
      </c>
      <c r="HS475" t="e">
        <f>IF(AND(20&lt;=$B$12,$B$51&gt;0),$B$157+$B$156*(((20-0.5)*$B$13)+($B$51*$B$13)/2),NA())</f>
        <v>#N/A</v>
      </c>
      <c r="HT475" t="e">
        <f>IF(AND(20&lt;=$B$12,$B$51&gt;0),$B$158+$B$156*((1*$B$5/2+$B$5/2-0.6*$B$159)),NA())</f>
        <v>#N/A</v>
      </c>
      <c r="KI475" t="e">
        <f>NA()</f>
        <v>#N/A</v>
      </c>
      <c r="KJ475" t="e">
        <f>NA()</f>
        <v>#N/A</v>
      </c>
    </row>
    <row r="476">
      <c r="K476" t="e">
        <f>IF(26&lt;=$B$12,$B$133+$B$132*($B$13*26-$B$27/2),NA())</f>
        <v>#N/A</v>
      </c>
      <c r="L476" t="e">
        <f>IF(26&lt;=$B$12,$B$134+$B$132*(0+$B$27/2),NA())</f>
        <v>#N/A</v>
      </c>
      <c r="FE476" t="e">
        <f>IF(AND($B$21=1,(32*$B$66)&lt;$B$62),$B$145+$B$144*(IF((32*$B$66)&lt;$B$80,$B$84,$B$82)),NA())</f>
        <v>#N/A</v>
      </c>
      <c r="FF476" t="e">
        <f>IF(AND($B$21=1,(32*$B$66)&lt;$B$62),$B$146+$B$144*((32*$B$66)),NA())</f>
        <v>#N/A</v>
      </c>
      <c r="GI476" t="e">
        <f>IF(AND($B$21=1,(32*$B$66)&lt;IF($B$63=1,$B$10-0.2,$B$62)),$B$151+$B$150*(MAX(IF((32*$B$66)&lt;=$B$9,0,((32*$B$66)-$B$9)/$B$8),MIN(($B$5-IF((32*$B$66)&lt;=$B$9,0,((32*$B$66)-$B$9)/$B$8)),IF((32*$B$66)&lt;$B$111,$B$115,$B$113)))),NA())</f>
        <v>#N/A</v>
      </c>
      <c r="GJ476" t="e">
        <f>IF(AND($B$21=1,(32*$B$66)&lt;IF($B$63=1,$B$10-0.2,$B$62)),$B$152+$B$150*((32*$B$66)),NA())</f>
        <v>#N/A</v>
      </c>
      <c r="HQ476" t="e">
        <f>IF(AND(7&lt;=$B$23,1&lt;=$B$24),$B$157+$B$156*((IF(7=1,1,IF(7=$B$23,$B$12,5*(7-1)))-1)*$B$13),NA())</f>
        <v>#N/A</v>
      </c>
      <c r="HR476" t="e">
        <f>IF(AND(7&lt;=$B$23,1&lt;=$B$24),$B$158+$B$156*((1*$B$5/2+1*($B$5/2)/$B$24)),NA())</f>
        <v>#N/A</v>
      </c>
      <c r="HS476" t="e">
        <f>IF(AND(20&lt;=$B$12,$B$51&gt;0),$B$157+$B$156*(((20-0.5)*$B$13)-($B$51*$B$13)/2),NA())</f>
        <v>#N/A</v>
      </c>
      <c r="HT476" t="e">
        <f>IF(AND(20&lt;=$B$12,$B$51&gt;0),$B$158+$B$156*((1*$B$5/2+$B$5/2-0.6*$B$159)),NA())</f>
        <v>#N/A</v>
      </c>
      <c r="KI476" t="e">
        <f>IF(AND($B$21=1,40*$B$67&gt;$B$59,40*$B$67&lt;$B$178-$B$59,OR($B$63=0,ABS(40*$B$67-$B$178/2)&gt;$B$59/2)),$B$182+$B$181*($B$177*1/4+$B$60/2),NA())</f>
        <v>#N/A</v>
      </c>
      <c r="KJ476" t="e">
        <f>IF(AND($B$21=1,40*$B$67&gt;$B$59,40*$B$67&lt;$B$178-$B$59,OR($B$63=0,ABS(40*$B$67-$B$178/2)&gt;$B$59/2)),$B$183+$B$181*(40*$B$67),NA())</f>
        <v>#N/A</v>
      </c>
    </row>
    <row r="477">
      <c r="K477" t="e">
        <f>IF(26&lt;=$B$12,$B$133+$B$132*($B$13*26-$B$27/2),NA())</f>
        <v>#N/A</v>
      </c>
      <c r="L477" t="e">
        <f>IF(26&lt;=$B$12,$B$134+$B$132*(0-$B$27/2),NA())</f>
        <v>#N/A</v>
      </c>
      <c r="FE477" t="e">
        <f>IF(AND($B$21=1,(32*$B$66)&lt;$B$62),$B$145+$B$144*(IF((32*$B$66)&lt;$B$87,$B$90,$B$89)),NA())</f>
        <v>#N/A</v>
      </c>
      <c r="FF477" t="e">
        <f>IF(AND($B$21=1,(32*$B$66)&lt;$B$62),$B$146+$B$144*((32*$B$66)),NA())</f>
        <v>#N/A</v>
      </c>
      <c r="GI477" t="e">
        <f>IF(AND($B$21=1,(32*$B$66)&lt;IF($B$63=1,$B$10-0.2,$B$62)),$B$151+$B$150*(MAX(IF((32*$B$66)&lt;=$B$9,0,((32*$B$66)-$B$9)/$B$8),MIN(($B$5-IF((32*$B$66)&lt;=$B$9,0,((32*$B$66)-$B$9)/$B$8)),IF((32*$B$66)&lt;$B$118,$B$121,$B$120)))),NA())</f>
        <v>#N/A</v>
      </c>
      <c r="GJ477" t="e">
        <f>IF(AND($B$21=1,(32*$B$66)&lt;IF($B$63=1,$B$10-0.2,$B$62)),$B$152+$B$150*((32*$B$66)),NA())</f>
        <v>#N/A</v>
      </c>
      <c r="HQ477" t="e">
        <f>IF(AND(7&lt;=$B$23,1&lt;=$B$24),$B$157+$B$156*(IF(7=1,1,IF(7=$B$23,$B$12,5*(7-1)))*$B$13),NA())</f>
        <v>#N/A</v>
      </c>
      <c r="HR477" t="e">
        <f>IF(AND(7&lt;=$B$23,1&lt;=$B$24),$B$158+$B$156*((1*$B$5/2+(1-1)*($B$5/2)/$B$24)),NA())</f>
        <v>#N/A</v>
      </c>
      <c r="HS477" t="e">
        <f>IF(AND(20&lt;=$B$12,$B$51&gt;0),$B$157+$B$156*(((20-0.5)*$B$13)-($B$51*$B$13)/2),NA())</f>
        <v>#N/A</v>
      </c>
      <c r="HT477" t="e">
        <f>IF(AND(20&lt;=$B$12,$B$51&gt;0),$B$158+$B$156*((1*$B$5/2+0.6*$B$159)),NA())</f>
        <v>#N/A</v>
      </c>
      <c r="KI477" t="e">
        <f>IF(AND($B$21=1,40*$B$67&gt;$B$59,40*$B$67&lt;$B$178-$B$59,OR($B$63=0,ABS(40*$B$67-$B$178/2)&gt;$B$59/2)),$B$182+$B$181*($B$177*2/4-$B$60/2),NA())</f>
        <v>#N/A</v>
      </c>
      <c r="KJ477" t="e">
        <f>IF(AND($B$21=1,40*$B$67&gt;$B$59,40*$B$67&lt;$B$178-$B$59,OR($B$63=0,ABS(40*$B$67-$B$178/2)&gt;$B$59/2)),$B$183+$B$181*(40*$B$67),NA())</f>
        <v>#N/A</v>
      </c>
    </row>
    <row r="478">
      <c r="K478" t="e">
        <f>NA()</f>
        <v>#N/A</v>
      </c>
      <c r="L478" t="e">
        <f>NA()</f>
        <v>#N/A</v>
      </c>
      <c r="FE478" t="e">
        <f>IF(AND(AND($B$21=1,(32*$B$66)&lt;$B$62),(32*$B$66)&gt;=$B$87),$B$145+$B$144*($B$89),NA())</f>
        <v>#N/A</v>
      </c>
      <c r="FF478" t="e">
        <f>IF(AND(AND($B$21=1,(32*$B$66)&lt;$B$62),(32*$B$66)&gt;=$B$87),$B$146+$B$144*((32*$B$66)),NA())</f>
        <v>#N/A</v>
      </c>
      <c r="GI478" t="e">
        <f>IF(AND(AND($B$21=1,(32*$B$66)&lt;IF($B$63=1,$B$10-0.2,$B$62)),(32*$B$66)&gt;=$B$118),$B$151+$B$150*(MAX(IF((32*$B$66)&lt;=$B$9,0,((32*$B$66)-$B$9)/$B$8),MIN(($B$5-IF((32*$B$66)&lt;=$B$9,0,((32*$B$66)-$B$9)/$B$8)),$B$120))),NA())</f>
        <v>#N/A</v>
      </c>
      <c r="GJ478" t="e">
        <f>IF(AND(AND($B$21=1,(32*$B$66)&lt;IF($B$63=1,$B$10-0.2,$B$62)),(32*$B$66)&gt;=$B$118),$B$152+$B$150*((32*$B$66)),NA())</f>
        <v>#N/A</v>
      </c>
      <c r="HQ478" t="e">
        <f>NA()</f>
        <v>#N/A</v>
      </c>
      <c r="HR478" t="e">
        <f>NA()</f>
        <v>#N/A</v>
      </c>
      <c r="HS478" t="e">
        <f>NA()</f>
        <v>#N/A</v>
      </c>
      <c r="HT478" t="e">
        <f>NA()</f>
        <v>#N/A</v>
      </c>
      <c r="KI478" t="e">
        <f>NA()</f>
        <v>#N/A</v>
      </c>
      <c r="KJ478" t="e">
        <f>NA()</f>
        <v>#N/A</v>
      </c>
    </row>
    <row r="479">
      <c r="K479" t="e">
        <f>IF(26&lt;=$B$12,$B$133+$B$132*($B$13*26-$B$27/2),NA())</f>
        <v>#N/A</v>
      </c>
      <c r="L479" t="e">
        <f>IF(26&lt;=$B$12,$B$134+$B$132*($B$5-$B$27/2),NA())</f>
        <v>#N/A</v>
      </c>
      <c r="FE479" t="e">
        <f>IF(AND($B$21=1,(32*$B$66)&lt;$B$62),$B$145+$B$144*(IF((32*$B$66)&lt;$B$87,$B$91,$B$89)),NA())</f>
        <v>#N/A</v>
      </c>
      <c r="FF479" t="e">
        <f>IF(AND($B$21=1,(32*$B$66)&lt;$B$62),$B$146+$B$144*((32*$B$66)),NA())</f>
        <v>#N/A</v>
      </c>
      <c r="GI479" t="e">
        <f>IF(AND($B$21=1,(32*$B$66)&lt;IF($B$63=1,$B$10-0.2,$B$62)),$B$151+$B$150*(MAX(IF((32*$B$66)&lt;=$B$9,0,((32*$B$66)-$B$9)/$B$8),MIN(($B$5-IF((32*$B$66)&lt;=$B$9,0,((32*$B$66)-$B$9)/$B$8)),IF((32*$B$66)&lt;$B$118,$B$122,$B$120)))),NA())</f>
        <v>#N/A</v>
      </c>
      <c r="GJ479" t="e">
        <f>IF(AND($B$21=1,(32*$B$66)&lt;IF($B$63=1,$B$10-0.2,$B$62)),$B$152+$B$150*((32*$B$66)),NA())</f>
        <v>#N/A</v>
      </c>
      <c r="HQ479" t="e">
        <f>IF(AND(7&lt;=$B$23,2&lt;=$B$24),$B$157+$B$156*((IF(7=1,1,IF(7=$B$23,$B$12,5*(7-1)))-1)*$B$13),NA())</f>
        <v>#N/A</v>
      </c>
      <c r="HR479" t="e">
        <f>IF(AND(7&lt;=$B$23,2&lt;=$B$24),$B$158+$B$156*((1*$B$5/2+(2-1)*($B$5/2)/$B$24)),NA())</f>
        <v>#N/A</v>
      </c>
      <c r="HS479" t="e">
        <f>IF(AND(20&lt;=$B$12,$B$51&gt;0),$B$157+$B$156*(((20-0.5)*$B$13)-($B$51*$B$13)/2),NA())</f>
        <v>#N/A</v>
      </c>
      <c r="HT479" t="e">
        <f>IF(AND(20&lt;=$B$12,$B$51&gt;0),$B$158+$B$156*((1*$B$5/2+0.6*$B$159)),NA())</f>
        <v>#N/A</v>
      </c>
      <c r="KI479" t="e">
        <f>IF(AND($B$21=1,40*$B$67&gt;$B$59,40*$B$67&lt;$B$178-$B$59,OR($B$63=0,ABS(40*$B$67-$B$178/2)&gt;$B$59/2)),$B$182+$B$181*($B$177*2/4+$B$60/2),NA())</f>
        <v>#N/A</v>
      </c>
      <c r="KJ479" t="e">
        <f>IF(AND($B$21=1,40*$B$67&gt;$B$59,40*$B$67&lt;$B$178-$B$59,OR($B$63=0,ABS(40*$B$67-$B$178/2)&gt;$B$59/2)),$B$183+$B$181*(40*$B$67),NA())</f>
        <v>#N/A</v>
      </c>
    </row>
    <row r="480">
      <c r="K480" t="e">
        <f>IF(26&lt;=$B$12,$B$133+$B$132*($B$13*26+$B$27/2),NA())</f>
        <v>#N/A</v>
      </c>
      <c r="L480" t="e">
        <f>IF(26&lt;=$B$12,$B$134+$B$132*($B$5-$B$27/2),NA())</f>
        <v>#N/A</v>
      </c>
      <c r="FE480" t="e">
        <f>IF(AND($B$21=1,(32*$B$66)&lt;$B$62),$B$145+$B$144*(IF((32*$B$66)&lt;$B$94,$B$97,$B$96)),NA())</f>
        <v>#N/A</v>
      </c>
      <c r="FF480" t="e">
        <f>IF(AND($B$21=1,(32*$B$66)&lt;$B$62),$B$146+$B$144*((32*$B$66)),NA())</f>
        <v>#N/A</v>
      </c>
      <c r="GI480" t="e">
        <f>IF(AND($B$21=1,(32*$B$66)&lt;IF($B$63=1,$B$10-0.2,$B$62)),$B$151+$B$150*(MAX(IF((32*$B$66)&lt;=$B$9,0,((32*$B$66)-$B$9)/$B$8),MIN(($B$5-IF((32*$B$66)&lt;=$B$9,0,((32*$B$66)-$B$9)/$B$8)),IF((32*$B$66)&lt;$B$125,$B$128,$B$127)))),NA())</f>
        <v>#N/A</v>
      </c>
      <c r="GJ480" t="e">
        <f>IF(AND($B$21=1,(32*$B$66)&lt;IF($B$63=1,$B$10-0.2,$B$62)),$B$152+$B$150*((32*$B$66)),NA())</f>
        <v>#N/A</v>
      </c>
      <c r="HQ480" t="e">
        <f>IF(AND(7&lt;=$B$23,2&lt;=$B$24),$B$157+$B$156*(IF(7=1,1,IF(7=$B$23,$B$12,5*(7-1)))*$B$13),NA())</f>
        <v>#N/A</v>
      </c>
      <c r="HR480" t="e">
        <f>IF(AND(7&lt;=$B$23,2&lt;=$B$24),$B$158+$B$156*((1*$B$5/2+2*($B$5/2)/$B$24)),NA())</f>
        <v>#N/A</v>
      </c>
      <c r="HS480" t="e">
        <f>IF(AND(20&lt;=$B$12,$B$51&gt;0),$B$157+$B$156*(((20-0.5)*$B$13)+($B$51*$B$13)/2),NA())</f>
        <v>#N/A</v>
      </c>
      <c r="HT480" t="e">
        <f>IF(AND(20&lt;=$B$12,$B$51&gt;0),$B$158+$B$156*((1*$B$5/2+0.6*$B$159)+(((1*$B$5/2+$B$5/2-0.6*$B$159))-((1*$B$5/2+0.6*$B$159)))/4),NA())</f>
        <v>#N/A</v>
      </c>
      <c r="KI480" t="e">
        <f>IF(AND($B$21=1,40*$B$67&gt;$B$59,40*$B$67&lt;$B$178-$B$59,OR($B$63=0,ABS(40*$B$67-$B$178/2)&gt;$B$59/2)),$B$182+$B$181*($B$177*3/4-$B$60/2),NA())</f>
        <v>#N/A</v>
      </c>
      <c r="KJ480" t="e">
        <f>IF(AND($B$21=1,40*$B$67&gt;$B$59,40*$B$67&lt;$B$178-$B$59,OR($B$63=0,ABS(40*$B$67-$B$178/2)&gt;$B$59/2)),$B$183+$B$181*(40*$B$67),NA())</f>
        <v>#N/A</v>
      </c>
    </row>
    <row r="481">
      <c r="K481" t="e">
        <f>IF(26&lt;=$B$12,$B$133+$B$132*($B$13*26+$B$27/2),NA())</f>
        <v>#N/A</v>
      </c>
      <c r="L481" t="e">
        <f>IF(26&lt;=$B$12,$B$134+$B$132*($B$5+$B$27/2),NA())</f>
        <v>#N/A</v>
      </c>
      <c r="FE481" t="e">
        <f>IF(AND(AND($B$21=1,(32*$B$66)&lt;$B$62),(32*$B$66)&gt;=$B$94),$B$145+$B$144*($B$96),NA())</f>
        <v>#N/A</v>
      </c>
      <c r="FF481" t="e">
        <f>IF(AND(AND($B$21=1,(32*$B$66)&lt;$B$62),(32*$B$66)&gt;=$B$94),$B$146+$B$144*((32*$B$66)),NA())</f>
        <v>#N/A</v>
      </c>
      <c r="GI481" t="e">
        <f>IF(AND(AND($B$21=1,(32*$B$66)&lt;IF($B$63=1,$B$10-0.2,$B$62)),(32*$B$66)&gt;=$B$125),$B$151+$B$150*(MAX(IF((32*$B$66)&lt;=$B$9,0,((32*$B$66)-$B$9)/$B$8),MIN(($B$5-IF((32*$B$66)&lt;=$B$9,0,((32*$B$66)-$B$9)/$B$8)),$B$127))),NA())</f>
        <v>#N/A</v>
      </c>
      <c r="GJ481" t="e">
        <f>IF(AND(AND($B$21=1,(32*$B$66)&lt;IF($B$63=1,$B$10-0.2,$B$62)),(32*$B$66)&gt;=$B$125),$B$152+$B$150*((32*$B$66)),NA())</f>
        <v>#N/A</v>
      </c>
      <c r="HQ481" t="e">
        <f>NA()</f>
        <v>#N/A</v>
      </c>
      <c r="HR481" t="e">
        <f>NA()</f>
        <v>#N/A</v>
      </c>
      <c r="HS481" t="e">
        <f>IF(AND(20&lt;=$B$12,$B$51&gt;0),$B$157+$B$156*(((20-0.5)*$B$13)-($B$51*$B$13)/2),NA())</f>
        <v>#N/A</v>
      </c>
      <c r="HT481" t="e">
        <f>IF(AND(20&lt;=$B$12,$B$51&gt;0),$B$158+$B$156*((1*$B$5/2+0.6*$B$159)+(((1*$B$5/2+$B$5/2-0.6*$B$159))-((1*$B$5/2+0.6*$B$159)))/2),NA())</f>
        <v>#N/A</v>
      </c>
      <c r="KI481" t="e">
        <f>NA()</f>
        <v>#N/A</v>
      </c>
      <c r="KJ481" t="e">
        <f>NA()</f>
        <v>#N/A</v>
      </c>
    </row>
    <row r="482">
      <c r="K482" t="e">
        <f>IF(26&lt;=$B$12,$B$133+$B$132*($B$13*26-$B$27/2),NA())</f>
        <v>#N/A</v>
      </c>
      <c r="L482" t="e">
        <f>IF(26&lt;=$B$12,$B$134+$B$132*($B$5+$B$27/2),NA())</f>
        <v>#N/A</v>
      </c>
      <c r="FE482" t="e">
        <f>IF(AND($B$21=1,(32*$B$66)&lt;$B$62),$B$145+$B$144*(IF((32*$B$66)&lt;$B$94,$B$98,$B$96)),NA())</f>
        <v>#N/A</v>
      </c>
      <c r="FF482" t="e">
        <f>IF(AND($B$21=1,(32*$B$66)&lt;$B$62),$B$146+$B$144*((32*$B$66)),NA())</f>
        <v>#N/A</v>
      </c>
      <c r="GI482" t="e">
        <f>IF(AND($B$21=1,(32*$B$66)&lt;IF($B$63=1,$B$10-0.2,$B$62)),$B$151+$B$150*(MAX(IF((32*$B$66)&lt;=$B$9,0,((32*$B$66)-$B$9)/$B$8),MIN(($B$5-IF((32*$B$66)&lt;=$B$9,0,((32*$B$66)-$B$9)/$B$8)),IF((32*$B$66)&lt;$B$125,$B$129,$B$127)))),NA())</f>
        <v>#N/A</v>
      </c>
      <c r="GJ482" t="e">
        <f>IF(AND($B$21=1,(32*$B$66)&lt;IF($B$63=1,$B$10-0.2,$B$62)),$B$152+$B$150*((32*$B$66)),NA())</f>
        <v>#N/A</v>
      </c>
      <c r="HQ482" t="e">
        <f>IF(AND(7&lt;=$B$23,2&lt;=$B$24),$B$157+$B$156*((IF(7=1,1,IF(7=$B$23,$B$12,5*(7-1)))-1)*$B$13),NA())</f>
        <v>#N/A</v>
      </c>
      <c r="HR482" t="e">
        <f>IF(AND(7&lt;=$B$23,2&lt;=$B$24),$B$158+$B$156*((1*$B$5/2+2*($B$5/2)/$B$24)),NA())</f>
        <v>#N/A</v>
      </c>
      <c r="HS482" t="e">
        <f>IF(AND(20&lt;=$B$12,$B$51&gt;0),$B$157+$B$156*(((20-0.5)*$B$13)+($B$51*$B$13)/2),NA())</f>
        <v>#N/A</v>
      </c>
      <c r="HT482" t="e">
        <f>IF(AND(20&lt;=$B$12,$B$51&gt;0),$B$158+$B$156*((1*$B$5/2+0.6*$B$159)+3*(((1*$B$5/2+$B$5/2-0.6*$B$159))-((1*$B$5/2+0.6*$B$159)))/4),NA())</f>
        <v>#N/A</v>
      </c>
      <c r="KI482" t="e">
        <f>IF(AND($B$21=1,40*$B$67&gt;$B$59,40*$B$67&lt;$B$178-$B$59,OR($B$63=0,ABS(40*$B$67-$B$178/2)&gt;$B$59/2)),$B$182+$B$181*($B$177*3/4+$B$60/2),NA())</f>
        <v>#N/A</v>
      </c>
      <c r="KJ482" t="e">
        <f>IF(AND($B$21=1,40*$B$67&gt;$B$59,40*$B$67&lt;$B$178-$B$59,OR($B$63=0,ABS(40*$B$67-$B$178/2)&gt;$B$59/2)),$B$183+$B$181*(40*$B$67),NA())</f>
        <v>#N/A</v>
      </c>
    </row>
    <row r="483">
      <c r="K483" t="e">
        <f>IF(26&lt;=$B$12,$B$133+$B$132*($B$13*26-$B$27/2),NA())</f>
        <v>#N/A</v>
      </c>
      <c r="L483" t="e">
        <f>IF(26&lt;=$B$12,$B$134+$B$132*($B$5-$B$27/2),NA())</f>
        <v>#N/A</v>
      </c>
      <c r="FE483" t="e">
        <f>IF(AND($B$21=1,(32*$B$66)&lt;$B$62),$B$145+$B$144*($B$6),NA())</f>
        <v>#N/A</v>
      </c>
      <c r="FF483" t="e">
        <f>IF(AND($B$21=1,(32*$B$66)&lt;$B$62),$B$146+$B$144*((32*$B$66)),NA())</f>
        <v>#N/A</v>
      </c>
      <c r="GI483" t="e">
        <f>IF(AND($B$21=1,(32*$B$66)&lt;IF($B$63=1,$B$10-0.2,$B$62)),$B$151+$B$150*(($B$5-IF((32*$B$66)&lt;=$B$9,0,((32*$B$66)-$B$9)/$B$8))),NA())</f>
        <v>#N/A</v>
      </c>
      <c r="GJ483" t="e">
        <f>IF(AND($B$21=1,(32*$B$66)&lt;IF($B$63=1,$B$10-0.2,$B$62)),$B$152+$B$150*((32*$B$66)),NA())</f>
        <v>#N/A</v>
      </c>
      <c r="HQ483" t="e">
        <f>IF(AND(7&lt;=$B$23,2&lt;=$B$24),$B$157+$B$156*(IF(7=1,1,IF(7=$B$23,$B$12,5*(7-1)))*$B$13),NA())</f>
        <v>#N/A</v>
      </c>
      <c r="HR483" t="e">
        <f>IF(AND(7&lt;=$B$23,2&lt;=$B$24),$B$158+$B$156*((1*$B$5/2+(2-1)*($B$5/2)/$B$24)),NA())</f>
        <v>#N/A</v>
      </c>
      <c r="HS483" t="e">
        <f>IF(AND(20&lt;=$B$12,$B$51&gt;0),$B$157+$B$156*(((20-0.5)*$B$13)-($B$51*$B$13)/2),NA())</f>
        <v>#N/A</v>
      </c>
      <c r="HT483" t="e">
        <f>IF(AND(20&lt;=$B$12,$B$51&gt;0),$B$158+$B$156*((1*$B$5/2+$B$5/2-0.6*$B$159)),NA())</f>
        <v>#N/A</v>
      </c>
      <c r="KI483" t="e">
        <f>IF(AND($B$21=1,40*$B$67&gt;$B$59,40*$B$67&lt;$B$178-$B$59,OR($B$63=0,ABS(40*$B$67-$B$178/2)&gt;$B$59/2)),$B$182+$B$181*($B$177),NA())</f>
        <v>#N/A</v>
      </c>
      <c r="KJ483" t="e">
        <f>IF(AND($B$21=1,40*$B$67&gt;$B$59,40*$B$67&lt;$B$178-$B$59,OR($B$63=0,ABS(40*$B$67-$B$178/2)&gt;$B$59/2)),$B$183+$B$181*(40*$B$67),NA())</f>
        <v>#N/A</v>
      </c>
    </row>
    <row r="484">
      <c r="K484" t="e">
        <f>NA()</f>
        <v>#N/A</v>
      </c>
      <c r="L484" t="e">
        <f>NA()</f>
        <v>#N/A</v>
      </c>
      <c r="FE484" t="e">
        <f>NA()</f>
        <v>#N/A</v>
      </c>
      <c r="FF484" t="e">
        <f>NA()</f>
        <v>#N/A</v>
      </c>
      <c r="GI484" t="e">
        <f>NA()</f>
        <v>#N/A</v>
      </c>
      <c r="GJ484" t="e">
        <f>NA()</f>
        <v>#N/A</v>
      </c>
      <c r="HQ484" t="e">
        <f>NA()</f>
        <v>#N/A</v>
      </c>
      <c r="HR484" t="e">
        <f>NA()</f>
        <v>#N/A</v>
      </c>
      <c r="HS484" t="e">
        <f>NA()</f>
        <v>#N/A</v>
      </c>
      <c r="HT484" t="e">
        <f>NA()</f>
        <v>#N/A</v>
      </c>
      <c r="KI484" t="e">
        <f>NA()</f>
        <v>#N/A</v>
      </c>
      <c r="KJ484" t="e">
        <f>NA()</f>
        <v>#N/A</v>
      </c>
    </row>
    <row r="485">
      <c r="K485" t="e">
        <f>IF(AND(26&lt;=$B$12,$B$45=1),$B$133+$B$132*($B$13*26-$B$27/2),NA())</f>
        <v>#N/A</v>
      </c>
      <c r="L485" t="e">
        <f>IF(AND(26&lt;=$B$12,$B$45=1),$B$134+$B$132*($B$5/2-$B$27/2),NA())</f>
        <v>#N/A</v>
      </c>
      <c r="GI485" t="e">
        <f>IF(AND($B$21=1,(33*$B$66)&lt;IF($B$63=1,$B$10-0.2,$B$62)),$B$151+$B$150*(IF((33*$B$66)&lt;=$B$9,0,((33*$B$66)-$B$9)/$B$8)),NA())</f>
        <v>#N/A</v>
      </c>
      <c r="GJ485" t="e">
        <f>IF(AND($B$21=1,(33*$B$66)&lt;IF($B$63=1,$B$10-0.2,$B$62)),$B$152+$B$150*((33*$B$66)),NA())</f>
        <v>#N/A</v>
      </c>
      <c r="HQ485" t="e">
        <f>IF(AND(7&lt;=$B$23,3&lt;=$B$24),$B$157+$B$156*((IF(7=1,1,IF(7=$B$23,$B$12,5*(7-1)))-1)*$B$13),NA())</f>
        <v>#N/A</v>
      </c>
      <c r="HR485" t="e">
        <f>IF(AND(7&lt;=$B$23,3&lt;=$B$24),$B$158+$B$156*((1*$B$5/2+(3-1)*($B$5/2)/$B$24)),NA())</f>
        <v>#N/A</v>
      </c>
      <c r="HS485" t="e">
        <f>IF(AND(21&lt;=$B$12,$B$51&gt;0),$B$157+$B$156*(((21-0.5)*$B$13)-($B$51*$B$13)/2),NA())</f>
        <v>#N/A</v>
      </c>
      <c r="HT485" t="e">
        <f>IF(AND(21&lt;=$B$12,$B$51&gt;0),$B$158+$B$156*((0*$B$5/2+0.6*$B$159)),NA())</f>
        <v>#N/A</v>
      </c>
      <c r="KI485" t="e">
        <f>IF(AND($B$21=1,41*$B$67&gt;$B$59,41*$B$67&lt;$B$178-$B$59,OR($B$63=0,ABS(41*$B$67-$B$178/2)&gt;$B$59/2)),$B$182+$B$181*(0),NA())</f>
        <v>#N/A</v>
      </c>
      <c r="KJ485" t="e">
        <f>IF(AND($B$21=1,41*$B$67&gt;$B$59,41*$B$67&lt;$B$178-$B$59,OR($B$63=0,ABS(41*$B$67-$B$178/2)&gt;$B$59/2)),$B$183+$B$181*(41*$B$67),NA())</f>
        <v>#N/A</v>
      </c>
    </row>
    <row r="486">
      <c r="K486" t="e">
        <f>IF(AND(26&lt;=$B$12,$B$45=1),$B$133+$B$132*($B$13*26+$B$27/2),NA())</f>
        <v>#N/A</v>
      </c>
      <c r="L486" t="e">
        <f>IF(AND(26&lt;=$B$12,$B$45=1),$B$134+$B$132*($B$5/2-$B$27/2),NA())</f>
        <v>#N/A</v>
      </c>
      <c r="GI486" t="e">
        <f>IF(AND($B$21=1,(33*$B$66)&lt;IF($B$63=1,$B$10-0.2,$B$62)),$B$151+$B$150*(MAX(IF((33*$B$66)&lt;=$B$9,0,((33*$B$66)-$B$9)/$B$8),MIN(($B$5-IF((33*$B$66)&lt;=$B$9,0,((33*$B$66)-$B$9)/$B$8)),IF((33*$B$66)&lt;$B$104,$B$107,$B$106)))),NA())</f>
        <v>#N/A</v>
      </c>
      <c r="GJ486" t="e">
        <f>IF(AND($B$21=1,(33*$B$66)&lt;IF($B$63=1,$B$10-0.2,$B$62)),$B$152+$B$150*((33*$B$66)),NA())</f>
        <v>#N/A</v>
      </c>
      <c r="HQ486" t="e">
        <f>IF(AND(7&lt;=$B$23,3&lt;=$B$24),$B$157+$B$156*(IF(7=1,1,IF(7=$B$23,$B$12,5*(7-1)))*$B$13),NA())</f>
        <v>#N/A</v>
      </c>
      <c r="HR486" t="e">
        <f>IF(AND(7&lt;=$B$23,3&lt;=$B$24),$B$158+$B$156*((1*$B$5/2+3*($B$5/2)/$B$24)),NA())</f>
        <v>#N/A</v>
      </c>
      <c r="HS486" t="e">
        <f>IF(AND(21&lt;=$B$12,$B$51&gt;0),$B$157+$B$156*(((21-0.5)*$B$13)+($B$51*$B$13)/2),NA())</f>
        <v>#N/A</v>
      </c>
      <c r="HT486" t="e">
        <f>IF(AND(21&lt;=$B$12,$B$51&gt;0),$B$158+$B$156*((0*$B$5/2+0.6*$B$159)),NA())</f>
        <v>#N/A</v>
      </c>
      <c r="KI486" t="e">
        <f>IF(AND($B$21=1,41*$B$67&gt;$B$59,41*$B$67&lt;$B$178-$B$59,OR($B$63=0,ABS(41*$B$67-$B$178/2)&gt;$B$59/2)),$B$182+$B$181*($B$177*1/4-$B$60/2),NA())</f>
        <v>#N/A</v>
      </c>
      <c r="KJ486" t="e">
        <f>IF(AND($B$21=1,41*$B$67&gt;$B$59,41*$B$67&lt;$B$178-$B$59,OR($B$63=0,ABS(41*$B$67-$B$178/2)&gt;$B$59/2)),$B$183+$B$181*(41*$B$67),NA())</f>
        <v>#N/A</v>
      </c>
    </row>
    <row r="487">
      <c r="K487" t="e">
        <f>IF(AND(26&lt;=$B$12,$B$45=1),$B$133+$B$132*($B$13*26+$B$27/2),NA())</f>
        <v>#N/A</v>
      </c>
      <c r="L487" t="e">
        <f>IF(AND(26&lt;=$B$12,$B$45=1),$B$134+$B$132*($B$5/2+$B$27/2),NA())</f>
        <v>#N/A</v>
      </c>
      <c r="GI487" t="e">
        <f>IF(AND(AND($B$21=1,(33*$B$66)&lt;IF($B$63=1,$B$10-0.2,$B$62)),(33*$B$66)&gt;=$B$104),$B$151+$B$150*(MAX(IF((33*$B$66)&lt;=$B$9,0,((33*$B$66)-$B$9)/$B$8),MIN(($B$5-IF((33*$B$66)&lt;=$B$9,0,((33*$B$66)-$B$9)/$B$8)),$B$106))),NA())</f>
        <v>#N/A</v>
      </c>
      <c r="GJ487" t="e">
        <f>IF(AND(AND($B$21=1,(33*$B$66)&lt;IF($B$63=1,$B$10-0.2,$B$62)),(33*$B$66)&gt;=$B$104),$B$152+$B$150*((33*$B$66)),NA())</f>
        <v>#N/A</v>
      </c>
      <c r="HQ487" t="e">
        <f>NA()</f>
        <v>#N/A</v>
      </c>
      <c r="HR487" t="e">
        <f>NA()</f>
        <v>#N/A</v>
      </c>
      <c r="HS487" t="e">
        <f>IF(AND(21&lt;=$B$12,$B$51&gt;0),$B$157+$B$156*(((21-0.5)*$B$13)+($B$51*$B$13)/2),NA())</f>
        <v>#N/A</v>
      </c>
      <c r="HT487" t="e">
        <f>IF(AND(21&lt;=$B$12,$B$51&gt;0),$B$158+$B$156*((0*$B$5/2+$B$5/2-0.6*$B$159)),NA())</f>
        <v>#N/A</v>
      </c>
      <c r="KI487" t="e">
        <f>NA()</f>
        <v>#N/A</v>
      </c>
      <c r="KJ487" t="e">
        <f>NA()</f>
        <v>#N/A</v>
      </c>
    </row>
    <row r="488">
      <c r="K488" t="e">
        <f>IF(AND(26&lt;=$B$12,$B$45=1),$B$133+$B$132*($B$13*26-$B$27/2),NA())</f>
        <v>#N/A</v>
      </c>
      <c r="L488" t="e">
        <f>IF(AND(26&lt;=$B$12,$B$45=1),$B$134+$B$132*($B$5/2+$B$27/2),NA())</f>
        <v>#N/A</v>
      </c>
      <c r="GI488" t="e">
        <f>IF(AND($B$21=1,(33*$B$66)&lt;IF($B$63=1,$B$10-0.2,$B$62)),$B$151+$B$150*(MAX(IF((33*$B$66)&lt;=$B$9,0,((33*$B$66)-$B$9)/$B$8),MIN(($B$5-IF((33*$B$66)&lt;=$B$9,0,((33*$B$66)-$B$9)/$B$8)),IF((33*$B$66)&lt;$B$104,$B$108,$B$106)))),NA())</f>
        <v>#N/A</v>
      </c>
      <c r="GJ488" t="e">
        <f>IF(AND($B$21=1,(33*$B$66)&lt;IF($B$63=1,$B$10-0.2,$B$62)),$B$152+$B$150*((33*$B$66)),NA())</f>
        <v>#N/A</v>
      </c>
      <c r="HQ488" t="e">
        <f>IF(AND(7&lt;=$B$23,3&lt;=$B$24),$B$157+$B$156*((IF(7=1,1,IF(7=$B$23,$B$12,5*(7-1)))-1)*$B$13),NA())</f>
        <v>#N/A</v>
      </c>
      <c r="HR488" t="e">
        <f>IF(AND(7&lt;=$B$23,3&lt;=$B$24),$B$158+$B$156*((1*$B$5/2+3*($B$5/2)/$B$24)),NA())</f>
        <v>#N/A</v>
      </c>
      <c r="HS488" t="e">
        <f>IF(AND(21&lt;=$B$12,$B$51&gt;0),$B$157+$B$156*(((21-0.5)*$B$13)-($B$51*$B$13)/2),NA())</f>
        <v>#N/A</v>
      </c>
      <c r="HT488" t="e">
        <f>IF(AND(21&lt;=$B$12,$B$51&gt;0),$B$158+$B$156*((0*$B$5/2+$B$5/2-0.6*$B$159)),NA())</f>
        <v>#N/A</v>
      </c>
      <c r="KI488" t="e">
        <f>IF(AND($B$21=1,41*$B$67&gt;$B$59,41*$B$67&lt;$B$178-$B$59,OR($B$63=0,ABS(41*$B$67-$B$178/2)&gt;$B$59/2)),$B$182+$B$181*($B$177*1/4+$B$60/2),NA())</f>
        <v>#N/A</v>
      </c>
      <c r="KJ488" t="e">
        <f>IF(AND($B$21=1,41*$B$67&gt;$B$59,41*$B$67&lt;$B$178-$B$59,OR($B$63=0,ABS(41*$B$67-$B$178/2)&gt;$B$59/2)),$B$183+$B$181*(41*$B$67),NA())</f>
        <v>#N/A</v>
      </c>
    </row>
    <row r="489">
      <c r="K489" t="e">
        <f>IF(AND(26&lt;=$B$12,$B$45=1),$B$133+$B$132*($B$13*26-$B$27/2),NA())</f>
        <v>#N/A</v>
      </c>
      <c r="L489" t="e">
        <f>IF(AND(26&lt;=$B$12,$B$45=1),$B$134+$B$132*($B$5/2-$B$27/2),NA())</f>
        <v>#N/A</v>
      </c>
      <c r="GI489" t="e">
        <f>IF(AND($B$21=1,(33*$B$66)&lt;IF($B$63=1,$B$10-0.2,$B$62)),$B$151+$B$150*(MAX(IF((33*$B$66)&lt;=$B$9,0,((33*$B$66)-$B$9)/$B$8),MIN(($B$5-IF((33*$B$66)&lt;=$B$9,0,((33*$B$66)-$B$9)/$B$8)),IF((33*$B$66)&lt;$B$111,$B$114,$B$113)))),NA())</f>
        <v>#N/A</v>
      </c>
      <c r="GJ489" t="e">
        <f>IF(AND($B$21=1,(33*$B$66)&lt;IF($B$63=1,$B$10-0.2,$B$62)),$B$152+$B$150*((33*$B$66)),NA())</f>
        <v>#N/A</v>
      </c>
      <c r="HQ489" t="e">
        <f>IF(AND(7&lt;=$B$23,3&lt;=$B$24),$B$157+$B$156*(IF(7=1,1,IF(7=$B$23,$B$12,5*(7-1)))*$B$13),NA())</f>
        <v>#N/A</v>
      </c>
      <c r="HR489" t="e">
        <f>IF(AND(7&lt;=$B$23,3&lt;=$B$24),$B$158+$B$156*((1*$B$5/2+(3-1)*($B$5/2)/$B$24)),NA())</f>
        <v>#N/A</v>
      </c>
      <c r="HS489" t="e">
        <f>IF(AND(21&lt;=$B$12,$B$51&gt;0),$B$157+$B$156*(((21-0.5)*$B$13)-($B$51*$B$13)/2),NA())</f>
        <v>#N/A</v>
      </c>
      <c r="HT489" t="e">
        <f>IF(AND(21&lt;=$B$12,$B$51&gt;0),$B$158+$B$156*((0*$B$5/2+0.6*$B$159)),NA())</f>
        <v>#N/A</v>
      </c>
      <c r="KI489" t="e">
        <f>IF(AND($B$21=1,41*$B$67&gt;$B$59,41*$B$67&lt;$B$178-$B$59,OR($B$63=0,ABS(41*$B$67-$B$178/2)&gt;$B$59/2)),$B$182+$B$181*($B$177*2/4-$B$60/2),NA())</f>
        <v>#N/A</v>
      </c>
      <c r="KJ489" t="e">
        <f>IF(AND($B$21=1,41*$B$67&gt;$B$59,41*$B$67&lt;$B$178-$B$59,OR($B$63=0,ABS(41*$B$67-$B$178/2)&gt;$B$59/2)),$B$183+$B$181*(41*$B$67),NA())</f>
        <v>#N/A</v>
      </c>
    </row>
    <row r="490">
      <c r="K490" t="e">
        <f>NA()</f>
        <v>#N/A</v>
      </c>
      <c r="L490" t="e">
        <f>NA()</f>
        <v>#N/A</v>
      </c>
      <c r="GI490" t="e">
        <f>IF(AND(AND($B$21=1,(33*$B$66)&lt;IF($B$63=1,$B$10-0.2,$B$62)),(33*$B$66)&gt;=$B$111),$B$151+$B$150*(MAX(IF((33*$B$66)&lt;=$B$9,0,((33*$B$66)-$B$9)/$B$8),MIN(($B$5-IF((33*$B$66)&lt;=$B$9,0,((33*$B$66)-$B$9)/$B$8)),$B$113))),NA())</f>
        <v>#N/A</v>
      </c>
      <c r="GJ490" t="e">
        <f>IF(AND(AND($B$21=1,(33*$B$66)&lt;IF($B$63=1,$B$10-0.2,$B$62)),(33*$B$66)&gt;=$B$111),$B$152+$B$150*((33*$B$66)),NA())</f>
        <v>#N/A</v>
      </c>
      <c r="HQ490" t="e">
        <f>NA()</f>
        <v>#N/A</v>
      </c>
      <c r="HR490" t="e">
        <f>NA()</f>
        <v>#N/A</v>
      </c>
      <c r="HS490" t="e">
        <f>NA()</f>
        <v>#N/A</v>
      </c>
      <c r="HT490" t="e">
        <f>NA()</f>
        <v>#N/A</v>
      </c>
      <c r="KI490" t="e">
        <f>NA()</f>
        <v>#N/A</v>
      </c>
      <c r="KJ490" t="e">
        <f>NA()</f>
        <v>#N/A</v>
      </c>
    </row>
    <row r="491">
      <c r="K491" t="e">
        <f>IF(27&lt;=$B$12,$B$133+$B$132*($B$13*27-$B$27/2),NA())</f>
        <v>#N/A</v>
      </c>
      <c r="L491" t="e">
        <f>IF(27&lt;=$B$12,$B$134+$B$132*(0-$B$27/2),NA())</f>
        <v>#N/A</v>
      </c>
      <c r="GI491" t="e">
        <f>IF(AND($B$21=1,(33*$B$66)&lt;IF($B$63=1,$B$10-0.2,$B$62)),$B$151+$B$150*(MAX(IF((33*$B$66)&lt;=$B$9,0,((33*$B$66)-$B$9)/$B$8),MIN(($B$5-IF((33*$B$66)&lt;=$B$9,0,((33*$B$66)-$B$9)/$B$8)),IF((33*$B$66)&lt;$B$111,$B$115,$B$113)))),NA())</f>
        <v>#N/A</v>
      </c>
      <c r="GJ491" t="e">
        <f>IF(AND($B$21=1,(33*$B$66)&lt;IF($B$63=1,$B$10-0.2,$B$62)),$B$152+$B$150*((33*$B$66)),NA())</f>
        <v>#N/A</v>
      </c>
      <c r="HQ491" t="e">
        <f>IF(AND(7&lt;=$B$23,4&lt;=$B$24),$B$157+$B$156*((IF(7=1,1,IF(7=$B$23,$B$12,5*(7-1)))-1)*$B$13),NA())</f>
        <v>#N/A</v>
      </c>
      <c r="HR491" t="e">
        <f>IF(AND(7&lt;=$B$23,4&lt;=$B$24),$B$158+$B$156*((1*$B$5/2+(4-1)*($B$5/2)/$B$24)),NA())</f>
        <v>#N/A</v>
      </c>
      <c r="HS491" t="e">
        <f>IF(AND(21&lt;=$B$12,$B$51&gt;0),$B$157+$B$156*(((21-0.5)*$B$13)-($B$51*$B$13)/2),NA())</f>
        <v>#N/A</v>
      </c>
      <c r="HT491" t="e">
        <f>IF(AND(21&lt;=$B$12,$B$51&gt;0),$B$158+$B$156*((0*$B$5/2+0.6*$B$159)),NA())</f>
        <v>#N/A</v>
      </c>
      <c r="KI491" t="e">
        <f>IF(AND($B$21=1,41*$B$67&gt;$B$59,41*$B$67&lt;$B$178-$B$59,OR($B$63=0,ABS(41*$B$67-$B$178/2)&gt;$B$59/2)),$B$182+$B$181*($B$177*2/4+$B$60/2),NA())</f>
        <v>#N/A</v>
      </c>
      <c r="KJ491" t="e">
        <f>IF(AND($B$21=1,41*$B$67&gt;$B$59,41*$B$67&lt;$B$178-$B$59,OR($B$63=0,ABS(41*$B$67-$B$178/2)&gt;$B$59/2)),$B$183+$B$181*(41*$B$67),NA())</f>
        <v>#N/A</v>
      </c>
    </row>
    <row r="492">
      <c r="K492" t="e">
        <f>IF(27&lt;=$B$12,$B$133+$B$132*($B$13*27+$B$27/2),NA())</f>
        <v>#N/A</v>
      </c>
      <c r="L492" t="e">
        <f>IF(27&lt;=$B$12,$B$134+$B$132*(0-$B$27/2),NA())</f>
        <v>#N/A</v>
      </c>
      <c r="GI492" t="e">
        <f>IF(AND($B$21=1,(33*$B$66)&lt;IF($B$63=1,$B$10-0.2,$B$62)),$B$151+$B$150*(MAX(IF((33*$B$66)&lt;=$B$9,0,((33*$B$66)-$B$9)/$B$8),MIN(($B$5-IF((33*$B$66)&lt;=$B$9,0,((33*$B$66)-$B$9)/$B$8)),IF((33*$B$66)&lt;$B$118,$B$121,$B$120)))),NA())</f>
        <v>#N/A</v>
      </c>
      <c r="GJ492" t="e">
        <f>IF(AND($B$21=1,(33*$B$66)&lt;IF($B$63=1,$B$10-0.2,$B$62)),$B$152+$B$150*((33*$B$66)),NA())</f>
        <v>#N/A</v>
      </c>
      <c r="HQ492" t="e">
        <f>IF(AND(7&lt;=$B$23,4&lt;=$B$24),$B$157+$B$156*(IF(7=1,1,IF(7=$B$23,$B$12,5*(7-1)))*$B$13),NA())</f>
        <v>#N/A</v>
      </c>
      <c r="HR492" t="e">
        <f>IF(AND(7&lt;=$B$23,4&lt;=$B$24),$B$158+$B$156*((1*$B$5/2+4*($B$5/2)/$B$24)),NA())</f>
        <v>#N/A</v>
      </c>
      <c r="HS492" t="e">
        <f>IF(AND(21&lt;=$B$12,$B$51&gt;0),$B$157+$B$156*(((21-0.5)*$B$13)+($B$51*$B$13)/2),NA())</f>
        <v>#N/A</v>
      </c>
      <c r="HT492" t="e">
        <f>IF(AND(21&lt;=$B$12,$B$51&gt;0),$B$158+$B$156*((0*$B$5/2+0.6*$B$159)+(((0*$B$5/2+$B$5/2-0.6*$B$159))-((0*$B$5/2+0.6*$B$159)))/4),NA())</f>
        <v>#N/A</v>
      </c>
      <c r="KI492" t="e">
        <f>IF(AND($B$21=1,41*$B$67&gt;$B$59,41*$B$67&lt;$B$178-$B$59,OR($B$63=0,ABS(41*$B$67-$B$178/2)&gt;$B$59/2)),$B$182+$B$181*($B$177*3/4-$B$60/2),NA())</f>
        <v>#N/A</v>
      </c>
      <c r="KJ492" t="e">
        <f>IF(AND($B$21=1,41*$B$67&gt;$B$59,41*$B$67&lt;$B$178-$B$59,OR($B$63=0,ABS(41*$B$67-$B$178/2)&gt;$B$59/2)),$B$183+$B$181*(41*$B$67),NA())</f>
        <v>#N/A</v>
      </c>
    </row>
    <row r="493">
      <c r="K493" t="e">
        <f>IF(27&lt;=$B$12,$B$133+$B$132*($B$13*27+$B$27/2),NA())</f>
        <v>#N/A</v>
      </c>
      <c r="L493" t="e">
        <f>IF(27&lt;=$B$12,$B$134+$B$132*(0+$B$27/2),NA())</f>
        <v>#N/A</v>
      </c>
      <c r="GI493" t="e">
        <f>IF(AND(AND($B$21=1,(33*$B$66)&lt;IF($B$63=1,$B$10-0.2,$B$62)),(33*$B$66)&gt;=$B$118),$B$151+$B$150*(MAX(IF((33*$B$66)&lt;=$B$9,0,((33*$B$66)-$B$9)/$B$8),MIN(($B$5-IF((33*$B$66)&lt;=$B$9,0,((33*$B$66)-$B$9)/$B$8)),$B$120))),NA())</f>
        <v>#N/A</v>
      </c>
      <c r="GJ493" t="e">
        <f>IF(AND(AND($B$21=1,(33*$B$66)&lt;IF($B$63=1,$B$10-0.2,$B$62)),(33*$B$66)&gt;=$B$118),$B$152+$B$150*((33*$B$66)),NA())</f>
        <v>#N/A</v>
      </c>
      <c r="HQ493" t="e">
        <f>NA()</f>
        <v>#N/A</v>
      </c>
      <c r="HR493" t="e">
        <f>NA()</f>
        <v>#N/A</v>
      </c>
      <c r="HS493" t="e">
        <f>IF(AND(21&lt;=$B$12,$B$51&gt;0),$B$157+$B$156*(((21-0.5)*$B$13)-($B$51*$B$13)/2),NA())</f>
        <v>#N/A</v>
      </c>
      <c r="HT493" t="e">
        <f>IF(AND(21&lt;=$B$12,$B$51&gt;0),$B$158+$B$156*((0*$B$5/2+0.6*$B$159)+(((0*$B$5/2+$B$5/2-0.6*$B$159))-((0*$B$5/2+0.6*$B$159)))/2),NA())</f>
        <v>#N/A</v>
      </c>
      <c r="KI493" t="e">
        <f>NA()</f>
        <v>#N/A</v>
      </c>
      <c r="KJ493" t="e">
        <f>NA()</f>
        <v>#N/A</v>
      </c>
    </row>
    <row r="494">
      <c r="K494" t="e">
        <f>IF(27&lt;=$B$12,$B$133+$B$132*($B$13*27-$B$27/2),NA())</f>
        <v>#N/A</v>
      </c>
      <c r="L494" t="e">
        <f>IF(27&lt;=$B$12,$B$134+$B$132*(0+$B$27/2),NA())</f>
        <v>#N/A</v>
      </c>
      <c r="GI494" t="e">
        <f>IF(AND($B$21=1,(33*$B$66)&lt;IF($B$63=1,$B$10-0.2,$B$62)),$B$151+$B$150*(MAX(IF((33*$B$66)&lt;=$B$9,0,((33*$B$66)-$B$9)/$B$8),MIN(($B$5-IF((33*$B$66)&lt;=$B$9,0,((33*$B$66)-$B$9)/$B$8)),IF((33*$B$66)&lt;$B$118,$B$122,$B$120)))),NA())</f>
        <v>#N/A</v>
      </c>
      <c r="GJ494" t="e">
        <f>IF(AND($B$21=1,(33*$B$66)&lt;IF($B$63=1,$B$10-0.2,$B$62)),$B$152+$B$150*((33*$B$66)),NA())</f>
        <v>#N/A</v>
      </c>
      <c r="HQ494" t="e">
        <f>IF(AND(7&lt;=$B$23,4&lt;=$B$24),$B$157+$B$156*((IF(7=1,1,IF(7=$B$23,$B$12,5*(7-1)))-1)*$B$13),NA())</f>
        <v>#N/A</v>
      </c>
      <c r="HR494" t="e">
        <f>IF(AND(7&lt;=$B$23,4&lt;=$B$24),$B$158+$B$156*((1*$B$5/2+4*($B$5/2)/$B$24)),NA())</f>
        <v>#N/A</v>
      </c>
      <c r="HS494" t="e">
        <f>IF(AND(21&lt;=$B$12,$B$51&gt;0),$B$157+$B$156*(((21-0.5)*$B$13)+($B$51*$B$13)/2),NA())</f>
        <v>#N/A</v>
      </c>
      <c r="HT494" t="e">
        <f>IF(AND(21&lt;=$B$12,$B$51&gt;0),$B$158+$B$156*((0*$B$5/2+0.6*$B$159)+3*(((0*$B$5/2+$B$5/2-0.6*$B$159))-((0*$B$5/2+0.6*$B$159)))/4),NA())</f>
        <v>#N/A</v>
      </c>
      <c r="KI494" t="e">
        <f>IF(AND($B$21=1,41*$B$67&gt;$B$59,41*$B$67&lt;$B$178-$B$59,OR($B$63=0,ABS(41*$B$67-$B$178/2)&gt;$B$59/2)),$B$182+$B$181*($B$177*3/4+$B$60/2),NA())</f>
        <v>#N/A</v>
      </c>
      <c r="KJ494" t="e">
        <f>IF(AND($B$21=1,41*$B$67&gt;$B$59,41*$B$67&lt;$B$178-$B$59,OR($B$63=0,ABS(41*$B$67-$B$178/2)&gt;$B$59/2)),$B$183+$B$181*(41*$B$67),NA())</f>
        <v>#N/A</v>
      </c>
    </row>
    <row r="495">
      <c r="K495" t="e">
        <f>IF(27&lt;=$B$12,$B$133+$B$132*($B$13*27-$B$27/2),NA())</f>
        <v>#N/A</v>
      </c>
      <c r="L495" t="e">
        <f>IF(27&lt;=$B$12,$B$134+$B$132*(0-$B$27/2),NA())</f>
        <v>#N/A</v>
      </c>
      <c r="GI495" t="e">
        <f>IF(AND($B$21=1,(33*$B$66)&lt;IF($B$63=1,$B$10-0.2,$B$62)),$B$151+$B$150*(MAX(IF((33*$B$66)&lt;=$B$9,0,((33*$B$66)-$B$9)/$B$8),MIN(($B$5-IF((33*$B$66)&lt;=$B$9,0,((33*$B$66)-$B$9)/$B$8)),IF((33*$B$66)&lt;$B$125,$B$128,$B$127)))),NA())</f>
        <v>#N/A</v>
      </c>
      <c r="GJ495" t="e">
        <f>IF(AND($B$21=1,(33*$B$66)&lt;IF($B$63=1,$B$10-0.2,$B$62)),$B$152+$B$150*((33*$B$66)),NA())</f>
        <v>#N/A</v>
      </c>
      <c r="HQ495" t="e">
        <f>IF(AND(7&lt;=$B$23,4&lt;=$B$24),$B$157+$B$156*(IF(7=1,1,IF(7=$B$23,$B$12,5*(7-1)))*$B$13),NA())</f>
        <v>#N/A</v>
      </c>
      <c r="HR495" t="e">
        <f>IF(AND(7&lt;=$B$23,4&lt;=$B$24),$B$158+$B$156*((1*$B$5/2+(4-1)*($B$5/2)/$B$24)),NA())</f>
        <v>#N/A</v>
      </c>
      <c r="HS495" t="e">
        <f>IF(AND(21&lt;=$B$12,$B$51&gt;0),$B$157+$B$156*(((21-0.5)*$B$13)-($B$51*$B$13)/2),NA())</f>
        <v>#N/A</v>
      </c>
      <c r="HT495" t="e">
        <f>IF(AND(21&lt;=$B$12,$B$51&gt;0),$B$158+$B$156*((0*$B$5/2+$B$5/2-0.6*$B$159)),NA())</f>
        <v>#N/A</v>
      </c>
      <c r="KI495" t="e">
        <f>IF(AND($B$21=1,41*$B$67&gt;$B$59,41*$B$67&lt;$B$178-$B$59,OR($B$63=0,ABS(41*$B$67-$B$178/2)&gt;$B$59/2)),$B$182+$B$181*($B$177),NA())</f>
        <v>#N/A</v>
      </c>
      <c r="KJ495" t="e">
        <f>IF(AND($B$21=1,41*$B$67&gt;$B$59,41*$B$67&lt;$B$178-$B$59,OR($B$63=0,ABS(41*$B$67-$B$178/2)&gt;$B$59/2)),$B$183+$B$181*(41*$B$67),NA())</f>
        <v>#N/A</v>
      </c>
    </row>
    <row r="496">
      <c r="K496" t="e">
        <f>NA()</f>
        <v>#N/A</v>
      </c>
      <c r="L496" t="e">
        <f>NA()</f>
        <v>#N/A</v>
      </c>
      <c r="GI496" t="e">
        <f>IF(AND(AND($B$21=1,(33*$B$66)&lt;IF($B$63=1,$B$10-0.2,$B$62)),(33*$B$66)&gt;=$B$125),$B$151+$B$150*(MAX(IF((33*$B$66)&lt;=$B$9,0,((33*$B$66)-$B$9)/$B$8),MIN(($B$5-IF((33*$B$66)&lt;=$B$9,0,((33*$B$66)-$B$9)/$B$8)),$B$127))),NA())</f>
        <v>#N/A</v>
      </c>
      <c r="GJ496" t="e">
        <f>IF(AND(AND($B$21=1,(33*$B$66)&lt;IF($B$63=1,$B$10-0.2,$B$62)),(33*$B$66)&gt;=$B$125),$B$152+$B$150*((33*$B$66)),NA())</f>
        <v>#N/A</v>
      </c>
      <c r="HQ496" t="e">
        <f>NA()</f>
        <v>#N/A</v>
      </c>
      <c r="HR496" t="e">
        <f>NA()</f>
        <v>#N/A</v>
      </c>
      <c r="HS496" t="e">
        <f>NA()</f>
        <v>#N/A</v>
      </c>
      <c r="HT496" t="e">
        <f>NA()</f>
        <v>#N/A</v>
      </c>
      <c r="KI496" t="e">
        <f>NA()</f>
        <v>#N/A</v>
      </c>
      <c r="KJ496" t="e">
        <f>NA()</f>
        <v>#N/A</v>
      </c>
    </row>
    <row r="497">
      <c r="K497" t="e">
        <f>IF(27&lt;=$B$12,$B$133+$B$132*($B$13*27-$B$27/2),NA())</f>
        <v>#N/A</v>
      </c>
      <c r="L497" t="e">
        <f>IF(27&lt;=$B$12,$B$134+$B$132*($B$5-$B$27/2),NA())</f>
        <v>#N/A</v>
      </c>
      <c r="GI497" t="e">
        <f>IF(AND($B$21=1,(33*$B$66)&lt;IF($B$63=1,$B$10-0.2,$B$62)),$B$151+$B$150*(MAX(IF((33*$B$66)&lt;=$B$9,0,((33*$B$66)-$B$9)/$B$8),MIN(($B$5-IF((33*$B$66)&lt;=$B$9,0,((33*$B$66)-$B$9)/$B$8)),IF((33*$B$66)&lt;$B$125,$B$129,$B$127)))),NA())</f>
        <v>#N/A</v>
      </c>
      <c r="GJ497" t="e">
        <f>IF(AND($B$21=1,(33*$B$66)&lt;IF($B$63=1,$B$10-0.2,$B$62)),$B$152+$B$150*((33*$B$66)),NA())</f>
        <v>#N/A</v>
      </c>
      <c r="HQ497" t="e">
        <f>IF(AND(7&lt;=$B$23,5&lt;=$B$24),$B$157+$B$156*((IF(7=1,1,IF(7=$B$23,$B$12,5*(7-1)))-1)*$B$13),NA())</f>
        <v>#N/A</v>
      </c>
      <c r="HR497" t="e">
        <f>IF(AND(7&lt;=$B$23,5&lt;=$B$24),$B$158+$B$156*((1*$B$5/2+(5-1)*($B$5/2)/$B$24)),NA())</f>
        <v>#N/A</v>
      </c>
      <c r="HS497" t="e">
        <f>IF(AND(21&lt;=$B$12,$B$51&gt;0),$B$157+$B$156*(((21-0.5)*$B$13)-($B$51*$B$13)/2),NA())</f>
        <v>#N/A</v>
      </c>
      <c r="HT497" t="e">
        <f>IF(AND(21&lt;=$B$12,$B$51&gt;0),$B$158+$B$156*((1*$B$5/2+0.6*$B$159)),NA())</f>
        <v>#N/A</v>
      </c>
      <c r="KI497" t="e">
        <f>IF(AND($B$21=1,42*$B$67&gt;$B$59,42*$B$67&lt;$B$178-$B$59,OR($B$63=0,ABS(42*$B$67-$B$178/2)&gt;$B$59/2)),$B$182+$B$181*(0),NA())</f>
        <v>#N/A</v>
      </c>
      <c r="KJ497" t="e">
        <f>IF(AND($B$21=1,42*$B$67&gt;$B$59,42*$B$67&lt;$B$178-$B$59,OR($B$63=0,ABS(42*$B$67-$B$178/2)&gt;$B$59/2)),$B$183+$B$181*(42*$B$67),NA())</f>
        <v>#N/A</v>
      </c>
    </row>
    <row r="498">
      <c r="K498" t="e">
        <f>IF(27&lt;=$B$12,$B$133+$B$132*($B$13*27+$B$27/2),NA())</f>
        <v>#N/A</v>
      </c>
      <c r="L498" t="e">
        <f>IF(27&lt;=$B$12,$B$134+$B$132*($B$5-$B$27/2),NA())</f>
        <v>#N/A</v>
      </c>
      <c r="GI498" t="e">
        <f>IF(AND($B$21=1,(33*$B$66)&lt;IF($B$63=1,$B$10-0.2,$B$62)),$B$151+$B$150*(($B$5-IF((33*$B$66)&lt;=$B$9,0,((33*$B$66)-$B$9)/$B$8))),NA())</f>
        <v>#N/A</v>
      </c>
      <c r="GJ498" t="e">
        <f>IF(AND($B$21=1,(33*$B$66)&lt;IF($B$63=1,$B$10-0.2,$B$62)),$B$152+$B$150*((33*$B$66)),NA())</f>
        <v>#N/A</v>
      </c>
      <c r="HQ498" t="e">
        <f>IF(AND(7&lt;=$B$23,5&lt;=$B$24),$B$157+$B$156*(IF(7=1,1,IF(7=$B$23,$B$12,5*(7-1)))*$B$13),NA())</f>
        <v>#N/A</v>
      </c>
      <c r="HR498" t="e">
        <f>IF(AND(7&lt;=$B$23,5&lt;=$B$24),$B$158+$B$156*((1*$B$5/2+5*($B$5/2)/$B$24)),NA())</f>
        <v>#N/A</v>
      </c>
      <c r="HS498" t="e">
        <f>IF(AND(21&lt;=$B$12,$B$51&gt;0),$B$157+$B$156*(((21-0.5)*$B$13)+($B$51*$B$13)/2),NA())</f>
        <v>#N/A</v>
      </c>
      <c r="HT498" t="e">
        <f>IF(AND(21&lt;=$B$12,$B$51&gt;0),$B$158+$B$156*((1*$B$5/2+0.6*$B$159)),NA())</f>
        <v>#N/A</v>
      </c>
      <c r="KI498" t="e">
        <f>IF(AND($B$21=1,42*$B$67&gt;$B$59,42*$B$67&lt;$B$178-$B$59,OR($B$63=0,ABS(42*$B$67-$B$178/2)&gt;$B$59/2)),$B$182+$B$181*($B$177*1/4-$B$60/2),NA())</f>
        <v>#N/A</v>
      </c>
      <c r="KJ498" t="e">
        <f>IF(AND($B$21=1,42*$B$67&gt;$B$59,42*$B$67&lt;$B$178-$B$59,OR($B$63=0,ABS(42*$B$67-$B$178/2)&gt;$B$59/2)),$B$183+$B$181*(42*$B$67),NA())</f>
        <v>#N/A</v>
      </c>
    </row>
    <row r="499">
      <c r="K499" t="e">
        <f>IF(27&lt;=$B$12,$B$133+$B$132*($B$13*27+$B$27/2),NA())</f>
        <v>#N/A</v>
      </c>
      <c r="L499" t="e">
        <f>IF(27&lt;=$B$12,$B$134+$B$132*($B$5+$B$27/2),NA())</f>
        <v>#N/A</v>
      </c>
      <c r="GI499" t="e">
        <f>NA()</f>
        <v>#N/A</v>
      </c>
      <c r="GJ499" t="e">
        <f>NA()</f>
        <v>#N/A</v>
      </c>
      <c r="HQ499" t="e">
        <f>NA()</f>
        <v>#N/A</v>
      </c>
      <c r="HR499" t="e">
        <f>NA()</f>
        <v>#N/A</v>
      </c>
      <c r="HS499" t="e">
        <f>IF(AND(21&lt;=$B$12,$B$51&gt;0),$B$157+$B$156*(((21-0.5)*$B$13)+($B$51*$B$13)/2),NA())</f>
        <v>#N/A</v>
      </c>
      <c r="HT499" t="e">
        <f>IF(AND(21&lt;=$B$12,$B$51&gt;0),$B$158+$B$156*((1*$B$5/2+$B$5/2-0.6*$B$159)),NA())</f>
        <v>#N/A</v>
      </c>
      <c r="KI499" t="e">
        <f>NA()</f>
        <v>#N/A</v>
      </c>
      <c r="KJ499" t="e">
        <f>NA()</f>
        <v>#N/A</v>
      </c>
    </row>
    <row r="500">
      <c r="K500" t="e">
        <f>IF(27&lt;=$B$12,$B$133+$B$132*($B$13*27-$B$27/2),NA())</f>
        <v>#N/A</v>
      </c>
      <c r="L500" t="e">
        <f>IF(27&lt;=$B$12,$B$134+$B$132*($B$5+$B$27/2),NA())</f>
        <v>#N/A</v>
      </c>
      <c r="GI500" t="e">
        <f>IF(AND($B$21=1,(34*$B$66)&lt;IF($B$63=1,$B$10-0.2,$B$62)),$B$151+$B$150*(IF((34*$B$66)&lt;=$B$9,0,((34*$B$66)-$B$9)/$B$8)),NA())</f>
        <v>#N/A</v>
      </c>
      <c r="GJ500" t="e">
        <f>IF(AND($B$21=1,(34*$B$66)&lt;IF($B$63=1,$B$10-0.2,$B$62)),$B$152+$B$150*((34*$B$66)),NA())</f>
        <v>#N/A</v>
      </c>
      <c r="HQ500" t="e">
        <f>IF(AND(7&lt;=$B$23,5&lt;=$B$24),$B$157+$B$156*((IF(7=1,1,IF(7=$B$23,$B$12,5*(7-1)))-1)*$B$13),NA())</f>
        <v>#N/A</v>
      </c>
      <c r="HR500" t="e">
        <f>IF(AND(7&lt;=$B$23,5&lt;=$B$24),$B$158+$B$156*((1*$B$5/2+5*($B$5/2)/$B$24)),NA())</f>
        <v>#N/A</v>
      </c>
      <c r="HS500" t="e">
        <f>IF(AND(21&lt;=$B$12,$B$51&gt;0),$B$157+$B$156*(((21-0.5)*$B$13)-($B$51*$B$13)/2),NA())</f>
        <v>#N/A</v>
      </c>
      <c r="HT500" t="e">
        <f>IF(AND(21&lt;=$B$12,$B$51&gt;0),$B$158+$B$156*((1*$B$5/2+$B$5/2-0.6*$B$159)),NA())</f>
        <v>#N/A</v>
      </c>
      <c r="KI500" t="e">
        <f>IF(AND($B$21=1,42*$B$67&gt;$B$59,42*$B$67&lt;$B$178-$B$59,OR($B$63=0,ABS(42*$B$67-$B$178/2)&gt;$B$59/2)),$B$182+$B$181*($B$177*1/4+$B$60/2),NA())</f>
        <v>#N/A</v>
      </c>
      <c r="KJ500" t="e">
        <f>IF(AND($B$21=1,42*$B$67&gt;$B$59,42*$B$67&lt;$B$178-$B$59,OR($B$63=0,ABS(42*$B$67-$B$178/2)&gt;$B$59/2)),$B$183+$B$181*(42*$B$67),NA())</f>
        <v>#N/A</v>
      </c>
    </row>
    <row r="501">
      <c r="K501" t="e">
        <f>IF(27&lt;=$B$12,$B$133+$B$132*($B$13*27-$B$27/2),NA())</f>
        <v>#N/A</v>
      </c>
      <c r="L501" t="e">
        <f>IF(27&lt;=$B$12,$B$134+$B$132*($B$5-$B$27/2),NA())</f>
        <v>#N/A</v>
      </c>
      <c r="GI501" t="e">
        <f>IF(AND($B$21=1,(34*$B$66)&lt;IF($B$63=1,$B$10-0.2,$B$62)),$B$151+$B$150*(MAX(IF((34*$B$66)&lt;=$B$9,0,((34*$B$66)-$B$9)/$B$8),MIN(($B$5-IF((34*$B$66)&lt;=$B$9,0,((34*$B$66)-$B$9)/$B$8)),IF((34*$B$66)&lt;$B$104,$B$107,$B$106)))),NA())</f>
        <v>#N/A</v>
      </c>
      <c r="GJ501" t="e">
        <f>IF(AND($B$21=1,(34*$B$66)&lt;IF($B$63=1,$B$10-0.2,$B$62)),$B$152+$B$150*((34*$B$66)),NA())</f>
        <v>#N/A</v>
      </c>
      <c r="HQ501" t="e">
        <f>IF(AND(7&lt;=$B$23,5&lt;=$B$24),$B$157+$B$156*(IF(7=1,1,IF(7=$B$23,$B$12,5*(7-1)))*$B$13),NA())</f>
        <v>#N/A</v>
      </c>
      <c r="HR501" t="e">
        <f>IF(AND(7&lt;=$B$23,5&lt;=$B$24),$B$158+$B$156*((1*$B$5/2+(5-1)*($B$5/2)/$B$24)),NA())</f>
        <v>#N/A</v>
      </c>
      <c r="HS501" t="e">
        <f>IF(AND(21&lt;=$B$12,$B$51&gt;0),$B$157+$B$156*(((21-0.5)*$B$13)-($B$51*$B$13)/2),NA())</f>
        <v>#N/A</v>
      </c>
      <c r="HT501" t="e">
        <f>IF(AND(21&lt;=$B$12,$B$51&gt;0),$B$158+$B$156*((1*$B$5/2+0.6*$B$159)),NA())</f>
        <v>#N/A</v>
      </c>
      <c r="KI501" t="e">
        <f>IF(AND($B$21=1,42*$B$67&gt;$B$59,42*$B$67&lt;$B$178-$B$59,OR($B$63=0,ABS(42*$B$67-$B$178/2)&gt;$B$59/2)),$B$182+$B$181*($B$177*2/4-$B$60/2),NA())</f>
        <v>#N/A</v>
      </c>
      <c r="KJ501" t="e">
        <f>IF(AND($B$21=1,42*$B$67&gt;$B$59,42*$B$67&lt;$B$178-$B$59,OR($B$63=0,ABS(42*$B$67-$B$178/2)&gt;$B$59/2)),$B$183+$B$181*(42*$B$67),NA())</f>
        <v>#N/A</v>
      </c>
    </row>
    <row r="502">
      <c r="K502" t="e">
        <f>NA()</f>
        <v>#N/A</v>
      </c>
      <c r="L502" t="e">
        <f>NA()</f>
        <v>#N/A</v>
      </c>
      <c r="GI502" t="e">
        <f>IF(AND(AND($B$21=1,(34*$B$66)&lt;IF($B$63=1,$B$10-0.2,$B$62)),(34*$B$66)&gt;=$B$104),$B$151+$B$150*(MAX(IF((34*$B$66)&lt;=$B$9,0,((34*$B$66)-$B$9)/$B$8),MIN(($B$5-IF((34*$B$66)&lt;=$B$9,0,((34*$B$66)-$B$9)/$B$8)),$B$106))),NA())</f>
        <v>#N/A</v>
      </c>
      <c r="GJ502" t="e">
        <f>IF(AND(AND($B$21=1,(34*$B$66)&lt;IF($B$63=1,$B$10-0.2,$B$62)),(34*$B$66)&gt;=$B$104),$B$152+$B$150*((34*$B$66)),NA())</f>
        <v>#N/A</v>
      </c>
      <c r="HQ502" t="e">
        <f>NA()</f>
        <v>#N/A</v>
      </c>
      <c r="HR502" t="e">
        <f>NA()</f>
        <v>#N/A</v>
      </c>
      <c r="HS502" t="e">
        <f>NA()</f>
        <v>#N/A</v>
      </c>
      <c r="HT502" t="e">
        <f>NA()</f>
        <v>#N/A</v>
      </c>
      <c r="KI502" t="e">
        <f>NA()</f>
        <v>#N/A</v>
      </c>
      <c r="KJ502" t="e">
        <f>NA()</f>
        <v>#N/A</v>
      </c>
    </row>
    <row r="503">
      <c r="K503" t="e">
        <f>IF(AND(27&lt;=$B$12,$B$45=1),$B$133+$B$132*($B$13*27-$B$27/2),NA())</f>
        <v>#N/A</v>
      </c>
      <c r="L503" t="e">
        <f>IF(AND(27&lt;=$B$12,$B$45=1),$B$134+$B$132*($B$5/2-$B$27/2),NA())</f>
        <v>#N/A</v>
      </c>
      <c r="GI503" t="e">
        <f>IF(AND($B$21=1,(34*$B$66)&lt;IF($B$63=1,$B$10-0.2,$B$62)),$B$151+$B$150*(MAX(IF((34*$B$66)&lt;=$B$9,0,((34*$B$66)-$B$9)/$B$8),MIN(($B$5-IF((34*$B$66)&lt;=$B$9,0,((34*$B$66)-$B$9)/$B$8)),IF((34*$B$66)&lt;$B$104,$B$108,$B$106)))),NA())</f>
        <v>#N/A</v>
      </c>
      <c r="GJ503" t="e">
        <f>IF(AND($B$21=1,(34*$B$66)&lt;IF($B$63=1,$B$10-0.2,$B$62)),$B$152+$B$150*((34*$B$66)),NA())</f>
        <v>#N/A</v>
      </c>
      <c r="HQ503" t="e">
        <f>IF(AND(7&lt;=$B$23,6&lt;=$B$24),$B$157+$B$156*((IF(7=1,1,IF(7=$B$23,$B$12,5*(7-1)))-1)*$B$13),NA())</f>
        <v>#N/A</v>
      </c>
      <c r="HR503" t="e">
        <f>IF(AND(7&lt;=$B$23,6&lt;=$B$24),$B$158+$B$156*((1*$B$5/2+(6-1)*($B$5/2)/$B$24)),NA())</f>
        <v>#N/A</v>
      </c>
      <c r="HS503" t="e">
        <f>IF(AND(21&lt;=$B$12,$B$51&gt;0),$B$157+$B$156*(((21-0.5)*$B$13)-($B$51*$B$13)/2),NA())</f>
        <v>#N/A</v>
      </c>
      <c r="HT503" t="e">
        <f>IF(AND(21&lt;=$B$12,$B$51&gt;0),$B$158+$B$156*((1*$B$5/2+0.6*$B$159)),NA())</f>
        <v>#N/A</v>
      </c>
      <c r="KI503" t="e">
        <f>IF(AND($B$21=1,42*$B$67&gt;$B$59,42*$B$67&lt;$B$178-$B$59,OR($B$63=0,ABS(42*$B$67-$B$178/2)&gt;$B$59/2)),$B$182+$B$181*($B$177*2/4+$B$60/2),NA())</f>
        <v>#N/A</v>
      </c>
      <c r="KJ503" t="e">
        <f>IF(AND($B$21=1,42*$B$67&gt;$B$59,42*$B$67&lt;$B$178-$B$59,OR($B$63=0,ABS(42*$B$67-$B$178/2)&gt;$B$59/2)),$B$183+$B$181*(42*$B$67),NA())</f>
        <v>#N/A</v>
      </c>
    </row>
    <row r="504">
      <c r="K504" t="e">
        <f>IF(AND(27&lt;=$B$12,$B$45=1),$B$133+$B$132*($B$13*27+$B$27/2),NA())</f>
        <v>#N/A</v>
      </c>
      <c r="L504" t="e">
        <f>IF(AND(27&lt;=$B$12,$B$45=1),$B$134+$B$132*($B$5/2-$B$27/2),NA())</f>
        <v>#N/A</v>
      </c>
      <c r="GI504" t="e">
        <f>IF(AND($B$21=1,(34*$B$66)&lt;IF($B$63=1,$B$10-0.2,$B$62)),$B$151+$B$150*(MAX(IF((34*$B$66)&lt;=$B$9,0,((34*$B$66)-$B$9)/$B$8),MIN(($B$5-IF((34*$B$66)&lt;=$B$9,0,((34*$B$66)-$B$9)/$B$8)),IF((34*$B$66)&lt;$B$111,$B$114,$B$113)))),NA())</f>
        <v>#N/A</v>
      </c>
      <c r="GJ504" t="e">
        <f>IF(AND($B$21=1,(34*$B$66)&lt;IF($B$63=1,$B$10-0.2,$B$62)),$B$152+$B$150*((34*$B$66)),NA())</f>
        <v>#N/A</v>
      </c>
      <c r="HQ504" t="e">
        <f>IF(AND(7&lt;=$B$23,6&lt;=$B$24),$B$157+$B$156*(IF(7=1,1,IF(7=$B$23,$B$12,5*(7-1)))*$B$13),NA())</f>
        <v>#N/A</v>
      </c>
      <c r="HR504" t="e">
        <f>IF(AND(7&lt;=$B$23,6&lt;=$B$24),$B$158+$B$156*((1*$B$5/2+6*($B$5/2)/$B$24)),NA())</f>
        <v>#N/A</v>
      </c>
      <c r="HS504" t="e">
        <f>IF(AND(21&lt;=$B$12,$B$51&gt;0),$B$157+$B$156*(((21-0.5)*$B$13)+($B$51*$B$13)/2),NA())</f>
        <v>#N/A</v>
      </c>
      <c r="HT504" t="e">
        <f>IF(AND(21&lt;=$B$12,$B$51&gt;0),$B$158+$B$156*((1*$B$5/2+0.6*$B$159)+(((1*$B$5/2+$B$5/2-0.6*$B$159))-((1*$B$5/2+0.6*$B$159)))/4),NA())</f>
        <v>#N/A</v>
      </c>
      <c r="KI504" t="e">
        <f>IF(AND($B$21=1,42*$B$67&gt;$B$59,42*$B$67&lt;$B$178-$B$59,OR($B$63=0,ABS(42*$B$67-$B$178/2)&gt;$B$59/2)),$B$182+$B$181*($B$177*3/4-$B$60/2),NA())</f>
        <v>#N/A</v>
      </c>
      <c r="KJ504" t="e">
        <f>IF(AND($B$21=1,42*$B$67&gt;$B$59,42*$B$67&lt;$B$178-$B$59,OR($B$63=0,ABS(42*$B$67-$B$178/2)&gt;$B$59/2)),$B$183+$B$181*(42*$B$67),NA())</f>
        <v>#N/A</v>
      </c>
    </row>
    <row r="505">
      <c r="K505" t="e">
        <f>IF(AND(27&lt;=$B$12,$B$45=1),$B$133+$B$132*($B$13*27+$B$27/2),NA())</f>
        <v>#N/A</v>
      </c>
      <c r="L505" t="e">
        <f>IF(AND(27&lt;=$B$12,$B$45=1),$B$134+$B$132*($B$5/2+$B$27/2),NA())</f>
        <v>#N/A</v>
      </c>
      <c r="GI505" t="e">
        <f>IF(AND(AND($B$21=1,(34*$B$66)&lt;IF($B$63=1,$B$10-0.2,$B$62)),(34*$B$66)&gt;=$B$111),$B$151+$B$150*(MAX(IF((34*$B$66)&lt;=$B$9,0,((34*$B$66)-$B$9)/$B$8),MIN(($B$5-IF((34*$B$66)&lt;=$B$9,0,((34*$B$66)-$B$9)/$B$8)),$B$113))),NA())</f>
        <v>#N/A</v>
      </c>
      <c r="GJ505" t="e">
        <f>IF(AND(AND($B$21=1,(34*$B$66)&lt;IF($B$63=1,$B$10-0.2,$B$62)),(34*$B$66)&gt;=$B$111),$B$152+$B$150*((34*$B$66)),NA())</f>
        <v>#N/A</v>
      </c>
      <c r="HQ505" t="e">
        <f>NA()</f>
        <v>#N/A</v>
      </c>
      <c r="HR505" t="e">
        <f>NA()</f>
        <v>#N/A</v>
      </c>
      <c r="HS505" t="e">
        <f>IF(AND(21&lt;=$B$12,$B$51&gt;0),$B$157+$B$156*(((21-0.5)*$B$13)-($B$51*$B$13)/2),NA())</f>
        <v>#N/A</v>
      </c>
      <c r="HT505" t="e">
        <f>IF(AND(21&lt;=$B$12,$B$51&gt;0),$B$158+$B$156*((1*$B$5/2+0.6*$B$159)+(((1*$B$5/2+$B$5/2-0.6*$B$159))-((1*$B$5/2+0.6*$B$159)))/2),NA())</f>
        <v>#N/A</v>
      </c>
      <c r="KI505" t="e">
        <f>NA()</f>
        <v>#N/A</v>
      </c>
      <c r="KJ505" t="e">
        <f>NA()</f>
        <v>#N/A</v>
      </c>
    </row>
    <row r="506">
      <c r="K506" t="e">
        <f>IF(AND(27&lt;=$B$12,$B$45=1),$B$133+$B$132*($B$13*27-$B$27/2),NA())</f>
        <v>#N/A</v>
      </c>
      <c r="L506" t="e">
        <f>IF(AND(27&lt;=$B$12,$B$45=1),$B$134+$B$132*($B$5/2+$B$27/2),NA())</f>
        <v>#N/A</v>
      </c>
      <c r="GI506" t="e">
        <f>IF(AND($B$21=1,(34*$B$66)&lt;IF($B$63=1,$B$10-0.2,$B$62)),$B$151+$B$150*(MAX(IF((34*$B$66)&lt;=$B$9,0,((34*$B$66)-$B$9)/$B$8),MIN(($B$5-IF((34*$B$66)&lt;=$B$9,0,((34*$B$66)-$B$9)/$B$8)),IF((34*$B$66)&lt;$B$111,$B$115,$B$113)))),NA())</f>
        <v>#N/A</v>
      </c>
      <c r="GJ506" t="e">
        <f>IF(AND($B$21=1,(34*$B$66)&lt;IF($B$63=1,$B$10-0.2,$B$62)),$B$152+$B$150*((34*$B$66)),NA())</f>
        <v>#N/A</v>
      </c>
      <c r="HQ506" t="e">
        <f>IF(AND(7&lt;=$B$23,6&lt;=$B$24),$B$157+$B$156*((IF(7=1,1,IF(7=$B$23,$B$12,5*(7-1)))-1)*$B$13),NA())</f>
        <v>#N/A</v>
      </c>
      <c r="HR506" t="e">
        <f>IF(AND(7&lt;=$B$23,6&lt;=$B$24),$B$158+$B$156*((1*$B$5/2+6*($B$5/2)/$B$24)),NA())</f>
        <v>#N/A</v>
      </c>
      <c r="HS506" t="e">
        <f>IF(AND(21&lt;=$B$12,$B$51&gt;0),$B$157+$B$156*(((21-0.5)*$B$13)+($B$51*$B$13)/2),NA())</f>
        <v>#N/A</v>
      </c>
      <c r="HT506" t="e">
        <f>IF(AND(21&lt;=$B$12,$B$51&gt;0),$B$158+$B$156*((1*$B$5/2+0.6*$B$159)+3*(((1*$B$5/2+$B$5/2-0.6*$B$159))-((1*$B$5/2+0.6*$B$159)))/4),NA())</f>
        <v>#N/A</v>
      </c>
      <c r="KI506" t="e">
        <f>IF(AND($B$21=1,42*$B$67&gt;$B$59,42*$B$67&lt;$B$178-$B$59,OR($B$63=0,ABS(42*$B$67-$B$178/2)&gt;$B$59/2)),$B$182+$B$181*($B$177*3/4+$B$60/2),NA())</f>
        <v>#N/A</v>
      </c>
      <c r="KJ506" t="e">
        <f>IF(AND($B$21=1,42*$B$67&gt;$B$59,42*$B$67&lt;$B$178-$B$59,OR($B$63=0,ABS(42*$B$67-$B$178/2)&gt;$B$59/2)),$B$183+$B$181*(42*$B$67),NA())</f>
        <v>#N/A</v>
      </c>
    </row>
    <row r="507">
      <c r="K507" t="e">
        <f>IF(AND(27&lt;=$B$12,$B$45=1),$B$133+$B$132*($B$13*27-$B$27/2),NA())</f>
        <v>#N/A</v>
      </c>
      <c r="L507" t="e">
        <f>IF(AND(27&lt;=$B$12,$B$45=1),$B$134+$B$132*($B$5/2-$B$27/2),NA())</f>
        <v>#N/A</v>
      </c>
      <c r="GI507" t="e">
        <f>IF(AND($B$21=1,(34*$B$66)&lt;IF($B$63=1,$B$10-0.2,$B$62)),$B$151+$B$150*(MAX(IF((34*$B$66)&lt;=$B$9,0,((34*$B$66)-$B$9)/$B$8),MIN(($B$5-IF((34*$B$66)&lt;=$B$9,0,((34*$B$66)-$B$9)/$B$8)),IF((34*$B$66)&lt;$B$118,$B$121,$B$120)))),NA())</f>
        <v>#N/A</v>
      </c>
      <c r="GJ507" t="e">
        <f>IF(AND($B$21=1,(34*$B$66)&lt;IF($B$63=1,$B$10-0.2,$B$62)),$B$152+$B$150*((34*$B$66)),NA())</f>
        <v>#N/A</v>
      </c>
      <c r="HQ507" t="e">
        <f>IF(AND(7&lt;=$B$23,6&lt;=$B$24),$B$157+$B$156*(IF(7=1,1,IF(7=$B$23,$B$12,5*(7-1)))*$B$13),NA())</f>
        <v>#N/A</v>
      </c>
      <c r="HR507" t="e">
        <f>IF(AND(7&lt;=$B$23,6&lt;=$B$24),$B$158+$B$156*((1*$B$5/2+(6-1)*($B$5/2)/$B$24)),NA())</f>
        <v>#N/A</v>
      </c>
      <c r="HS507" t="e">
        <f>IF(AND(21&lt;=$B$12,$B$51&gt;0),$B$157+$B$156*(((21-0.5)*$B$13)-($B$51*$B$13)/2),NA())</f>
        <v>#N/A</v>
      </c>
      <c r="HT507" t="e">
        <f>IF(AND(21&lt;=$B$12,$B$51&gt;0),$B$158+$B$156*((1*$B$5/2+$B$5/2-0.6*$B$159)),NA())</f>
        <v>#N/A</v>
      </c>
      <c r="KI507" t="e">
        <f>IF(AND($B$21=1,42*$B$67&gt;$B$59,42*$B$67&lt;$B$178-$B$59,OR($B$63=0,ABS(42*$B$67-$B$178/2)&gt;$B$59/2)),$B$182+$B$181*($B$177),NA())</f>
        <v>#N/A</v>
      </c>
      <c r="KJ507" t="e">
        <f>IF(AND($B$21=1,42*$B$67&gt;$B$59,42*$B$67&lt;$B$178-$B$59,OR($B$63=0,ABS(42*$B$67-$B$178/2)&gt;$B$59/2)),$B$183+$B$181*(42*$B$67),NA())</f>
        <v>#N/A</v>
      </c>
    </row>
    <row r="508">
      <c r="K508" t="e">
        <f>NA()</f>
        <v>#N/A</v>
      </c>
      <c r="L508" t="e">
        <f>NA()</f>
        <v>#N/A</v>
      </c>
      <c r="GI508" t="e">
        <f>IF(AND(AND($B$21=1,(34*$B$66)&lt;IF($B$63=1,$B$10-0.2,$B$62)),(34*$B$66)&gt;=$B$118),$B$151+$B$150*(MAX(IF((34*$B$66)&lt;=$B$9,0,((34*$B$66)-$B$9)/$B$8),MIN(($B$5-IF((34*$B$66)&lt;=$B$9,0,((34*$B$66)-$B$9)/$B$8)),$B$120))),NA())</f>
        <v>#N/A</v>
      </c>
      <c r="GJ508" t="e">
        <f>IF(AND(AND($B$21=1,(34*$B$66)&lt;IF($B$63=1,$B$10-0.2,$B$62)),(34*$B$66)&gt;=$B$118),$B$152+$B$150*((34*$B$66)),NA())</f>
        <v>#N/A</v>
      </c>
      <c r="HQ508" t="e">
        <f>NA()</f>
        <v>#N/A</v>
      </c>
      <c r="HR508" t="e">
        <f>NA()</f>
        <v>#N/A</v>
      </c>
      <c r="HS508" t="e">
        <f>NA()</f>
        <v>#N/A</v>
      </c>
      <c r="HT508" t="e">
        <f>NA()</f>
        <v>#N/A</v>
      </c>
      <c r="KI508" t="e">
        <f>NA()</f>
        <v>#N/A</v>
      </c>
      <c r="KJ508" t="e">
        <f>NA()</f>
        <v>#N/A</v>
      </c>
    </row>
    <row r="509">
      <c r="K509" t="e">
        <f>IF(28&lt;=$B$12,$B$133+$B$132*($B$13*28-$B$27/2),NA())</f>
        <v>#N/A</v>
      </c>
      <c r="L509" t="e">
        <f>IF(28&lt;=$B$12,$B$134+$B$132*(0-$B$27/2),NA())</f>
        <v>#N/A</v>
      </c>
      <c r="GI509" t="e">
        <f>IF(AND($B$21=1,(34*$B$66)&lt;IF($B$63=1,$B$10-0.2,$B$62)),$B$151+$B$150*(MAX(IF((34*$B$66)&lt;=$B$9,0,((34*$B$66)-$B$9)/$B$8),MIN(($B$5-IF((34*$B$66)&lt;=$B$9,0,((34*$B$66)-$B$9)/$B$8)),IF((34*$B$66)&lt;$B$118,$B$122,$B$120)))),NA())</f>
        <v>#N/A</v>
      </c>
      <c r="GJ509" t="e">
        <f>IF(AND($B$21=1,(34*$B$66)&lt;IF($B$63=1,$B$10-0.2,$B$62)),$B$152+$B$150*((34*$B$66)),NA())</f>
        <v>#N/A</v>
      </c>
      <c r="HQ509" t="e">
        <f>IF(AND(8&lt;=$B$23,1&lt;=$B$24),$B$157+$B$156*((IF(8=1,1,IF(8=$B$23,$B$12,5*(8-1)))-1)*$B$13),NA())</f>
        <v>#N/A</v>
      </c>
      <c r="HR509" t="e">
        <f>IF(AND(8&lt;=$B$23,1&lt;=$B$24),$B$158+$B$156*((0*$B$5/2+(1-1)*($B$5/2)/$B$24)),NA())</f>
        <v>#N/A</v>
      </c>
      <c r="HS509" t="e">
        <f>IF(AND(22&lt;=$B$12,$B$51&gt;0),$B$157+$B$156*(((22-0.5)*$B$13)-($B$51*$B$13)/2),NA())</f>
        <v>#N/A</v>
      </c>
      <c r="HT509" t="e">
        <f>IF(AND(22&lt;=$B$12,$B$51&gt;0),$B$158+$B$156*((0*$B$5/2+0.6*$B$159)),NA())</f>
        <v>#N/A</v>
      </c>
      <c r="KI509" t="e">
        <f>IF(AND($B$21=1,43*$B$67&gt;$B$59,43*$B$67&lt;$B$178-$B$59,OR($B$63=0,ABS(43*$B$67-$B$178/2)&gt;$B$59/2)),$B$182+$B$181*(0),NA())</f>
        <v>#N/A</v>
      </c>
      <c r="KJ509" t="e">
        <f>IF(AND($B$21=1,43*$B$67&gt;$B$59,43*$B$67&lt;$B$178-$B$59,OR($B$63=0,ABS(43*$B$67-$B$178/2)&gt;$B$59/2)),$B$183+$B$181*(43*$B$67),NA())</f>
        <v>#N/A</v>
      </c>
    </row>
    <row r="510">
      <c r="K510" t="e">
        <f>IF(28&lt;=$B$12,$B$133+$B$132*($B$13*28+$B$27/2),NA())</f>
        <v>#N/A</v>
      </c>
      <c r="L510" t="e">
        <f>IF(28&lt;=$B$12,$B$134+$B$132*(0-$B$27/2),NA())</f>
        <v>#N/A</v>
      </c>
      <c r="GI510" t="e">
        <f>IF(AND($B$21=1,(34*$B$66)&lt;IF($B$63=1,$B$10-0.2,$B$62)),$B$151+$B$150*(MAX(IF((34*$B$66)&lt;=$B$9,0,((34*$B$66)-$B$9)/$B$8),MIN(($B$5-IF((34*$B$66)&lt;=$B$9,0,((34*$B$66)-$B$9)/$B$8)),IF((34*$B$66)&lt;$B$125,$B$128,$B$127)))),NA())</f>
        <v>#N/A</v>
      </c>
      <c r="GJ510" t="e">
        <f>IF(AND($B$21=1,(34*$B$66)&lt;IF($B$63=1,$B$10-0.2,$B$62)),$B$152+$B$150*((34*$B$66)),NA())</f>
        <v>#N/A</v>
      </c>
      <c r="HQ510" t="e">
        <f>IF(AND(8&lt;=$B$23,1&lt;=$B$24),$B$157+$B$156*(IF(8=1,1,IF(8=$B$23,$B$12,5*(8-1)))*$B$13),NA())</f>
        <v>#N/A</v>
      </c>
      <c r="HR510" t="e">
        <f>IF(AND(8&lt;=$B$23,1&lt;=$B$24),$B$158+$B$156*((0*$B$5/2+1*($B$5/2)/$B$24)),NA())</f>
        <v>#N/A</v>
      </c>
      <c r="HS510" t="e">
        <f>IF(AND(22&lt;=$B$12,$B$51&gt;0),$B$157+$B$156*(((22-0.5)*$B$13)+($B$51*$B$13)/2),NA())</f>
        <v>#N/A</v>
      </c>
      <c r="HT510" t="e">
        <f>IF(AND(22&lt;=$B$12,$B$51&gt;0),$B$158+$B$156*((0*$B$5/2+0.6*$B$159)),NA())</f>
        <v>#N/A</v>
      </c>
      <c r="KI510" t="e">
        <f>IF(AND($B$21=1,43*$B$67&gt;$B$59,43*$B$67&lt;$B$178-$B$59,OR($B$63=0,ABS(43*$B$67-$B$178/2)&gt;$B$59/2)),$B$182+$B$181*($B$177*1/4-$B$60/2),NA())</f>
        <v>#N/A</v>
      </c>
      <c r="KJ510" t="e">
        <f>IF(AND($B$21=1,43*$B$67&gt;$B$59,43*$B$67&lt;$B$178-$B$59,OR($B$63=0,ABS(43*$B$67-$B$178/2)&gt;$B$59/2)),$B$183+$B$181*(43*$B$67),NA())</f>
        <v>#N/A</v>
      </c>
    </row>
    <row r="511">
      <c r="K511" t="e">
        <f>IF(28&lt;=$B$12,$B$133+$B$132*($B$13*28+$B$27/2),NA())</f>
        <v>#N/A</v>
      </c>
      <c r="L511" t="e">
        <f>IF(28&lt;=$B$12,$B$134+$B$132*(0+$B$27/2),NA())</f>
        <v>#N/A</v>
      </c>
      <c r="GI511" t="e">
        <f>IF(AND(AND($B$21=1,(34*$B$66)&lt;IF($B$63=1,$B$10-0.2,$B$62)),(34*$B$66)&gt;=$B$125),$B$151+$B$150*(MAX(IF((34*$B$66)&lt;=$B$9,0,((34*$B$66)-$B$9)/$B$8),MIN(($B$5-IF((34*$B$66)&lt;=$B$9,0,((34*$B$66)-$B$9)/$B$8)),$B$127))),NA())</f>
        <v>#N/A</v>
      </c>
      <c r="GJ511" t="e">
        <f>IF(AND(AND($B$21=1,(34*$B$66)&lt;IF($B$63=1,$B$10-0.2,$B$62)),(34*$B$66)&gt;=$B$125),$B$152+$B$150*((34*$B$66)),NA())</f>
        <v>#N/A</v>
      </c>
      <c r="HQ511" t="e">
        <f>NA()</f>
        <v>#N/A</v>
      </c>
      <c r="HR511" t="e">
        <f>NA()</f>
        <v>#N/A</v>
      </c>
      <c r="HS511" t="e">
        <f>IF(AND(22&lt;=$B$12,$B$51&gt;0),$B$157+$B$156*(((22-0.5)*$B$13)+($B$51*$B$13)/2),NA())</f>
        <v>#N/A</v>
      </c>
      <c r="HT511" t="e">
        <f>IF(AND(22&lt;=$B$12,$B$51&gt;0),$B$158+$B$156*((0*$B$5/2+$B$5/2-0.6*$B$159)),NA())</f>
        <v>#N/A</v>
      </c>
      <c r="KI511" t="e">
        <f>NA()</f>
        <v>#N/A</v>
      </c>
      <c r="KJ511" t="e">
        <f>NA()</f>
        <v>#N/A</v>
      </c>
    </row>
    <row r="512">
      <c r="K512" t="e">
        <f>IF(28&lt;=$B$12,$B$133+$B$132*($B$13*28-$B$27/2),NA())</f>
        <v>#N/A</v>
      </c>
      <c r="L512" t="e">
        <f>IF(28&lt;=$B$12,$B$134+$B$132*(0+$B$27/2),NA())</f>
        <v>#N/A</v>
      </c>
      <c r="GI512" t="e">
        <f>IF(AND($B$21=1,(34*$B$66)&lt;IF($B$63=1,$B$10-0.2,$B$62)),$B$151+$B$150*(MAX(IF((34*$B$66)&lt;=$B$9,0,((34*$B$66)-$B$9)/$B$8),MIN(($B$5-IF((34*$B$66)&lt;=$B$9,0,((34*$B$66)-$B$9)/$B$8)),IF((34*$B$66)&lt;$B$125,$B$129,$B$127)))),NA())</f>
        <v>#N/A</v>
      </c>
      <c r="GJ512" t="e">
        <f>IF(AND($B$21=1,(34*$B$66)&lt;IF($B$63=1,$B$10-0.2,$B$62)),$B$152+$B$150*((34*$B$66)),NA())</f>
        <v>#N/A</v>
      </c>
      <c r="HQ512" t="e">
        <f>IF(AND(8&lt;=$B$23,1&lt;=$B$24),$B$157+$B$156*((IF(8=1,1,IF(8=$B$23,$B$12,5*(8-1)))-1)*$B$13),NA())</f>
        <v>#N/A</v>
      </c>
      <c r="HR512" t="e">
        <f>IF(AND(8&lt;=$B$23,1&lt;=$B$24),$B$158+$B$156*((0*$B$5/2+1*($B$5/2)/$B$24)),NA())</f>
        <v>#N/A</v>
      </c>
      <c r="HS512" t="e">
        <f>IF(AND(22&lt;=$B$12,$B$51&gt;0),$B$157+$B$156*(((22-0.5)*$B$13)-($B$51*$B$13)/2),NA())</f>
        <v>#N/A</v>
      </c>
      <c r="HT512" t="e">
        <f>IF(AND(22&lt;=$B$12,$B$51&gt;0),$B$158+$B$156*((0*$B$5/2+$B$5/2-0.6*$B$159)),NA())</f>
        <v>#N/A</v>
      </c>
      <c r="KI512" t="e">
        <f>IF(AND($B$21=1,43*$B$67&gt;$B$59,43*$B$67&lt;$B$178-$B$59,OR($B$63=0,ABS(43*$B$67-$B$178/2)&gt;$B$59/2)),$B$182+$B$181*($B$177*1/4+$B$60/2),NA())</f>
        <v>#N/A</v>
      </c>
      <c r="KJ512" t="e">
        <f>IF(AND($B$21=1,43*$B$67&gt;$B$59,43*$B$67&lt;$B$178-$B$59,OR($B$63=0,ABS(43*$B$67-$B$178/2)&gt;$B$59/2)),$B$183+$B$181*(43*$B$67),NA())</f>
        <v>#N/A</v>
      </c>
    </row>
    <row r="513">
      <c r="K513" t="e">
        <f>IF(28&lt;=$B$12,$B$133+$B$132*($B$13*28-$B$27/2),NA())</f>
        <v>#N/A</v>
      </c>
      <c r="L513" t="e">
        <f>IF(28&lt;=$B$12,$B$134+$B$132*(0-$B$27/2),NA())</f>
        <v>#N/A</v>
      </c>
      <c r="GI513" t="e">
        <f>IF(AND($B$21=1,(34*$B$66)&lt;IF($B$63=1,$B$10-0.2,$B$62)),$B$151+$B$150*(($B$5-IF((34*$B$66)&lt;=$B$9,0,((34*$B$66)-$B$9)/$B$8))),NA())</f>
        <v>#N/A</v>
      </c>
      <c r="GJ513" t="e">
        <f>IF(AND($B$21=1,(34*$B$66)&lt;IF($B$63=1,$B$10-0.2,$B$62)),$B$152+$B$150*((34*$B$66)),NA())</f>
        <v>#N/A</v>
      </c>
      <c r="HQ513" t="e">
        <f>IF(AND(8&lt;=$B$23,1&lt;=$B$24),$B$157+$B$156*(IF(8=1,1,IF(8=$B$23,$B$12,5*(8-1)))*$B$13),NA())</f>
        <v>#N/A</v>
      </c>
      <c r="HR513" t="e">
        <f>IF(AND(8&lt;=$B$23,1&lt;=$B$24),$B$158+$B$156*((0*$B$5/2+(1-1)*($B$5/2)/$B$24)),NA())</f>
        <v>#N/A</v>
      </c>
      <c r="HS513" t="e">
        <f>IF(AND(22&lt;=$B$12,$B$51&gt;0),$B$157+$B$156*(((22-0.5)*$B$13)-($B$51*$B$13)/2),NA())</f>
        <v>#N/A</v>
      </c>
      <c r="HT513" t="e">
        <f>IF(AND(22&lt;=$B$12,$B$51&gt;0),$B$158+$B$156*((0*$B$5/2+0.6*$B$159)),NA())</f>
        <v>#N/A</v>
      </c>
      <c r="KI513" t="e">
        <f>IF(AND($B$21=1,43*$B$67&gt;$B$59,43*$B$67&lt;$B$178-$B$59,OR($B$63=0,ABS(43*$B$67-$B$178/2)&gt;$B$59/2)),$B$182+$B$181*($B$177*2/4-$B$60/2),NA())</f>
        <v>#N/A</v>
      </c>
      <c r="KJ513" t="e">
        <f>IF(AND($B$21=1,43*$B$67&gt;$B$59,43*$B$67&lt;$B$178-$B$59,OR($B$63=0,ABS(43*$B$67-$B$178/2)&gt;$B$59/2)),$B$183+$B$181*(43*$B$67),NA())</f>
        <v>#N/A</v>
      </c>
    </row>
    <row r="514">
      <c r="K514" t="e">
        <f>NA()</f>
        <v>#N/A</v>
      </c>
      <c r="L514" t="e">
        <f>NA()</f>
        <v>#N/A</v>
      </c>
      <c r="GI514" t="e">
        <f>NA()</f>
        <v>#N/A</v>
      </c>
      <c r="GJ514" t="e">
        <f>NA()</f>
        <v>#N/A</v>
      </c>
      <c r="HQ514" t="e">
        <f>NA()</f>
        <v>#N/A</v>
      </c>
      <c r="HR514" t="e">
        <f>NA()</f>
        <v>#N/A</v>
      </c>
      <c r="HS514" t="e">
        <f>NA()</f>
        <v>#N/A</v>
      </c>
      <c r="HT514" t="e">
        <f>NA()</f>
        <v>#N/A</v>
      </c>
      <c r="KI514" t="e">
        <f>NA()</f>
        <v>#N/A</v>
      </c>
      <c r="KJ514" t="e">
        <f>NA()</f>
        <v>#N/A</v>
      </c>
    </row>
    <row r="515">
      <c r="K515" t="e">
        <f>IF(28&lt;=$B$12,$B$133+$B$132*($B$13*28-$B$27/2),NA())</f>
        <v>#N/A</v>
      </c>
      <c r="L515" t="e">
        <f>IF(28&lt;=$B$12,$B$134+$B$132*($B$5-$B$27/2),NA())</f>
        <v>#N/A</v>
      </c>
      <c r="GI515" t="e">
        <f>IF(AND($B$21=1,(35*$B$66)&lt;IF($B$63=1,$B$10-0.2,$B$62)),$B$151+$B$150*(IF((35*$B$66)&lt;=$B$9,0,((35*$B$66)-$B$9)/$B$8)),NA())</f>
        <v>#N/A</v>
      </c>
      <c r="GJ515" t="e">
        <f>IF(AND($B$21=1,(35*$B$66)&lt;IF($B$63=1,$B$10-0.2,$B$62)),$B$152+$B$150*((35*$B$66)),NA())</f>
        <v>#N/A</v>
      </c>
      <c r="HQ515" t="e">
        <f>IF(AND(8&lt;=$B$23,2&lt;=$B$24),$B$157+$B$156*((IF(8=1,1,IF(8=$B$23,$B$12,5*(8-1)))-1)*$B$13),NA())</f>
        <v>#N/A</v>
      </c>
      <c r="HR515" t="e">
        <f>IF(AND(8&lt;=$B$23,2&lt;=$B$24),$B$158+$B$156*((0*$B$5/2+(2-1)*($B$5/2)/$B$24)),NA())</f>
        <v>#N/A</v>
      </c>
      <c r="HS515" t="e">
        <f>IF(AND(22&lt;=$B$12,$B$51&gt;0),$B$157+$B$156*(((22-0.5)*$B$13)-($B$51*$B$13)/2),NA())</f>
        <v>#N/A</v>
      </c>
      <c r="HT515" t="e">
        <f>IF(AND(22&lt;=$B$12,$B$51&gt;0),$B$158+$B$156*((0*$B$5/2+0.6*$B$159)),NA())</f>
        <v>#N/A</v>
      </c>
      <c r="KI515" t="e">
        <f>IF(AND($B$21=1,43*$B$67&gt;$B$59,43*$B$67&lt;$B$178-$B$59,OR($B$63=0,ABS(43*$B$67-$B$178/2)&gt;$B$59/2)),$B$182+$B$181*($B$177*2/4+$B$60/2),NA())</f>
        <v>#N/A</v>
      </c>
      <c r="KJ515" t="e">
        <f>IF(AND($B$21=1,43*$B$67&gt;$B$59,43*$B$67&lt;$B$178-$B$59,OR($B$63=0,ABS(43*$B$67-$B$178/2)&gt;$B$59/2)),$B$183+$B$181*(43*$B$67),NA())</f>
        <v>#N/A</v>
      </c>
    </row>
    <row r="516">
      <c r="K516" t="e">
        <f>IF(28&lt;=$B$12,$B$133+$B$132*($B$13*28+$B$27/2),NA())</f>
        <v>#N/A</v>
      </c>
      <c r="L516" t="e">
        <f>IF(28&lt;=$B$12,$B$134+$B$132*($B$5-$B$27/2),NA())</f>
        <v>#N/A</v>
      </c>
      <c r="GI516" t="e">
        <f>IF(AND($B$21=1,(35*$B$66)&lt;IF($B$63=1,$B$10-0.2,$B$62)),$B$151+$B$150*(MAX(IF((35*$B$66)&lt;=$B$9,0,((35*$B$66)-$B$9)/$B$8),MIN(($B$5-IF((35*$B$66)&lt;=$B$9,0,((35*$B$66)-$B$9)/$B$8)),IF((35*$B$66)&lt;$B$104,$B$107,$B$106)))),NA())</f>
        <v>#N/A</v>
      </c>
      <c r="GJ516" t="e">
        <f>IF(AND($B$21=1,(35*$B$66)&lt;IF($B$63=1,$B$10-0.2,$B$62)),$B$152+$B$150*((35*$B$66)),NA())</f>
        <v>#N/A</v>
      </c>
      <c r="HQ516" t="e">
        <f>IF(AND(8&lt;=$B$23,2&lt;=$B$24),$B$157+$B$156*(IF(8=1,1,IF(8=$B$23,$B$12,5*(8-1)))*$B$13),NA())</f>
        <v>#N/A</v>
      </c>
      <c r="HR516" t="e">
        <f>IF(AND(8&lt;=$B$23,2&lt;=$B$24),$B$158+$B$156*((0*$B$5/2+2*($B$5/2)/$B$24)),NA())</f>
        <v>#N/A</v>
      </c>
      <c r="HS516" t="e">
        <f>IF(AND(22&lt;=$B$12,$B$51&gt;0),$B$157+$B$156*(((22-0.5)*$B$13)+($B$51*$B$13)/2),NA())</f>
        <v>#N/A</v>
      </c>
      <c r="HT516" t="e">
        <f>IF(AND(22&lt;=$B$12,$B$51&gt;0),$B$158+$B$156*((0*$B$5/2+0.6*$B$159)+(((0*$B$5/2+$B$5/2-0.6*$B$159))-((0*$B$5/2+0.6*$B$159)))/4),NA())</f>
        <v>#N/A</v>
      </c>
      <c r="KI516" t="e">
        <f>IF(AND($B$21=1,43*$B$67&gt;$B$59,43*$B$67&lt;$B$178-$B$59,OR($B$63=0,ABS(43*$B$67-$B$178/2)&gt;$B$59/2)),$B$182+$B$181*($B$177*3/4-$B$60/2),NA())</f>
        <v>#N/A</v>
      </c>
      <c r="KJ516" t="e">
        <f>IF(AND($B$21=1,43*$B$67&gt;$B$59,43*$B$67&lt;$B$178-$B$59,OR($B$63=0,ABS(43*$B$67-$B$178/2)&gt;$B$59/2)),$B$183+$B$181*(43*$B$67),NA())</f>
        <v>#N/A</v>
      </c>
    </row>
    <row r="517">
      <c r="K517" t="e">
        <f>IF(28&lt;=$B$12,$B$133+$B$132*($B$13*28+$B$27/2),NA())</f>
        <v>#N/A</v>
      </c>
      <c r="L517" t="e">
        <f>IF(28&lt;=$B$12,$B$134+$B$132*($B$5+$B$27/2),NA())</f>
        <v>#N/A</v>
      </c>
      <c r="GI517" t="e">
        <f>IF(AND(AND($B$21=1,(35*$B$66)&lt;IF($B$63=1,$B$10-0.2,$B$62)),(35*$B$66)&gt;=$B$104),$B$151+$B$150*(MAX(IF((35*$B$66)&lt;=$B$9,0,((35*$B$66)-$B$9)/$B$8),MIN(($B$5-IF((35*$B$66)&lt;=$B$9,0,((35*$B$66)-$B$9)/$B$8)),$B$106))),NA())</f>
        <v>#N/A</v>
      </c>
      <c r="GJ517" t="e">
        <f>IF(AND(AND($B$21=1,(35*$B$66)&lt;IF($B$63=1,$B$10-0.2,$B$62)),(35*$B$66)&gt;=$B$104),$B$152+$B$150*((35*$B$66)),NA())</f>
        <v>#N/A</v>
      </c>
      <c r="HQ517" t="e">
        <f>NA()</f>
        <v>#N/A</v>
      </c>
      <c r="HR517" t="e">
        <f>NA()</f>
        <v>#N/A</v>
      </c>
      <c r="HS517" t="e">
        <f>IF(AND(22&lt;=$B$12,$B$51&gt;0),$B$157+$B$156*(((22-0.5)*$B$13)-($B$51*$B$13)/2),NA())</f>
        <v>#N/A</v>
      </c>
      <c r="HT517" t="e">
        <f>IF(AND(22&lt;=$B$12,$B$51&gt;0),$B$158+$B$156*((0*$B$5/2+0.6*$B$159)+(((0*$B$5/2+$B$5/2-0.6*$B$159))-((0*$B$5/2+0.6*$B$159)))/2),NA())</f>
        <v>#N/A</v>
      </c>
      <c r="KI517" t="e">
        <f>NA()</f>
        <v>#N/A</v>
      </c>
      <c r="KJ517" t="e">
        <f>NA()</f>
        <v>#N/A</v>
      </c>
    </row>
    <row r="518">
      <c r="K518" t="e">
        <f>IF(28&lt;=$B$12,$B$133+$B$132*($B$13*28-$B$27/2),NA())</f>
        <v>#N/A</v>
      </c>
      <c r="L518" t="e">
        <f>IF(28&lt;=$B$12,$B$134+$B$132*($B$5+$B$27/2),NA())</f>
        <v>#N/A</v>
      </c>
      <c r="GI518" t="e">
        <f>IF(AND($B$21=1,(35*$B$66)&lt;IF($B$63=1,$B$10-0.2,$B$62)),$B$151+$B$150*(MAX(IF((35*$B$66)&lt;=$B$9,0,((35*$B$66)-$B$9)/$B$8),MIN(($B$5-IF((35*$B$66)&lt;=$B$9,0,((35*$B$66)-$B$9)/$B$8)),IF((35*$B$66)&lt;$B$104,$B$108,$B$106)))),NA())</f>
        <v>#N/A</v>
      </c>
      <c r="GJ518" t="e">
        <f>IF(AND($B$21=1,(35*$B$66)&lt;IF($B$63=1,$B$10-0.2,$B$62)),$B$152+$B$150*((35*$B$66)),NA())</f>
        <v>#N/A</v>
      </c>
      <c r="HQ518" t="e">
        <f>IF(AND(8&lt;=$B$23,2&lt;=$B$24),$B$157+$B$156*((IF(8=1,1,IF(8=$B$23,$B$12,5*(8-1)))-1)*$B$13),NA())</f>
        <v>#N/A</v>
      </c>
      <c r="HR518" t="e">
        <f>IF(AND(8&lt;=$B$23,2&lt;=$B$24),$B$158+$B$156*((0*$B$5/2+2*($B$5/2)/$B$24)),NA())</f>
        <v>#N/A</v>
      </c>
      <c r="HS518" t="e">
        <f>IF(AND(22&lt;=$B$12,$B$51&gt;0),$B$157+$B$156*(((22-0.5)*$B$13)+($B$51*$B$13)/2),NA())</f>
        <v>#N/A</v>
      </c>
      <c r="HT518" t="e">
        <f>IF(AND(22&lt;=$B$12,$B$51&gt;0),$B$158+$B$156*((0*$B$5/2+0.6*$B$159)+3*(((0*$B$5/2+$B$5/2-0.6*$B$159))-((0*$B$5/2+0.6*$B$159)))/4),NA())</f>
        <v>#N/A</v>
      </c>
      <c r="KI518" t="e">
        <f>IF(AND($B$21=1,43*$B$67&gt;$B$59,43*$B$67&lt;$B$178-$B$59,OR($B$63=0,ABS(43*$B$67-$B$178/2)&gt;$B$59/2)),$B$182+$B$181*($B$177*3/4+$B$60/2),NA())</f>
        <v>#N/A</v>
      </c>
      <c r="KJ518" t="e">
        <f>IF(AND($B$21=1,43*$B$67&gt;$B$59,43*$B$67&lt;$B$178-$B$59,OR($B$63=0,ABS(43*$B$67-$B$178/2)&gt;$B$59/2)),$B$183+$B$181*(43*$B$67),NA())</f>
        <v>#N/A</v>
      </c>
    </row>
    <row r="519">
      <c r="K519" t="e">
        <f>IF(28&lt;=$B$12,$B$133+$B$132*($B$13*28-$B$27/2),NA())</f>
        <v>#N/A</v>
      </c>
      <c r="L519" t="e">
        <f>IF(28&lt;=$B$12,$B$134+$B$132*($B$5-$B$27/2),NA())</f>
        <v>#N/A</v>
      </c>
      <c r="GI519" t="e">
        <f>IF(AND($B$21=1,(35*$B$66)&lt;IF($B$63=1,$B$10-0.2,$B$62)),$B$151+$B$150*(MAX(IF((35*$B$66)&lt;=$B$9,0,((35*$B$66)-$B$9)/$B$8),MIN(($B$5-IF((35*$B$66)&lt;=$B$9,0,((35*$B$66)-$B$9)/$B$8)),IF((35*$B$66)&lt;$B$111,$B$114,$B$113)))),NA())</f>
        <v>#N/A</v>
      </c>
      <c r="GJ519" t="e">
        <f>IF(AND($B$21=1,(35*$B$66)&lt;IF($B$63=1,$B$10-0.2,$B$62)),$B$152+$B$150*((35*$B$66)),NA())</f>
        <v>#N/A</v>
      </c>
      <c r="HQ519" t="e">
        <f>IF(AND(8&lt;=$B$23,2&lt;=$B$24),$B$157+$B$156*(IF(8=1,1,IF(8=$B$23,$B$12,5*(8-1)))*$B$13),NA())</f>
        <v>#N/A</v>
      </c>
      <c r="HR519" t="e">
        <f>IF(AND(8&lt;=$B$23,2&lt;=$B$24),$B$158+$B$156*((0*$B$5/2+(2-1)*($B$5/2)/$B$24)),NA())</f>
        <v>#N/A</v>
      </c>
      <c r="HS519" t="e">
        <f>IF(AND(22&lt;=$B$12,$B$51&gt;0),$B$157+$B$156*(((22-0.5)*$B$13)-($B$51*$B$13)/2),NA())</f>
        <v>#N/A</v>
      </c>
      <c r="HT519" t="e">
        <f>IF(AND(22&lt;=$B$12,$B$51&gt;0),$B$158+$B$156*((0*$B$5/2+$B$5/2-0.6*$B$159)),NA())</f>
        <v>#N/A</v>
      </c>
      <c r="KI519" t="e">
        <f>IF(AND($B$21=1,43*$B$67&gt;$B$59,43*$B$67&lt;$B$178-$B$59,OR($B$63=0,ABS(43*$B$67-$B$178/2)&gt;$B$59/2)),$B$182+$B$181*($B$177),NA())</f>
        <v>#N/A</v>
      </c>
      <c r="KJ519" t="e">
        <f>IF(AND($B$21=1,43*$B$67&gt;$B$59,43*$B$67&lt;$B$178-$B$59,OR($B$63=0,ABS(43*$B$67-$B$178/2)&gt;$B$59/2)),$B$183+$B$181*(43*$B$67),NA())</f>
        <v>#N/A</v>
      </c>
    </row>
    <row r="520">
      <c r="K520" t="e">
        <f>NA()</f>
        <v>#N/A</v>
      </c>
      <c r="L520" t="e">
        <f>NA()</f>
        <v>#N/A</v>
      </c>
      <c r="GI520" t="e">
        <f>IF(AND(AND($B$21=1,(35*$B$66)&lt;IF($B$63=1,$B$10-0.2,$B$62)),(35*$B$66)&gt;=$B$111),$B$151+$B$150*(MAX(IF((35*$B$66)&lt;=$B$9,0,((35*$B$66)-$B$9)/$B$8),MIN(($B$5-IF((35*$B$66)&lt;=$B$9,0,((35*$B$66)-$B$9)/$B$8)),$B$113))),NA())</f>
        <v>#N/A</v>
      </c>
      <c r="GJ520" t="e">
        <f>IF(AND(AND($B$21=1,(35*$B$66)&lt;IF($B$63=1,$B$10-0.2,$B$62)),(35*$B$66)&gt;=$B$111),$B$152+$B$150*((35*$B$66)),NA())</f>
        <v>#N/A</v>
      </c>
      <c r="HQ520" t="e">
        <f>NA()</f>
        <v>#N/A</v>
      </c>
      <c r="HR520" t="e">
        <f>NA()</f>
        <v>#N/A</v>
      </c>
      <c r="HS520" t="e">
        <f>NA()</f>
        <v>#N/A</v>
      </c>
      <c r="HT520" t="e">
        <f>NA()</f>
        <v>#N/A</v>
      </c>
      <c r="KI520" t="e">
        <f>NA()</f>
        <v>#N/A</v>
      </c>
      <c r="KJ520" t="e">
        <f>NA()</f>
        <v>#N/A</v>
      </c>
    </row>
    <row r="521">
      <c r="K521" t="e">
        <f>IF(AND(28&lt;=$B$12,$B$45=1),$B$133+$B$132*($B$13*28-$B$27/2),NA())</f>
        <v>#N/A</v>
      </c>
      <c r="L521" t="e">
        <f>IF(AND(28&lt;=$B$12,$B$45=1),$B$134+$B$132*($B$5/2-$B$27/2),NA())</f>
        <v>#N/A</v>
      </c>
      <c r="GI521" t="e">
        <f>IF(AND($B$21=1,(35*$B$66)&lt;IF($B$63=1,$B$10-0.2,$B$62)),$B$151+$B$150*(MAX(IF((35*$B$66)&lt;=$B$9,0,((35*$B$66)-$B$9)/$B$8),MIN(($B$5-IF((35*$B$66)&lt;=$B$9,0,((35*$B$66)-$B$9)/$B$8)),IF((35*$B$66)&lt;$B$111,$B$115,$B$113)))),NA())</f>
        <v>#N/A</v>
      </c>
      <c r="GJ521" t="e">
        <f>IF(AND($B$21=1,(35*$B$66)&lt;IF($B$63=1,$B$10-0.2,$B$62)),$B$152+$B$150*((35*$B$66)),NA())</f>
        <v>#N/A</v>
      </c>
      <c r="HQ521" t="e">
        <f>IF(AND(8&lt;=$B$23,3&lt;=$B$24),$B$157+$B$156*((IF(8=1,1,IF(8=$B$23,$B$12,5*(8-1)))-1)*$B$13),NA())</f>
        <v>#N/A</v>
      </c>
      <c r="HR521" t="e">
        <f>IF(AND(8&lt;=$B$23,3&lt;=$B$24),$B$158+$B$156*((0*$B$5/2+(3-1)*($B$5/2)/$B$24)),NA())</f>
        <v>#N/A</v>
      </c>
      <c r="HS521" t="e">
        <f>IF(AND(22&lt;=$B$12,$B$51&gt;0),$B$157+$B$156*(((22-0.5)*$B$13)-($B$51*$B$13)/2),NA())</f>
        <v>#N/A</v>
      </c>
      <c r="HT521" t="e">
        <f>IF(AND(22&lt;=$B$12,$B$51&gt;0),$B$158+$B$156*((1*$B$5/2+0.6*$B$159)),NA())</f>
        <v>#N/A</v>
      </c>
      <c r="KI521" t="e">
        <f>IF(AND($B$21=1,44*$B$67&gt;$B$59,44*$B$67&lt;$B$178-$B$59,OR($B$63=0,ABS(44*$B$67-$B$178/2)&gt;$B$59/2)),$B$182+$B$181*(0),NA())</f>
        <v>#N/A</v>
      </c>
      <c r="KJ521" t="e">
        <f>IF(AND($B$21=1,44*$B$67&gt;$B$59,44*$B$67&lt;$B$178-$B$59,OR($B$63=0,ABS(44*$B$67-$B$178/2)&gt;$B$59/2)),$B$183+$B$181*(44*$B$67),NA())</f>
        <v>#N/A</v>
      </c>
    </row>
    <row r="522">
      <c r="K522" t="e">
        <f>IF(AND(28&lt;=$B$12,$B$45=1),$B$133+$B$132*($B$13*28+$B$27/2),NA())</f>
        <v>#N/A</v>
      </c>
      <c r="L522" t="e">
        <f>IF(AND(28&lt;=$B$12,$B$45=1),$B$134+$B$132*($B$5/2-$B$27/2),NA())</f>
        <v>#N/A</v>
      </c>
      <c r="GI522" t="e">
        <f>IF(AND($B$21=1,(35*$B$66)&lt;IF($B$63=1,$B$10-0.2,$B$62)),$B$151+$B$150*(MAX(IF((35*$B$66)&lt;=$B$9,0,((35*$B$66)-$B$9)/$B$8),MIN(($B$5-IF((35*$B$66)&lt;=$B$9,0,((35*$B$66)-$B$9)/$B$8)),IF((35*$B$66)&lt;$B$118,$B$121,$B$120)))),NA())</f>
        <v>#N/A</v>
      </c>
      <c r="GJ522" t="e">
        <f>IF(AND($B$21=1,(35*$B$66)&lt;IF($B$63=1,$B$10-0.2,$B$62)),$B$152+$B$150*((35*$B$66)),NA())</f>
        <v>#N/A</v>
      </c>
      <c r="HQ522" t="e">
        <f>IF(AND(8&lt;=$B$23,3&lt;=$B$24),$B$157+$B$156*(IF(8=1,1,IF(8=$B$23,$B$12,5*(8-1)))*$B$13),NA())</f>
        <v>#N/A</v>
      </c>
      <c r="HR522" t="e">
        <f>IF(AND(8&lt;=$B$23,3&lt;=$B$24),$B$158+$B$156*((0*$B$5/2+3*($B$5/2)/$B$24)),NA())</f>
        <v>#N/A</v>
      </c>
      <c r="HS522" t="e">
        <f>IF(AND(22&lt;=$B$12,$B$51&gt;0),$B$157+$B$156*(((22-0.5)*$B$13)+($B$51*$B$13)/2),NA())</f>
        <v>#N/A</v>
      </c>
      <c r="HT522" t="e">
        <f>IF(AND(22&lt;=$B$12,$B$51&gt;0),$B$158+$B$156*((1*$B$5/2+0.6*$B$159)),NA())</f>
        <v>#N/A</v>
      </c>
      <c r="KI522" t="e">
        <f>IF(AND($B$21=1,44*$B$67&gt;$B$59,44*$B$67&lt;$B$178-$B$59,OR($B$63=0,ABS(44*$B$67-$B$178/2)&gt;$B$59/2)),$B$182+$B$181*($B$177*1/4-$B$60/2),NA())</f>
        <v>#N/A</v>
      </c>
      <c r="KJ522" t="e">
        <f>IF(AND($B$21=1,44*$B$67&gt;$B$59,44*$B$67&lt;$B$178-$B$59,OR($B$63=0,ABS(44*$B$67-$B$178/2)&gt;$B$59/2)),$B$183+$B$181*(44*$B$67),NA())</f>
        <v>#N/A</v>
      </c>
    </row>
    <row r="523">
      <c r="K523" t="e">
        <f>IF(AND(28&lt;=$B$12,$B$45=1),$B$133+$B$132*($B$13*28+$B$27/2),NA())</f>
        <v>#N/A</v>
      </c>
      <c r="L523" t="e">
        <f>IF(AND(28&lt;=$B$12,$B$45=1),$B$134+$B$132*($B$5/2+$B$27/2),NA())</f>
        <v>#N/A</v>
      </c>
      <c r="GI523" t="e">
        <f>IF(AND(AND($B$21=1,(35*$B$66)&lt;IF($B$63=1,$B$10-0.2,$B$62)),(35*$B$66)&gt;=$B$118),$B$151+$B$150*(MAX(IF((35*$B$66)&lt;=$B$9,0,((35*$B$66)-$B$9)/$B$8),MIN(($B$5-IF((35*$B$66)&lt;=$B$9,0,((35*$B$66)-$B$9)/$B$8)),$B$120))),NA())</f>
        <v>#N/A</v>
      </c>
      <c r="GJ523" t="e">
        <f>IF(AND(AND($B$21=1,(35*$B$66)&lt;IF($B$63=1,$B$10-0.2,$B$62)),(35*$B$66)&gt;=$B$118),$B$152+$B$150*((35*$B$66)),NA())</f>
        <v>#N/A</v>
      </c>
      <c r="HQ523" t="e">
        <f>NA()</f>
        <v>#N/A</v>
      </c>
      <c r="HR523" t="e">
        <f>NA()</f>
        <v>#N/A</v>
      </c>
      <c r="HS523" t="e">
        <f>IF(AND(22&lt;=$B$12,$B$51&gt;0),$B$157+$B$156*(((22-0.5)*$B$13)+($B$51*$B$13)/2),NA())</f>
        <v>#N/A</v>
      </c>
      <c r="HT523" t="e">
        <f>IF(AND(22&lt;=$B$12,$B$51&gt;0),$B$158+$B$156*((1*$B$5/2+$B$5/2-0.6*$B$159)),NA())</f>
        <v>#N/A</v>
      </c>
      <c r="KI523" t="e">
        <f>NA()</f>
        <v>#N/A</v>
      </c>
      <c r="KJ523" t="e">
        <f>NA()</f>
        <v>#N/A</v>
      </c>
    </row>
    <row r="524">
      <c r="K524" t="e">
        <f>IF(AND(28&lt;=$B$12,$B$45=1),$B$133+$B$132*($B$13*28-$B$27/2),NA())</f>
        <v>#N/A</v>
      </c>
      <c r="L524" t="e">
        <f>IF(AND(28&lt;=$B$12,$B$45=1),$B$134+$B$132*($B$5/2+$B$27/2),NA())</f>
        <v>#N/A</v>
      </c>
      <c r="GI524" t="e">
        <f>IF(AND($B$21=1,(35*$B$66)&lt;IF($B$63=1,$B$10-0.2,$B$62)),$B$151+$B$150*(MAX(IF((35*$B$66)&lt;=$B$9,0,((35*$B$66)-$B$9)/$B$8),MIN(($B$5-IF((35*$B$66)&lt;=$B$9,0,((35*$B$66)-$B$9)/$B$8)),IF((35*$B$66)&lt;$B$118,$B$122,$B$120)))),NA())</f>
        <v>#N/A</v>
      </c>
      <c r="GJ524" t="e">
        <f>IF(AND($B$21=1,(35*$B$66)&lt;IF($B$63=1,$B$10-0.2,$B$62)),$B$152+$B$150*((35*$B$66)),NA())</f>
        <v>#N/A</v>
      </c>
      <c r="HQ524" t="e">
        <f>IF(AND(8&lt;=$B$23,3&lt;=$B$24),$B$157+$B$156*((IF(8=1,1,IF(8=$B$23,$B$12,5*(8-1)))-1)*$B$13),NA())</f>
        <v>#N/A</v>
      </c>
      <c r="HR524" t="e">
        <f>IF(AND(8&lt;=$B$23,3&lt;=$B$24),$B$158+$B$156*((0*$B$5/2+3*($B$5/2)/$B$24)),NA())</f>
        <v>#N/A</v>
      </c>
      <c r="HS524" t="e">
        <f>IF(AND(22&lt;=$B$12,$B$51&gt;0),$B$157+$B$156*(((22-0.5)*$B$13)-($B$51*$B$13)/2),NA())</f>
        <v>#N/A</v>
      </c>
      <c r="HT524" t="e">
        <f>IF(AND(22&lt;=$B$12,$B$51&gt;0),$B$158+$B$156*((1*$B$5/2+$B$5/2-0.6*$B$159)),NA())</f>
        <v>#N/A</v>
      </c>
      <c r="KI524" t="e">
        <f>IF(AND($B$21=1,44*$B$67&gt;$B$59,44*$B$67&lt;$B$178-$B$59,OR($B$63=0,ABS(44*$B$67-$B$178/2)&gt;$B$59/2)),$B$182+$B$181*($B$177*1/4+$B$60/2),NA())</f>
        <v>#N/A</v>
      </c>
      <c r="KJ524" t="e">
        <f>IF(AND($B$21=1,44*$B$67&gt;$B$59,44*$B$67&lt;$B$178-$B$59,OR($B$63=0,ABS(44*$B$67-$B$178/2)&gt;$B$59/2)),$B$183+$B$181*(44*$B$67),NA())</f>
        <v>#N/A</v>
      </c>
    </row>
    <row r="525">
      <c r="K525" t="e">
        <f>IF(AND(28&lt;=$B$12,$B$45=1),$B$133+$B$132*($B$13*28-$B$27/2),NA())</f>
        <v>#N/A</v>
      </c>
      <c r="L525" t="e">
        <f>IF(AND(28&lt;=$B$12,$B$45=1),$B$134+$B$132*($B$5/2-$B$27/2),NA())</f>
        <v>#N/A</v>
      </c>
      <c r="GI525" t="e">
        <f>IF(AND($B$21=1,(35*$B$66)&lt;IF($B$63=1,$B$10-0.2,$B$62)),$B$151+$B$150*(MAX(IF((35*$B$66)&lt;=$B$9,0,((35*$B$66)-$B$9)/$B$8),MIN(($B$5-IF((35*$B$66)&lt;=$B$9,0,((35*$B$66)-$B$9)/$B$8)),IF((35*$B$66)&lt;$B$125,$B$128,$B$127)))),NA())</f>
        <v>#N/A</v>
      </c>
      <c r="GJ525" t="e">
        <f>IF(AND($B$21=1,(35*$B$66)&lt;IF($B$63=1,$B$10-0.2,$B$62)),$B$152+$B$150*((35*$B$66)),NA())</f>
        <v>#N/A</v>
      </c>
      <c r="HQ525" t="e">
        <f>IF(AND(8&lt;=$B$23,3&lt;=$B$24),$B$157+$B$156*(IF(8=1,1,IF(8=$B$23,$B$12,5*(8-1)))*$B$13),NA())</f>
        <v>#N/A</v>
      </c>
      <c r="HR525" t="e">
        <f>IF(AND(8&lt;=$B$23,3&lt;=$B$24),$B$158+$B$156*((0*$B$5/2+(3-1)*($B$5/2)/$B$24)),NA())</f>
        <v>#N/A</v>
      </c>
      <c r="HS525" t="e">
        <f>IF(AND(22&lt;=$B$12,$B$51&gt;0),$B$157+$B$156*(((22-0.5)*$B$13)-($B$51*$B$13)/2),NA())</f>
        <v>#N/A</v>
      </c>
      <c r="HT525" t="e">
        <f>IF(AND(22&lt;=$B$12,$B$51&gt;0),$B$158+$B$156*((1*$B$5/2+0.6*$B$159)),NA())</f>
        <v>#N/A</v>
      </c>
      <c r="KI525" t="e">
        <f>IF(AND($B$21=1,44*$B$67&gt;$B$59,44*$B$67&lt;$B$178-$B$59,OR($B$63=0,ABS(44*$B$67-$B$178/2)&gt;$B$59/2)),$B$182+$B$181*($B$177*2/4-$B$60/2),NA())</f>
        <v>#N/A</v>
      </c>
      <c r="KJ525" t="e">
        <f>IF(AND($B$21=1,44*$B$67&gt;$B$59,44*$B$67&lt;$B$178-$B$59,OR($B$63=0,ABS(44*$B$67-$B$178/2)&gt;$B$59/2)),$B$183+$B$181*(44*$B$67),NA())</f>
        <v>#N/A</v>
      </c>
    </row>
    <row r="526">
      <c r="K526" t="e">
        <f>NA()</f>
        <v>#N/A</v>
      </c>
      <c r="L526" t="e">
        <f>NA()</f>
        <v>#N/A</v>
      </c>
      <c r="GI526" t="e">
        <f>IF(AND(AND($B$21=1,(35*$B$66)&lt;IF($B$63=1,$B$10-0.2,$B$62)),(35*$B$66)&gt;=$B$125),$B$151+$B$150*(MAX(IF((35*$B$66)&lt;=$B$9,0,((35*$B$66)-$B$9)/$B$8),MIN(($B$5-IF((35*$B$66)&lt;=$B$9,0,((35*$B$66)-$B$9)/$B$8)),$B$127))),NA())</f>
        <v>#N/A</v>
      </c>
      <c r="GJ526" t="e">
        <f>IF(AND(AND($B$21=1,(35*$B$66)&lt;IF($B$63=1,$B$10-0.2,$B$62)),(35*$B$66)&gt;=$B$125),$B$152+$B$150*((35*$B$66)),NA())</f>
        <v>#N/A</v>
      </c>
      <c r="HQ526" t="e">
        <f>NA()</f>
        <v>#N/A</v>
      </c>
      <c r="HR526" t="e">
        <f>NA()</f>
        <v>#N/A</v>
      </c>
      <c r="HS526" t="e">
        <f>NA()</f>
        <v>#N/A</v>
      </c>
      <c r="HT526" t="e">
        <f>NA()</f>
        <v>#N/A</v>
      </c>
      <c r="KI526" t="e">
        <f>NA()</f>
        <v>#N/A</v>
      </c>
      <c r="KJ526" t="e">
        <f>NA()</f>
        <v>#N/A</v>
      </c>
    </row>
    <row r="527">
      <c r="K527" t="e">
        <f>IF(29&lt;=$B$12,$B$133+$B$132*($B$13*29-$B$27/2),NA())</f>
        <v>#N/A</v>
      </c>
      <c r="L527" t="e">
        <f>IF(29&lt;=$B$12,$B$134+$B$132*(0-$B$27/2),NA())</f>
        <v>#N/A</v>
      </c>
      <c r="GI527" t="e">
        <f>IF(AND($B$21=1,(35*$B$66)&lt;IF($B$63=1,$B$10-0.2,$B$62)),$B$151+$B$150*(MAX(IF((35*$B$66)&lt;=$B$9,0,((35*$B$66)-$B$9)/$B$8),MIN(($B$5-IF((35*$B$66)&lt;=$B$9,0,((35*$B$66)-$B$9)/$B$8)),IF((35*$B$66)&lt;$B$125,$B$129,$B$127)))),NA())</f>
        <v>#N/A</v>
      </c>
      <c r="GJ527" t="e">
        <f>IF(AND($B$21=1,(35*$B$66)&lt;IF($B$63=1,$B$10-0.2,$B$62)),$B$152+$B$150*((35*$B$66)),NA())</f>
        <v>#N/A</v>
      </c>
      <c r="HQ527" t="e">
        <f>IF(AND(8&lt;=$B$23,4&lt;=$B$24),$B$157+$B$156*((IF(8=1,1,IF(8=$B$23,$B$12,5*(8-1)))-1)*$B$13),NA())</f>
        <v>#N/A</v>
      </c>
      <c r="HR527" t="e">
        <f>IF(AND(8&lt;=$B$23,4&lt;=$B$24),$B$158+$B$156*((0*$B$5/2+(4-1)*($B$5/2)/$B$24)),NA())</f>
        <v>#N/A</v>
      </c>
      <c r="HS527" t="e">
        <f>IF(AND(22&lt;=$B$12,$B$51&gt;0),$B$157+$B$156*(((22-0.5)*$B$13)-($B$51*$B$13)/2),NA())</f>
        <v>#N/A</v>
      </c>
      <c r="HT527" t="e">
        <f>IF(AND(22&lt;=$B$12,$B$51&gt;0),$B$158+$B$156*((1*$B$5/2+0.6*$B$159)),NA())</f>
        <v>#N/A</v>
      </c>
      <c r="KI527" t="e">
        <f>IF(AND($B$21=1,44*$B$67&gt;$B$59,44*$B$67&lt;$B$178-$B$59,OR($B$63=0,ABS(44*$B$67-$B$178/2)&gt;$B$59/2)),$B$182+$B$181*($B$177*2/4+$B$60/2),NA())</f>
        <v>#N/A</v>
      </c>
      <c r="KJ527" t="e">
        <f>IF(AND($B$21=1,44*$B$67&gt;$B$59,44*$B$67&lt;$B$178-$B$59,OR($B$63=0,ABS(44*$B$67-$B$178/2)&gt;$B$59/2)),$B$183+$B$181*(44*$B$67),NA())</f>
        <v>#N/A</v>
      </c>
    </row>
    <row r="528">
      <c r="K528" t="e">
        <f>IF(29&lt;=$B$12,$B$133+$B$132*($B$13*29+$B$27/2),NA())</f>
        <v>#N/A</v>
      </c>
      <c r="L528" t="e">
        <f>IF(29&lt;=$B$12,$B$134+$B$132*(0-$B$27/2),NA())</f>
        <v>#N/A</v>
      </c>
      <c r="GI528" t="e">
        <f>IF(AND($B$21=1,(35*$B$66)&lt;IF($B$63=1,$B$10-0.2,$B$62)),$B$151+$B$150*(($B$5-IF((35*$B$66)&lt;=$B$9,0,((35*$B$66)-$B$9)/$B$8))),NA())</f>
        <v>#N/A</v>
      </c>
      <c r="GJ528" t="e">
        <f>IF(AND($B$21=1,(35*$B$66)&lt;IF($B$63=1,$B$10-0.2,$B$62)),$B$152+$B$150*((35*$B$66)),NA())</f>
        <v>#N/A</v>
      </c>
      <c r="HQ528" t="e">
        <f>IF(AND(8&lt;=$B$23,4&lt;=$B$24),$B$157+$B$156*(IF(8=1,1,IF(8=$B$23,$B$12,5*(8-1)))*$B$13),NA())</f>
        <v>#N/A</v>
      </c>
      <c r="HR528" t="e">
        <f>IF(AND(8&lt;=$B$23,4&lt;=$B$24),$B$158+$B$156*((0*$B$5/2+4*($B$5/2)/$B$24)),NA())</f>
        <v>#N/A</v>
      </c>
      <c r="HS528" t="e">
        <f>IF(AND(22&lt;=$B$12,$B$51&gt;0),$B$157+$B$156*(((22-0.5)*$B$13)+($B$51*$B$13)/2),NA())</f>
        <v>#N/A</v>
      </c>
      <c r="HT528" t="e">
        <f>IF(AND(22&lt;=$B$12,$B$51&gt;0),$B$158+$B$156*((1*$B$5/2+0.6*$B$159)+(((1*$B$5/2+$B$5/2-0.6*$B$159))-((1*$B$5/2+0.6*$B$159)))/4),NA())</f>
        <v>#N/A</v>
      </c>
      <c r="KI528" t="e">
        <f>IF(AND($B$21=1,44*$B$67&gt;$B$59,44*$B$67&lt;$B$178-$B$59,OR($B$63=0,ABS(44*$B$67-$B$178/2)&gt;$B$59/2)),$B$182+$B$181*($B$177*3/4-$B$60/2),NA())</f>
        <v>#N/A</v>
      </c>
      <c r="KJ528" t="e">
        <f>IF(AND($B$21=1,44*$B$67&gt;$B$59,44*$B$67&lt;$B$178-$B$59,OR($B$63=0,ABS(44*$B$67-$B$178/2)&gt;$B$59/2)),$B$183+$B$181*(44*$B$67),NA())</f>
        <v>#N/A</v>
      </c>
    </row>
    <row r="529">
      <c r="K529" t="e">
        <f>IF(29&lt;=$B$12,$B$133+$B$132*($B$13*29+$B$27/2),NA())</f>
        <v>#N/A</v>
      </c>
      <c r="L529" t="e">
        <f>IF(29&lt;=$B$12,$B$134+$B$132*(0+$B$27/2),NA())</f>
        <v>#N/A</v>
      </c>
      <c r="GI529" t="e">
        <f>NA()</f>
        <v>#N/A</v>
      </c>
      <c r="GJ529" t="e">
        <f>NA()</f>
        <v>#N/A</v>
      </c>
      <c r="HQ529" t="e">
        <f>NA()</f>
        <v>#N/A</v>
      </c>
      <c r="HR529" t="e">
        <f>NA()</f>
        <v>#N/A</v>
      </c>
      <c r="HS529" t="e">
        <f>IF(AND(22&lt;=$B$12,$B$51&gt;0),$B$157+$B$156*(((22-0.5)*$B$13)-($B$51*$B$13)/2),NA())</f>
        <v>#N/A</v>
      </c>
      <c r="HT529" t="e">
        <f>IF(AND(22&lt;=$B$12,$B$51&gt;0),$B$158+$B$156*((1*$B$5/2+0.6*$B$159)+(((1*$B$5/2+$B$5/2-0.6*$B$159))-((1*$B$5/2+0.6*$B$159)))/2),NA())</f>
        <v>#N/A</v>
      </c>
      <c r="KI529" t="e">
        <f>NA()</f>
        <v>#N/A</v>
      </c>
      <c r="KJ529" t="e">
        <f>NA()</f>
        <v>#N/A</v>
      </c>
    </row>
    <row r="530">
      <c r="K530" t="e">
        <f>IF(29&lt;=$B$12,$B$133+$B$132*($B$13*29-$B$27/2),NA())</f>
        <v>#N/A</v>
      </c>
      <c r="L530" t="e">
        <f>IF(29&lt;=$B$12,$B$134+$B$132*(0+$B$27/2),NA())</f>
        <v>#N/A</v>
      </c>
      <c r="GI530" t="e">
        <f>IF(AND($B$21=1,(36*$B$66)&lt;IF($B$63=1,$B$10-0.2,$B$62)),$B$151+$B$150*(IF((36*$B$66)&lt;=$B$9,0,((36*$B$66)-$B$9)/$B$8)),NA())</f>
        <v>#N/A</v>
      </c>
      <c r="GJ530" t="e">
        <f>IF(AND($B$21=1,(36*$B$66)&lt;IF($B$63=1,$B$10-0.2,$B$62)),$B$152+$B$150*((36*$B$66)),NA())</f>
        <v>#N/A</v>
      </c>
      <c r="HQ530" t="e">
        <f>IF(AND(8&lt;=$B$23,4&lt;=$B$24),$B$157+$B$156*((IF(8=1,1,IF(8=$B$23,$B$12,5*(8-1)))-1)*$B$13),NA())</f>
        <v>#N/A</v>
      </c>
      <c r="HR530" t="e">
        <f>IF(AND(8&lt;=$B$23,4&lt;=$B$24),$B$158+$B$156*((0*$B$5/2+4*($B$5/2)/$B$24)),NA())</f>
        <v>#N/A</v>
      </c>
      <c r="HS530" t="e">
        <f>IF(AND(22&lt;=$B$12,$B$51&gt;0),$B$157+$B$156*(((22-0.5)*$B$13)+($B$51*$B$13)/2),NA())</f>
        <v>#N/A</v>
      </c>
      <c r="HT530" t="e">
        <f>IF(AND(22&lt;=$B$12,$B$51&gt;0),$B$158+$B$156*((1*$B$5/2+0.6*$B$159)+3*(((1*$B$5/2+$B$5/2-0.6*$B$159))-((1*$B$5/2+0.6*$B$159)))/4),NA())</f>
        <v>#N/A</v>
      </c>
      <c r="KI530" t="e">
        <f>IF(AND($B$21=1,44*$B$67&gt;$B$59,44*$B$67&lt;$B$178-$B$59,OR($B$63=0,ABS(44*$B$67-$B$178/2)&gt;$B$59/2)),$B$182+$B$181*($B$177*3/4+$B$60/2),NA())</f>
        <v>#N/A</v>
      </c>
      <c r="KJ530" t="e">
        <f>IF(AND($B$21=1,44*$B$67&gt;$B$59,44*$B$67&lt;$B$178-$B$59,OR($B$63=0,ABS(44*$B$67-$B$178/2)&gt;$B$59/2)),$B$183+$B$181*(44*$B$67),NA())</f>
        <v>#N/A</v>
      </c>
    </row>
    <row r="531">
      <c r="K531" t="e">
        <f>IF(29&lt;=$B$12,$B$133+$B$132*($B$13*29-$B$27/2),NA())</f>
        <v>#N/A</v>
      </c>
      <c r="L531" t="e">
        <f>IF(29&lt;=$B$12,$B$134+$B$132*(0-$B$27/2),NA())</f>
        <v>#N/A</v>
      </c>
      <c r="GI531" t="e">
        <f>IF(AND($B$21=1,(36*$B$66)&lt;IF($B$63=1,$B$10-0.2,$B$62)),$B$151+$B$150*(MAX(IF((36*$B$66)&lt;=$B$9,0,((36*$B$66)-$B$9)/$B$8),MIN(($B$5-IF((36*$B$66)&lt;=$B$9,0,((36*$B$66)-$B$9)/$B$8)),IF((36*$B$66)&lt;$B$104,$B$107,$B$106)))),NA())</f>
        <v>#N/A</v>
      </c>
      <c r="GJ531" t="e">
        <f>IF(AND($B$21=1,(36*$B$66)&lt;IF($B$63=1,$B$10-0.2,$B$62)),$B$152+$B$150*((36*$B$66)),NA())</f>
        <v>#N/A</v>
      </c>
      <c r="HQ531" t="e">
        <f>IF(AND(8&lt;=$B$23,4&lt;=$B$24),$B$157+$B$156*(IF(8=1,1,IF(8=$B$23,$B$12,5*(8-1)))*$B$13),NA())</f>
        <v>#N/A</v>
      </c>
      <c r="HR531" t="e">
        <f>IF(AND(8&lt;=$B$23,4&lt;=$B$24),$B$158+$B$156*((0*$B$5/2+(4-1)*($B$5/2)/$B$24)),NA())</f>
        <v>#N/A</v>
      </c>
      <c r="HS531" t="e">
        <f>IF(AND(22&lt;=$B$12,$B$51&gt;0),$B$157+$B$156*(((22-0.5)*$B$13)-($B$51*$B$13)/2),NA())</f>
        <v>#N/A</v>
      </c>
      <c r="HT531" t="e">
        <f>IF(AND(22&lt;=$B$12,$B$51&gt;0),$B$158+$B$156*((1*$B$5/2+$B$5/2-0.6*$B$159)),NA())</f>
        <v>#N/A</v>
      </c>
      <c r="KI531" t="e">
        <f>IF(AND($B$21=1,44*$B$67&gt;$B$59,44*$B$67&lt;$B$178-$B$59,OR($B$63=0,ABS(44*$B$67-$B$178/2)&gt;$B$59/2)),$B$182+$B$181*($B$177),NA())</f>
        <v>#N/A</v>
      </c>
      <c r="KJ531" t="e">
        <f>IF(AND($B$21=1,44*$B$67&gt;$B$59,44*$B$67&lt;$B$178-$B$59,OR($B$63=0,ABS(44*$B$67-$B$178/2)&gt;$B$59/2)),$B$183+$B$181*(44*$B$67),NA())</f>
        <v>#N/A</v>
      </c>
    </row>
    <row r="532">
      <c r="K532" t="e">
        <f>NA()</f>
        <v>#N/A</v>
      </c>
      <c r="L532" t="e">
        <f>NA()</f>
        <v>#N/A</v>
      </c>
      <c r="GI532" t="e">
        <f>IF(AND(AND($B$21=1,(36*$B$66)&lt;IF($B$63=1,$B$10-0.2,$B$62)),(36*$B$66)&gt;=$B$104),$B$151+$B$150*(MAX(IF((36*$B$66)&lt;=$B$9,0,((36*$B$66)-$B$9)/$B$8),MIN(($B$5-IF((36*$B$66)&lt;=$B$9,0,((36*$B$66)-$B$9)/$B$8)),$B$106))),NA())</f>
        <v>#N/A</v>
      </c>
      <c r="GJ532" t="e">
        <f>IF(AND(AND($B$21=1,(36*$B$66)&lt;IF($B$63=1,$B$10-0.2,$B$62)),(36*$B$66)&gt;=$B$104),$B$152+$B$150*((36*$B$66)),NA())</f>
        <v>#N/A</v>
      </c>
      <c r="HQ532" t="e">
        <f>NA()</f>
        <v>#N/A</v>
      </c>
      <c r="HR532" t="e">
        <f>NA()</f>
        <v>#N/A</v>
      </c>
      <c r="HS532" t="e">
        <f>NA()</f>
        <v>#N/A</v>
      </c>
      <c r="HT532" t="e">
        <f>NA()</f>
        <v>#N/A</v>
      </c>
      <c r="KI532" t="e">
        <f>NA()</f>
        <v>#N/A</v>
      </c>
      <c r="KJ532" t="e">
        <f>NA()</f>
        <v>#N/A</v>
      </c>
    </row>
    <row r="533">
      <c r="K533" t="e">
        <f>IF(29&lt;=$B$12,$B$133+$B$132*($B$13*29-$B$27/2),NA())</f>
        <v>#N/A</v>
      </c>
      <c r="L533" t="e">
        <f>IF(29&lt;=$B$12,$B$134+$B$132*($B$5-$B$27/2),NA())</f>
        <v>#N/A</v>
      </c>
      <c r="GI533" t="e">
        <f>IF(AND($B$21=1,(36*$B$66)&lt;IF($B$63=1,$B$10-0.2,$B$62)),$B$151+$B$150*(MAX(IF((36*$B$66)&lt;=$B$9,0,((36*$B$66)-$B$9)/$B$8),MIN(($B$5-IF((36*$B$66)&lt;=$B$9,0,((36*$B$66)-$B$9)/$B$8)),IF((36*$B$66)&lt;$B$104,$B$108,$B$106)))),NA())</f>
        <v>#N/A</v>
      </c>
      <c r="GJ533" t="e">
        <f>IF(AND($B$21=1,(36*$B$66)&lt;IF($B$63=1,$B$10-0.2,$B$62)),$B$152+$B$150*((36*$B$66)),NA())</f>
        <v>#N/A</v>
      </c>
      <c r="HQ533" t="e">
        <f>IF(AND(8&lt;=$B$23,5&lt;=$B$24),$B$157+$B$156*((IF(8=1,1,IF(8=$B$23,$B$12,5*(8-1)))-1)*$B$13),NA())</f>
        <v>#N/A</v>
      </c>
      <c r="HR533" t="e">
        <f>IF(AND(8&lt;=$B$23,5&lt;=$B$24),$B$158+$B$156*((0*$B$5/2+(5-1)*($B$5/2)/$B$24)),NA())</f>
        <v>#N/A</v>
      </c>
      <c r="HS533" t="e">
        <f>IF(AND(23&lt;=$B$12,$B$51&gt;0),$B$157+$B$156*(((23-0.5)*$B$13)-($B$51*$B$13)/2),NA())</f>
        <v>#N/A</v>
      </c>
      <c r="HT533" t="e">
        <f>IF(AND(23&lt;=$B$12,$B$51&gt;0),$B$158+$B$156*((0*$B$5/2+0.6*$B$159)),NA())</f>
        <v>#N/A</v>
      </c>
      <c r="KI533" t="e">
        <f>IF(AND($B$21=1,45*$B$67&gt;$B$59,45*$B$67&lt;$B$178-$B$59,OR($B$63=0,ABS(45*$B$67-$B$178/2)&gt;$B$59/2)),$B$182+$B$181*(0),NA())</f>
        <v>#N/A</v>
      </c>
      <c r="KJ533" t="e">
        <f>IF(AND($B$21=1,45*$B$67&gt;$B$59,45*$B$67&lt;$B$178-$B$59,OR($B$63=0,ABS(45*$B$67-$B$178/2)&gt;$B$59/2)),$B$183+$B$181*(45*$B$67),NA())</f>
        <v>#N/A</v>
      </c>
    </row>
    <row r="534">
      <c r="K534" t="e">
        <f>IF(29&lt;=$B$12,$B$133+$B$132*($B$13*29+$B$27/2),NA())</f>
        <v>#N/A</v>
      </c>
      <c r="L534" t="e">
        <f>IF(29&lt;=$B$12,$B$134+$B$132*($B$5-$B$27/2),NA())</f>
        <v>#N/A</v>
      </c>
      <c r="GI534" t="e">
        <f>IF(AND($B$21=1,(36*$B$66)&lt;IF($B$63=1,$B$10-0.2,$B$62)),$B$151+$B$150*(MAX(IF((36*$B$66)&lt;=$B$9,0,((36*$B$66)-$B$9)/$B$8),MIN(($B$5-IF((36*$B$66)&lt;=$B$9,0,((36*$B$66)-$B$9)/$B$8)),IF((36*$B$66)&lt;$B$111,$B$114,$B$113)))),NA())</f>
        <v>#N/A</v>
      </c>
      <c r="GJ534" t="e">
        <f>IF(AND($B$21=1,(36*$B$66)&lt;IF($B$63=1,$B$10-0.2,$B$62)),$B$152+$B$150*((36*$B$66)),NA())</f>
        <v>#N/A</v>
      </c>
      <c r="HQ534" t="e">
        <f>IF(AND(8&lt;=$B$23,5&lt;=$B$24),$B$157+$B$156*(IF(8=1,1,IF(8=$B$23,$B$12,5*(8-1)))*$B$13),NA())</f>
        <v>#N/A</v>
      </c>
      <c r="HR534" t="e">
        <f>IF(AND(8&lt;=$B$23,5&lt;=$B$24),$B$158+$B$156*((0*$B$5/2+5*($B$5/2)/$B$24)),NA())</f>
        <v>#N/A</v>
      </c>
      <c r="HS534" t="e">
        <f>IF(AND(23&lt;=$B$12,$B$51&gt;0),$B$157+$B$156*(((23-0.5)*$B$13)+($B$51*$B$13)/2),NA())</f>
        <v>#N/A</v>
      </c>
      <c r="HT534" t="e">
        <f>IF(AND(23&lt;=$B$12,$B$51&gt;0),$B$158+$B$156*((0*$B$5/2+0.6*$B$159)),NA())</f>
        <v>#N/A</v>
      </c>
      <c r="KI534" t="e">
        <f>IF(AND($B$21=1,45*$B$67&gt;$B$59,45*$B$67&lt;$B$178-$B$59,OR($B$63=0,ABS(45*$B$67-$B$178/2)&gt;$B$59/2)),$B$182+$B$181*($B$177*1/4-$B$60/2),NA())</f>
        <v>#N/A</v>
      </c>
      <c r="KJ534" t="e">
        <f>IF(AND($B$21=1,45*$B$67&gt;$B$59,45*$B$67&lt;$B$178-$B$59,OR($B$63=0,ABS(45*$B$67-$B$178/2)&gt;$B$59/2)),$B$183+$B$181*(45*$B$67),NA())</f>
        <v>#N/A</v>
      </c>
    </row>
    <row r="535">
      <c r="K535" t="e">
        <f>IF(29&lt;=$B$12,$B$133+$B$132*($B$13*29+$B$27/2),NA())</f>
        <v>#N/A</v>
      </c>
      <c r="L535" t="e">
        <f>IF(29&lt;=$B$12,$B$134+$B$132*($B$5+$B$27/2),NA())</f>
        <v>#N/A</v>
      </c>
      <c r="GI535" t="e">
        <f>IF(AND(AND($B$21=1,(36*$B$66)&lt;IF($B$63=1,$B$10-0.2,$B$62)),(36*$B$66)&gt;=$B$111),$B$151+$B$150*(MAX(IF((36*$B$66)&lt;=$B$9,0,((36*$B$66)-$B$9)/$B$8),MIN(($B$5-IF((36*$B$66)&lt;=$B$9,0,((36*$B$66)-$B$9)/$B$8)),$B$113))),NA())</f>
        <v>#N/A</v>
      </c>
      <c r="GJ535" t="e">
        <f>IF(AND(AND($B$21=1,(36*$B$66)&lt;IF($B$63=1,$B$10-0.2,$B$62)),(36*$B$66)&gt;=$B$111),$B$152+$B$150*((36*$B$66)),NA())</f>
        <v>#N/A</v>
      </c>
      <c r="HQ535" t="e">
        <f>NA()</f>
        <v>#N/A</v>
      </c>
      <c r="HR535" t="e">
        <f>NA()</f>
        <v>#N/A</v>
      </c>
      <c r="HS535" t="e">
        <f>IF(AND(23&lt;=$B$12,$B$51&gt;0),$B$157+$B$156*(((23-0.5)*$B$13)+($B$51*$B$13)/2),NA())</f>
        <v>#N/A</v>
      </c>
      <c r="HT535" t="e">
        <f>IF(AND(23&lt;=$B$12,$B$51&gt;0),$B$158+$B$156*((0*$B$5/2+$B$5/2-0.6*$B$159)),NA())</f>
        <v>#N/A</v>
      </c>
      <c r="KI535" t="e">
        <f>NA()</f>
        <v>#N/A</v>
      </c>
      <c r="KJ535" t="e">
        <f>NA()</f>
        <v>#N/A</v>
      </c>
    </row>
    <row r="536">
      <c r="K536" t="e">
        <f>IF(29&lt;=$B$12,$B$133+$B$132*($B$13*29-$B$27/2),NA())</f>
        <v>#N/A</v>
      </c>
      <c r="L536" t="e">
        <f>IF(29&lt;=$B$12,$B$134+$B$132*($B$5+$B$27/2),NA())</f>
        <v>#N/A</v>
      </c>
      <c r="GI536" t="e">
        <f>IF(AND($B$21=1,(36*$B$66)&lt;IF($B$63=1,$B$10-0.2,$B$62)),$B$151+$B$150*(MAX(IF((36*$B$66)&lt;=$B$9,0,((36*$B$66)-$B$9)/$B$8),MIN(($B$5-IF((36*$B$66)&lt;=$B$9,0,((36*$B$66)-$B$9)/$B$8)),IF((36*$B$66)&lt;$B$111,$B$115,$B$113)))),NA())</f>
        <v>#N/A</v>
      </c>
      <c r="GJ536" t="e">
        <f>IF(AND($B$21=1,(36*$B$66)&lt;IF($B$63=1,$B$10-0.2,$B$62)),$B$152+$B$150*((36*$B$66)),NA())</f>
        <v>#N/A</v>
      </c>
      <c r="HQ536" t="e">
        <f>IF(AND(8&lt;=$B$23,5&lt;=$B$24),$B$157+$B$156*((IF(8=1,1,IF(8=$B$23,$B$12,5*(8-1)))-1)*$B$13),NA())</f>
        <v>#N/A</v>
      </c>
      <c r="HR536" t="e">
        <f>IF(AND(8&lt;=$B$23,5&lt;=$B$24),$B$158+$B$156*((0*$B$5/2+5*($B$5/2)/$B$24)),NA())</f>
        <v>#N/A</v>
      </c>
      <c r="HS536" t="e">
        <f>IF(AND(23&lt;=$B$12,$B$51&gt;0),$B$157+$B$156*(((23-0.5)*$B$13)-($B$51*$B$13)/2),NA())</f>
        <v>#N/A</v>
      </c>
      <c r="HT536" t="e">
        <f>IF(AND(23&lt;=$B$12,$B$51&gt;0),$B$158+$B$156*((0*$B$5/2+$B$5/2-0.6*$B$159)),NA())</f>
        <v>#N/A</v>
      </c>
      <c r="KI536" t="e">
        <f>IF(AND($B$21=1,45*$B$67&gt;$B$59,45*$B$67&lt;$B$178-$B$59,OR($B$63=0,ABS(45*$B$67-$B$178/2)&gt;$B$59/2)),$B$182+$B$181*($B$177*1/4+$B$60/2),NA())</f>
        <v>#N/A</v>
      </c>
      <c r="KJ536" t="e">
        <f>IF(AND($B$21=1,45*$B$67&gt;$B$59,45*$B$67&lt;$B$178-$B$59,OR($B$63=0,ABS(45*$B$67-$B$178/2)&gt;$B$59/2)),$B$183+$B$181*(45*$B$67),NA())</f>
        <v>#N/A</v>
      </c>
    </row>
    <row r="537">
      <c r="K537" t="e">
        <f>IF(29&lt;=$B$12,$B$133+$B$132*($B$13*29-$B$27/2),NA())</f>
        <v>#N/A</v>
      </c>
      <c r="L537" t="e">
        <f>IF(29&lt;=$B$12,$B$134+$B$132*($B$5-$B$27/2),NA())</f>
        <v>#N/A</v>
      </c>
      <c r="GI537" t="e">
        <f>IF(AND($B$21=1,(36*$B$66)&lt;IF($B$63=1,$B$10-0.2,$B$62)),$B$151+$B$150*(MAX(IF((36*$B$66)&lt;=$B$9,0,((36*$B$66)-$B$9)/$B$8),MIN(($B$5-IF((36*$B$66)&lt;=$B$9,0,((36*$B$66)-$B$9)/$B$8)),IF((36*$B$66)&lt;$B$118,$B$121,$B$120)))),NA())</f>
        <v>#N/A</v>
      </c>
      <c r="GJ537" t="e">
        <f>IF(AND($B$21=1,(36*$B$66)&lt;IF($B$63=1,$B$10-0.2,$B$62)),$B$152+$B$150*((36*$B$66)),NA())</f>
        <v>#N/A</v>
      </c>
      <c r="HQ537" t="e">
        <f>IF(AND(8&lt;=$B$23,5&lt;=$B$24),$B$157+$B$156*(IF(8=1,1,IF(8=$B$23,$B$12,5*(8-1)))*$B$13),NA())</f>
        <v>#N/A</v>
      </c>
      <c r="HR537" t="e">
        <f>IF(AND(8&lt;=$B$23,5&lt;=$B$24),$B$158+$B$156*((0*$B$5/2+(5-1)*($B$5/2)/$B$24)),NA())</f>
        <v>#N/A</v>
      </c>
      <c r="HS537" t="e">
        <f>IF(AND(23&lt;=$B$12,$B$51&gt;0),$B$157+$B$156*(((23-0.5)*$B$13)-($B$51*$B$13)/2),NA())</f>
        <v>#N/A</v>
      </c>
      <c r="HT537" t="e">
        <f>IF(AND(23&lt;=$B$12,$B$51&gt;0),$B$158+$B$156*((0*$B$5/2+0.6*$B$159)),NA())</f>
        <v>#N/A</v>
      </c>
      <c r="KI537" t="e">
        <f>IF(AND($B$21=1,45*$B$67&gt;$B$59,45*$B$67&lt;$B$178-$B$59,OR($B$63=0,ABS(45*$B$67-$B$178/2)&gt;$B$59/2)),$B$182+$B$181*($B$177*2/4-$B$60/2),NA())</f>
        <v>#N/A</v>
      </c>
      <c r="KJ537" t="e">
        <f>IF(AND($B$21=1,45*$B$67&gt;$B$59,45*$B$67&lt;$B$178-$B$59,OR($B$63=0,ABS(45*$B$67-$B$178/2)&gt;$B$59/2)),$B$183+$B$181*(45*$B$67),NA())</f>
        <v>#N/A</v>
      </c>
    </row>
    <row r="538">
      <c r="K538" t="e">
        <f>NA()</f>
        <v>#N/A</v>
      </c>
      <c r="L538" t="e">
        <f>NA()</f>
        <v>#N/A</v>
      </c>
      <c r="GI538" t="e">
        <f>IF(AND(AND($B$21=1,(36*$B$66)&lt;IF($B$63=1,$B$10-0.2,$B$62)),(36*$B$66)&gt;=$B$118),$B$151+$B$150*(MAX(IF((36*$B$66)&lt;=$B$9,0,((36*$B$66)-$B$9)/$B$8),MIN(($B$5-IF((36*$B$66)&lt;=$B$9,0,((36*$B$66)-$B$9)/$B$8)),$B$120))),NA())</f>
        <v>#N/A</v>
      </c>
      <c r="GJ538" t="e">
        <f>IF(AND(AND($B$21=1,(36*$B$66)&lt;IF($B$63=1,$B$10-0.2,$B$62)),(36*$B$66)&gt;=$B$118),$B$152+$B$150*((36*$B$66)),NA())</f>
        <v>#N/A</v>
      </c>
      <c r="HQ538" t="e">
        <f>NA()</f>
        <v>#N/A</v>
      </c>
      <c r="HR538" t="e">
        <f>NA()</f>
        <v>#N/A</v>
      </c>
      <c r="HS538" t="e">
        <f>NA()</f>
        <v>#N/A</v>
      </c>
      <c r="HT538" t="e">
        <f>NA()</f>
        <v>#N/A</v>
      </c>
      <c r="KI538" t="e">
        <f>NA()</f>
        <v>#N/A</v>
      </c>
      <c r="KJ538" t="e">
        <f>NA()</f>
        <v>#N/A</v>
      </c>
    </row>
    <row r="539">
      <c r="K539" t="e">
        <f>IF(AND(29&lt;=$B$12,$B$45=1),$B$133+$B$132*($B$13*29-$B$27/2),NA())</f>
        <v>#N/A</v>
      </c>
      <c r="L539" t="e">
        <f>IF(AND(29&lt;=$B$12,$B$45=1),$B$134+$B$132*($B$5/2-$B$27/2),NA())</f>
        <v>#N/A</v>
      </c>
      <c r="GI539" t="e">
        <f>IF(AND($B$21=1,(36*$B$66)&lt;IF($B$63=1,$B$10-0.2,$B$62)),$B$151+$B$150*(MAX(IF((36*$B$66)&lt;=$B$9,0,((36*$B$66)-$B$9)/$B$8),MIN(($B$5-IF((36*$B$66)&lt;=$B$9,0,((36*$B$66)-$B$9)/$B$8)),IF((36*$B$66)&lt;$B$118,$B$122,$B$120)))),NA())</f>
        <v>#N/A</v>
      </c>
      <c r="GJ539" t="e">
        <f>IF(AND($B$21=1,(36*$B$66)&lt;IF($B$63=1,$B$10-0.2,$B$62)),$B$152+$B$150*((36*$B$66)),NA())</f>
        <v>#N/A</v>
      </c>
      <c r="HQ539" t="e">
        <f>IF(AND(8&lt;=$B$23,6&lt;=$B$24),$B$157+$B$156*((IF(8=1,1,IF(8=$B$23,$B$12,5*(8-1)))-1)*$B$13),NA())</f>
        <v>#N/A</v>
      </c>
      <c r="HR539" t="e">
        <f>IF(AND(8&lt;=$B$23,6&lt;=$B$24),$B$158+$B$156*((0*$B$5/2+(6-1)*($B$5/2)/$B$24)),NA())</f>
        <v>#N/A</v>
      </c>
      <c r="HS539" t="e">
        <f>IF(AND(23&lt;=$B$12,$B$51&gt;0),$B$157+$B$156*(((23-0.5)*$B$13)-($B$51*$B$13)/2),NA())</f>
        <v>#N/A</v>
      </c>
      <c r="HT539" t="e">
        <f>IF(AND(23&lt;=$B$12,$B$51&gt;0),$B$158+$B$156*((0*$B$5/2+0.6*$B$159)),NA())</f>
        <v>#N/A</v>
      </c>
      <c r="KI539" t="e">
        <f>IF(AND($B$21=1,45*$B$67&gt;$B$59,45*$B$67&lt;$B$178-$B$59,OR($B$63=0,ABS(45*$B$67-$B$178/2)&gt;$B$59/2)),$B$182+$B$181*($B$177*2/4+$B$60/2),NA())</f>
        <v>#N/A</v>
      </c>
      <c r="KJ539" t="e">
        <f>IF(AND($B$21=1,45*$B$67&gt;$B$59,45*$B$67&lt;$B$178-$B$59,OR($B$63=0,ABS(45*$B$67-$B$178/2)&gt;$B$59/2)),$B$183+$B$181*(45*$B$67),NA())</f>
        <v>#N/A</v>
      </c>
    </row>
    <row r="540">
      <c r="K540" t="e">
        <f>IF(AND(29&lt;=$B$12,$B$45=1),$B$133+$B$132*($B$13*29+$B$27/2),NA())</f>
        <v>#N/A</v>
      </c>
      <c r="L540" t="e">
        <f>IF(AND(29&lt;=$B$12,$B$45=1),$B$134+$B$132*($B$5/2-$B$27/2),NA())</f>
        <v>#N/A</v>
      </c>
      <c r="GI540" t="e">
        <f>IF(AND($B$21=1,(36*$B$66)&lt;IF($B$63=1,$B$10-0.2,$B$62)),$B$151+$B$150*(MAX(IF((36*$B$66)&lt;=$B$9,0,((36*$B$66)-$B$9)/$B$8),MIN(($B$5-IF((36*$B$66)&lt;=$B$9,0,((36*$B$66)-$B$9)/$B$8)),IF((36*$B$66)&lt;$B$125,$B$128,$B$127)))),NA())</f>
        <v>#N/A</v>
      </c>
      <c r="GJ540" t="e">
        <f>IF(AND($B$21=1,(36*$B$66)&lt;IF($B$63=1,$B$10-0.2,$B$62)),$B$152+$B$150*((36*$B$66)),NA())</f>
        <v>#N/A</v>
      </c>
      <c r="HQ540" t="e">
        <f>IF(AND(8&lt;=$B$23,6&lt;=$B$24),$B$157+$B$156*(IF(8=1,1,IF(8=$B$23,$B$12,5*(8-1)))*$B$13),NA())</f>
        <v>#N/A</v>
      </c>
      <c r="HR540" t="e">
        <f>IF(AND(8&lt;=$B$23,6&lt;=$B$24),$B$158+$B$156*((0*$B$5/2+6*($B$5/2)/$B$24)),NA())</f>
        <v>#N/A</v>
      </c>
      <c r="HS540" t="e">
        <f>IF(AND(23&lt;=$B$12,$B$51&gt;0),$B$157+$B$156*(((23-0.5)*$B$13)+($B$51*$B$13)/2),NA())</f>
        <v>#N/A</v>
      </c>
      <c r="HT540" t="e">
        <f>IF(AND(23&lt;=$B$12,$B$51&gt;0),$B$158+$B$156*((0*$B$5/2+0.6*$B$159)+(((0*$B$5/2+$B$5/2-0.6*$B$159))-((0*$B$5/2+0.6*$B$159)))/4),NA())</f>
        <v>#N/A</v>
      </c>
      <c r="KI540" t="e">
        <f>IF(AND($B$21=1,45*$B$67&gt;$B$59,45*$B$67&lt;$B$178-$B$59,OR($B$63=0,ABS(45*$B$67-$B$178/2)&gt;$B$59/2)),$B$182+$B$181*($B$177*3/4-$B$60/2),NA())</f>
        <v>#N/A</v>
      </c>
      <c r="KJ540" t="e">
        <f>IF(AND($B$21=1,45*$B$67&gt;$B$59,45*$B$67&lt;$B$178-$B$59,OR($B$63=0,ABS(45*$B$67-$B$178/2)&gt;$B$59/2)),$B$183+$B$181*(45*$B$67),NA())</f>
        <v>#N/A</v>
      </c>
    </row>
    <row r="541">
      <c r="K541" t="e">
        <f>IF(AND(29&lt;=$B$12,$B$45=1),$B$133+$B$132*($B$13*29+$B$27/2),NA())</f>
        <v>#N/A</v>
      </c>
      <c r="L541" t="e">
        <f>IF(AND(29&lt;=$B$12,$B$45=1),$B$134+$B$132*($B$5/2+$B$27/2),NA())</f>
        <v>#N/A</v>
      </c>
      <c r="GI541" t="e">
        <f>IF(AND(AND($B$21=1,(36*$B$66)&lt;IF($B$63=1,$B$10-0.2,$B$62)),(36*$B$66)&gt;=$B$125),$B$151+$B$150*(MAX(IF((36*$B$66)&lt;=$B$9,0,((36*$B$66)-$B$9)/$B$8),MIN(($B$5-IF((36*$B$66)&lt;=$B$9,0,((36*$B$66)-$B$9)/$B$8)),$B$127))),NA())</f>
        <v>#N/A</v>
      </c>
      <c r="GJ541" t="e">
        <f>IF(AND(AND($B$21=1,(36*$B$66)&lt;IF($B$63=1,$B$10-0.2,$B$62)),(36*$B$66)&gt;=$B$125),$B$152+$B$150*((36*$B$66)),NA())</f>
        <v>#N/A</v>
      </c>
      <c r="HQ541" t="e">
        <f>NA()</f>
        <v>#N/A</v>
      </c>
      <c r="HR541" t="e">
        <f>NA()</f>
        <v>#N/A</v>
      </c>
      <c r="HS541" t="e">
        <f>IF(AND(23&lt;=$B$12,$B$51&gt;0),$B$157+$B$156*(((23-0.5)*$B$13)-($B$51*$B$13)/2),NA())</f>
        <v>#N/A</v>
      </c>
      <c r="HT541" t="e">
        <f>IF(AND(23&lt;=$B$12,$B$51&gt;0),$B$158+$B$156*((0*$B$5/2+0.6*$B$159)+(((0*$B$5/2+$B$5/2-0.6*$B$159))-((0*$B$5/2+0.6*$B$159)))/2),NA())</f>
        <v>#N/A</v>
      </c>
      <c r="KI541" t="e">
        <f>NA()</f>
        <v>#N/A</v>
      </c>
      <c r="KJ541" t="e">
        <f>NA()</f>
        <v>#N/A</v>
      </c>
    </row>
    <row r="542">
      <c r="K542" t="e">
        <f>IF(AND(29&lt;=$B$12,$B$45=1),$B$133+$B$132*($B$13*29-$B$27/2),NA())</f>
        <v>#N/A</v>
      </c>
      <c r="L542" t="e">
        <f>IF(AND(29&lt;=$B$12,$B$45=1),$B$134+$B$132*($B$5/2+$B$27/2),NA())</f>
        <v>#N/A</v>
      </c>
      <c r="GI542" t="e">
        <f>IF(AND($B$21=1,(36*$B$66)&lt;IF($B$63=1,$B$10-0.2,$B$62)),$B$151+$B$150*(MAX(IF((36*$B$66)&lt;=$B$9,0,((36*$B$66)-$B$9)/$B$8),MIN(($B$5-IF((36*$B$66)&lt;=$B$9,0,((36*$B$66)-$B$9)/$B$8)),IF((36*$B$66)&lt;$B$125,$B$129,$B$127)))),NA())</f>
        <v>#N/A</v>
      </c>
      <c r="GJ542" t="e">
        <f>IF(AND($B$21=1,(36*$B$66)&lt;IF($B$63=1,$B$10-0.2,$B$62)),$B$152+$B$150*((36*$B$66)),NA())</f>
        <v>#N/A</v>
      </c>
      <c r="HQ542" t="e">
        <f>IF(AND(8&lt;=$B$23,6&lt;=$B$24),$B$157+$B$156*((IF(8=1,1,IF(8=$B$23,$B$12,5*(8-1)))-1)*$B$13),NA())</f>
        <v>#N/A</v>
      </c>
      <c r="HR542" t="e">
        <f>IF(AND(8&lt;=$B$23,6&lt;=$B$24),$B$158+$B$156*((0*$B$5/2+6*($B$5/2)/$B$24)),NA())</f>
        <v>#N/A</v>
      </c>
      <c r="HS542" t="e">
        <f>IF(AND(23&lt;=$B$12,$B$51&gt;0),$B$157+$B$156*(((23-0.5)*$B$13)+($B$51*$B$13)/2),NA())</f>
        <v>#N/A</v>
      </c>
      <c r="HT542" t="e">
        <f>IF(AND(23&lt;=$B$12,$B$51&gt;0),$B$158+$B$156*((0*$B$5/2+0.6*$B$159)+3*(((0*$B$5/2+$B$5/2-0.6*$B$159))-((0*$B$5/2+0.6*$B$159)))/4),NA())</f>
        <v>#N/A</v>
      </c>
      <c r="KI542" t="e">
        <f>IF(AND($B$21=1,45*$B$67&gt;$B$59,45*$B$67&lt;$B$178-$B$59,OR($B$63=0,ABS(45*$B$67-$B$178/2)&gt;$B$59/2)),$B$182+$B$181*($B$177*3/4+$B$60/2),NA())</f>
        <v>#N/A</v>
      </c>
      <c r="KJ542" t="e">
        <f>IF(AND($B$21=1,45*$B$67&gt;$B$59,45*$B$67&lt;$B$178-$B$59,OR($B$63=0,ABS(45*$B$67-$B$178/2)&gt;$B$59/2)),$B$183+$B$181*(45*$B$67),NA())</f>
        <v>#N/A</v>
      </c>
    </row>
    <row r="543">
      <c r="K543" t="e">
        <f>IF(AND(29&lt;=$B$12,$B$45=1),$B$133+$B$132*($B$13*29-$B$27/2),NA())</f>
        <v>#N/A</v>
      </c>
      <c r="L543" t="e">
        <f>IF(AND(29&lt;=$B$12,$B$45=1),$B$134+$B$132*($B$5/2-$B$27/2),NA())</f>
        <v>#N/A</v>
      </c>
      <c r="GI543" t="e">
        <f>IF(AND($B$21=1,(36*$B$66)&lt;IF($B$63=1,$B$10-0.2,$B$62)),$B$151+$B$150*(($B$5-IF((36*$B$66)&lt;=$B$9,0,((36*$B$66)-$B$9)/$B$8))),NA())</f>
        <v>#N/A</v>
      </c>
      <c r="GJ543" t="e">
        <f>IF(AND($B$21=1,(36*$B$66)&lt;IF($B$63=1,$B$10-0.2,$B$62)),$B$152+$B$150*((36*$B$66)),NA())</f>
        <v>#N/A</v>
      </c>
      <c r="HQ543" t="e">
        <f>IF(AND(8&lt;=$B$23,6&lt;=$B$24),$B$157+$B$156*(IF(8=1,1,IF(8=$B$23,$B$12,5*(8-1)))*$B$13),NA())</f>
        <v>#N/A</v>
      </c>
      <c r="HR543" t="e">
        <f>IF(AND(8&lt;=$B$23,6&lt;=$B$24),$B$158+$B$156*((0*$B$5/2+(6-1)*($B$5/2)/$B$24)),NA())</f>
        <v>#N/A</v>
      </c>
      <c r="HS543" t="e">
        <f>IF(AND(23&lt;=$B$12,$B$51&gt;0),$B$157+$B$156*(((23-0.5)*$B$13)-($B$51*$B$13)/2),NA())</f>
        <v>#N/A</v>
      </c>
      <c r="HT543" t="e">
        <f>IF(AND(23&lt;=$B$12,$B$51&gt;0),$B$158+$B$156*((0*$B$5/2+$B$5/2-0.6*$B$159)),NA())</f>
        <v>#N/A</v>
      </c>
      <c r="KI543" t="e">
        <f>IF(AND($B$21=1,45*$B$67&gt;$B$59,45*$B$67&lt;$B$178-$B$59,OR($B$63=0,ABS(45*$B$67-$B$178/2)&gt;$B$59/2)),$B$182+$B$181*($B$177),NA())</f>
        <v>#N/A</v>
      </c>
      <c r="KJ543" t="e">
        <f>IF(AND($B$21=1,45*$B$67&gt;$B$59,45*$B$67&lt;$B$178-$B$59,OR($B$63=0,ABS(45*$B$67-$B$178/2)&gt;$B$59/2)),$B$183+$B$181*(45*$B$67),NA())</f>
        <v>#N/A</v>
      </c>
    </row>
    <row r="544">
      <c r="K544" t="e">
        <f>NA()</f>
        <v>#N/A</v>
      </c>
      <c r="L544" t="e">
        <f>NA()</f>
        <v>#N/A</v>
      </c>
      <c r="GI544" t="e">
        <f>NA()</f>
        <v>#N/A</v>
      </c>
      <c r="GJ544" t="e">
        <f>NA()</f>
        <v>#N/A</v>
      </c>
      <c r="HQ544" t="e">
        <f>NA()</f>
        <v>#N/A</v>
      </c>
      <c r="HR544" t="e">
        <f>NA()</f>
        <v>#N/A</v>
      </c>
      <c r="HS544" t="e">
        <f>NA()</f>
        <v>#N/A</v>
      </c>
      <c r="HT544" t="e">
        <f>NA()</f>
        <v>#N/A</v>
      </c>
      <c r="KI544" t="e">
        <f>NA()</f>
        <v>#N/A</v>
      </c>
      <c r="KJ544" t="e">
        <f>NA()</f>
        <v>#N/A</v>
      </c>
    </row>
    <row r="545">
      <c r="K545" t="e">
        <f>IF(30&lt;=$B$12,$B$133+$B$132*($B$13*30-$B$27/2),NA())</f>
        <v>#N/A</v>
      </c>
      <c r="L545" t="e">
        <f>IF(30&lt;=$B$12,$B$134+$B$132*(0-$B$27/2),NA())</f>
        <v>#N/A</v>
      </c>
      <c r="GI545" t="e">
        <f>IF(AND($B$21=1,(37*$B$66)&lt;IF($B$63=1,$B$10-0.2,$B$62)),$B$151+$B$150*(IF((37*$B$66)&lt;=$B$9,0,((37*$B$66)-$B$9)/$B$8)),NA())</f>
        <v>#N/A</v>
      </c>
      <c r="GJ545" t="e">
        <f>IF(AND($B$21=1,(37*$B$66)&lt;IF($B$63=1,$B$10-0.2,$B$62)),$B$152+$B$150*((37*$B$66)),NA())</f>
        <v>#N/A</v>
      </c>
      <c r="HQ545" t="e">
        <f>IF(AND(8&lt;=$B$23,1&lt;=$B$24),$B$157+$B$156*((IF(8=1,1,IF(8=$B$23,$B$12,5*(8-1)))-1)*$B$13),NA())</f>
        <v>#N/A</v>
      </c>
      <c r="HR545" t="e">
        <f>IF(AND(8&lt;=$B$23,1&lt;=$B$24),$B$158+$B$156*((1*$B$5/2+(1-1)*($B$5/2)/$B$24)),NA())</f>
        <v>#N/A</v>
      </c>
      <c r="HS545" t="e">
        <f>IF(AND(23&lt;=$B$12,$B$51&gt;0),$B$157+$B$156*(((23-0.5)*$B$13)-($B$51*$B$13)/2),NA())</f>
        <v>#N/A</v>
      </c>
      <c r="HT545" t="e">
        <f>IF(AND(23&lt;=$B$12,$B$51&gt;0),$B$158+$B$156*((1*$B$5/2+0.6*$B$159)),NA())</f>
        <v>#N/A</v>
      </c>
      <c r="KI545" t="e">
        <f>IF(AND($B$21=1,46*$B$67&gt;$B$59,46*$B$67&lt;$B$178-$B$59,OR($B$63=0,ABS(46*$B$67-$B$178/2)&gt;$B$59/2)),$B$182+$B$181*(0),NA())</f>
        <v>#N/A</v>
      </c>
      <c r="KJ545" t="e">
        <f>IF(AND($B$21=1,46*$B$67&gt;$B$59,46*$B$67&lt;$B$178-$B$59,OR($B$63=0,ABS(46*$B$67-$B$178/2)&gt;$B$59/2)),$B$183+$B$181*(46*$B$67),NA())</f>
        <v>#N/A</v>
      </c>
    </row>
    <row r="546">
      <c r="K546" t="e">
        <f>IF(30&lt;=$B$12,$B$133+$B$132*($B$13*30+$B$27/2),NA())</f>
        <v>#N/A</v>
      </c>
      <c r="L546" t="e">
        <f>IF(30&lt;=$B$12,$B$134+$B$132*(0-$B$27/2),NA())</f>
        <v>#N/A</v>
      </c>
      <c r="GI546" t="e">
        <f>IF(AND($B$21=1,(37*$B$66)&lt;IF($B$63=1,$B$10-0.2,$B$62)),$B$151+$B$150*(MAX(IF((37*$B$66)&lt;=$B$9,0,((37*$B$66)-$B$9)/$B$8),MIN(($B$5-IF((37*$B$66)&lt;=$B$9,0,((37*$B$66)-$B$9)/$B$8)),IF((37*$B$66)&lt;$B$104,$B$107,$B$106)))),NA())</f>
        <v>#N/A</v>
      </c>
      <c r="GJ546" t="e">
        <f>IF(AND($B$21=1,(37*$B$66)&lt;IF($B$63=1,$B$10-0.2,$B$62)),$B$152+$B$150*((37*$B$66)),NA())</f>
        <v>#N/A</v>
      </c>
      <c r="HQ546" t="e">
        <f>IF(AND(8&lt;=$B$23,1&lt;=$B$24),$B$157+$B$156*(IF(8=1,1,IF(8=$B$23,$B$12,5*(8-1)))*$B$13),NA())</f>
        <v>#N/A</v>
      </c>
      <c r="HR546" t="e">
        <f>IF(AND(8&lt;=$B$23,1&lt;=$B$24),$B$158+$B$156*((1*$B$5/2+1*($B$5/2)/$B$24)),NA())</f>
        <v>#N/A</v>
      </c>
      <c r="HS546" t="e">
        <f>IF(AND(23&lt;=$B$12,$B$51&gt;0),$B$157+$B$156*(((23-0.5)*$B$13)+($B$51*$B$13)/2),NA())</f>
        <v>#N/A</v>
      </c>
      <c r="HT546" t="e">
        <f>IF(AND(23&lt;=$B$12,$B$51&gt;0),$B$158+$B$156*((1*$B$5/2+0.6*$B$159)),NA())</f>
        <v>#N/A</v>
      </c>
      <c r="KI546" t="e">
        <f>IF(AND($B$21=1,46*$B$67&gt;$B$59,46*$B$67&lt;$B$178-$B$59,OR($B$63=0,ABS(46*$B$67-$B$178/2)&gt;$B$59/2)),$B$182+$B$181*($B$177*1/4-$B$60/2),NA())</f>
        <v>#N/A</v>
      </c>
      <c r="KJ546" t="e">
        <f>IF(AND($B$21=1,46*$B$67&gt;$B$59,46*$B$67&lt;$B$178-$B$59,OR($B$63=0,ABS(46*$B$67-$B$178/2)&gt;$B$59/2)),$B$183+$B$181*(46*$B$67),NA())</f>
        <v>#N/A</v>
      </c>
    </row>
    <row r="547">
      <c r="K547" t="e">
        <f>IF(30&lt;=$B$12,$B$133+$B$132*($B$13*30+$B$27/2),NA())</f>
        <v>#N/A</v>
      </c>
      <c r="L547" t="e">
        <f>IF(30&lt;=$B$12,$B$134+$B$132*(0+$B$27/2),NA())</f>
        <v>#N/A</v>
      </c>
      <c r="GI547" t="e">
        <f>IF(AND(AND($B$21=1,(37*$B$66)&lt;IF($B$63=1,$B$10-0.2,$B$62)),(37*$B$66)&gt;=$B$104),$B$151+$B$150*(MAX(IF((37*$B$66)&lt;=$B$9,0,((37*$B$66)-$B$9)/$B$8),MIN(($B$5-IF((37*$B$66)&lt;=$B$9,0,((37*$B$66)-$B$9)/$B$8)),$B$106))),NA())</f>
        <v>#N/A</v>
      </c>
      <c r="GJ547" t="e">
        <f>IF(AND(AND($B$21=1,(37*$B$66)&lt;IF($B$63=1,$B$10-0.2,$B$62)),(37*$B$66)&gt;=$B$104),$B$152+$B$150*((37*$B$66)),NA())</f>
        <v>#N/A</v>
      </c>
      <c r="HQ547" t="e">
        <f>NA()</f>
        <v>#N/A</v>
      </c>
      <c r="HR547" t="e">
        <f>NA()</f>
        <v>#N/A</v>
      </c>
      <c r="HS547" t="e">
        <f>IF(AND(23&lt;=$B$12,$B$51&gt;0),$B$157+$B$156*(((23-0.5)*$B$13)+($B$51*$B$13)/2),NA())</f>
        <v>#N/A</v>
      </c>
      <c r="HT547" t="e">
        <f>IF(AND(23&lt;=$B$12,$B$51&gt;0),$B$158+$B$156*((1*$B$5/2+$B$5/2-0.6*$B$159)),NA())</f>
        <v>#N/A</v>
      </c>
      <c r="KI547" t="e">
        <f>NA()</f>
        <v>#N/A</v>
      </c>
      <c r="KJ547" t="e">
        <f>NA()</f>
        <v>#N/A</v>
      </c>
    </row>
    <row r="548">
      <c r="K548" t="e">
        <f>IF(30&lt;=$B$12,$B$133+$B$132*($B$13*30-$B$27/2),NA())</f>
        <v>#N/A</v>
      </c>
      <c r="L548" t="e">
        <f>IF(30&lt;=$B$12,$B$134+$B$132*(0+$B$27/2),NA())</f>
        <v>#N/A</v>
      </c>
      <c r="GI548" t="e">
        <f>IF(AND($B$21=1,(37*$B$66)&lt;IF($B$63=1,$B$10-0.2,$B$62)),$B$151+$B$150*(MAX(IF((37*$B$66)&lt;=$B$9,0,((37*$B$66)-$B$9)/$B$8),MIN(($B$5-IF((37*$B$66)&lt;=$B$9,0,((37*$B$66)-$B$9)/$B$8)),IF((37*$B$66)&lt;$B$104,$B$108,$B$106)))),NA())</f>
        <v>#N/A</v>
      </c>
      <c r="GJ548" t="e">
        <f>IF(AND($B$21=1,(37*$B$66)&lt;IF($B$63=1,$B$10-0.2,$B$62)),$B$152+$B$150*((37*$B$66)),NA())</f>
        <v>#N/A</v>
      </c>
      <c r="HQ548" t="e">
        <f>IF(AND(8&lt;=$B$23,1&lt;=$B$24),$B$157+$B$156*((IF(8=1,1,IF(8=$B$23,$B$12,5*(8-1)))-1)*$B$13),NA())</f>
        <v>#N/A</v>
      </c>
      <c r="HR548" t="e">
        <f>IF(AND(8&lt;=$B$23,1&lt;=$B$24),$B$158+$B$156*((1*$B$5/2+1*($B$5/2)/$B$24)),NA())</f>
        <v>#N/A</v>
      </c>
      <c r="HS548" t="e">
        <f>IF(AND(23&lt;=$B$12,$B$51&gt;0),$B$157+$B$156*(((23-0.5)*$B$13)-($B$51*$B$13)/2),NA())</f>
        <v>#N/A</v>
      </c>
      <c r="HT548" t="e">
        <f>IF(AND(23&lt;=$B$12,$B$51&gt;0),$B$158+$B$156*((1*$B$5/2+$B$5/2-0.6*$B$159)),NA())</f>
        <v>#N/A</v>
      </c>
      <c r="KI548" t="e">
        <f>IF(AND($B$21=1,46*$B$67&gt;$B$59,46*$B$67&lt;$B$178-$B$59,OR($B$63=0,ABS(46*$B$67-$B$178/2)&gt;$B$59/2)),$B$182+$B$181*($B$177*1/4+$B$60/2),NA())</f>
        <v>#N/A</v>
      </c>
      <c r="KJ548" t="e">
        <f>IF(AND($B$21=1,46*$B$67&gt;$B$59,46*$B$67&lt;$B$178-$B$59,OR($B$63=0,ABS(46*$B$67-$B$178/2)&gt;$B$59/2)),$B$183+$B$181*(46*$B$67),NA())</f>
        <v>#N/A</v>
      </c>
    </row>
    <row r="549">
      <c r="K549" t="e">
        <f>IF(30&lt;=$B$12,$B$133+$B$132*($B$13*30-$B$27/2),NA())</f>
        <v>#N/A</v>
      </c>
      <c r="L549" t="e">
        <f>IF(30&lt;=$B$12,$B$134+$B$132*(0-$B$27/2),NA())</f>
        <v>#N/A</v>
      </c>
      <c r="GI549" t="e">
        <f>IF(AND($B$21=1,(37*$B$66)&lt;IF($B$63=1,$B$10-0.2,$B$62)),$B$151+$B$150*(MAX(IF((37*$B$66)&lt;=$B$9,0,((37*$B$66)-$B$9)/$B$8),MIN(($B$5-IF((37*$B$66)&lt;=$B$9,0,((37*$B$66)-$B$9)/$B$8)),IF((37*$B$66)&lt;$B$111,$B$114,$B$113)))),NA())</f>
        <v>#N/A</v>
      </c>
      <c r="GJ549" t="e">
        <f>IF(AND($B$21=1,(37*$B$66)&lt;IF($B$63=1,$B$10-0.2,$B$62)),$B$152+$B$150*((37*$B$66)),NA())</f>
        <v>#N/A</v>
      </c>
      <c r="HQ549" t="e">
        <f>IF(AND(8&lt;=$B$23,1&lt;=$B$24),$B$157+$B$156*(IF(8=1,1,IF(8=$B$23,$B$12,5*(8-1)))*$B$13),NA())</f>
        <v>#N/A</v>
      </c>
      <c r="HR549" t="e">
        <f>IF(AND(8&lt;=$B$23,1&lt;=$B$24),$B$158+$B$156*((1*$B$5/2+(1-1)*($B$5/2)/$B$24)),NA())</f>
        <v>#N/A</v>
      </c>
      <c r="HS549" t="e">
        <f>IF(AND(23&lt;=$B$12,$B$51&gt;0),$B$157+$B$156*(((23-0.5)*$B$13)-($B$51*$B$13)/2),NA())</f>
        <v>#N/A</v>
      </c>
      <c r="HT549" t="e">
        <f>IF(AND(23&lt;=$B$12,$B$51&gt;0),$B$158+$B$156*((1*$B$5/2+0.6*$B$159)),NA())</f>
        <v>#N/A</v>
      </c>
      <c r="KI549" t="e">
        <f>IF(AND($B$21=1,46*$B$67&gt;$B$59,46*$B$67&lt;$B$178-$B$59,OR($B$63=0,ABS(46*$B$67-$B$178/2)&gt;$B$59/2)),$B$182+$B$181*($B$177*2/4-$B$60/2),NA())</f>
        <v>#N/A</v>
      </c>
      <c r="KJ549" t="e">
        <f>IF(AND($B$21=1,46*$B$67&gt;$B$59,46*$B$67&lt;$B$178-$B$59,OR($B$63=0,ABS(46*$B$67-$B$178/2)&gt;$B$59/2)),$B$183+$B$181*(46*$B$67),NA())</f>
        <v>#N/A</v>
      </c>
    </row>
    <row r="550">
      <c r="K550" t="e">
        <f>NA()</f>
        <v>#N/A</v>
      </c>
      <c r="L550" t="e">
        <f>NA()</f>
        <v>#N/A</v>
      </c>
      <c r="GI550" t="e">
        <f>IF(AND(AND($B$21=1,(37*$B$66)&lt;IF($B$63=1,$B$10-0.2,$B$62)),(37*$B$66)&gt;=$B$111),$B$151+$B$150*(MAX(IF((37*$B$66)&lt;=$B$9,0,((37*$B$66)-$B$9)/$B$8),MIN(($B$5-IF((37*$B$66)&lt;=$B$9,0,((37*$B$66)-$B$9)/$B$8)),$B$113))),NA())</f>
        <v>#N/A</v>
      </c>
      <c r="GJ550" t="e">
        <f>IF(AND(AND($B$21=1,(37*$B$66)&lt;IF($B$63=1,$B$10-0.2,$B$62)),(37*$B$66)&gt;=$B$111),$B$152+$B$150*((37*$B$66)),NA())</f>
        <v>#N/A</v>
      </c>
      <c r="HQ550" t="e">
        <f>NA()</f>
        <v>#N/A</v>
      </c>
      <c r="HR550" t="e">
        <f>NA()</f>
        <v>#N/A</v>
      </c>
      <c r="HS550" t="e">
        <f>NA()</f>
        <v>#N/A</v>
      </c>
      <c r="HT550" t="e">
        <f>NA()</f>
        <v>#N/A</v>
      </c>
      <c r="KI550" t="e">
        <f>NA()</f>
        <v>#N/A</v>
      </c>
      <c r="KJ550" t="e">
        <f>NA()</f>
        <v>#N/A</v>
      </c>
    </row>
    <row r="551">
      <c r="K551" t="e">
        <f>IF(30&lt;=$B$12,$B$133+$B$132*($B$13*30-$B$27/2),NA())</f>
        <v>#N/A</v>
      </c>
      <c r="L551" t="e">
        <f>IF(30&lt;=$B$12,$B$134+$B$132*($B$5-$B$27/2),NA())</f>
        <v>#N/A</v>
      </c>
      <c r="GI551" t="e">
        <f>IF(AND($B$21=1,(37*$B$66)&lt;IF($B$63=1,$B$10-0.2,$B$62)),$B$151+$B$150*(MAX(IF((37*$B$66)&lt;=$B$9,0,((37*$B$66)-$B$9)/$B$8),MIN(($B$5-IF((37*$B$66)&lt;=$B$9,0,((37*$B$66)-$B$9)/$B$8)),IF((37*$B$66)&lt;$B$111,$B$115,$B$113)))),NA())</f>
        <v>#N/A</v>
      </c>
      <c r="GJ551" t="e">
        <f>IF(AND($B$21=1,(37*$B$66)&lt;IF($B$63=1,$B$10-0.2,$B$62)),$B$152+$B$150*((37*$B$66)),NA())</f>
        <v>#N/A</v>
      </c>
      <c r="HQ551" t="e">
        <f>IF(AND(8&lt;=$B$23,2&lt;=$B$24),$B$157+$B$156*((IF(8=1,1,IF(8=$B$23,$B$12,5*(8-1)))-1)*$B$13),NA())</f>
        <v>#N/A</v>
      </c>
      <c r="HR551" t="e">
        <f>IF(AND(8&lt;=$B$23,2&lt;=$B$24),$B$158+$B$156*((1*$B$5/2+(2-1)*($B$5/2)/$B$24)),NA())</f>
        <v>#N/A</v>
      </c>
      <c r="HS551" t="e">
        <f>IF(AND(23&lt;=$B$12,$B$51&gt;0),$B$157+$B$156*(((23-0.5)*$B$13)-($B$51*$B$13)/2),NA())</f>
        <v>#N/A</v>
      </c>
      <c r="HT551" t="e">
        <f>IF(AND(23&lt;=$B$12,$B$51&gt;0),$B$158+$B$156*((1*$B$5/2+0.6*$B$159)),NA())</f>
        <v>#N/A</v>
      </c>
      <c r="KI551" t="e">
        <f>IF(AND($B$21=1,46*$B$67&gt;$B$59,46*$B$67&lt;$B$178-$B$59,OR($B$63=0,ABS(46*$B$67-$B$178/2)&gt;$B$59/2)),$B$182+$B$181*($B$177*2/4+$B$60/2),NA())</f>
        <v>#N/A</v>
      </c>
      <c r="KJ551" t="e">
        <f>IF(AND($B$21=1,46*$B$67&gt;$B$59,46*$B$67&lt;$B$178-$B$59,OR($B$63=0,ABS(46*$B$67-$B$178/2)&gt;$B$59/2)),$B$183+$B$181*(46*$B$67),NA())</f>
        <v>#N/A</v>
      </c>
    </row>
    <row r="552">
      <c r="K552" t="e">
        <f>IF(30&lt;=$B$12,$B$133+$B$132*($B$13*30+$B$27/2),NA())</f>
        <v>#N/A</v>
      </c>
      <c r="L552" t="e">
        <f>IF(30&lt;=$B$12,$B$134+$B$132*($B$5-$B$27/2),NA())</f>
        <v>#N/A</v>
      </c>
      <c r="GI552" t="e">
        <f>IF(AND($B$21=1,(37*$B$66)&lt;IF($B$63=1,$B$10-0.2,$B$62)),$B$151+$B$150*(MAX(IF((37*$B$66)&lt;=$B$9,0,((37*$B$66)-$B$9)/$B$8),MIN(($B$5-IF((37*$B$66)&lt;=$B$9,0,((37*$B$66)-$B$9)/$B$8)),IF((37*$B$66)&lt;$B$118,$B$121,$B$120)))),NA())</f>
        <v>#N/A</v>
      </c>
      <c r="GJ552" t="e">
        <f>IF(AND($B$21=1,(37*$B$66)&lt;IF($B$63=1,$B$10-0.2,$B$62)),$B$152+$B$150*((37*$B$66)),NA())</f>
        <v>#N/A</v>
      </c>
      <c r="HQ552" t="e">
        <f>IF(AND(8&lt;=$B$23,2&lt;=$B$24),$B$157+$B$156*(IF(8=1,1,IF(8=$B$23,$B$12,5*(8-1)))*$B$13),NA())</f>
        <v>#N/A</v>
      </c>
      <c r="HR552" t="e">
        <f>IF(AND(8&lt;=$B$23,2&lt;=$B$24),$B$158+$B$156*((1*$B$5/2+2*($B$5/2)/$B$24)),NA())</f>
        <v>#N/A</v>
      </c>
      <c r="HS552" t="e">
        <f>IF(AND(23&lt;=$B$12,$B$51&gt;0),$B$157+$B$156*(((23-0.5)*$B$13)+($B$51*$B$13)/2),NA())</f>
        <v>#N/A</v>
      </c>
      <c r="HT552" t="e">
        <f>IF(AND(23&lt;=$B$12,$B$51&gt;0),$B$158+$B$156*((1*$B$5/2+0.6*$B$159)+(((1*$B$5/2+$B$5/2-0.6*$B$159))-((1*$B$5/2+0.6*$B$159)))/4),NA())</f>
        <v>#N/A</v>
      </c>
      <c r="KI552" t="e">
        <f>IF(AND($B$21=1,46*$B$67&gt;$B$59,46*$B$67&lt;$B$178-$B$59,OR($B$63=0,ABS(46*$B$67-$B$178/2)&gt;$B$59/2)),$B$182+$B$181*($B$177*3/4-$B$60/2),NA())</f>
        <v>#N/A</v>
      </c>
      <c r="KJ552" t="e">
        <f>IF(AND($B$21=1,46*$B$67&gt;$B$59,46*$B$67&lt;$B$178-$B$59,OR($B$63=0,ABS(46*$B$67-$B$178/2)&gt;$B$59/2)),$B$183+$B$181*(46*$B$67),NA())</f>
        <v>#N/A</v>
      </c>
    </row>
    <row r="553">
      <c r="K553" t="e">
        <f>IF(30&lt;=$B$12,$B$133+$B$132*($B$13*30+$B$27/2),NA())</f>
        <v>#N/A</v>
      </c>
      <c r="L553" t="e">
        <f>IF(30&lt;=$B$12,$B$134+$B$132*($B$5+$B$27/2),NA())</f>
        <v>#N/A</v>
      </c>
      <c r="GI553" t="e">
        <f>IF(AND(AND($B$21=1,(37*$B$66)&lt;IF($B$63=1,$B$10-0.2,$B$62)),(37*$B$66)&gt;=$B$118),$B$151+$B$150*(MAX(IF((37*$B$66)&lt;=$B$9,0,((37*$B$66)-$B$9)/$B$8),MIN(($B$5-IF((37*$B$66)&lt;=$B$9,0,((37*$B$66)-$B$9)/$B$8)),$B$120))),NA())</f>
        <v>#N/A</v>
      </c>
      <c r="GJ553" t="e">
        <f>IF(AND(AND($B$21=1,(37*$B$66)&lt;IF($B$63=1,$B$10-0.2,$B$62)),(37*$B$66)&gt;=$B$118),$B$152+$B$150*((37*$B$66)),NA())</f>
        <v>#N/A</v>
      </c>
      <c r="HQ553" t="e">
        <f>NA()</f>
        <v>#N/A</v>
      </c>
      <c r="HR553" t="e">
        <f>NA()</f>
        <v>#N/A</v>
      </c>
      <c r="HS553" t="e">
        <f>IF(AND(23&lt;=$B$12,$B$51&gt;0),$B$157+$B$156*(((23-0.5)*$B$13)-($B$51*$B$13)/2),NA())</f>
        <v>#N/A</v>
      </c>
      <c r="HT553" t="e">
        <f>IF(AND(23&lt;=$B$12,$B$51&gt;0),$B$158+$B$156*((1*$B$5/2+0.6*$B$159)+(((1*$B$5/2+$B$5/2-0.6*$B$159))-((1*$B$5/2+0.6*$B$159)))/2),NA())</f>
        <v>#N/A</v>
      </c>
      <c r="KI553" t="e">
        <f>NA()</f>
        <v>#N/A</v>
      </c>
      <c r="KJ553" t="e">
        <f>NA()</f>
        <v>#N/A</v>
      </c>
    </row>
    <row r="554">
      <c r="K554" t="e">
        <f>IF(30&lt;=$B$12,$B$133+$B$132*($B$13*30-$B$27/2),NA())</f>
        <v>#N/A</v>
      </c>
      <c r="L554" t="e">
        <f>IF(30&lt;=$B$12,$B$134+$B$132*($B$5+$B$27/2),NA())</f>
        <v>#N/A</v>
      </c>
      <c r="GI554" t="e">
        <f>IF(AND($B$21=1,(37*$B$66)&lt;IF($B$63=1,$B$10-0.2,$B$62)),$B$151+$B$150*(MAX(IF((37*$B$66)&lt;=$B$9,0,((37*$B$66)-$B$9)/$B$8),MIN(($B$5-IF((37*$B$66)&lt;=$B$9,0,((37*$B$66)-$B$9)/$B$8)),IF((37*$B$66)&lt;$B$118,$B$122,$B$120)))),NA())</f>
        <v>#N/A</v>
      </c>
      <c r="GJ554" t="e">
        <f>IF(AND($B$21=1,(37*$B$66)&lt;IF($B$63=1,$B$10-0.2,$B$62)),$B$152+$B$150*((37*$B$66)),NA())</f>
        <v>#N/A</v>
      </c>
      <c r="HQ554" t="e">
        <f>IF(AND(8&lt;=$B$23,2&lt;=$B$24),$B$157+$B$156*((IF(8=1,1,IF(8=$B$23,$B$12,5*(8-1)))-1)*$B$13),NA())</f>
        <v>#N/A</v>
      </c>
      <c r="HR554" t="e">
        <f>IF(AND(8&lt;=$B$23,2&lt;=$B$24),$B$158+$B$156*((1*$B$5/2+2*($B$5/2)/$B$24)),NA())</f>
        <v>#N/A</v>
      </c>
      <c r="HS554" t="e">
        <f>IF(AND(23&lt;=$B$12,$B$51&gt;0),$B$157+$B$156*(((23-0.5)*$B$13)+($B$51*$B$13)/2),NA())</f>
        <v>#N/A</v>
      </c>
      <c r="HT554" t="e">
        <f>IF(AND(23&lt;=$B$12,$B$51&gt;0),$B$158+$B$156*((1*$B$5/2+0.6*$B$159)+3*(((1*$B$5/2+$B$5/2-0.6*$B$159))-((1*$B$5/2+0.6*$B$159)))/4),NA())</f>
        <v>#N/A</v>
      </c>
      <c r="KI554" t="e">
        <f>IF(AND($B$21=1,46*$B$67&gt;$B$59,46*$B$67&lt;$B$178-$B$59,OR($B$63=0,ABS(46*$B$67-$B$178/2)&gt;$B$59/2)),$B$182+$B$181*($B$177*3/4+$B$60/2),NA())</f>
        <v>#N/A</v>
      </c>
      <c r="KJ554" t="e">
        <f>IF(AND($B$21=1,46*$B$67&gt;$B$59,46*$B$67&lt;$B$178-$B$59,OR($B$63=0,ABS(46*$B$67-$B$178/2)&gt;$B$59/2)),$B$183+$B$181*(46*$B$67),NA())</f>
        <v>#N/A</v>
      </c>
    </row>
    <row r="555">
      <c r="K555" t="e">
        <f>IF(30&lt;=$B$12,$B$133+$B$132*($B$13*30-$B$27/2),NA())</f>
        <v>#N/A</v>
      </c>
      <c r="L555" t="e">
        <f>IF(30&lt;=$B$12,$B$134+$B$132*($B$5-$B$27/2),NA())</f>
        <v>#N/A</v>
      </c>
      <c r="GI555" t="e">
        <f>IF(AND($B$21=1,(37*$B$66)&lt;IF($B$63=1,$B$10-0.2,$B$62)),$B$151+$B$150*(MAX(IF((37*$B$66)&lt;=$B$9,0,((37*$B$66)-$B$9)/$B$8),MIN(($B$5-IF((37*$B$66)&lt;=$B$9,0,((37*$B$66)-$B$9)/$B$8)),IF((37*$B$66)&lt;$B$125,$B$128,$B$127)))),NA())</f>
        <v>#N/A</v>
      </c>
      <c r="GJ555" t="e">
        <f>IF(AND($B$21=1,(37*$B$66)&lt;IF($B$63=1,$B$10-0.2,$B$62)),$B$152+$B$150*((37*$B$66)),NA())</f>
        <v>#N/A</v>
      </c>
      <c r="HQ555" t="e">
        <f>IF(AND(8&lt;=$B$23,2&lt;=$B$24),$B$157+$B$156*(IF(8=1,1,IF(8=$B$23,$B$12,5*(8-1)))*$B$13),NA())</f>
        <v>#N/A</v>
      </c>
      <c r="HR555" t="e">
        <f>IF(AND(8&lt;=$B$23,2&lt;=$B$24),$B$158+$B$156*((1*$B$5/2+(2-1)*($B$5/2)/$B$24)),NA())</f>
        <v>#N/A</v>
      </c>
      <c r="HS555" t="e">
        <f>IF(AND(23&lt;=$B$12,$B$51&gt;0),$B$157+$B$156*(((23-0.5)*$B$13)-($B$51*$B$13)/2),NA())</f>
        <v>#N/A</v>
      </c>
      <c r="HT555" t="e">
        <f>IF(AND(23&lt;=$B$12,$B$51&gt;0),$B$158+$B$156*((1*$B$5/2+$B$5/2-0.6*$B$159)),NA())</f>
        <v>#N/A</v>
      </c>
      <c r="KI555" t="e">
        <f>IF(AND($B$21=1,46*$B$67&gt;$B$59,46*$B$67&lt;$B$178-$B$59,OR($B$63=0,ABS(46*$B$67-$B$178/2)&gt;$B$59/2)),$B$182+$B$181*($B$177),NA())</f>
        <v>#N/A</v>
      </c>
      <c r="KJ555" t="e">
        <f>IF(AND($B$21=1,46*$B$67&gt;$B$59,46*$B$67&lt;$B$178-$B$59,OR($B$63=0,ABS(46*$B$67-$B$178/2)&gt;$B$59/2)),$B$183+$B$181*(46*$B$67),NA())</f>
        <v>#N/A</v>
      </c>
    </row>
    <row r="556">
      <c r="K556" t="e">
        <f>NA()</f>
        <v>#N/A</v>
      </c>
      <c r="L556" t="e">
        <f>NA()</f>
        <v>#N/A</v>
      </c>
      <c r="GI556" t="e">
        <f>IF(AND(AND($B$21=1,(37*$B$66)&lt;IF($B$63=1,$B$10-0.2,$B$62)),(37*$B$66)&gt;=$B$125),$B$151+$B$150*(MAX(IF((37*$B$66)&lt;=$B$9,0,((37*$B$66)-$B$9)/$B$8),MIN(($B$5-IF((37*$B$66)&lt;=$B$9,0,((37*$B$66)-$B$9)/$B$8)),$B$127))),NA())</f>
        <v>#N/A</v>
      </c>
      <c r="GJ556" t="e">
        <f>IF(AND(AND($B$21=1,(37*$B$66)&lt;IF($B$63=1,$B$10-0.2,$B$62)),(37*$B$66)&gt;=$B$125),$B$152+$B$150*((37*$B$66)),NA())</f>
        <v>#N/A</v>
      </c>
      <c r="HQ556" t="e">
        <f>NA()</f>
        <v>#N/A</v>
      </c>
      <c r="HR556" t="e">
        <f>NA()</f>
        <v>#N/A</v>
      </c>
      <c r="HS556" t="e">
        <f>NA()</f>
        <v>#N/A</v>
      </c>
      <c r="HT556" t="e">
        <f>NA()</f>
        <v>#N/A</v>
      </c>
      <c r="KI556" t="e">
        <f>NA()</f>
        <v>#N/A</v>
      </c>
      <c r="KJ556" t="e">
        <f>NA()</f>
        <v>#N/A</v>
      </c>
    </row>
    <row r="557">
      <c r="K557" t="e">
        <f>IF(AND(30&lt;=$B$12,$B$45=1),$B$133+$B$132*($B$13*30-$B$27/2),NA())</f>
        <v>#N/A</v>
      </c>
      <c r="L557" t="e">
        <f>IF(AND(30&lt;=$B$12,$B$45=1),$B$134+$B$132*($B$5/2-$B$27/2),NA())</f>
        <v>#N/A</v>
      </c>
      <c r="GI557" t="e">
        <f>IF(AND($B$21=1,(37*$B$66)&lt;IF($B$63=1,$B$10-0.2,$B$62)),$B$151+$B$150*(MAX(IF((37*$B$66)&lt;=$B$9,0,((37*$B$66)-$B$9)/$B$8),MIN(($B$5-IF((37*$B$66)&lt;=$B$9,0,((37*$B$66)-$B$9)/$B$8)),IF((37*$B$66)&lt;$B$125,$B$129,$B$127)))),NA())</f>
        <v>#N/A</v>
      </c>
      <c r="GJ557" t="e">
        <f>IF(AND($B$21=1,(37*$B$66)&lt;IF($B$63=1,$B$10-0.2,$B$62)),$B$152+$B$150*((37*$B$66)),NA())</f>
        <v>#N/A</v>
      </c>
      <c r="HQ557" t="e">
        <f>IF(AND(8&lt;=$B$23,3&lt;=$B$24),$B$157+$B$156*((IF(8=1,1,IF(8=$B$23,$B$12,5*(8-1)))-1)*$B$13),NA())</f>
        <v>#N/A</v>
      </c>
      <c r="HR557" t="e">
        <f>IF(AND(8&lt;=$B$23,3&lt;=$B$24),$B$158+$B$156*((1*$B$5/2+(3-1)*($B$5/2)/$B$24)),NA())</f>
        <v>#N/A</v>
      </c>
      <c r="HS557" t="e">
        <f>IF(AND(24&lt;=$B$12,$B$51&gt;0),$B$157+$B$156*(((24-0.5)*$B$13)-($B$51*$B$13)/2),NA())</f>
        <v>#N/A</v>
      </c>
      <c r="HT557" t="e">
        <f>IF(AND(24&lt;=$B$12,$B$51&gt;0),$B$158+$B$156*((0*$B$5/2+0.6*$B$159)),NA())</f>
        <v>#N/A</v>
      </c>
      <c r="KI557" t="e">
        <f>IF(AND($B$21=1,47*$B$67&gt;$B$59,47*$B$67&lt;$B$178-$B$59,OR($B$63=0,ABS(47*$B$67-$B$178/2)&gt;$B$59/2)),$B$182+$B$181*(0),NA())</f>
        <v>#N/A</v>
      </c>
      <c r="KJ557" t="e">
        <f>IF(AND($B$21=1,47*$B$67&gt;$B$59,47*$B$67&lt;$B$178-$B$59,OR($B$63=0,ABS(47*$B$67-$B$178/2)&gt;$B$59/2)),$B$183+$B$181*(47*$B$67),NA())</f>
        <v>#N/A</v>
      </c>
    </row>
    <row r="558">
      <c r="K558" t="e">
        <f>IF(AND(30&lt;=$B$12,$B$45=1),$B$133+$B$132*($B$13*30+$B$27/2),NA())</f>
        <v>#N/A</v>
      </c>
      <c r="L558" t="e">
        <f>IF(AND(30&lt;=$B$12,$B$45=1),$B$134+$B$132*($B$5/2-$B$27/2),NA())</f>
        <v>#N/A</v>
      </c>
      <c r="GI558" t="e">
        <f>IF(AND($B$21=1,(37*$B$66)&lt;IF($B$63=1,$B$10-0.2,$B$62)),$B$151+$B$150*(($B$5-IF((37*$B$66)&lt;=$B$9,0,((37*$B$66)-$B$9)/$B$8))),NA())</f>
        <v>#N/A</v>
      </c>
      <c r="GJ558" t="e">
        <f>IF(AND($B$21=1,(37*$B$66)&lt;IF($B$63=1,$B$10-0.2,$B$62)),$B$152+$B$150*((37*$B$66)),NA())</f>
        <v>#N/A</v>
      </c>
      <c r="HQ558" t="e">
        <f>IF(AND(8&lt;=$B$23,3&lt;=$B$24),$B$157+$B$156*(IF(8=1,1,IF(8=$B$23,$B$12,5*(8-1)))*$B$13),NA())</f>
        <v>#N/A</v>
      </c>
      <c r="HR558" t="e">
        <f>IF(AND(8&lt;=$B$23,3&lt;=$B$24),$B$158+$B$156*((1*$B$5/2+3*($B$5/2)/$B$24)),NA())</f>
        <v>#N/A</v>
      </c>
      <c r="HS558" t="e">
        <f>IF(AND(24&lt;=$B$12,$B$51&gt;0),$B$157+$B$156*(((24-0.5)*$B$13)+($B$51*$B$13)/2),NA())</f>
        <v>#N/A</v>
      </c>
      <c r="HT558" t="e">
        <f>IF(AND(24&lt;=$B$12,$B$51&gt;0),$B$158+$B$156*((0*$B$5/2+0.6*$B$159)),NA())</f>
        <v>#N/A</v>
      </c>
      <c r="KI558" t="e">
        <f>IF(AND($B$21=1,47*$B$67&gt;$B$59,47*$B$67&lt;$B$178-$B$59,OR($B$63=0,ABS(47*$B$67-$B$178/2)&gt;$B$59/2)),$B$182+$B$181*($B$177*1/4-$B$60/2),NA())</f>
        <v>#N/A</v>
      </c>
      <c r="KJ558" t="e">
        <f>IF(AND($B$21=1,47*$B$67&gt;$B$59,47*$B$67&lt;$B$178-$B$59,OR($B$63=0,ABS(47*$B$67-$B$178/2)&gt;$B$59/2)),$B$183+$B$181*(47*$B$67),NA())</f>
        <v>#N/A</v>
      </c>
    </row>
    <row r="559">
      <c r="K559" t="e">
        <f>IF(AND(30&lt;=$B$12,$B$45=1),$B$133+$B$132*($B$13*30+$B$27/2),NA())</f>
        <v>#N/A</v>
      </c>
      <c r="L559" t="e">
        <f>IF(AND(30&lt;=$B$12,$B$45=1),$B$134+$B$132*($B$5/2+$B$27/2),NA())</f>
        <v>#N/A</v>
      </c>
      <c r="GI559" t="e">
        <f>NA()</f>
        <v>#N/A</v>
      </c>
      <c r="GJ559" t="e">
        <f>NA()</f>
        <v>#N/A</v>
      </c>
      <c r="HQ559" t="e">
        <f>NA()</f>
        <v>#N/A</v>
      </c>
      <c r="HR559" t="e">
        <f>NA()</f>
        <v>#N/A</v>
      </c>
      <c r="HS559" t="e">
        <f>IF(AND(24&lt;=$B$12,$B$51&gt;0),$B$157+$B$156*(((24-0.5)*$B$13)+($B$51*$B$13)/2),NA())</f>
        <v>#N/A</v>
      </c>
      <c r="HT559" t="e">
        <f>IF(AND(24&lt;=$B$12,$B$51&gt;0),$B$158+$B$156*((0*$B$5/2+$B$5/2-0.6*$B$159)),NA())</f>
        <v>#N/A</v>
      </c>
      <c r="KI559" t="e">
        <f>NA()</f>
        <v>#N/A</v>
      </c>
      <c r="KJ559" t="e">
        <f>NA()</f>
        <v>#N/A</v>
      </c>
    </row>
    <row r="560">
      <c r="K560" t="e">
        <f>IF(AND(30&lt;=$B$12,$B$45=1),$B$133+$B$132*($B$13*30-$B$27/2),NA())</f>
        <v>#N/A</v>
      </c>
      <c r="L560" t="e">
        <f>IF(AND(30&lt;=$B$12,$B$45=1),$B$134+$B$132*($B$5/2+$B$27/2),NA())</f>
        <v>#N/A</v>
      </c>
      <c r="GI560" t="e">
        <f>IF(AND($B$21=1,(38*$B$66)&lt;IF($B$63=1,$B$10-0.2,$B$62)),$B$151+$B$150*(IF((38*$B$66)&lt;=$B$9,0,((38*$B$66)-$B$9)/$B$8)),NA())</f>
        <v>#N/A</v>
      </c>
      <c r="GJ560" t="e">
        <f>IF(AND($B$21=1,(38*$B$66)&lt;IF($B$63=1,$B$10-0.2,$B$62)),$B$152+$B$150*((38*$B$66)),NA())</f>
        <v>#N/A</v>
      </c>
      <c r="HQ560" t="e">
        <f>IF(AND(8&lt;=$B$23,3&lt;=$B$24),$B$157+$B$156*((IF(8=1,1,IF(8=$B$23,$B$12,5*(8-1)))-1)*$B$13),NA())</f>
        <v>#N/A</v>
      </c>
      <c r="HR560" t="e">
        <f>IF(AND(8&lt;=$B$23,3&lt;=$B$24),$B$158+$B$156*((1*$B$5/2+3*($B$5/2)/$B$24)),NA())</f>
        <v>#N/A</v>
      </c>
      <c r="HS560" t="e">
        <f>IF(AND(24&lt;=$B$12,$B$51&gt;0),$B$157+$B$156*(((24-0.5)*$B$13)-($B$51*$B$13)/2),NA())</f>
        <v>#N/A</v>
      </c>
      <c r="HT560" t="e">
        <f>IF(AND(24&lt;=$B$12,$B$51&gt;0),$B$158+$B$156*((0*$B$5/2+$B$5/2-0.6*$B$159)),NA())</f>
        <v>#N/A</v>
      </c>
      <c r="KI560" t="e">
        <f>IF(AND($B$21=1,47*$B$67&gt;$B$59,47*$B$67&lt;$B$178-$B$59,OR($B$63=0,ABS(47*$B$67-$B$178/2)&gt;$B$59/2)),$B$182+$B$181*($B$177*1/4+$B$60/2),NA())</f>
        <v>#N/A</v>
      </c>
      <c r="KJ560" t="e">
        <f>IF(AND($B$21=1,47*$B$67&gt;$B$59,47*$B$67&lt;$B$178-$B$59,OR($B$63=0,ABS(47*$B$67-$B$178/2)&gt;$B$59/2)),$B$183+$B$181*(47*$B$67),NA())</f>
        <v>#N/A</v>
      </c>
    </row>
    <row r="561">
      <c r="K561" t="e">
        <f>IF(AND(30&lt;=$B$12,$B$45=1),$B$133+$B$132*($B$13*30-$B$27/2),NA())</f>
        <v>#N/A</v>
      </c>
      <c r="L561" t="e">
        <f>IF(AND(30&lt;=$B$12,$B$45=1),$B$134+$B$132*($B$5/2-$B$27/2),NA())</f>
        <v>#N/A</v>
      </c>
      <c r="GI561" t="e">
        <f>IF(AND($B$21=1,(38*$B$66)&lt;IF($B$63=1,$B$10-0.2,$B$62)),$B$151+$B$150*(MAX(IF((38*$B$66)&lt;=$B$9,0,((38*$B$66)-$B$9)/$B$8),MIN(($B$5-IF((38*$B$66)&lt;=$B$9,0,((38*$B$66)-$B$9)/$B$8)),IF((38*$B$66)&lt;$B$104,$B$107,$B$106)))),NA())</f>
        <v>#N/A</v>
      </c>
      <c r="GJ561" t="e">
        <f>IF(AND($B$21=1,(38*$B$66)&lt;IF($B$63=1,$B$10-0.2,$B$62)),$B$152+$B$150*((38*$B$66)),NA())</f>
        <v>#N/A</v>
      </c>
      <c r="HQ561" t="e">
        <f>IF(AND(8&lt;=$B$23,3&lt;=$B$24),$B$157+$B$156*(IF(8=1,1,IF(8=$B$23,$B$12,5*(8-1)))*$B$13),NA())</f>
        <v>#N/A</v>
      </c>
      <c r="HR561" t="e">
        <f>IF(AND(8&lt;=$B$23,3&lt;=$B$24),$B$158+$B$156*((1*$B$5/2+(3-1)*($B$5/2)/$B$24)),NA())</f>
        <v>#N/A</v>
      </c>
      <c r="HS561" t="e">
        <f>IF(AND(24&lt;=$B$12,$B$51&gt;0),$B$157+$B$156*(((24-0.5)*$B$13)-($B$51*$B$13)/2),NA())</f>
        <v>#N/A</v>
      </c>
      <c r="HT561" t="e">
        <f>IF(AND(24&lt;=$B$12,$B$51&gt;0),$B$158+$B$156*((0*$B$5/2+0.6*$B$159)),NA())</f>
        <v>#N/A</v>
      </c>
      <c r="KI561" t="e">
        <f>IF(AND($B$21=1,47*$B$67&gt;$B$59,47*$B$67&lt;$B$178-$B$59,OR($B$63=0,ABS(47*$B$67-$B$178/2)&gt;$B$59/2)),$B$182+$B$181*($B$177*2/4-$B$60/2),NA())</f>
        <v>#N/A</v>
      </c>
      <c r="KJ561" t="e">
        <f>IF(AND($B$21=1,47*$B$67&gt;$B$59,47*$B$67&lt;$B$178-$B$59,OR($B$63=0,ABS(47*$B$67-$B$178/2)&gt;$B$59/2)),$B$183+$B$181*(47*$B$67),NA())</f>
        <v>#N/A</v>
      </c>
    </row>
    <row r="562">
      <c r="K562" t="e">
        <f>NA()</f>
        <v>#N/A</v>
      </c>
      <c r="L562" t="e">
        <f>NA()</f>
        <v>#N/A</v>
      </c>
      <c r="GI562" t="e">
        <f>IF(AND(AND($B$21=1,(38*$B$66)&lt;IF($B$63=1,$B$10-0.2,$B$62)),(38*$B$66)&gt;=$B$104),$B$151+$B$150*(MAX(IF((38*$B$66)&lt;=$B$9,0,((38*$B$66)-$B$9)/$B$8),MIN(($B$5-IF((38*$B$66)&lt;=$B$9,0,((38*$B$66)-$B$9)/$B$8)),$B$106))),NA())</f>
        <v>#N/A</v>
      </c>
      <c r="GJ562" t="e">
        <f>IF(AND(AND($B$21=1,(38*$B$66)&lt;IF($B$63=1,$B$10-0.2,$B$62)),(38*$B$66)&gt;=$B$104),$B$152+$B$150*((38*$B$66)),NA())</f>
        <v>#N/A</v>
      </c>
      <c r="HQ562" t="e">
        <f>NA()</f>
        <v>#N/A</v>
      </c>
      <c r="HR562" t="e">
        <f>NA()</f>
        <v>#N/A</v>
      </c>
      <c r="HS562" t="e">
        <f>NA()</f>
        <v>#N/A</v>
      </c>
      <c r="HT562" t="e">
        <f>NA()</f>
        <v>#N/A</v>
      </c>
      <c r="KI562" t="e">
        <f>NA()</f>
        <v>#N/A</v>
      </c>
      <c r="KJ562" t="e">
        <f>NA()</f>
        <v>#N/A</v>
      </c>
    </row>
    <row r="563">
      <c r="K563" t="e">
        <f>IF(31&lt;=$B$12,$B$133+$B$132*($B$13*31-$B$27/2),NA())</f>
        <v>#N/A</v>
      </c>
      <c r="L563" t="e">
        <f>IF(31&lt;=$B$12,$B$134+$B$132*(0-$B$27/2),NA())</f>
        <v>#N/A</v>
      </c>
      <c r="GI563" t="e">
        <f>IF(AND($B$21=1,(38*$B$66)&lt;IF($B$63=1,$B$10-0.2,$B$62)),$B$151+$B$150*(MAX(IF((38*$B$66)&lt;=$B$9,0,((38*$B$66)-$B$9)/$B$8),MIN(($B$5-IF((38*$B$66)&lt;=$B$9,0,((38*$B$66)-$B$9)/$B$8)),IF((38*$B$66)&lt;$B$104,$B$108,$B$106)))),NA())</f>
        <v>#N/A</v>
      </c>
      <c r="GJ563" t="e">
        <f>IF(AND($B$21=1,(38*$B$66)&lt;IF($B$63=1,$B$10-0.2,$B$62)),$B$152+$B$150*((38*$B$66)),NA())</f>
        <v>#N/A</v>
      </c>
      <c r="HQ563" t="e">
        <f>IF(AND(8&lt;=$B$23,4&lt;=$B$24),$B$157+$B$156*((IF(8=1,1,IF(8=$B$23,$B$12,5*(8-1)))-1)*$B$13),NA())</f>
        <v>#N/A</v>
      </c>
      <c r="HR563" t="e">
        <f>IF(AND(8&lt;=$B$23,4&lt;=$B$24),$B$158+$B$156*((1*$B$5/2+(4-1)*($B$5/2)/$B$24)),NA())</f>
        <v>#N/A</v>
      </c>
      <c r="HS563" t="e">
        <f>IF(AND(24&lt;=$B$12,$B$51&gt;0),$B$157+$B$156*(((24-0.5)*$B$13)-($B$51*$B$13)/2),NA())</f>
        <v>#N/A</v>
      </c>
      <c r="HT563" t="e">
        <f>IF(AND(24&lt;=$B$12,$B$51&gt;0),$B$158+$B$156*((0*$B$5/2+0.6*$B$159)),NA())</f>
        <v>#N/A</v>
      </c>
      <c r="KI563" t="e">
        <f>IF(AND($B$21=1,47*$B$67&gt;$B$59,47*$B$67&lt;$B$178-$B$59,OR($B$63=0,ABS(47*$B$67-$B$178/2)&gt;$B$59/2)),$B$182+$B$181*($B$177*2/4+$B$60/2),NA())</f>
        <v>#N/A</v>
      </c>
      <c r="KJ563" t="e">
        <f>IF(AND($B$21=1,47*$B$67&gt;$B$59,47*$B$67&lt;$B$178-$B$59,OR($B$63=0,ABS(47*$B$67-$B$178/2)&gt;$B$59/2)),$B$183+$B$181*(47*$B$67),NA())</f>
        <v>#N/A</v>
      </c>
    </row>
    <row r="564">
      <c r="K564" t="e">
        <f>IF(31&lt;=$B$12,$B$133+$B$132*($B$13*31+$B$27/2),NA())</f>
        <v>#N/A</v>
      </c>
      <c r="L564" t="e">
        <f>IF(31&lt;=$B$12,$B$134+$B$132*(0-$B$27/2),NA())</f>
        <v>#N/A</v>
      </c>
      <c r="GI564" t="e">
        <f>IF(AND($B$21=1,(38*$B$66)&lt;IF($B$63=1,$B$10-0.2,$B$62)),$B$151+$B$150*(MAX(IF((38*$B$66)&lt;=$B$9,0,((38*$B$66)-$B$9)/$B$8),MIN(($B$5-IF((38*$B$66)&lt;=$B$9,0,((38*$B$66)-$B$9)/$B$8)),IF((38*$B$66)&lt;$B$111,$B$114,$B$113)))),NA())</f>
        <v>#N/A</v>
      </c>
      <c r="GJ564" t="e">
        <f>IF(AND($B$21=1,(38*$B$66)&lt;IF($B$63=1,$B$10-0.2,$B$62)),$B$152+$B$150*((38*$B$66)),NA())</f>
        <v>#N/A</v>
      </c>
      <c r="HQ564" t="e">
        <f>IF(AND(8&lt;=$B$23,4&lt;=$B$24),$B$157+$B$156*(IF(8=1,1,IF(8=$B$23,$B$12,5*(8-1)))*$B$13),NA())</f>
        <v>#N/A</v>
      </c>
      <c r="HR564" t="e">
        <f>IF(AND(8&lt;=$B$23,4&lt;=$B$24),$B$158+$B$156*((1*$B$5/2+4*($B$5/2)/$B$24)),NA())</f>
        <v>#N/A</v>
      </c>
      <c r="HS564" t="e">
        <f>IF(AND(24&lt;=$B$12,$B$51&gt;0),$B$157+$B$156*(((24-0.5)*$B$13)+($B$51*$B$13)/2),NA())</f>
        <v>#N/A</v>
      </c>
      <c r="HT564" t="e">
        <f>IF(AND(24&lt;=$B$12,$B$51&gt;0),$B$158+$B$156*((0*$B$5/2+0.6*$B$159)+(((0*$B$5/2+$B$5/2-0.6*$B$159))-((0*$B$5/2+0.6*$B$159)))/4),NA())</f>
        <v>#N/A</v>
      </c>
      <c r="KI564" t="e">
        <f>IF(AND($B$21=1,47*$B$67&gt;$B$59,47*$B$67&lt;$B$178-$B$59,OR($B$63=0,ABS(47*$B$67-$B$178/2)&gt;$B$59/2)),$B$182+$B$181*($B$177*3/4-$B$60/2),NA())</f>
        <v>#N/A</v>
      </c>
      <c r="KJ564" t="e">
        <f>IF(AND($B$21=1,47*$B$67&gt;$B$59,47*$B$67&lt;$B$178-$B$59,OR($B$63=0,ABS(47*$B$67-$B$178/2)&gt;$B$59/2)),$B$183+$B$181*(47*$B$67),NA())</f>
        <v>#N/A</v>
      </c>
    </row>
    <row r="565">
      <c r="K565" t="e">
        <f>IF(31&lt;=$B$12,$B$133+$B$132*($B$13*31+$B$27/2),NA())</f>
        <v>#N/A</v>
      </c>
      <c r="L565" t="e">
        <f>IF(31&lt;=$B$12,$B$134+$B$132*(0+$B$27/2),NA())</f>
        <v>#N/A</v>
      </c>
      <c r="GI565" t="e">
        <f>IF(AND(AND($B$21=1,(38*$B$66)&lt;IF($B$63=1,$B$10-0.2,$B$62)),(38*$B$66)&gt;=$B$111),$B$151+$B$150*(MAX(IF((38*$B$66)&lt;=$B$9,0,((38*$B$66)-$B$9)/$B$8),MIN(($B$5-IF((38*$B$66)&lt;=$B$9,0,((38*$B$66)-$B$9)/$B$8)),$B$113))),NA())</f>
        <v>#N/A</v>
      </c>
      <c r="GJ565" t="e">
        <f>IF(AND(AND($B$21=1,(38*$B$66)&lt;IF($B$63=1,$B$10-0.2,$B$62)),(38*$B$66)&gt;=$B$111),$B$152+$B$150*((38*$B$66)),NA())</f>
        <v>#N/A</v>
      </c>
      <c r="HQ565" t="e">
        <f>NA()</f>
        <v>#N/A</v>
      </c>
      <c r="HR565" t="e">
        <f>NA()</f>
        <v>#N/A</v>
      </c>
      <c r="HS565" t="e">
        <f>IF(AND(24&lt;=$B$12,$B$51&gt;0),$B$157+$B$156*(((24-0.5)*$B$13)-($B$51*$B$13)/2),NA())</f>
        <v>#N/A</v>
      </c>
      <c r="HT565" t="e">
        <f>IF(AND(24&lt;=$B$12,$B$51&gt;0),$B$158+$B$156*((0*$B$5/2+0.6*$B$159)+(((0*$B$5/2+$B$5/2-0.6*$B$159))-((0*$B$5/2+0.6*$B$159)))/2),NA())</f>
        <v>#N/A</v>
      </c>
      <c r="KI565" t="e">
        <f>NA()</f>
        <v>#N/A</v>
      </c>
      <c r="KJ565" t="e">
        <f>NA()</f>
        <v>#N/A</v>
      </c>
    </row>
    <row r="566">
      <c r="K566" t="e">
        <f>IF(31&lt;=$B$12,$B$133+$B$132*($B$13*31-$B$27/2),NA())</f>
        <v>#N/A</v>
      </c>
      <c r="L566" t="e">
        <f>IF(31&lt;=$B$12,$B$134+$B$132*(0+$B$27/2),NA())</f>
        <v>#N/A</v>
      </c>
      <c r="GI566" t="e">
        <f>IF(AND($B$21=1,(38*$B$66)&lt;IF($B$63=1,$B$10-0.2,$B$62)),$B$151+$B$150*(MAX(IF((38*$B$66)&lt;=$B$9,0,((38*$B$66)-$B$9)/$B$8),MIN(($B$5-IF((38*$B$66)&lt;=$B$9,0,((38*$B$66)-$B$9)/$B$8)),IF((38*$B$66)&lt;$B$111,$B$115,$B$113)))),NA())</f>
        <v>#N/A</v>
      </c>
      <c r="GJ566" t="e">
        <f>IF(AND($B$21=1,(38*$B$66)&lt;IF($B$63=1,$B$10-0.2,$B$62)),$B$152+$B$150*((38*$B$66)),NA())</f>
        <v>#N/A</v>
      </c>
      <c r="HQ566" t="e">
        <f>IF(AND(8&lt;=$B$23,4&lt;=$B$24),$B$157+$B$156*((IF(8=1,1,IF(8=$B$23,$B$12,5*(8-1)))-1)*$B$13),NA())</f>
        <v>#N/A</v>
      </c>
      <c r="HR566" t="e">
        <f>IF(AND(8&lt;=$B$23,4&lt;=$B$24),$B$158+$B$156*((1*$B$5/2+4*($B$5/2)/$B$24)),NA())</f>
        <v>#N/A</v>
      </c>
      <c r="HS566" t="e">
        <f>IF(AND(24&lt;=$B$12,$B$51&gt;0),$B$157+$B$156*(((24-0.5)*$B$13)+($B$51*$B$13)/2),NA())</f>
        <v>#N/A</v>
      </c>
      <c r="HT566" t="e">
        <f>IF(AND(24&lt;=$B$12,$B$51&gt;0),$B$158+$B$156*((0*$B$5/2+0.6*$B$159)+3*(((0*$B$5/2+$B$5/2-0.6*$B$159))-((0*$B$5/2+0.6*$B$159)))/4),NA())</f>
        <v>#N/A</v>
      </c>
      <c r="KI566" t="e">
        <f>IF(AND($B$21=1,47*$B$67&gt;$B$59,47*$B$67&lt;$B$178-$B$59,OR($B$63=0,ABS(47*$B$67-$B$178/2)&gt;$B$59/2)),$B$182+$B$181*($B$177*3/4+$B$60/2),NA())</f>
        <v>#N/A</v>
      </c>
      <c r="KJ566" t="e">
        <f>IF(AND($B$21=1,47*$B$67&gt;$B$59,47*$B$67&lt;$B$178-$B$59,OR($B$63=0,ABS(47*$B$67-$B$178/2)&gt;$B$59/2)),$B$183+$B$181*(47*$B$67),NA())</f>
        <v>#N/A</v>
      </c>
    </row>
    <row r="567">
      <c r="K567" t="e">
        <f>IF(31&lt;=$B$12,$B$133+$B$132*($B$13*31-$B$27/2),NA())</f>
        <v>#N/A</v>
      </c>
      <c r="L567" t="e">
        <f>IF(31&lt;=$B$12,$B$134+$B$132*(0-$B$27/2),NA())</f>
        <v>#N/A</v>
      </c>
      <c r="GI567" t="e">
        <f>IF(AND($B$21=1,(38*$B$66)&lt;IF($B$63=1,$B$10-0.2,$B$62)),$B$151+$B$150*(MAX(IF((38*$B$66)&lt;=$B$9,0,((38*$B$66)-$B$9)/$B$8),MIN(($B$5-IF((38*$B$66)&lt;=$B$9,0,((38*$B$66)-$B$9)/$B$8)),IF((38*$B$66)&lt;$B$118,$B$121,$B$120)))),NA())</f>
        <v>#N/A</v>
      </c>
      <c r="GJ567" t="e">
        <f>IF(AND($B$21=1,(38*$B$66)&lt;IF($B$63=1,$B$10-0.2,$B$62)),$B$152+$B$150*((38*$B$66)),NA())</f>
        <v>#N/A</v>
      </c>
      <c r="HQ567" t="e">
        <f>IF(AND(8&lt;=$B$23,4&lt;=$B$24),$B$157+$B$156*(IF(8=1,1,IF(8=$B$23,$B$12,5*(8-1)))*$B$13),NA())</f>
        <v>#N/A</v>
      </c>
      <c r="HR567" t="e">
        <f>IF(AND(8&lt;=$B$23,4&lt;=$B$24),$B$158+$B$156*((1*$B$5/2+(4-1)*($B$5/2)/$B$24)),NA())</f>
        <v>#N/A</v>
      </c>
      <c r="HS567" t="e">
        <f>IF(AND(24&lt;=$B$12,$B$51&gt;0),$B$157+$B$156*(((24-0.5)*$B$13)-($B$51*$B$13)/2),NA())</f>
        <v>#N/A</v>
      </c>
      <c r="HT567" t="e">
        <f>IF(AND(24&lt;=$B$12,$B$51&gt;0),$B$158+$B$156*((0*$B$5/2+$B$5/2-0.6*$B$159)),NA())</f>
        <v>#N/A</v>
      </c>
      <c r="KI567" t="e">
        <f>IF(AND($B$21=1,47*$B$67&gt;$B$59,47*$B$67&lt;$B$178-$B$59,OR($B$63=0,ABS(47*$B$67-$B$178/2)&gt;$B$59/2)),$B$182+$B$181*($B$177),NA())</f>
        <v>#N/A</v>
      </c>
      <c r="KJ567" t="e">
        <f>IF(AND($B$21=1,47*$B$67&gt;$B$59,47*$B$67&lt;$B$178-$B$59,OR($B$63=0,ABS(47*$B$67-$B$178/2)&gt;$B$59/2)),$B$183+$B$181*(47*$B$67),NA())</f>
        <v>#N/A</v>
      </c>
    </row>
    <row r="568">
      <c r="K568" t="e">
        <f>NA()</f>
        <v>#N/A</v>
      </c>
      <c r="L568" t="e">
        <f>NA()</f>
        <v>#N/A</v>
      </c>
      <c r="GI568" t="e">
        <f>IF(AND(AND($B$21=1,(38*$B$66)&lt;IF($B$63=1,$B$10-0.2,$B$62)),(38*$B$66)&gt;=$B$118),$B$151+$B$150*(MAX(IF((38*$B$66)&lt;=$B$9,0,((38*$B$66)-$B$9)/$B$8),MIN(($B$5-IF((38*$B$66)&lt;=$B$9,0,((38*$B$66)-$B$9)/$B$8)),$B$120))),NA())</f>
        <v>#N/A</v>
      </c>
      <c r="GJ568" t="e">
        <f>IF(AND(AND($B$21=1,(38*$B$66)&lt;IF($B$63=1,$B$10-0.2,$B$62)),(38*$B$66)&gt;=$B$118),$B$152+$B$150*((38*$B$66)),NA())</f>
        <v>#N/A</v>
      </c>
      <c r="HQ568" t="e">
        <f>NA()</f>
        <v>#N/A</v>
      </c>
      <c r="HR568" t="e">
        <f>NA()</f>
        <v>#N/A</v>
      </c>
      <c r="HS568" t="e">
        <f>NA()</f>
        <v>#N/A</v>
      </c>
      <c r="HT568" t="e">
        <f>NA()</f>
        <v>#N/A</v>
      </c>
      <c r="KI568" t="e">
        <f>NA()</f>
        <v>#N/A</v>
      </c>
      <c r="KJ568" t="e">
        <f>NA()</f>
        <v>#N/A</v>
      </c>
    </row>
    <row r="569">
      <c r="K569" t="e">
        <f>IF(31&lt;=$B$12,$B$133+$B$132*($B$13*31-$B$27/2),NA())</f>
        <v>#N/A</v>
      </c>
      <c r="L569" t="e">
        <f>IF(31&lt;=$B$12,$B$134+$B$132*($B$5-$B$27/2),NA())</f>
        <v>#N/A</v>
      </c>
      <c r="GI569" t="e">
        <f>IF(AND($B$21=1,(38*$B$66)&lt;IF($B$63=1,$B$10-0.2,$B$62)),$B$151+$B$150*(MAX(IF((38*$B$66)&lt;=$B$9,0,((38*$B$66)-$B$9)/$B$8),MIN(($B$5-IF((38*$B$66)&lt;=$B$9,0,((38*$B$66)-$B$9)/$B$8)),IF((38*$B$66)&lt;$B$118,$B$122,$B$120)))),NA())</f>
        <v>#N/A</v>
      </c>
      <c r="GJ569" t="e">
        <f>IF(AND($B$21=1,(38*$B$66)&lt;IF($B$63=1,$B$10-0.2,$B$62)),$B$152+$B$150*((38*$B$66)),NA())</f>
        <v>#N/A</v>
      </c>
      <c r="HQ569" t="e">
        <f>IF(AND(8&lt;=$B$23,5&lt;=$B$24),$B$157+$B$156*((IF(8=1,1,IF(8=$B$23,$B$12,5*(8-1)))-1)*$B$13),NA())</f>
        <v>#N/A</v>
      </c>
      <c r="HR569" t="e">
        <f>IF(AND(8&lt;=$B$23,5&lt;=$B$24),$B$158+$B$156*((1*$B$5/2+(5-1)*($B$5/2)/$B$24)),NA())</f>
        <v>#N/A</v>
      </c>
      <c r="HS569" t="e">
        <f>IF(AND(24&lt;=$B$12,$B$51&gt;0),$B$157+$B$156*(((24-0.5)*$B$13)-($B$51*$B$13)/2),NA())</f>
        <v>#N/A</v>
      </c>
      <c r="HT569" t="e">
        <f>IF(AND(24&lt;=$B$12,$B$51&gt;0),$B$158+$B$156*((1*$B$5/2+0.6*$B$159)),NA())</f>
        <v>#N/A</v>
      </c>
      <c r="KI569" t="e">
        <f>IF(AND($B$21=1,48*$B$67&gt;$B$59,48*$B$67&lt;$B$178-$B$59,OR($B$63=0,ABS(48*$B$67-$B$178/2)&gt;$B$59/2)),$B$182+$B$181*(0),NA())</f>
        <v>#N/A</v>
      </c>
      <c r="KJ569" t="e">
        <f>IF(AND($B$21=1,48*$B$67&gt;$B$59,48*$B$67&lt;$B$178-$B$59,OR($B$63=0,ABS(48*$B$67-$B$178/2)&gt;$B$59/2)),$B$183+$B$181*(48*$B$67),NA())</f>
        <v>#N/A</v>
      </c>
    </row>
    <row r="570">
      <c r="K570" t="e">
        <f>IF(31&lt;=$B$12,$B$133+$B$132*($B$13*31+$B$27/2),NA())</f>
        <v>#N/A</v>
      </c>
      <c r="L570" t="e">
        <f>IF(31&lt;=$B$12,$B$134+$B$132*($B$5-$B$27/2),NA())</f>
        <v>#N/A</v>
      </c>
      <c r="GI570" t="e">
        <f>IF(AND($B$21=1,(38*$B$66)&lt;IF($B$63=1,$B$10-0.2,$B$62)),$B$151+$B$150*(MAX(IF((38*$B$66)&lt;=$B$9,0,((38*$B$66)-$B$9)/$B$8),MIN(($B$5-IF((38*$B$66)&lt;=$B$9,0,((38*$B$66)-$B$9)/$B$8)),IF((38*$B$66)&lt;$B$125,$B$128,$B$127)))),NA())</f>
        <v>#N/A</v>
      </c>
      <c r="GJ570" t="e">
        <f>IF(AND($B$21=1,(38*$B$66)&lt;IF($B$63=1,$B$10-0.2,$B$62)),$B$152+$B$150*((38*$B$66)),NA())</f>
        <v>#N/A</v>
      </c>
      <c r="HQ570" t="e">
        <f>IF(AND(8&lt;=$B$23,5&lt;=$B$24),$B$157+$B$156*(IF(8=1,1,IF(8=$B$23,$B$12,5*(8-1)))*$B$13),NA())</f>
        <v>#N/A</v>
      </c>
      <c r="HR570" t="e">
        <f>IF(AND(8&lt;=$B$23,5&lt;=$B$24),$B$158+$B$156*((1*$B$5/2+5*($B$5/2)/$B$24)),NA())</f>
        <v>#N/A</v>
      </c>
      <c r="HS570" t="e">
        <f>IF(AND(24&lt;=$B$12,$B$51&gt;0),$B$157+$B$156*(((24-0.5)*$B$13)+($B$51*$B$13)/2),NA())</f>
        <v>#N/A</v>
      </c>
      <c r="HT570" t="e">
        <f>IF(AND(24&lt;=$B$12,$B$51&gt;0),$B$158+$B$156*((1*$B$5/2+0.6*$B$159)),NA())</f>
        <v>#N/A</v>
      </c>
      <c r="KI570" t="e">
        <f>IF(AND($B$21=1,48*$B$67&gt;$B$59,48*$B$67&lt;$B$178-$B$59,OR($B$63=0,ABS(48*$B$67-$B$178/2)&gt;$B$59/2)),$B$182+$B$181*($B$177*1/4-$B$60/2),NA())</f>
        <v>#N/A</v>
      </c>
      <c r="KJ570" t="e">
        <f>IF(AND($B$21=1,48*$B$67&gt;$B$59,48*$B$67&lt;$B$178-$B$59,OR($B$63=0,ABS(48*$B$67-$B$178/2)&gt;$B$59/2)),$B$183+$B$181*(48*$B$67),NA())</f>
        <v>#N/A</v>
      </c>
    </row>
    <row r="571">
      <c r="K571" t="e">
        <f>IF(31&lt;=$B$12,$B$133+$B$132*($B$13*31+$B$27/2),NA())</f>
        <v>#N/A</v>
      </c>
      <c r="L571" t="e">
        <f>IF(31&lt;=$B$12,$B$134+$B$132*($B$5+$B$27/2),NA())</f>
        <v>#N/A</v>
      </c>
      <c r="GI571" t="e">
        <f>IF(AND(AND($B$21=1,(38*$B$66)&lt;IF($B$63=1,$B$10-0.2,$B$62)),(38*$B$66)&gt;=$B$125),$B$151+$B$150*(MAX(IF((38*$B$66)&lt;=$B$9,0,((38*$B$66)-$B$9)/$B$8),MIN(($B$5-IF((38*$B$66)&lt;=$B$9,0,((38*$B$66)-$B$9)/$B$8)),$B$127))),NA())</f>
        <v>#N/A</v>
      </c>
      <c r="GJ571" t="e">
        <f>IF(AND(AND($B$21=1,(38*$B$66)&lt;IF($B$63=1,$B$10-0.2,$B$62)),(38*$B$66)&gt;=$B$125),$B$152+$B$150*((38*$B$66)),NA())</f>
        <v>#N/A</v>
      </c>
      <c r="HQ571" t="e">
        <f>NA()</f>
        <v>#N/A</v>
      </c>
      <c r="HR571" t="e">
        <f>NA()</f>
        <v>#N/A</v>
      </c>
      <c r="HS571" t="e">
        <f>IF(AND(24&lt;=$B$12,$B$51&gt;0),$B$157+$B$156*(((24-0.5)*$B$13)+($B$51*$B$13)/2),NA())</f>
        <v>#N/A</v>
      </c>
      <c r="HT571" t="e">
        <f>IF(AND(24&lt;=$B$12,$B$51&gt;0),$B$158+$B$156*((1*$B$5/2+$B$5/2-0.6*$B$159)),NA())</f>
        <v>#N/A</v>
      </c>
      <c r="KI571" t="e">
        <f>NA()</f>
        <v>#N/A</v>
      </c>
      <c r="KJ571" t="e">
        <f>NA()</f>
        <v>#N/A</v>
      </c>
    </row>
    <row r="572">
      <c r="K572" t="e">
        <f>IF(31&lt;=$B$12,$B$133+$B$132*($B$13*31-$B$27/2),NA())</f>
        <v>#N/A</v>
      </c>
      <c r="L572" t="e">
        <f>IF(31&lt;=$B$12,$B$134+$B$132*($B$5+$B$27/2),NA())</f>
        <v>#N/A</v>
      </c>
      <c r="GI572" t="e">
        <f>IF(AND($B$21=1,(38*$B$66)&lt;IF($B$63=1,$B$10-0.2,$B$62)),$B$151+$B$150*(MAX(IF((38*$B$66)&lt;=$B$9,0,((38*$B$66)-$B$9)/$B$8),MIN(($B$5-IF((38*$B$66)&lt;=$B$9,0,((38*$B$66)-$B$9)/$B$8)),IF((38*$B$66)&lt;$B$125,$B$129,$B$127)))),NA())</f>
        <v>#N/A</v>
      </c>
      <c r="GJ572" t="e">
        <f>IF(AND($B$21=1,(38*$B$66)&lt;IF($B$63=1,$B$10-0.2,$B$62)),$B$152+$B$150*((38*$B$66)),NA())</f>
        <v>#N/A</v>
      </c>
      <c r="HQ572" t="e">
        <f>IF(AND(8&lt;=$B$23,5&lt;=$B$24),$B$157+$B$156*((IF(8=1,1,IF(8=$B$23,$B$12,5*(8-1)))-1)*$B$13),NA())</f>
        <v>#N/A</v>
      </c>
      <c r="HR572" t="e">
        <f>IF(AND(8&lt;=$B$23,5&lt;=$B$24),$B$158+$B$156*((1*$B$5/2+5*($B$5/2)/$B$24)),NA())</f>
        <v>#N/A</v>
      </c>
      <c r="HS572" t="e">
        <f>IF(AND(24&lt;=$B$12,$B$51&gt;0),$B$157+$B$156*(((24-0.5)*$B$13)-($B$51*$B$13)/2),NA())</f>
        <v>#N/A</v>
      </c>
      <c r="HT572" t="e">
        <f>IF(AND(24&lt;=$B$12,$B$51&gt;0),$B$158+$B$156*((1*$B$5/2+$B$5/2-0.6*$B$159)),NA())</f>
        <v>#N/A</v>
      </c>
      <c r="KI572" t="e">
        <f>IF(AND($B$21=1,48*$B$67&gt;$B$59,48*$B$67&lt;$B$178-$B$59,OR($B$63=0,ABS(48*$B$67-$B$178/2)&gt;$B$59/2)),$B$182+$B$181*($B$177*1/4+$B$60/2),NA())</f>
        <v>#N/A</v>
      </c>
      <c r="KJ572" t="e">
        <f>IF(AND($B$21=1,48*$B$67&gt;$B$59,48*$B$67&lt;$B$178-$B$59,OR($B$63=0,ABS(48*$B$67-$B$178/2)&gt;$B$59/2)),$B$183+$B$181*(48*$B$67),NA())</f>
        <v>#N/A</v>
      </c>
    </row>
    <row r="573">
      <c r="K573" t="e">
        <f>IF(31&lt;=$B$12,$B$133+$B$132*($B$13*31-$B$27/2),NA())</f>
        <v>#N/A</v>
      </c>
      <c r="L573" t="e">
        <f>IF(31&lt;=$B$12,$B$134+$B$132*($B$5-$B$27/2),NA())</f>
        <v>#N/A</v>
      </c>
      <c r="GI573" t="e">
        <f>IF(AND($B$21=1,(38*$B$66)&lt;IF($B$63=1,$B$10-0.2,$B$62)),$B$151+$B$150*(($B$5-IF((38*$B$66)&lt;=$B$9,0,((38*$B$66)-$B$9)/$B$8))),NA())</f>
        <v>#N/A</v>
      </c>
      <c r="GJ573" t="e">
        <f>IF(AND($B$21=1,(38*$B$66)&lt;IF($B$63=1,$B$10-0.2,$B$62)),$B$152+$B$150*((38*$B$66)),NA())</f>
        <v>#N/A</v>
      </c>
      <c r="HQ573" t="e">
        <f>IF(AND(8&lt;=$B$23,5&lt;=$B$24),$B$157+$B$156*(IF(8=1,1,IF(8=$B$23,$B$12,5*(8-1)))*$B$13),NA())</f>
        <v>#N/A</v>
      </c>
      <c r="HR573" t="e">
        <f>IF(AND(8&lt;=$B$23,5&lt;=$B$24),$B$158+$B$156*((1*$B$5/2+(5-1)*($B$5/2)/$B$24)),NA())</f>
        <v>#N/A</v>
      </c>
      <c r="HS573" t="e">
        <f>IF(AND(24&lt;=$B$12,$B$51&gt;0),$B$157+$B$156*(((24-0.5)*$B$13)-($B$51*$B$13)/2),NA())</f>
        <v>#N/A</v>
      </c>
      <c r="HT573" t="e">
        <f>IF(AND(24&lt;=$B$12,$B$51&gt;0),$B$158+$B$156*((1*$B$5/2+0.6*$B$159)),NA())</f>
        <v>#N/A</v>
      </c>
      <c r="KI573" t="e">
        <f>IF(AND($B$21=1,48*$B$67&gt;$B$59,48*$B$67&lt;$B$178-$B$59,OR($B$63=0,ABS(48*$B$67-$B$178/2)&gt;$B$59/2)),$B$182+$B$181*($B$177*2/4-$B$60/2),NA())</f>
        <v>#N/A</v>
      </c>
      <c r="KJ573" t="e">
        <f>IF(AND($B$21=1,48*$B$67&gt;$B$59,48*$B$67&lt;$B$178-$B$59,OR($B$63=0,ABS(48*$B$67-$B$178/2)&gt;$B$59/2)),$B$183+$B$181*(48*$B$67),NA())</f>
        <v>#N/A</v>
      </c>
    </row>
    <row r="574">
      <c r="K574" t="e">
        <f>NA()</f>
        <v>#N/A</v>
      </c>
      <c r="L574" t="e">
        <f>NA()</f>
        <v>#N/A</v>
      </c>
      <c r="GI574" t="e">
        <f>NA()</f>
        <v>#N/A</v>
      </c>
      <c r="GJ574" t="e">
        <f>NA()</f>
        <v>#N/A</v>
      </c>
      <c r="HQ574" t="e">
        <f>NA()</f>
        <v>#N/A</v>
      </c>
      <c r="HR574" t="e">
        <f>NA()</f>
        <v>#N/A</v>
      </c>
      <c r="HS574" t="e">
        <f>NA()</f>
        <v>#N/A</v>
      </c>
      <c r="HT574" t="e">
        <f>NA()</f>
        <v>#N/A</v>
      </c>
      <c r="KI574" t="e">
        <f>NA()</f>
        <v>#N/A</v>
      </c>
      <c r="KJ574" t="e">
        <f>NA()</f>
        <v>#N/A</v>
      </c>
    </row>
    <row r="575">
      <c r="K575" t="e">
        <f>IF(AND(31&lt;=$B$12,$B$45=1),$B$133+$B$132*($B$13*31-$B$27/2),NA())</f>
        <v>#N/A</v>
      </c>
      <c r="L575" t="e">
        <f>IF(AND(31&lt;=$B$12,$B$45=1),$B$134+$B$132*($B$5/2-$B$27/2),NA())</f>
        <v>#N/A</v>
      </c>
      <c r="GI575" t="e">
        <f>IF(AND($B$21=1,(39*$B$66)&lt;IF($B$63=1,$B$10-0.2,$B$62)),$B$151+$B$150*(IF((39*$B$66)&lt;=$B$9,0,((39*$B$66)-$B$9)/$B$8)),NA())</f>
        <v>#N/A</v>
      </c>
      <c r="GJ575" t="e">
        <f>IF(AND($B$21=1,(39*$B$66)&lt;IF($B$63=1,$B$10-0.2,$B$62)),$B$152+$B$150*((39*$B$66)),NA())</f>
        <v>#N/A</v>
      </c>
      <c r="HQ575" t="e">
        <f>IF(AND(8&lt;=$B$23,6&lt;=$B$24),$B$157+$B$156*((IF(8=1,1,IF(8=$B$23,$B$12,5*(8-1)))-1)*$B$13),NA())</f>
        <v>#N/A</v>
      </c>
      <c r="HR575" t="e">
        <f>IF(AND(8&lt;=$B$23,6&lt;=$B$24),$B$158+$B$156*((1*$B$5/2+(6-1)*($B$5/2)/$B$24)),NA())</f>
        <v>#N/A</v>
      </c>
      <c r="HS575" t="e">
        <f>IF(AND(24&lt;=$B$12,$B$51&gt;0),$B$157+$B$156*(((24-0.5)*$B$13)-($B$51*$B$13)/2),NA())</f>
        <v>#N/A</v>
      </c>
      <c r="HT575" t="e">
        <f>IF(AND(24&lt;=$B$12,$B$51&gt;0),$B$158+$B$156*((1*$B$5/2+0.6*$B$159)),NA())</f>
        <v>#N/A</v>
      </c>
      <c r="KI575" t="e">
        <f>IF(AND($B$21=1,48*$B$67&gt;$B$59,48*$B$67&lt;$B$178-$B$59,OR($B$63=0,ABS(48*$B$67-$B$178/2)&gt;$B$59/2)),$B$182+$B$181*($B$177*2/4+$B$60/2),NA())</f>
        <v>#N/A</v>
      </c>
      <c r="KJ575" t="e">
        <f>IF(AND($B$21=1,48*$B$67&gt;$B$59,48*$B$67&lt;$B$178-$B$59,OR($B$63=0,ABS(48*$B$67-$B$178/2)&gt;$B$59/2)),$B$183+$B$181*(48*$B$67),NA())</f>
        <v>#N/A</v>
      </c>
    </row>
    <row r="576">
      <c r="K576" t="e">
        <f>IF(AND(31&lt;=$B$12,$B$45=1),$B$133+$B$132*($B$13*31+$B$27/2),NA())</f>
        <v>#N/A</v>
      </c>
      <c r="L576" t="e">
        <f>IF(AND(31&lt;=$B$12,$B$45=1),$B$134+$B$132*($B$5/2-$B$27/2),NA())</f>
        <v>#N/A</v>
      </c>
      <c r="GI576" t="e">
        <f>IF(AND($B$21=1,(39*$B$66)&lt;IF($B$63=1,$B$10-0.2,$B$62)),$B$151+$B$150*(MAX(IF((39*$B$66)&lt;=$B$9,0,((39*$B$66)-$B$9)/$B$8),MIN(($B$5-IF((39*$B$66)&lt;=$B$9,0,((39*$B$66)-$B$9)/$B$8)),IF((39*$B$66)&lt;$B$104,$B$107,$B$106)))),NA())</f>
        <v>#N/A</v>
      </c>
      <c r="GJ576" t="e">
        <f>IF(AND($B$21=1,(39*$B$66)&lt;IF($B$63=1,$B$10-0.2,$B$62)),$B$152+$B$150*((39*$B$66)),NA())</f>
        <v>#N/A</v>
      </c>
      <c r="HQ576" t="e">
        <f>IF(AND(8&lt;=$B$23,6&lt;=$B$24),$B$157+$B$156*(IF(8=1,1,IF(8=$B$23,$B$12,5*(8-1)))*$B$13),NA())</f>
        <v>#N/A</v>
      </c>
      <c r="HR576" t="e">
        <f>IF(AND(8&lt;=$B$23,6&lt;=$B$24),$B$158+$B$156*((1*$B$5/2+6*($B$5/2)/$B$24)),NA())</f>
        <v>#N/A</v>
      </c>
      <c r="HS576" t="e">
        <f>IF(AND(24&lt;=$B$12,$B$51&gt;0),$B$157+$B$156*(((24-0.5)*$B$13)+($B$51*$B$13)/2),NA())</f>
        <v>#N/A</v>
      </c>
      <c r="HT576" t="e">
        <f>IF(AND(24&lt;=$B$12,$B$51&gt;0),$B$158+$B$156*((1*$B$5/2+0.6*$B$159)+(((1*$B$5/2+$B$5/2-0.6*$B$159))-((1*$B$5/2+0.6*$B$159)))/4),NA())</f>
        <v>#N/A</v>
      </c>
      <c r="KI576" t="e">
        <f>IF(AND($B$21=1,48*$B$67&gt;$B$59,48*$B$67&lt;$B$178-$B$59,OR($B$63=0,ABS(48*$B$67-$B$178/2)&gt;$B$59/2)),$B$182+$B$181*($B$177*3/4-$B$60/2),NA())</f>
        <v>#N/A</v>
      </c>
      <c r="KJ576" t="e">
        <f>IF(AND($B$21=1,48*$B$67&gt;$B$59,48*$B$67&lt;$B$178-$B$59,OR($B$63=0,ABS(48*$B$67-$B$178/2)&gt;$B$59/2)),$B$183+$B$181*(48*$B$67),NA())</f>
        <v>#N/A</v>
      </c>
    </row>
    <row r="577">
      <c r="K577" t="e">
        <f>IF(AND(31&lt;=$B$12,$B$45=1),$B$133+$B$132*($B$13*31+$B$27/2),NA())</f>
        <v>#N/A</v>
      </c>
      <c r="L577" t="e">
        <f>IF(AND(31&lt;=$B$12,$B$45=1),$B$134+$B$132*($B$5/2+$B$27/2),NA())</f>
        <v>#N/A</v>
      </c>
      <c r="GI577" t="e">
        <f>IF(AND(AND($B$21=1,(39*$B$66)&lt;IF($B$63=1,$B$10-0.2,$B$62)),(39*$B$66)&gt;=$B$104),$B$151+$B$150*(MAX(IF((39*$B$66)&lt;=$B$9,0,((39*$B$66)-$B$9)/$B$8),MIN(($B$5-IF((39*$B$66)&lt;=$B$9,0,((39*$B$66)-$B$9)/$B$8)),$B$106))),NA())</f>
        <v>#N/A</v>
      </c>
      <c r="GJ577" t="e">
        <f>IF(AND(AND($B$21=1,(39*$B$66)&lt;IF($B$63=1,$B$10-0.2,$B$62)),(39*$B$66)&gt;=$B$104),$B$152+$B$150*((39*$B$66)),NA())</f>
        <v>#N/A</v>
      </c>
      <c r="HQ577" t="e">
        <f>NA()</f>
        <v>#N/A</v>
      </c>
      <c r="HR577" t="e">
        <f>NA()</f>
        <v>#N/A</v>
      </c>
      <c r="HS577" t="e">
        <f>IF(AND(24&lt;=$B$12,$B$51&gt;0),$B$157+$B$156*(((24-0.5)*$B$13)-($B$51*$B$13)/2),NA())</f>
        <v>#N/A</v>
      </c>
      <c r="HT577" t="e">
        <f>IF(AND(24&lt;=$B$12,$B$51&gt;0),$B$158+$B$156*((1*$B$5/2+0.6*$B$159)+(((1*$B$5/2+$B$5/2-0.6*$B$159))-((1*$B$5/2+0.6*$B$159)))/2),NA())</f>
        <v>#N/A</v>
      </c>
      <c r="KI577" t="e">
        <f>NA()</f>
        <v>#N/A</v>
      </c>
      <c r="KJ577" t="e">
        <f>NA()</f>
        <v>#N/A</v>
      </c>
    </row>
    <row r="578">
      <c r="K578" t="e">
        <f>IF(AND(31&lt;=$B$12,$B$45=1),$B$133+$B$132*($B$13*31-$B$27/2),NA())</f>
        <v>#N/A</v>
      </c>
      <c r="L578" t="e">
        <f>IF(AND(31&lt;=$B$12,$B$45=1),$B$134+$B$132*($B$5/2+$B$27/2),NA())</f>
        <v>#N/A</v>
      </c>
      <c r="GI578" t="e">
        <f>IF(AND($B$21=1,(39*$B$66)&lt;IF($B$63=1,$B$10-0.2,$B$62)),$B$151+$B$150*(MAX(IF((39*$B$66)&lt;=$B$9,0,((39*$B$66)-$B$9)/$B$8),MIN(($B$5-IF((39*$B$66)&lt;=$B$9,0,((39*$B$66)-$B$9)/$B$8)),IF((39*$B$66)&lt;$B$104,$B$108,$B$106)))),NA())</f>
        <v>#N/A</v>
      </c>
      <c r="GJ578" t="e">
        <f>IF(AND($B$21=1,(39*$B$66)&lt;IF($B$63=1,$B$10-0.2,$B$62)),$B$152+$B$150*((39*$B$66)),NA())</f>
        <v>#N/A</v>
      </c>
      <c r="HQ578" t="e">
        <f>IF(AND(8&lt;=$B$23,6&lt;=$B$24),$B$157+$B$156*((IF(8=1,1,IF(8=$B$23,$B$12,5*(8-1)))-1)*$B$13),NA())</f>
        <v>#N/A</v>
      </c>
      <c r="HR578" t="e">
        <f>IF(AND(8&lt;=$B$23,6&lt;=$B$24),$B$158+$B$156*((1*$B$5/2+6*($B$5/2)/$B$24)),NA())</f>
        <v>#N/A</v>
      </c>
      <c r="HS578" t="e">
        <f>IF(AND(24&lt;=$B$12,$B$51&gt;0),$B$157+$B$156*(((24-0.5)*$B$13)+($B$51*$B$13)/2),NA())</f>
        <v>#N/A</v>
      </c>
      <c r="HT578" t="e">
        <f>IF(AND(24&lt;=$B$12,$B$51&gt;0),$B$158+$B$156*((1*$B$5/2+0.6*$B$159)+3*(((1*$B$5/2+$B$5/2-0.6*$B$159))-((1*$B$5/2+0.6*$B$159)))/4),NA())</f>
        <v>#N/A</v>
      </c>
      <c r="KI578" t="e">
        <f>IF(AND($B$21=1,48*$B$67&gt;$B$59,48*$B$67&lt;$B$178-$B$59,OR($B$63=0,ABS(48*$B$67-$B$178/2)&gt;$B$59/2)),$B$182+$B$181*($B$177*3/4+$B$60/2),NA())</f>
        <v>#N/A</v>
      </c>
      <c r="KJ578" t="e">
        <f>IF(AND($B$21=1,48*$B$67&gt;$B$59,48*$B$67&lt;$B$178-$B$59,OR($B$63=0,ABS(48*$B$67-$B$178/2)&gt;$B$59/2)),$B$183+$B$181*(48*$B$67),NA())</f>
        <v>#N/A</v>
      </c>
    </row>
    <row r="579">
      <c r="K579" t="e">
        <f>IF(AND(31&lt;=$B$12,$B$45=1),$B$133+$B$132*($B$13*31-$B$27/2),NA())</f>
        <v>#N/A</v>
      </c>
      <c r="L579" t="e">
        <f>IF(AND(31&lt;=$B$12,$B$45=1),$B$134+$B$132*($B$5/2-$B$27/2),NA())</f>
        <v>#N/A</v>
      </c>
      <c r="GI579" t="e">
        <f>IF(AND($B$21=1,(39*$B$66)&lt;IF($B$63=1,$B$10-0.2,$B$62)),$B$151+$B$150*(MAX(IF((39*$B$66)&lt;=$B$9,0,((39*$B$66)-$B$9)/$B$8),MIN(($B$5-IF((39*$B$66)&lt;=$B$9,0,((39*$B$66)-$B$9)/$B$8)),IF((39*$B$66)&lt;$B$111,$B$114,$B$113)))),NA())</f>
        <v>#N/A</v>
      </c>
      <c r="GJ579" t="e">
        <f>IF(AND($B$21=1,(39*$B$66)&lt;IF($B$63=1,$B$10-0.2,$B$62)),$B$152+$B$150*((39*$B$66)),NA())</f>
        <v>#N/A</v>
      </c>
      <c r="HQ579" t="e">
        <f>IF(AND(8&lt;=$B$23,6&lt;=$B$24),$B$157+$B$156*(IF(8=1,1,IF(8=$B$23,$B$12,5*(8-1)))*$B$13),NA())</f>
        <v>#N/A</v>
      </c>
      <c r="HR579" t="e">
        <f>IF(AND(8&lt;=$B$23,6&lt;=$B$24),$B$158+$B$156*((1*$B$5/2+(6-1)*($B$5/2)/$B$24)),NA())</f>
        <v>#N/A</v>
      </c>
      <c r="HS579" t="e">
        <f>IF(AND(24&lt;=$B$12,$B$51&gt;0),$B$157+$B$156*(((24-0.5)*$B$13)-($B$51*$B$13)/2),NA())</f>
        <v>#N/A</v>
      </c>
      <c r="HT579" t="e">
        <f>IF(AND(24&lt;=$B$12,$B$51&gt;0),$B$158+$B$156*((1*$B$5/2+$B$5/2-0.6*$B$159)),NA())</f>
        <v>#N/A</v>
      </c>
      <c r="KI579" t="e">
        <f>IF(AND($B$21=1,48*$B$67&gt;$B$59,48*$B$67&lt;$B$178-$B$59,OR($B$63=0,ABS(48*$B$67-$B$178/2)&gt;$B$59/2)),$B$182+$B$181*($B$177),NA())</f>
        <v>#N/A</v>
      </c>
      <c r="KJ579" t="e">
        <f>IF(AND($B$21=1,48*$B$67&gt;$B$59,48*$B$67&lt;$B$178-$B$59,OR($B$63=0,ABS(48*$B$67-$B$178/2)&gt;$B$59/2)),$B$183+$B$181*(48*$B$67),NA())</f>
        <v>#N/A</v>
      </c>
    </row>
    <row r="580">
      <c r="K580" t="e">
        <f>NA()</f>
        <v>#N/A</v>
      </c>
      <c r="L580" t="e">
        <f>NA()</f>
        <v>#N/A</v>
      </c>
      <c r="GI580" t="e">
        <f>IF(AND(AND($B$21=1,(39*$B$66)&lt;IF($B$63=1,$B$10-0.2,$B$62)),(39*$B$66)&gt;=$B$111),$B$151+$B$150*(MAX(IF((39*$B$66)&lt;=$B$9,0,((39*$B$66)-$B$9)/$B$8),MIN(($B$5-IF((39*$B$66)&lt;=$B$9,0,((39*$B$66)-$B$9)/$B$8)),$B$113))),NA())</f>
        <v>#N/A</v>
      </c>
      <c r="GJ580" t="e">
        <f>IF(AND(AND($B$21=1,(39*$B$66)&lt;IF($B$63=1,$B$10-0.2,$B$62)),(39*$B$66)&gt;=$B$111),$B$152+$B$150*((39*$B$66)),NA())</f>
        <v>#N/A</v>
      </c>
      <c r="HQ580" t="e">
        <f>NA()</f>
        <v>#N/A</v>
      </c>
      <c r="HR580" t="e">
        <f>NA()</f>
        <v>#N/A</v>
      </c>
      <c r="HS580" t="e">
        <f>NA()</f>
        <v>#N/A</v>
      </c>
      <c r="HT580" t="e">
        <f>NA()</f>
        <v>#N/A</v>
      </c>
      <c r="KI580" t="e">
        <f>NA()</f>
        <v>#N/A</v>
      </c>
      <c r="KJ580" t="e">
        <f>NA()</f>
        <v>#N/A</v>
      </c>
    </row>
    <row r="581">
      <c r="K581" t="e">
        <f>IF(32&lt;=$B$12,$B$133+$B$132*($B$13*32-$B$27/2),NA())</f>
        <v>#N/A</v>
      </c>
      <c r="L581" t="e">
        <f>IF(32&lt;=$B$12,$B$134+$B$132*(0-$B$27/2),NA())</f>
        <v>#N/A</v>
      </c>
      <c r="GI581" t="e">
        <f>IF(AND($B$21=1,(39*$B$66)&lt;IF($B$63=1,$B$10-0.2,$B$62)),$B$151+$B$150*(MAX(IF((39*$B$66)&lt;=$B$9,0,((39*$B$66)-$B$9)/$B$8),MIN(($B$5-IF((39*$B$66)&lt;=$B$9,0,((39*$B$66)-$B$9)/$B$8)),IF((39*$B$66)&lt;$B$111,$B$115,$B$113)))),NA())</f>
        <v>#N/A</v>
      </c>
      <c r="GJ581" t="e">
        <f>IF(AND($B$21=1,(39*$B$66)&lt;IF($B$63=1,$B$10-0.2,$B$62)),$B$152+$B$150*((39*$B$66)),NA())</f>
        <v>#N/A</v>
      </c>
      <c r="HQ581" t="e">
        <f>IF(AND(9&lt;=$B$23,1&lt;=$B$24),$B$157+$B$156*((IF(9=1,1,IF(9=$B$23,$B$12,5*(9-1)))-1)*$B$13),NA())</f>
        <v>#N/A</v>
      </c>
      <c r="HR581" t="e">
        <f>IF(AND(9&lt;=$B$23,1&lt;=$B$24),$B$158+$B$156*((0*$B$5/2+(1-1)*($B$5/2)/$B$24)),NA())</f>
        <v>#N/A</v>
      </c>
      <c r="HS581" t="e">
        <f>IF(AND(25&lt;=$B$12,$B$51&gt;0),$B$157+$B$156*(((25-0.5)*$B$13)-($B$51*$B$13)/2),NA())</f>
        <v>#N/A</v>
      </c>
      <c r="HT581" t="e">
        <f>IF(AND(25&lt;=$B$12,$B$51&gt;0),$B$158+$B$156*((0*$B$5/2+0.6*$B$159)),NA())</f>
        <v>#N/A</v>
      </c>
      <c r="KI581" t="e">
        <f>IF(AND($B$21=1,49*$B$67&gt;$B$59,49*$B$67&lt;$B$178-$B$59,OR($B$63=0,ABS(49*$B$67-$B$178/2)&gt;$B$59/2)),$B$182+$B$181*(0),NA())</f>
        <v>#N/A</v>
      </c>
      <c r="KJ581" t="e">
        <f>IF(AND($B$21=1,49*$B$67&gt;$B$59,49*$B$67&lt;$B$178-$B$59,OR($B$63=0,ABS(49*$B$67-$B$178/2)&gt;$B$59/2)),$B$183+$B$181*(49*$B$67),NA())</f>
        <v>#N/A</v>
      </c>
    </row>
    <row r="582">
      <c r="K582" t="e">
        <f>IF(32&lt;=$B$12,$B$133+$B$132*($B$13*32+$B$27/2),NA())</f>
        <v>#N/A</v>
      </c>
      <c r="L582" t="e">
        <f>IF(32&lt;=$B$12,$B$134+$B$132*(0-$B$27/2),NA())</f>
        <v>#N/A</v>
      </c>
      <c r="GI582" t="e">
        <f>IF(AND($B$21=1,(39*$B$66)&lt;IF($B$63=1,$B$10-0.2,$B$62)),$B$151+$B$150*(MAX(IF((39*$B$66)&lt;=$B$9,0,((39*$B$66)-$B$9)/$B$8),MIN(($B$5-IF((39*$B$66)&lt;=$B$9,0,((39*$B$66)-$B$9)/$B$8)),IF((39*$B$66)&lt;$B$118,$B$121,$B$120)))),NA())</f>
        <v>#N/A</v>
      </c>
      <c r="GJ582" t="e">
        <f>IF(AND($B$21=1,(39*$B$66)&lt;IF($B$63=1,$B$10-0.2,$B$62)),$B$152+$B$150*((39*$B$66)),NA())</f>
        <v>#N/A</v>
      </c>
      <c r="HQ582" t="e">
        <f>IF(AND(9&lt;=$B$23,1&lt;=$B$24),$B$157+$B$156*(IF(9=1,1,IF(9=$B$23,$B$12,5*(9-1)))*$B$13),NA())</f>
        <v>#N/A</v>
      </c>
      <c r="HR582" t="e">
        <f>IF(AND(9&lt;=$B$23,1&lt;=$B$24),$B$158+$B$156*((0*$B$5/2+1*($B$5/2)/$B$24)),NA())</f>
        <v>#N/A</v>
      </c>
      <c r="HS582" t="e">
        <f>IF(AND(25&lt;=$B$12,$B$51&gt;0),$B$157+$B$156*(((25-0.5)*$B$13)+($B$51*$B$13)/2),NA())</f>
        <v>#N/A</v>
      </c>
      <c r="HT582" t="e">
        <f>IF(AND(25&lt;=$B$12,$B$51&gt;0),$B$158+$B$156*((0*$B$5/2+0.6*$B$159)),NA())</f>
        <v>#N/A</v>
      </c>
      <c r="KI582" t="e">
        <f>IF(AND($B$21=1,49*$B$67&gt;$B$59,49*$B$67&lt;$B$178-$B$59,OR($B$63=0,ABS(49*$B$67-$B$178/2)&gt;$B$59/2)),$B$182+$B$181*($B$177*1/4-$B$60/2),NA())</f>
        <v>#N/A</v>
      </c>
      <c r="KJ582" t="e">
        <f>IF(AND($B$21=1,49*$B$67&gt;$B$59,49*$B$67&lt;$B$178-$B$59,OR($B$63=0,ABS(49*$B$67-$B$178/2)&gt;$B$59/2)),$B$183+$B$181*(49*$B$67),NA())</f>
        <v>#N/A</v>
      </c>
    </row>
    <row r="583">
      <c r="K583" t="e">
        <f>IF(32&lt;=$B$12,$B$133+$B$132*($B$13*32+$B$27/2),NA())</f>
        <v>#N/A</v>
      </c>
      <c r="L583" t="e">
        <f>IF(32&lt;=$B$12,$B$134+$B$132*(0+$B$27/2),NA())</f>
        <v>#N/A</v>
      </c>
      <c r="GI583" t="e">
        <f>IF(AND(AND($B$21=1,(39*$B$66)&lt;IF($B$63=1,$B$10-0.2,$B$62)),(39*$B$66)&gt;=$B$118),$B$151+$B$150*(MAX(IF((39*$B$66)&lt;=$B$9,0,((39*$B$66)-$B$9)/$B$8),MIN(($B$5-IF((39*$B$66)&lt;=$B$9,0,((39*$B$66)-$B$9)/$B$8)),$B$120))),NA())</f>
        <v>#N/A</v>
      </c>
      <c r="GJ583" t="e">
        <f>IF(AND(AND($B$21=1,(39*$B$66)&lt;IF($B$63=1,$B$10-0.2,$B$62)),(39*$B$66)&gt;=$B$118),$B$152+$B$150*((39*$B$66)),NA())</f>
        <v>#N/A</v>
      </c>
      <c r="HQ583" t="e">
        <f>NA()</f>
        <v>#N/A</v>
      </c>
      <c r="HR583" t="e">
        <f>NA()</f>
        <v>#N/A</v>
      </c>
      <c r="HS583" t="e">
        <f>IF(AND(25&lt;=$B$12,$B$51&gt;0),$B$157+$B$156*(((25-0.5)*$B$13)+($B$51*$B$13)/2),NA())</f>
        <v>#N/A</v>
      </c>
      <c r="HT583" t="e">
        <f>IF(AND(25&lt;=$B$12,$B$51&gt;0),$B$158+$B$156*((0*$B$5/2+$B$5/2-0.6*$B$159)),NA())</f>
        <v>#N/A</v>
      </c>
      <c r="KI583" t="e">
        <f>NA()</f>
        <v>#N/A</v>
      </c>
      <c r="KJ583" t="e">
        <f>NA()</f>
        <v>#N/A</v>
      </c>
    </row>
    <row r="584">
      <c r="K584" t="e">
        <f>IF(32&lt;=$B$12,$B$133+$B$132*($B$13*32-$B$27/2),NA())</f>
        <v>#N/A</v>
      </c>
      <c r="L584" t="e">
        <f>IF(32&lt;=$B$12,$B$134+$B$132*(0+$B$27/2),NA())</f>
        <v>#N/A</v>
      </c>
      <c r="GI584" t="e">
        <f>IF(AND($B$21=1,(39*$B$66)&lt;IF($B$63=1,$B$10-0.2,$B$62)),$B$151+$B$150*(MAX(IF((39*$B$66)&lt;=$B$9,0,((39*$B$66)-$B$9)/$B$8),MIN(($B$5-IF((39*$B$66)&lt;=$B$9,0,((39*$B$66)-$B$9)/$B$8)),IF((39*$B$66)&lt;$B$118,$B$122,$B$120)))),NA())</f>
        <v>#N/A</v>
      </c>
      <c r="GJ584" t="e">
        <f>IF(AND($B$21=1,(39*$B$66)&lt;IF($B$63=1,$B$10-0.2,$B$62)),$B$152+$B$150*((39*$B$66)),NA())</f>
        <v>#N/A</v>
      </c>
      <c r="HQ584" t="e">
        <f>IF(AND(9&lt;=$B$23,1&lt;=$B$24),$B$157+$B$156*((IF(9=1,1,IF(9=$B$23,$B$12,5*(9-1)))-1)*$B$13),NA())</f>
        <v>#N/A</v>
      </c>
      <c r="HR584" t="e">
        <f>IF(AND(9&lt;=$B$23,1&lt;=$B$24),$B$158+$B$156*((0*$B$5/2+1*($B$5/2)/$B$24)),NA())</f>
        <v>#N/A</v>
      </c>
      <c r="HS584" t="e">
        <f>IF(AND(25&lt;=$B$12,$B$51&gt;0),$B$157+$B$156*(((25-0.5)*$B$13)-($B$51*$B$13)/2),NA())</f>
        <v>#N/A</v>
      </c>
      <c r="HT584" t="e">
        <f>IF(AND(25&lt;=$B$12,$B$51&gt;0),$B$158+$B$156*((0*$B$5/2+$B$5/2-0.6*$B$159)),NA())</f>
        <v>#N/A</v>
      </c>
      <c r="KI584" t="e">
        <f>IF(AND($B$21=1,49*$B$67&gt;$B$59,49*$B$67&lt;$B$178-$B$59,OR($B$63=0,ABS(49*$B$67-$B$178/2)&gt;$B$59/2)),$B$182+$B$181*($B$177*1/4+$B$60/2),NA())</f>
        <v>#N/A</v>
      </c>
      <c r="KJ584" t="e">
        <f>IF(AND($B$21=1,49*$B$67&gt;$B$59,49*$B$67&lt;$B$178-$B$59,OR($B$63=0,ABS(49*$B$67-$B$178/2)&gt;$B$59/2)),$B$183+$B$181*(49*$B$67),NA())</f>
        <v>#N/A</v>
      </c>
    </row>
    <row r="585">
      <c r="K585" t="e">
        <f>IF(32&lt;=$B$12,$B$133+$B$132*($B$13*32-$B$27/2),NA())</f>
        <v>#N/A</v>
      </c>
      <c r="L585" t="e">
        <f>IF(32&lt;=$B$12,$B$134+$B$132*(0-$B$27/2),NA())</f>
        <v>#N/A</v>
      </c>
      <c r="GI585" t="e">
        <f>IF(AND($B$21=1,(39*$B$66)&lt;IF($B$63=1,$B$10-0.2,$B$62)),$B$151+$B$150*(MAX(IF((39*$B$66)&lt;=$B$9,0,((39*$B$66)-$B$9)/$B$8),MIN(($B$5-IF((39*$B$66)&lt;=$B$9,0,((39*$B$66)-$B$9)/$B$8)),IF((39*$B$66)&lt;$B$125,$B$128,$B$127)))),NA())</f>
        <v>#N/A</v>
      </c>
      <c r="GJ585" t="e">
        <f>IF(AND($B$21=1,(39*$B$66)&lt;IF($B$63=1,$B$10-0.2,$B$62)),$B$152+$B$150*((39*$B$66)),NA())</f>
        <v>#N/A</v>
      </c>
      <c r="HQ585" t="e">
        <f>IF(AND(9&lt;=$B$23,1&lt;=$B$24),$B$157+$B$156*(IF(9=1,1,IF(9=$B$23,$B$12,5*(9-1)))*$B$13),NA())</f>
        <v>#N/A</v>
      </c>
      <c r="HR585" t="e">
        <f>IF(AND(9&lt;=$B$23,1&lt;=$B$24),$B$158+$B$156*((0*$B$5/2+(1-1)*($B$5/2)/$B$24)),NA())</f>
        <v>#N/A</v>
      </c>
      <c r="HS585" t="e">
        <f>IF(AND(25&lt;=$B$12,$B$51&gt;0),$B$157+$B$156*(((25-0.5)*$B$13)-($B$51*$B$13)/2),NA())</f>
        <v>#N/A</v>
      </c>
      <c r="HT585" t="e">
        <f>IF(AND(25&lt;=$B$12,$B$51&gt;0),$B$158+$B$156*((0*$B$5/2+0.6*$B$159)),NA())</f>
        <v>#N/A</v>
      </c>
      <c r="KI585" t="e">
        <f>IF(AND($B$21=1,49*$B$67&gt;$B$59,49*$B$67&lt;$B$178-$B$59,OR($B$63=0,ABS(49*$B$67-$B$178/2)&gt;$B$59/2)),$B$182+$B$181*($B$177*2/4-$B$60/2),NA())</f>
        <v>#N/A</v>
      </c>
      <c r="KJ585" t="e">
        <f>IF(AND($B$21=1,49*$B$67&gt;$B$59,49*$B$67&lt;$B$178-$B$59,OR($B$63=0,ABS(49*$B$67-$B$178/2)&gt;$B$59/2)),$B$183+$B$181*(49*$B$67),NA())</f>
        <v>#N/A</v>
      </c>
    </row>
    <row r="586">
      <c r="K586" t="e">
        <f>NA()</f>
        <v>#N/A</v>
      </c>
      <c r="L586" t="e">
        <f>NA()</f>
        <v>#N/A</v>
      </c>
      <c r="GI586" t="e">
        <f>IF(AND(AND($B$21=1,(39*$B$66)&lt;IF($B$63=1,$B$10-0.2,$B$62)),(39*$B$66)&gt;=$B$125),$B$151+$B$150*(MAX(IF((39*$B$66)&lt;=$B$9,0,((39*$B$66)-$B$9)/$B$8),MIN(($B$5-IF((39*$B$66)&lt;=$B$9,0,((39*$B$66)-$B$9)/$B$8)),$B$127))),NA())</f>
        <v>#N/A</v>
      </c>
      <c r="GJ586" t="e">
        <f>IF(AND(AND($B$21=1,(39*$B$66)&lt;IF($B$63=1,$B$10-0.2,$B$62)),(39*$B$66)&gt;=$B$125),$B$152+$B$150*((39*$B$66)),NA())</f>
        <v>#N/A</v>
      </c>
      <c r="HQ586" t="e">
        <f>NA()</f>
        <v>#N/A</v>
      </c>
      <c r="HR586" t="e">
        <f>NA()</f>
        <v>#N/A</v>
      </c>
      <c r="HS586" t="e">
        <f>NA()</f>
        <v>#N/A</v>
      </c>
      <c r="HT586" t="e">
        <f>NA()</f>
        <v>#N/A</v>
      </c>
      <c r="KI586" t="e">
        <f>NA()</f>
        <v>#N/A</v>
      </c>
      <c r="KJ586" t="e">
        <f>NA()</f>
        <v>#N/A</v>
      </c>
    </row>
    <row r="587">
      <c r="K587" t="e">
        <f>IF(32&lt;=$B$12,$B$133+$B$132*($B$13*32-$B$27/2),NA())</f>
        <v>#N/A</v>
      </c>
      <c r="L587" t="e">
        <f>IF(32&lt;=$B$12,$B$134+$B$132*($B$5-$B$27/2),NA())</f>
        <v>#N/A</v>
      </c>
      <c r="GI587" t="e">
        <f>IF(AND($B$21=1,(39*$B$66)&lt;IF($B$63=1,$B$10-0.2,$B$62)),$B$151+$B$150*(MAX(IF((39*$B$66)&lt;=$B$9,0,((39*$B$66)-$B$9)/$B$8),MIN(($B$5-IF((39*$B$66)&lt;=$B$9,0,((39*$B$66)-$B$9)/$B$8)),IF((39*$B$66)&lt;$B$125,$B$129,$B$127)))),NA())</f>
        <v>#N/A</v>
      </c>
      <c r="GJ587" t="e">
        <f>IF(AND($B$21=1,(39*$B$66)&lt;IF($B$63=1,$B$10-0.2,$B$62)),$B$152+$B$150*((39*$B$66)),NA())</f>
        <v>#N/A</v>
      </c>
      <c r="HQ587" t="e">
        <f>IF(AND(9&lt;=$B$23,2&lt;=$B$24),$B$157+$B$156*((IF(9=1,1,IF(9=$B$23,$B$12,5*(9-1)))-1)*$B$13),NA())</f>
        <v>#N/A</v>
      </c>
      <c r="HR587" t="e">
        <f>IF(AND(9&lt;=$B$23,2&lt;=$B$24),$B$158+$B$156*((0*$B$5/2+(2-1)*($B$5/2)/$B$24)),NA())</f>
        <v>#N/A</v>
      </c>
      <c r="HS587" t="e">
        <f>IF(AND(25&lt;=$B$12,$B$51&gt;0),$B$157+$B$156*(((25-0.5)*$B$13)-($B$51*$B$13)/2),NA())</f>
        <v>#N/A</v>
      </c>
      <c r="HT587" t="e">
        <f>IF(AND(25&lt;=$B$12,$B$51&gt;0),$B$158+$B$156*((0*$B$5/2+0.6*$B$159)),NA())</f>
        <v>#N/A</v>
      </c>
      <c r="KI587" t="e">
        <f>IF(AND($B$21=1,49*$B$67&gt;$B$59,49*$B$67&lt;$B$178-$B$59,OR($B$63=0,ABS(49*$B$67-$B$178/2)&gt;$B$59/2)),$B$182+$B$181*($B$177*2/4+$B$60/2),NA())</f>
        <v>#N/A</v>
      </c>
      <c r="KJ587" t="e">
        <f>IF(AND($B$21=1,49*$B$67&gt;$B$59,49*$B$67&lt;$B$178-$B$59,OR($B$63=0,ABS(49*$B$67-$B$178/2)&gt;$B$59/2)),$B$183+$B$181*(49*$B$67),NA())</f>
        <v>#N/A</v>
      </c>
    </row>
    <row r="588">
      <c r="K588" t="e">
        <f>IF(32&lt;=$B$12,$B$133+$B$132*($B$13*32+$B$27/2),NA())</f>
        <v>#N/A</v>
      </c>
      <c r="L588" t="e">
        <f>IF(32&lt;=$B$12,$B$134+$B$132*($B$5-$B$27/2),NA())</f>
        <v>#N/A</v>
      </c>
      <c r="GI588" t="e">
        <f>IF(AND($B$21=1,(39*$B$66)&lt;IF($B$63=1,$B$10-0.2,$B$62)),$B$151+$B$150*(($B$5-IF((39*$B$66)&lt;=$B$9,0,((39*$B$66)-$B$9)/$B$8))),NA())</f>
        <v>#N/A</v>
      </c>
      <c r="GJ588" t="e">
        <f>IF(AND($B$21=1,(39*$B$66)&lt;IF($B$63=1,$B$10-0.2,$B$62)),$B$152+$B$150*((39*$B$66)),NA())</f>
        <v>#N/A</v>
      </c>
      <c r="HQ588" t="e">
        <f>IF(AND(9&lt;=$B$23,2&lt;=$B$24),$B$157+$B$156*(IF(9=1,1,IF(9=$B$23,$B$12,5*(9-1)))*$B$13),NA())</f>
        <v>#N/A</v>
      </c>
      <c r="HR588" t="e">
        <f>IF(AND(9&lt;=$B$23,2&lt;=$B$24),$B$158+$B$156*((0*$B$5/2+2*($B$5/2)/$B$24)),NA())</f>
        <v>#N/A</v>
      </c>
      <c r="HS588" t="e">
        <f>IF(AND(25&lt;=$B$12,$B$51&gt;0),$B$157+$B$156*(((25-0.5)*$B$13)+($B$51*$B$13)/2),NA())</f>
        <v>#N/A</v>
      </c>
      <c r="HT588" t="e">
        <f>IF(AND(25&lt;=$B$12,$B$51&gt;0),$B$158+$B$156*((0*$B$5/2+0.6*$B$159)+(((0*$B$5/2+$B$5/2-0.6*$B$159))-((0*$B$5/2+0.6*$B$159)))/4),NA())</f>
        <v>#N/A</v>
      </c>
      <c r="KI588" t="e">
        <f>IF(AND($B$21=1,49*$B$67&gt;$B$59,49*$B$67&lt;$B$178-$B$59,OR($B$63=0,ABS(49*$B$67-$B$178/2)&gt;$B$59/2)),$B$182+$B$181*($B$177*3/4-$B$60/2),NA())</f>
        <v>#N/A</v>
      </c>
      <c r="KJ588" t="e">
        <f>IF(AND($B$21=1,49*$B$67&gt;$B$59,49*$B$67&lt;$B$178-$B$59,OR($B$63=0,ABS(49*$B$67-$B$178/2)&gt;$B$59/2)),$B$183+$B$181*(49*$B$67),NA())</f>
        <v>#N/A</v>
      </c>
    </row>
    <row r="589">
      <c r="K589" t="e">
        <f>IF(32&lt;=$B$12,$B$133+$B$132*($B$13*32+$B$27/2),NA())</f>
        <v>#N/A</v>
      </c>
      <c r="L589" t="e">
        <f>IF(32&lt;=$B$12,$B$134+$B$132*($B$5+$B$27/2),NA())</f>
        <v>#N/A</v>
      </c>
      <c r="GI589" t="e">
        <f>NA()</f>
        <v>#N/A</v>
      </c>
      <c r="GJ589" t="e">
        <f>NA()</f>
        <v>#N/A</v>
      </c>
      <c r="HQ589" t="e">
        <f>NA()</f>
        <v>#N/A</v>
      </c>
      <c r="HR589" t="e">
        <f>NA()</f>
        <v>#N/A</v>
      </c>
      <c r="HS589" t="e">
        <f>IF(AND(25&lt;=$B$12,$B$51&gt;0),$B$157+$B$156*(((25-0.5)*$B$13)-($B$51*$B$13)/2),NA())</f>
        <v>#N/A</v>
      </c>
      <c r="HT589" t="e">
        <f>IF(AND(25&lt;=$B$12,$B$51&gt;0),$B$158+$B$156*((0*$B$5/2+0.6*$B$159)+(((0*$B$5/2+$B$5/2-0.6*$B$159))-((0*$B$5/2+0.6*$B$159)))/2),NA())</f>
        <v>#N/A</v>
      </c>
      <c r="KI589" t="e">
        <f>NA()</f>
        <v>#N/A</v>
      </c>
      <c r="KJ589" t="e">
        <f>NA()</f>
        <v>#N/A</v>
      </c>
    </row>
    <row r="590">
      <c r="K590" t="e">
        <f>IF(32&lt;=$B$12,$B$133+$B$132*($B$13*32-$B$27/2),NA())</f>
        <v>#N/A</v>
      </c>
      <c r="L590" t="e">
        <f>IF(32&lt;=$B$12,$B$134+$B$132*($B$5+$B$27/2),NA())</f>
        <v>#N/A</v>
      </c>
      <c r="GI590" t="e">
        <f>IF(AND($B$21=1,(40*$B$66)&lt;IF($B$63=1,$B$10-0.2,$B$62)),$B$151+$B$150*(IF((40*$B$66)&lt;=$B$9,0,((40*$B$66)-$B$9)/$B$8)),NA())</f>
        <v>#N/A</v>
      </c>
      <c r="GJ590" t="e">
        <f>IF(AND($B$21=1,(40*$B$66)&lt;IF($B$63=1,$B$10-0.2,$B$62)),$B$152+$B$150*((40*$B$66)),NA())</f>
        <v>#N/A</v>
      </c>
      <c r="HQ590" t="e">
        <f>IF(AND(9&lt;=$B$23,2&lt;=$B$24),$B$157+$B$156*((IF(9=1,1,IF(9=$B$23,$B$12,5*(9-1)))-1)*$B$13),NA())</f>
        <v>#N/A</v>
      </c>
      <c r="HR590" t="e">
        <f>IF(AND(9&lt;=$B$23,2&lt;=$B$24),$B$158+$B$156*((0*$B$5/2+2*($B$5/2)/$B$24)),NA())</f>
        <v>#N/A</v>
      </c>
      <c r="HS590" t="e">
        <f>IF(AND(25&lt;=$B$12,$B$51&gt;0),$B$157+$B$156*(((25-0.5)*$B$13)+($B$51*$B$13)/2),NA())</f>
        <v>#N/A</v>
      </c>
      <c r="HT590" t="e">
        <f>IF(AND(25&lt;=$B$12,$B$51&gt;0),$B$158+$B$156*((0*$B$5/2+0.6*$B$159)+3*(((0*$B$5/2+$B$5/2-0.6*$B$159))-((0*$B$5/2+0.6*$B$159)))/4),NA())</f>
        <v>#N/A</v>
      </c>
      <c r="KI590" t="e">
        <f>IF(AND($B$21=1,49*$B$67&gt;$B$59,49*$B$67&lt;$B$178-$B$59,OR($B$63=0,ABS(49*$B$67-$B$178/2)&gt;$B$59/2)),$B$182+$B$181*($B$177*3/4+$B$60/2),NA())</f>
        <v>#N/A</v>
      </c>
      <c r="KJ590" t="e">
        <f>IF(AND($B$21=1,49*$B$67&gt;$B$59,49*$B$67&lt;$B$178-$B$59,OR($B$63=0,ABS(49*$B$67-$B$178/2)&gt;$B$59/2)),$B$183+$B$181*(49*$B$67),NA())</f>
        <v>#N/A</v>
      </c>
    </row>
    <row r="591">
      <c r="K591" t="e">
        <f>IF(32&lt;=$B$12,$B$133+$B$132*($B$13*32-$B$27/2),NA())</f>
        <v>#N/A</v>
      </c>
      <c r="L591" t="e">
        <f>IF(32&lt;=$B$12,$B$134+$B$132*($B$5-$B$27/2),NA())</f>
        <v>#N/A</v>
      </c>
      <c r="GI591" t="e">
        <f>IF(AND($B$21=1,(40*$B$66)&lt;IF($B$63=1,$B$10-0.2,$B$62)),$B$151+$B$150*(MAX(IF((40*$B$66)&lt;=$B$9,0,((40*$B$66)-$B$9)/$B$8),MIN(($B$5-IF((40*$B$66)&lt;=$B$9,0,((40*$B$66)-$B$9)/$B$8)),IF((40*$B$66)&lt;$B$104,$B$107,$B$106)))),NA())</f>
        <v>#N/A</v>
      </c>
      <c r="GJ591" t="e">
        <f>IF(AND($B$21=1,(40*$B$66)&lt;IF($B$63=1,$B$10-0.2,$B$62)),$B$152+$B$150*((40*$B$66)),NA())</f>
        <v>#N/A</v>
      </c>
      <c r="HQ591" t="e">
        <f>IF(AND(9&lt;=$B$23,2&lt;=$B$24),$B$157+$B$156*(IF(9=1,1,IF(9=$B$23,$B$12,5*(9-1)))*$B$13),NA())</f>
        <v>#N/A</v>
      </c>
      <c r="HR591" t="e">
        <f>IF(AND(9&lt;=$B$23,2&lt;=$B$24),$B$158+$B$156*((0*$B$5/2+(2-1)*($B$5/2)/$B$24)),NA())</f>
        <v>#N/A</v>
      </c>
      <c r="HS591" t="e">
        <f>IF(AND(25&lt;=$B$12,$B$51&gt;0),$B$157+$B$156*(((25-0.5)*$B$13)-($B$51*$B$13)/2),NA())</f>
        <v>#N/A</v>
      </c>
      <c r="HT591" t="e">
        <f>IF(AND(25&lt;=$B$12,$B$51&gt;0),$B$158+$B$156*((0*$B$5/2+$B$5/2-0.6*$B$159)),NA())</f>
        <v>#N/A</v>
      </c>
      <c r="KI591" t="e">
        <f>IF(AND($B$21=1,49*$B$67&gt;$B$59,49*$B$67&lt;$B$178-$B$59,OR($B$63=0,ABS(49*$B$67-$B$178/2)&gt;$B$59/2)),$B$182+$B$181*($B$177),NA())</f>
        <v>#N/A</v>
      </c>
      <c r="KJ591" t="e">
        <f>IF(AND($B$21=1,49*$B$67&gt;$B$59,49*$B$67&lt;$B$178-$B$59,OR($B$63=0,ABS(49*$B$67-$B$178/2)&gt;$B$59/2)),$B$183+$B$181*(49*$B$67),NA())</f>
        <v>#N/A</v>
      </c>
    </row>
    <row r="592">
      <c r="K592" t="e">
        <f>NA()</f>
        <v>#N/A</v>
      </c>
      <c r="L592" t="e">
        <f>NA()</f>
        <v>#N/A</v>
      </c>
      <c r="GI592" t="e">
        <f>IF(AND(AND($B$21=1,(40*$B$66)&lt;IF($B$63=1,$B$10-0.2,$B$62)),(40*$B$66)&gt;=$B$104),$B$151+$B$150*(MAX(IF((40*$B$66)&lt;=$B$9,0,((40*$B$66)-$B$9)/$B$8),MIN(($B$5-IF((40*$B$66)&lt;=$B$9,0,((40*$B$66)-$B$9)/$B$8)),$B$106))),NA())</f>
        <v>#N/A</v>
      </c>
      <c r="GJ592" t="e">
        <f>IF(AND(AND($B$21=1,(40*$B$66)&lt;IF($B$63=1,$B$10-0.2,$B$62)),(40*$B$66)&gt;=$B$104),$B$152+$B$150*((40*$B$66)),NA())</f>
        <v>#N/A</v>
      </c>
      <c r="HQ592" t="e">
        <f>NA()</f>
        <v>#N/A</v>
      </c>
      <c r="HR592" t="e">
        <f>NA()</f>
        <v>#N/A</v>
      </c>
      <c r="HS592" t="e">
        <f>NA()</f>
        <v>#N/A</v>
      </c>
      <c r="HT592" t="e">
        <f>NA()</f>
        <v>#N/A</v>
      </c>
      <c r="KI592" t="e">
        <f>NA()</f>
        <v>#N/A</v>
      </c>
      <c r="KJ592" t="e">
        <f>NA()</f>
        <v>#N/A</v>
      </c>
    </row>
    <row r="593">
      <c r="K593" t="e">
        <f>IF(AND(32&lt;=$B$12,$B$45=1),$B$133+$B$132*($B$13*32-$B$27/2),NA())</f>
        <v>#N/A</v>
      </c>
      <c r="L593" t="e">
        <f>IF(AND(32&lt;=$B$12,$B$45=1),$B$134+$B$132*($B$5/2-$B$27/2),NA())</f>
        <v>#N/A</v>
      </c>
      <c r="GI593" t="e">
        <f>IF(AND($B$21=1,(40*$B$66)&lt;IF($B$63=1,$B$10-0.2,$B$62)),$B$151+$B$150*(MAX(IF((40*$B$66)&lt;=$B$9,0,((40*$B$66)-$B$9)/$B$8),MIN(($B$5-IF((40*$B$66)&lt;=$B$9,0,((40*$B$66)-$B$9)/$B$8)),IF((40*$B$66)&lt;$B$104,$B$108,$B$106)))),NA())</f>
        <v>#N/A</v>
      </c>
      <c r="GJ593" t="e">
        <f>IF(AND($B$21=1,(40*$B$66)&lt;IF($B$63=1,$B$10-0.2,$B$62)),$B$152+$B$150*((40*$B$66)),NA())</f>
        <v>#N/A</v>
      </c>
      <c r="HQ593" t="e">
        <f>IF(AND(9&lt;=$B$23,3&lt;=$B$24),$B$157+$B$156*((IF(9=1,1,IF(9=$B$23,$B$12,5*(9-1)))-1)*$B$13),NA())</f>
        <v>#N/A</v>
      </c>
      <c r="HR593" t="e">
        <f>IF(AND(9&lt;=$B$23,3&lt;=$B$24),$B$158+$B$156*((0*$B$5/2+(3-1)*($B$5/2)/$B$24)),NA())</f>
        <v>#N/A</v>
      </c>
      <c r="HS593" t="e">
        <f>IF(AND(25&lt;=$B$12,$B$51&gt;0),$B$157+$B$156*(((25-0.5)*$B$13)-($B$51*$B$13)/2),NA())</f>
        <v>#N/A</v>
      </c>
      <c r="HT593" t="e">
        <f>IF(AND(25&lt;=$B$12,$B$51&gt;0),$B$158+$B$156*((1*$B$5/2+0.6*$B$159)),NA())</f>
        <v>#N/A</v>
      </c>
      <c r="KI593" t="e">
        <f>IF(AND($B$21=1,50*$B$67&gt;$B$59,50*$B$67&lt;$B$178-$B$59,OR($B$63=0,ABS(50*$B$67-$B$178/2)&gt;$B$59/2)),$B$182+$B$181*(0),NA())</f>
        <v>#N/A</v>
      </c>
      <c r="KJ593" t="e">
        <f>IF(AND($B$21=1,50*$B$67&gt;$B$59,50*$B$67&lt;$B$178-$B$59,OR($B$63=0,ABS(50*$B$67-$B$178/2)&gt;$B$59/2)),$B$183+$B$181*(50*$B$67),NA())</f>
        <v>#N/A</v>
      </c>
    </row>
    <row r="594">
      <c r="K594" t="e">
        <f>IF(AND(32&lt;=$B$12,$B$45=1),$B$133+$B$132*($B$13*32+$B$27/2),NA())</f>
        <v>#N/A</v>
      </c>
      <c r="L594" t="e">
        <f>IF(AND(32&lt;=$B$12,$B$45=1),$B$134+$B$132*($B$5/2-$B$27/2),NA())</f>
        <v>#N/A</v>
      </c>
      <c r="GI594" t="e">
        <f>IF(AND($B$21=1,(40*$B$66)&lt;IF($B$63=1,$B$10-0.2,$B$62)),$B$151+$B$150*(MAX(IF((40*$B$66)&lt;=$B$9,0,((40*$B$66)-$B$9)/$B$8),MIN(($B$5-IF((40*$B$66)&lt;=$B$9,0,((40*$B$66)-$B$9)/$B$8)),IF((40*$B$66)&lt;$B$111,$B$114,$B$113)))),NA())</f>
        <v>#N/A</v>
      </c>
      <c r="GJ594" t="e">
        <f>IF(AND($B$21=1,(40*$B$66)&lt;IF($B$63=1,$B$10-0.2,$B$62)),$B$152+$B$150*((40*$B$66)),NA())</f>
        <v>#N/A</v>
      </c>
      <c r="HQ594" t="e">
        <f>IF(AND(9&lt;=$B$23,3&lt;=$B$24),$B$157+$B$156*(IF(9=1,1,IF(9=$B$23,$B$12,5*(9-1)))*$B$13),NA())</f>
        <v>#N/A</v>
      </c>
      <c r="HR594" t="e">
        <f>IF(AND(9&lt;=$B$23,3&lt;=$B$24),$B$158+$B$156*((0*$B$5/2+3*($B$5/2)/$B$24)),NA())</f>
        <v>#N/A</v>
      </c>
      <c r="HS594" t="e">
        <f>IF(AND(25&lt;=$B$12,$B$51&gt;0),$B$157+$B$156*(((25-0.5)*$B$13)+($B$51*$B$13)/2),NA())</f>
        <v>#N/A</v>
      </c>
      <c r="HT594" t="e">
        <f>IF(AND(25&lt;=$B$12,$B$51&gt;0),$B$158+$B$156*((1*$B$5/2+0.6*$B$159)),NA())</f>
        <v>#N/A</v>
      </c>
      <c r="KI594" t="e">
        <f>IF(AND($B$21=1,50*$B$67&gt;$B$59,50*$B$67&lt;$B$178-$B$59,OR($B$63=0,ABS(50*$B$67-$B$178/2)&gt;$B$59/2)),$B$182+$B$181*($B$177*1/4-$B$60/2),NA())</f>
        <v>#N/A</v>
      </c>
      <c r="KJ594" t="e">
        <f>IF(AND($B$21=1,50*$B$67&gt;$B$59,50*$B$67&lt;$B$178-$B$59,OR($B$63=0,ABS(50*$B$67-$B$178/2)&gt;$B$59/2)),$B$183+$B$181*(50*$B$67),NA())</f>
        <v>#N/A</v>
      </c>
    </row>
    <row r="595">
      <c r="K595" t="e">
        <f>IF(AND(32&lt;=$B$12,$B$45=1),$B$133+$B$132*($B$13*32+$B$27/2),NA())</f>
        <v>#N/A</v>
      </c>
      <c r="L595" t="e">
        <f>IF(AND(32&lt;=$B$12,$B$45=1),$B$134+$B$132*($B$5/2+$B$27/2),NA())</f>
        <v>#N/A</v>
      </c>
      <c r="GI595" t="e">
        <f>IF(AND(AND($B$21=1,(40*$B$66)&lt;IF($B$63=1,$B$10-0.2,$B$62)),(40*$B$66)&gt;=$B$111),$B$151+$B$150*(MAX(IF((40*$B$66)&lt;=$B$9,0,((40*$B$66)-$B$9)/$B$8),MIN(($B$5-IF((40*$B$66)&lt;=$B$9,0,((40*$B$66)-$B$9)/$B$8)),$B$113))),NA())</f>
        <v>#N/A</v>
      </c>
      <c r="GJ595" t="e">
        <f>IF(AND(AND($B$21=1,(40*$B$66)&lt;IF($B$63=1,$B$10-0.2,$B$62)),(40*$B$66)&gt;=$B$111),$B$152+$B$150*((40*$B$66)),NA())</f>
        <v>#N/A</v>
      </c>
      <c r="HQ595" t="e">
        <f>NA()</f>
        <v>#N/A</v>
      </c>
      <c r="HR595" t="e">
        <f>NA()</f>
        <v>#N/A</v>
      </c>
      <c r="HS595" t="e">
        <f>IF(AND(25&lt;=$B$12,$B$51&gt;0),$B$157+$B$156*(((25-0.5)*$B$13)+($B$51*$B$13)/2),NA())</f>
        <v>#N/A</v>
      </c>
      <c r="HT595" t="e">
        <f>IF(AND(25&lt;=$B$12,$B$51&gt;0),$B$158+$B$156*((1*$B$5/2+$B$5/2-0.6*$B$159)),NA())</f>
        <v>#N/A</v>
      </c>
      <c r="KI595" t="e">
        <f>NA()</f>
        <v>#N/A</v>
      </c>
      <c r="KJ595" t="e">
        <f>NA()</f>
        <v>#N/A</v>
      </c>
    </row>
    <row r="596">
      <c r="K596" t="e">
        <f>IF(AND(32&lt;=$B$12,$B$45=1),$B$133+$B$132*($B$13*32-$B$27/2),NA())</f>
        <v>#N/A</v>
      </c>
      <c r="L596" t="e">
        <f>IF(AND(32&lt;=$B$12,$B$45=1),$B$134+$B$132*($B$5/2+$B$27/2),NA())</f>
        <v>#N/A</v>
      </c>
      <c r="GI596" t="e">
        <f>IF(AND($B$21=1,(40*$B$66)&lt;IF($B$63=1,$B$10-0.2,$B$62)),$B$151+$B$150*(MAX(IF((40*$B$66)&lt;=$B$9,0,((40*$B$66)-$B$9)/$B$8),MIN(($B$5-IF((40*$B$66)&lt;=$B$9,0,((40*$B$66)-$B$9)/$B$8)),IF((40*$B$66)&lt;$B$111,$B$115,$B$113)))),NA())</f>
        <v>#N/A</v>
      </c>
      <c r="GJ596" t="e">
        <f>IF(AND($B$21=1,(40*$B$66)&lt;IF($B$63=1,$B$10-0.2,$B$62)),$B$152+$B$150*((40*$B$66)),NA())</f>
        <v>#N/A</v>
      </c>
      <c r="HQ596" t="e">
        <f>IF(AND(9&lt;=$B$23,3&lt;=$B$24),$B$157+$B$156*((IF(9=1,1,IF(9=$B$23,$B$12,5*(9-1)))-1)*$B$13),NA())</f>
        <v>#N/A</v>
      </c>
      <c r="HR596" t="e">
        <f>IF(AND(9&lt;=$B$23,3&lt;=$B$24),$B$158+$B$156*((0*$B$5/2+3*($B$5/2)/$B$24)),NA())</f>
        <v>#N/A</v>
      </c>
      <c r="HS596" t="e">
        <f>IF(AND(25&lt;=$B$12,$B$51&gt;0),$B$157+$B$156*(((25-0.5)*$B$13)-($B$51*$B$13)/2),NA())</f>
        <v>#N/A</v>
      </c>
      <c r="HT596" t="e">
        <f>IF(AND(25&lt;=$B$12,$B$51&gt;0),$B$158+$B$156*((1*$B$5/2+$B$5/2-0.6*$B$159)),NA())</f>
        <v>#N/A</v>
      </c>
      <c r="KI596" t="e">
        <f>IF(AND($B$21=1,50*$B$67&gt;$B$59,50*$B$67&lt;$B$178-$B$59,OR($B$63=0,ABS(50*$B$67-$B$178/2)&gt;$B$59/2)),$B$182+$B$181*($B$177*1/4+$B$60/2),NA())</f>
        <v>#N/A</v>
      </c>
      <c r="KJ596" t="e">
        <f>IF(AND($B$21=1,50*$B$67&gt;$B$59,50*$B$67&lt;$B$178-$B$59,OR($B$63=0,ABS(50*$B$67-$B$178/2)&gt;$B$59/2)),$B$183+$B$181*(50*$B$67),NA())</f>
        <v>#N/A</v>
      </c>
    </row>
    <row r="597">
      <c r="K597" t="e">
        <f>IF(AND(32&lt;=$B$12,$B$45=1),$B$133+$B$132*($B$13*32-$B$27/2),NA())</f>
        <v>#N/A</v>
      </c>
      <c r="L597" t="e">
        <f>IF(AND(32&lt;=$B$12,$B$45=1),$B$134+$B$132*($B$5/2-$B$27/2),NA())</f>
        <v>#N/A</v>
      </c>
      <c r="GI597" t="e">
        <f>IF(AND($B$21=1,(40*$B$66)&lt;IF($B$63=1,$B$10-0.2,$B$62)),$B$151+$B$150*(MAX(IF((40*$B$66)&lt;=$B$9,0,((40*$B$66)-$B$9)/$B$8),MIN(($B$5-IF((40*$B$66)&lt;=$B$9,0,((40*$B$66)-$B$9)/$B$8)),IF((40*$B$66)&lt;$B$118,$B$121,$B$120)))),NA())</f>
        <v>#N/A</v>
      </c>
      <c r="GJ597" t="e">
        <f>IF(AND($B$21=1,(40*$B$66)&lt;IF($B$63=1,$B$10-0.2,$B$62)),$B$152+$B$150*((40*$B$66)),NA())</f>
        <v>#N/A</v>
      </c>
      <c r="HQ597" t="e">
        <f>IF(AND(9&lt;=$B$23,3&lt;=$B$24),$B$157+$B$156*(IF(9=1,1,IF(9=$B$23,$B$12,5*(9-1)))*$B$13),NA())</f>
        <v>#N/A</v>
      </c>
      <c r="HR597" t="e">
        <f>IF(AND(9&lt;=$B$23,3&lt;=$B$24),$B$158+$B$156*((0*$B$5/2+(3-1)*($B$5/2)/$B$24)),NA())</f>
        <v>#N/A</v>
      </c>
      <c r="HS597" t="e">
        <f>IF(AND(25&lt;=$B$12,$B$51&gt;0),$B$157+$B$156*(((25-0.5)*$B$13)-($B$51*$B$13)/2),NA())</f>
        <v>#N/A</v>
      </c>
      <c r="HT597" t="e">
        <f>IF(AND(25&lt;=$B$12,$B$51&gt;0),$B$158+$B$156*((1*$B$5/2+0.6*$B$159)),NA())</f>
        <v>#N/A</v>
      </c>
      <c r="KI597" t="e">
        <f>IF(AND($B$21=1,50*$B$67&gt;$B$59,50*$B$67&lt;$B$178-$B$59,OR($B$63=0,ABS(50*$B$67-$B$178/2)&gt;$B$59/2)),$B$182+$B$181*($B$177*2/4-$B$60/2),NA())</f>
        <v>#N/A</v>
      </c>
      <c r="KJ597" t="e">
        <f>IF(AND($B$21=1,50*$B$67&gt;$B$59,50*$B$67&lt;$B$178-$B$59,OR($B$63=0,ABS(50*$B$67-$B$178/2)&gt;$B$59/2)),$B$183+$B$181*(50*$B$67),NA())</f>
        <v>#N/A</v>
      </c>
    </row>
    <row r="598">
      <c r="K598" t="e">
        <f>NA()</f>
        <v>#N/A</v>
      </c>
      <c r="L598" t="e">
        <f>NA()</f>
        <v>#N/A</v>
      </c>
      <c r="GI598" t="e">
        <f>IF(AND(AND($B$21=1,(40*$B$66)&lt;IF($B$63=1,$B$10-0.2,$B$62)),(40*$B$66)&gt;=$B$118),$B$151+$B$150*(MAX(IF((40*$B$66)&lt;=$B$9,0,((40*$B$66)-$B$9)/$B$8),MIN(($B$5-IF((40*$B$66)&lt;=$B$9,0,((40*$B$66)-$B$9)/$B$8)),$B$120))),NA())</f>
        <v>#N/A</v>
      </c>
      <c r="GJ598" t="e">
        <f>IF(AND(AND($B$21=1,(40*$B$66)&lt;IF($B$63=1,$B$10-0.2,$B$62)),(40*$B$66)&gt;=$B$118),$B$152+$B$150*((40*$B$66)),NA())</f>
        <v>#N/A</v>
      </c>
      <c r="HQ598" t="e">
        <f>NA()</f>
        <v>#N/A</v>
      </c>
      <c r="HR598" t="e">
        <f>NA()</f>
        <v>#N/A</v>
      </c>
      <c r="HS598" t="e">
        <f>NA()</f>
        <v>#N/A</v>
      </c>
      <c r="HT598" t="e">
        <f>NA()</f>
        <v>#N/A</v>
      </c>
      <c r="KI598" t="e">
        <f>NA()</f>
        <v>#N/A</v>
      </c>
      <c r="KJ598" t="e">
        <f>NA()</f>
        <v>#N/A</v>
      </c>
    </row>
    <row r="599">
      <c r="K599" t="e">
        <f>IF(33&lt;=$B$12,$B$133+$B$132*($B$13*33-$B$27/2),NA())</f>
        <v>#N/A</v>
      </c>
      <c r="L599" t="e">
        <f>IF(33&lt;=$B$12,$B$134+$B$132*(0-$B$27/2),NA())</f>
        <v>#N/A</v>
      </c>
      <c r="GI599" t="e">
        <f>IF(AND($B$21=1,(40*$B$66)&lt;IF($B$63=1,$B$10-0.2,$B$62)),$B$151+$B$150*(MAX(IF((40*$B$66)&lt;=$B$9,0,((40*$B$66)-$B$9)/$B$8),MIN(($B$5-IF((40*$B$66)&lt;=$B$9,0,((40*$B$66)-$B$9)/$B$8)),IF((40*$B$66)&lt;$B$118,$B$122,$B$120)))),NA())</f>
        <v>#N/A</v>
      </c>
      <c r="GJ599" t="e">
        <f>IF(AND($B$21=1,(40*$B$66)&lt;IF($B$63=1,$B$10-0.2,$B$62)),$B$152+$B$150*((40*$B$66)),NA())</f>
        <v>#N/A</v>
      </c>
      <c r="HQ599" t="e">
        <f>IF(AND(9&lt;=$B$23,4&lt;=$B$24),$B$157+$B$156*((IF(9=1,1,IF(9=$B$23,$B$12,5*(9-1)))-1)*$B$13),NA())</f>
        <v>#N/A</v>
      </c>
      <c r="HR599" t="e">
        <f>IF(AND(9&lt;=$B$23,4&lt;=$B$24),$B$158+$B$156*((0*$B$5/2+(4-1)*($B$5/2)/$B$24)),NA())</f>
        <v>#N/A</v>
      </c>
      <c r="HS599" t="e">
        <f>IF(AND(25&lt;=$B$12,$B$51&gt;0),$B$157+$B$156*(((25-0.5)*$B$13)-($B$51*$B$13)/2),NA())</f>
        <v>#N/A</v>
      </c>
      <c r="HT599" t="e">
        <f>IF(AND(25&lt;=$B$12,$B$51&gt;0),$B$158+$B$156*((1*$B$5/2+0.6*$B$159)),NA())</f>
        <v>#N/A</v>
      </c>
      <c r="KI599" t="e">
        <f>IF(AND($B$21=1,50*$B$67&gt;$B$59,50*$B$67&lt;$B$178-$B$59,OR($B$63=0,ABS(50*$B$67-$B$178/2)&gt;$B$59/2)),$B$182+$B$181*($B$177*2/4+$B$60/2),NA())</f>
        <v>#N/A</v>
      </c>
      <c r="KJ599" t="e">
        <f>IF(AND($B$21=1,50*$B$67&gt;$B$59,50*$B$67&lt;$B$178-$B$59,OR($B$63=0,ABS(50*$B$67-$B$178/2)&gt;$B$59/2)),$B$183+$B$181*(50*$B$67),NA())</f>
        <v>#N/A</v>
      </c>
    </row>
    <row r="600">
      <c r="K600" t="e">
        <f>IF(33&lt;=$B$12,$B$133+$B$132*($B$13*33+$B$27/2),NA())</f>
        <v>#N/A</v>
      </c>
      <c r="L600" t="e">
        <f>IF(33&lt;=$B$12,$B$134+$B$132*(0-$B$27/2),NA())</f>
        <v>#N/A</v>
      </c>
      <c r="GI600" t="e">
        <f>IF(AND($B$21=1,(40*$B$66)&lt;IF($B$63=1,$B$10-0.2,$B$62)),$B$151+$B$150*(MAX(IF((40*$B$66)&lt;=$B$9,0,((40*$B$66)-$B$9)/$B$8),MIN(($B$5-IF((40*$B$66)&lt;=$B$9,0,((40*$B$66)-$B$9)/$B$8)),IF((40*$B$66)&lt;$B$125,$B$128,$B$127)))),NA())</f>
        <v>#N/A</v>
      </c>
      <c r="GJ600" t="e">
        <f>IF(AND($B$21=1,(40*$B$66)&lt;IF($B$63=1,$B$10-0.2,$B$62)),$B$152+$B$150*((40*$B$66)),NA())</f>
        <v>#N/A</v>
      </c>
      <c r="HQ600" t="e">
        <f>IF(AND(9&lt;=$B$23,4&lt;=$B$24),$B$157+$B$156*(IF(9=1,1,IF(9=$B$23,$B$12,5*(9-1)))*$B$13),NA())</f>
        <v>#N/A</v>
      </c>
      <c r="HR600" t="e">
        <f>IF(AND(9&lt;=$B$23,4&lt;=$B$24),$B$158+$B$156*((0*$B$5/2+4*($B$5/2)/$B$24)),NA())</f>
        <v>#N/A</v>
      </c>
      <c r="HS600" t="e">
        <f>IF(AND(25&lt;=$B$12,$B$51&gt;0),$B$157+$B$156*(((25-0.5)*$B$13)+($B$51*$B$13)/2),NA())</f>
        <v>#N/A</v>
      </c>
      <c r="HT600" t="e">
        <f>IF(AND(25&lt;=$B$12,$B$51&gt;0),$B$158+$B$156*((1*$B$5/2+0.6*$B$159)+(((1*$B$5/2+$B$5/2-0.6*$B$159))-((1*$B$5/2+0.6*$B$159)))/4),NA())</f>
        <v>#N/A</v>
      </c>
      <c r="KI600" t="e">
        <f>IF(AND($B$21=1,50*$B$67&gt;$B$59,50*$B$67&lt;$B$178-$B$59,OR($B$63=0,ABS(50*$B$67-$B$178/2)&gt;$B$59/2)),$B$182+$B$181*($B$177*3/4-$B$60/2),NA())</f>
        <v>#N/A</v>
      </c>
      <c r="KJ600" t="e">
        <f>IF(AND($B$21=1,50*$B$67&gt;$B$59,50*$B$67&lt;$B$178-$B$59,OR($B$63=0,ABS(50*$B$67-$B$178/2)&gt;$B$59/2)),$B$183+$B$181*(50*$B$67),NA())</f>
        <v>#N/A</v>
      </c>
    </row>
    <row r="601">
      <c r="K601" t="e">
        <f>IF(33&lt;=$B$12,$B$133+$B$132*($B$13*33+$B$27/2),NA())</f>
        <v>#N/A</v>
      </c>
      <c r="L601" t="e">
        <f>IF(33&lt;=$B$12,$B$134+$B$132*(0+$B$27/2),NA())</f>
        <v>#N/A</v>
      </c>
      <c r="GI601" t="e">
        <f>IF(AND(AND($B$21=1,(40*$B$66)&lt;IF($B$63=1,$B$10-0.2,$B$62)),(40*$B$66)&gt;=$B$125),$B$151+$B$150*(MAX(IF((40*$B$66)&lt;=$B$9,0,((40*$B$66)-$B$9)/$B$8),MIN(($B$5-IF((40*$B$66)&lt;=$B$9,0,((40*$B$66)-$B$9)/$B$8)),$B$127))),NA())</f>
        <v>#N/A</v>
      </c>
      <c r="GJ601" t="e">
        <f>IF(AND(AND($B$21=1,(40*$B$66)&lt;IF($B$63=1,$B$10-0.2,$B$62)),(40*$B$66)&gt;=$B$125),$B$152+$B$150*((40*$B$66)),NA())</f>
        <v>#N/A</v>
      </c>
      <c r="HQ601" t="e">
        <f>NA()</f>
        <v>#N/A</v>
      </c>
      <c r="HR601" t="e">
        <f>NA()</f>
        <v>#N/A</v>
      </c>
      <c r="HS601" t="e">
        <f>IF(AND(25&lt;=$B$12,$B$51&gt;0),$B$157+$B$156*(((25-0.5)*$B$13)-($B$51*$B$13)/2),NA())</f>
        <v>#N/A</v>
      </c>
      <c r="HT601" t="e">
        <f>IF(AND(25&lt;=$B$12,$B$51&gt;0),$B$158+$B$156*((1*$B$5/2+0.6*$B$159)+(((1*$B$5/2+$B$5/2-0.6*$B$159))-((1*$B$5/2+0.6*$B$159)))/2),NA())</f>
        <v>#N/A</v>
      </c>
      <c r="KI601" t="e">
        <f>NA()</f>
        <v>#N/A</v>
      </c>
      <c r="KJ601" t="e">
        <f>NA()</f>
        <v>#N/A</v>
      </c>
    </row>
    <row r="602">
      <c r="K602" t="e">
        <f>IF(33&lt;=$B$12,$B$133+$B$132*($B$13*33-$B$27/2),NA())</f>
        <v>#N/A</v>
      </c>
      <c r="L602" t="e">
        <f>IF(33&lt;=$B$12,$B$134+$B$132*(0+$B$27/2),NA())</f>
        <v>#N/A</v>
      </c>
      <c r="GI602" t="e">
        <f>IF(AND($B$21=1,(40*$B$66)&lt;IF($B$63=1,$B$10-0.2,$B$62)),$B$151+$B$150*(MAX(IF((40*$B$66)&lt;=$B$9,0,((40*$B$66)-$B$9)/$B$8),MIN(($B$5-IF((40*$B$66)&lt;=$B$9,0,((40*$B$66)-$B$9)/$B$8)),IF((40*$B$66)&lt;$B$125,$B$129,$B$127)))),NA())</f>
        <v>#N/A</v>
      </c>
      <c r="GJ602" t="e">
        <f>IF(AND($B$21=1,(40*$B$66)&lt;IF($B$63=1,$B$10-0.2,$B$62)),$B$152+$B$150*((40*$B$66)),NA())</f>
        <v>#N/A</v>
      </c>
      <c r="HQ602" t="e">
        <f>IF(AND(9&lt;=$B$23,4&lt;=$B$24),$B$157+$B$156*((IF(9=1,1,IF(9=$B$23,$B$12,5*(9-1)))-1)*$B$13),NA())</f>
        <v>#N/A</v>
      </c>
      <c r="HR602" t="e">
        <f>IF(AND(9&lt;=$B$23,4&lt;=$B$24),$B$158+$B$156*((0*$B$5/2+4*($B$5/2)/$B$24)),NA())</f>
        <v>#N/A</v>
      </c>
      <c r="HS602" t="e">
        <f>IF(AND(25&lt;=$B$12,$B$51&gt;0),$B$157+$B$156*(((25-0.5)*$B$13)+($B$51*$B$13)/2),NA())</f>
        <v>#N/A</v>
      </c>
      <c r="HT602" t="e">
        <f>IF(AND(25&lt;=$B$12,$B$51&gt;0),$B$158+$B$156*((1*$B$5/2+0.6*$B$159)+3*(((1*$B$5/2+$B$5/2-0.6*$B$159))-((1*$B$5/2+0.6*$B$159)))/4),NA())</f>
        <v>#N/A</v>
      </c>
      <c r="KI602" t="e">
        <f>IF(AND($B$21=1,50*$B$67&gt;$B$59,50*$B$67&lt;$B$178-$B$59,OR($B$63=0,ABS(50*$B$67-$B$178/2)&gt;$B$59/2)),$B$182+$B$181*($B$177*3/4+$B$60/2),NA())</f>
        <v>#N/A</v>
      </c>
      <c r="KJ602" t="e">
        <f>IF(AND($B$21=1,50*$B$67&gt;$B$59,50*$B$67&lt;$B$178-$B$59,OR($B$63=0,ABS(50*$B$67-$B$178/2)&gt;$B$59/2)),$B$183+$B$181*(50*$B$67),NA())</f>
        <v>#N/A</v>
      </c>
    </row>
    <row r="603">
      <c r="K603" t="e">
        <f>IF(33&lt;=$B$12,$B$133+$B$132*($B$13*33-$B$27/2),NA())</f>
        <v>#N/A</v>
      </c>
      <c r="L603" t="e">
        <f>IF(33&lt;=$B$12,$B$134+$B$132*(0-$B$27/2),NA())</f>
        <v>#N/A</v>
      </c>
      <c r="GI603" t="e">
        <f>IF(AND($B$21=1,(40*$B$66)&lt;IF($B$63=1,$B$10-0.2,$B$62)),$B$151+$B$150*(($B$5-IF((40*$B$66)&lt;=$B$9,0,((40*$B$66)-$B$9)/$B$8))),NA())</f>
        <v>#N/A</v>
      </c>
      <c r="GJ603" t="e">
        <f>IF(AND($B$21=1,(40*$B$66)&lt;IF($B$63=1,$B$10-0.2,$B$62)),$B$152+$B$150*((40*$B$66)),NA())</f>
        <v>#N/A</v>
      </c>
      <c r="HQ603" t="e">
        <f>IF(AND(9&lt;=$B$23,4&lt;=$B$24),$B$157+$B$156*(IF(9=1,1,IF(9=$B$23,$B$12,5*(9-1)))*$B$13),NA())</f>
        <v>#N/A</v>
      </c>
      <c r="HR603" t="e">
        <f>IF(AND(9&lt;=$B$23,4&lt;=$B$24),$B$158+$B$156*((0*$B$5/2+(4-1)*($B$5/2)/$B$24)),NA())</f>
        <v>#N/A</v>
      </c>
      <c r="HS603" t="e">
        <f>IF(AND(25&lt;=$B$12,$B$51&gt;0),$B$157+$B$156*(((25-0.5)*$B$13)-($B$51*$B$13)/2),NA())</f>
        <v>#N/A</v>
      </c>
      <c r="HT603" t="e">
        <f>IF(AND(25&lt;=$B$12,$B$51&gt;0),$B$158+$B$156*((1*$B$5/2+$B$5/2-0.6*$B$159)),NA())</f>
        <v>#N/A</v>
      </c>
      <c r="KI603" t="e">
        <f>IF(AND($B$21=1,50*$B$67&gt;$B$59,50*$B$67&lt;$B$178-$B$59,OR($B$63=0,ABS(50*$B$67-$B$178/2)&gt;$B$59/2)),$B$182+$B$181*($B$177),NA())</f>
        <v>#N/A</v>
      </c>
      <c r="KJ603" t="e">
        <f>IF(AND($B$21=1,50*$B$67&gt;$B$59,50*$B$67&lt;$B$178-$B$59,OR($B$63=0,ABS(50*$B$67-$B$178/2)&gt;$B$59/2)),$B$183+$B$181*(50*$B$67),NA())</f>
        <v>#N/A</v>
      </c>
    </row>
    <row r="604">
      <c r="K604" t="e">
        <f>NA()</f>
        <v>#N/A</v>
      </c>
      <c r="L604" t="e">
        <f>NA()</f>
        <v>#N/A</v>
      </c>
      <c r="GI604" t="e">
        <f>NA()</f>
        <v>#N/A</v>
      </c>
      <c r="GJ604" t="e">
        <f>NA()</f>
        <v>#N/A</v>
      </c>
      <c r="HQ604" t="e">
        <f>NA()</f>
        <v>#N/A</v>
      </c>
      <c r="HR604" t="e">
        <f>NA()</f>
        <v>#N/A</v>
      </c>
      <c r="HS604" t="e">
        <f>NA()</f>
        <v>#N/A</v>
      </c>
      <c r="HT604" t="e">
        <f>NA()</f>
        <v>#N/A</v>
      </c>
      <c r="KI604" t="e">
        <f>NA()</f>
        <v>#N/A</v>
      </c>
      <c r="KJ604" t="e">
        <f>NA()</f>
        <v>#N/A</v>
      </c>
    </row>
    <row r="605">
      <c r="K605" t="e">
        <f>IF(33&lt;=$B$12,$B$133+$B$132*($B$13*33-$B$27/2),NA())</f>
        <v>#N/A</v>
      </c>
      <c r="L605" t="e">
        <f>IF(33&lt;=$B$12,$B$134+$B$132*($B$5-$B$27/2),NA())</f>
        <v>#N/A</v>
      </c>
      <c r="GI605" t="e">
        <f>IF(AND($B$21=1,(41*$B$66)&lt;IF($B$63=1,$B$10-0.2,$B$62)),$B$151+$B$150*(IF((41*$B$66)&lt;=$B$9,0,((41*$B$66)-$B$9)/$B$8)),NA())</f>
        <v>#N/A</v>
      </c>
      <c r="GJ605" t="e">
        <f>IF(AND($B$21=1,(41*$B$66)&lt;IF($B$63=1,$B$10-0.2,$B$62)),$B$152+$B$150*((41*$B$66)),NA())</f>
        <v>#N/A</v>
      </c>
      <c r="HQ605" t="e">
        <f>IF(AND(9&lt;=$B$23,5&lt;=$B$24),$B$157+$B$156*((IF(9=1,1,IF(9=$B$23,$B$12,5*(9-1)))-1)*$B$13),NA())</f>
        <v>#N/A</v>
      </c>
      <c r="HR605" t="e">
        <f>IF(AND(9&lt;=$B$23,5&lt;=$B$24),$B$158+$B$156*((0*$B$5/2+(5-1)*($B$5/2)/$B$24)),NA())</f>
        <v>#N/A</v>
      </c>
      <c r="HS605" t="e">
        <f>IF(AND(26&lt;=$B$12,$B$51&gt;0),$B$157+$B$156*(((26-0.5)*$B$13)-($B$51*$B$13)/2),NA())</f>
        <v>#N/A</v>
      </c>
      <c r="HT605" t="e">
        <f>IF(AND(26&lt;=$B$12,$B$51&gt;0),$B$158+$B$156*((0*$B$5/2+0.6*$B$159)),NA())</f>
        <v>#N/A</v>
      </c>
      <c r="KI605" t="e">
        <f>IF(AND($B$21=1,51*$B$67&gt;$B$59,51*$B$67&lt;$B$178-$B$59,OR($B$63=0,ABS(51*$B$67-$B$178/2)&gt;$B$59/2)),$B$182+$B$181*(0),NA())</f>
        <v>#N/A</v>
      </c>
      <c r="KJ605" t="e">
        <f>IF(AND($B$21=1,51*$B$67&gt;$B$59,51*$B$67&lt;$B$178-$B$59,OR($B$63=0,ABS(51*$B$67-$B$178/2)&gt;$B$59/2)),$B$183+$B$181*(51*$B$67),NA())</f>
        <v>#N/A</v>
      </c>
    </row>
    <row r="606">
      <c r="K606" t="e">
        <f>IF(33&lt;=$B$12,$B$133+$B$132*($B$13*33+$B$27/2),NA())</f>
        <v>#N/A</v>
      </c>
      <c r="L606" t="e">
        <f>IF(33&lt;=$B$12,$B$134+$B$132*($B$5-$B$27/2),NA())</f>
        <v>#N/A</v>
      </c>
      <c r="GI606" t="e">
        <f>IF(AND($B$21=1,(41*$B$66)&lt;IF($B$63=1,$B$10-0.2,$B$62)),$B$151+$B$150*(MAX(IF((41*$B$66)&lt;=$B$9,0,((41*$B$66)-$B$9)/$B$8),MIN(($B$5-IF((41*$B$66)&lt;=$B$9,0,((41*$B$66)-$B$9)/$B$8)),IF((41*$B$66)&lt;$B$104,$B$107,$B$106)))),NA())</f>
        <v>#N/A</v>
      </c>
      <c r="GJ606" t="e">
        <f>IF(AND($B$21=1,(41*$B$66)&lt;IF($B$63=1,$B$10-0.2,$B$62)),$B$152+$B$150*((41*$B$66)),NA())</f>
        <v>#N/A</v>
      </c>
      <c r="HQ606" t="e">
        <f>IF(AND(9&lt;=$B$23,5&lt;=$B$24),$B$157+$B$156*(IF(9=1,1,IF(9=$B$23,$B$12,5*(9-1)))*$B$13),NA())</f>
        <v>#N/A</v>
      </c>
      <c r="HR606" t="e">
        <f>IF(AND(9&lt;=$B$23,5&lt;=$B$24),$B$158+$B$156*((0*$B$5/2+5*($B$5/2)/$B$24)),NA())</f>
        <v>#N/A</v>
      </c>
      <c r="HS606" t="e">
        <f>IF(AND(26&lt;=$B$12,$B$51&gt;0),$B$157+$B$156*(((26-0.5)*$B$13)+($B$51*$B$13)/2),NA())</f>
        <v>#N/A</v>
      </c>
      <c r="HT606" t="e">
        <f>IF(AND(26&lt;=$B$12,$B$51&gt;0),$B$158+$B$156*((0*$B$5/2+0.6*$B$159)),NA())</f>
        <v>#N/A</v>
      </c>
      <c r="KI606" t="e">
        <f>IF(AND($B$21=1,51*$B$67&gt;$B$59,51*$B$67&lt;$B$178-$B$59,OR($B$63=0,ABS(51*$B$67-$B$178/2)&gt;$B$59/2)),$B$182+$B$181*($B$177*1/4-$B$60/2),NA())</f>
        <v>#N/A</v>
      </c>
      <c r="KJ606" t="e">
        <f>IF(AND($B$21=1,51*$B$67&gt;$B$59,51*$B$67&lt;$B$178-$B$59,OR($B$63=0,ABS(51*$B$67-$B$178/2)&gt;$B$59/2)),$B$183+$B$181*(51*$B$67),NA())</f>
        <v>#N/A</v>
      </c>
    </row>
    <row r="607">
      <c r="K607" t="e">
        <f>IF(33&lt;=$B$12,$B$133+$B$132*($B$13*33+$B$27/2),NA())</f>
        <v>#N/A</v>
      </c>
      <c r="L607" t="e">
        <f>IF(33&lt;=$B$12,$B$134+$B$132*($B$5+$B$27/2),NA())</f>
        <v>#N/A</v>
      </c>
      <c r="GI607" t="e">
        <f>IF(AND(AND($B$21=1,(41*$B$66)&lt;IF($B$63=1,$B$10-0.2,$B$62)),(41*$B$66)&gt;=$B$104),$B$151+$B$150*(MAX(IF((41*$B$66)&lt;=$B$9,0,((41*$B$66)-$B$9)/$B$8),MIN(($B$5-IF((41*$B$66)&lt;=$B$9,0,((41*$B$66)-$B$9)/$B$8)),$B$106))),NA())</f>
        <v>#N/A</v>
      </c>
      <c r="GJ607" t="e">
        <f>IF(AND(AND($B$21=1,(41*$B$66)&lt;IF($B$63=1,$B$10-0.2,$B$62)),(41*$B$66)&gt;=$B$104),$B$152+$B$150*((41*$B$66)),NA())</f>
        <v>#N/A</v>
      </c>
      <c r="HQ607" t="e">
        <f>NA()</f>
        <v>#N/A</v>
      </c>
      <c r="HR607" t="e">
        <f>NA()</f>
        <v>#N/A</v>
      </c>
      <c r="HS607" t="e">
        <f>IF(AND(26&lt;=$B$12,$B$51&gt;0),$B$157+$B$156*(((26-0.5)*$B$13)+($B$51*$B$13)/2),NA())</f>
        <v>#N/A</v>
      </c>
      <c r="HT607" t="e">
        <f>IF(AND(26&lt;=$B$12,$B$51&gt;0),$B$158+$B$156*((0*$B$5/2+$B$5/2-0.6*$B$159)),NA())</f>
        <v>#N/A</v>
      </c>
      <c r="KI607" t="e">
        <f>NA()</f>
        <v>#N/A</v>
      </c>
      <c r="KJ607" t="e">
        <f>NA()</f>
        <v>#N/A</v>
      </c>
    </row>
    <row r="608">
      <c r="K608" t="e">
        <f>IF(33&lt;=$B$12,$B$133+$B$132*($B$13*33-$B$27/2),NA())</f>
        <v>#N/A</v>
      </c>
      <c r="L608" t="e">
        <f>IF(33&lt;=$B$12,$B$134+$B$132*($B$5+$B$27/2),NA())</f>
        <v>#N/A</v>
      </c>
      <c r="GI608" t="e">
        <f>IF(AND($B$21=1,(41*$B$66)&lt;IF($B$63=1,$B$10-0.2,$B$62)),$B$151+$B$150*(MAX(IF((41*$B$66)&lt;=$B$9,0,((41*$B$66)-$B$9)/$B$8),MIN(($B$5-IF((41*$B$66)&lt;=$B$9,0,((41*$B$66)-$B$9)/$B$8)),IF((41*$B$66)&lt;$B$104,$B$108,$B$106)))),NA())</f>
        <v>#N/A</v>
      </c>
      <c r="GJ608" t="e">
        <f>IF(AND($B$21=1,(41*$B$66)&lt;IF($B$63=1,$B$10-0.2,$B$62)),$B$152+$B$150*((41*$B$66)),NA())</f>
        <v>#N/A</v>
      </c>
      <c r="HQ608" t="e">
        <f>IF(AND(9&lt;=$B$23,5&lt;=$B$24),$B$157+$B$156*((IF(9=1,1,IF(9=$B$23,$B$12,5*(9-1)))-1)*$B$13),NA())</f>
        <v>#N/A</v>
      </c>
      <c r="HR608" t="e">
        <f>IF(AND(9&lt;=$B$23,5&lt;=$B$24),$B$158+$B$156*((0*$B$5/2+5*($B$5/2)/$B$24)),NA())</f>
        <v>#N/A</v>
      </c>
      <c r="HS608" t="e">
        <f>IF(AND(26&lt;=$B$12,$B$51&gt;0),$B$157+$B$156*(((26-0.5)*$B$13)-($B$51*$B$13)/2),NA())</f>
        <v>#N/A</v>
      </c>
      <c r="HT608" t="e">
        <f>IF(AND(26&lt;=$B$12,$B$51&gt;0),$B$158+$B$156*((0*$B$5/2+$B$5/2-0.6*$B$159)),NA())</f>
        <v>#N/A</v>
      </c>
      <c r="KI608" t="e">
        <f>IF(AND($B$21=1,51*$B$67&gt;$B$59,51*$B$67&lt;$B$178-$B$59,OR($B$63=0,ABS(51*$B$67-$B$178/2)&gt;$B$59/2)),$B$182+$B$181*($B$177*1/4+$B$60/2),NA())</f>
        <v>#N/A</v>
      </c>
      <c r="KJ608" t="e">
        <f>IF(AND($B$21=1,51*$B$67&gt;$B$59,51*$B$67&lt;$B$178-$B$59,OR($B$63=0,ABS(51*$B$67-$B$178/2)&gt;$B$59/2)),$B$183+$B$181*(51*$B$67),NA())</f>
        <v>#N/A</v>
      </c>
    </row>
    <row r="609">
      <c r="K609" t="e">
        <f>IF(33&lt;=$B$12,$B$133+$B$132*($B$13*33-$B$27/2),NA())</f>
        <v>#N/A</v>
      </c>
      <c r="L609" t="e">
        <f>IF(33&lt;=$B$12,$B$134+$B$132*($B$5-$B$27/2),NA())</f>
        <v>#N/A</v>
      </c>
      <c r="GI609" t="e">
        <f>IF(AND($B$21=1,(41*$B$66)&lt;IF($B$63=1,$B$10-0.2,$B$62)),$B$151+$B$150*(MAX(IF((41*$B$66)&lt;=$B$9,0,((41*$B$66)-$B$9)/$B$8),MIN(($B$5-IF((41*$B$66)&lt;=$B$9,0,((41*$B$66)-$B$9)/$B$8)),IF((41*$B$66)&lt;$B$111,$B$114,$B$113)))),NA())</f>
        <v>#N/A</v>
      </c>
      <c r="GJ609" t="e">
        <f>IF(AND($B$21=1,(41*$B$66)&lt;IF($B$63=1,$B$10-0.2,$B$62)),$B$152+$B$150*((41*$B$66)),NA())</f>
        <v>#N/A</v>
      </c>
      <c r="HQ609" t="e">
        <f>IF(AND(9&lt;=$B$23,5&lt;=$B$24),$B$157+$B$156*(IF(9=1,1,IF(9=$B$23,$B$12,5*(9-1)))*$B$13),NA())</f>
        <v>#N/A</v>
      </c>
      <c r="HR609" t="e">
        <f>IF(AND(9&lt;=$B$23,5&lt;=$B$24),$B$158+$B$156*((0*$B$5/2+(5-1)*($B$5/2)/$B$24)),NA())</f>
        <v>#N/A</v>
      </c>
      <c r="HS609" t="e">
        <f>IF(AND(26&lt;=$B$12,$B$51&gt;0),$B$157+$B$156*(((26-0.5)*$B$13)-($B$51*$B$13)/2),NA())</f>
        <v>#N/A</v>
      </c>
      <c r="HT609" t="e">
        <f>IF(AND(26&lt;=$B$12,$B$51&gt;0),$B$158+$B$156*((0*$B$5/2+0.6*$B$159)),NA())</f>
        <v>#N/A</v>
      </c>
      <c r="KI609" t="e">
        <f>IF(AND($B$21=1,51*$B$67&gt;$B$59,51*$B$67&lt;$B$178-$B$59,OR($B$63=0,ABS(51*$B$67-$B$178/2)&gt;$B$59/2)),$B$182+$B$181*($B$177*2/4-$B$60/2),NA())</f>
        <v>#N/A</v>
      </c>
      <c r="KJ609" t="e">
        <f>IF(AND($B$21=1,51*$B$67&gt;$B$59,51*$B$67&lt;$B$178-$B$59,OR($B$63=0,ABS(51*$B$67-$B$178/2)&gt;$B$59/2)),$B$183+$B$181*(51*$B$67),NA())</f>
        <v>#N/A</v>
      </c>
    </row>
    <row r="610">
      <c r="K610" t="e">
        <f>NA()</f>
        <v>#N/A</v>
      </c>
      <c r="L610" t="e">
        <f>NA()</f>
        <v>#N/A</v>
      </c>
      <c r="GI610" t="e">
        <f>IF(AND(AND($B$21=1,(41*$B$66)&lt;IF($B$63=1,$B$10-0.2,$B$62)),(41*$B$66)&gt;=$B$111),$B$151+$B$150*(MAX(IF((41*$B$66)&lt;=$B$9,0,((41*$B$66)-$B$9)/$B$8),MIN(($B$5-IF((41*$B$66)&lt;=$B$9,0,((41*$B$66)-$B$9)/$B$8)),$B$113))),NA())</f>
        <v>#N/A</v>
      </c>
      <c r="GJ610" t="e">
        <f>IF(AND(AND($B$21=1,(41*$B$66)&lt;IF($B$63=1,$B$10-0.2,$B$62)),(41*$B$66)&gt;=$B$111),$B$152+$B$150*((41*$B$66)),NA())</f>
        <v>#N/A</v>
      </c>
      <c r="HQ610" t="e">
        <f>NA()</f>
        <v>#N/A</v>
      </c>
      <c r="HR610" t="e">
        <f>NA()</f>
        <v>#N/A</v>
      </c>
      <c r="HS610" t="e">
        <f>NA()</f>
        <v>#N/A</v>
      </c>
      <c r="HT610" t="e">
        <f>NA()</f>
        <v>#N/A</v>
      </c>
      <c r="KI610" t="e">
        <f>NA()</f>
        <v>#N/A</v>
      </c>
      <c r="KJ610" t="e">
        <f>NA()</f>
        <v>#N/A</v>
      </c>
    </row>
    <row r="611">
      <c r="K611" t="e">
        <f>IF(AND(33&lt;=$B$12,$B$45=1),$B$133+$B$132*($B$13*33-$B$27/2),NA())</f>
        <v>#N/A</v>
      </c>
      <c r="L611" t="e">
        <f>IF(AND(33&lt;=$B$12,$B$45=1),$B$134+$B$132*($B$5/2-$B$27/2),NA())</f>
        <v>#N/A</v>
      </c>
      <c r="GI611" t="e">
        <f>IF(AND($B$21=1,(41*$B$66)&lt;IF($B$63=1,$B$10-0.2,$B$62)),$B$151+$B$150*(MAX(IF((41*$B$66)&lt;=$B$9,0,((41*$B$66)-$B$9)/$B$8),MIN(($B$5-IF((41*$B$66)&lt;=$B$9,0,((41*$B$66)-$B$9)/$B$8)),IF((41*$B$66)&lt;$B$111,$B$115,$B$113)))),NA())</f>
        <v>#N/A</v>
      </c>
      <c r="GJ611" t="e">
        <f>IF(AND($B$21=1,(41*$B$66)&lt;IF($B$63=1,$B$10-0.2,$B$62)),$B$152+$B$150*((41*$B$66)),NA())</f>
        <v>#N/A</v>
      </c>
      <c r="HQ611" t="e">
        <f>IF(AND(9&lt;=$B$23,6&lt;=$B$24),$B$157+$B$156*((IF(9=1,1,IF(9=$B$23,$B$12,5*(9-1)))-1)*$B$13),NA())</f>
        <v>#N/A</v>
      </c>
      <c r="HR611" t="e">
        <f>IF(AND(9&lt;=$B$23,6&lt;=$B$24),$B$158+$B$156*((0*$B$5/2+(6-1)*($B$5/2)/$B$24)),NA())</f>
        <v>#N/A</v>
      </c>
      <c r="HS611" t="e">
        <f>IF(AND(26&lt;=$B$12,$B$51&gt;0),$B$157+$B$156*(((26-0.5)*$B$13)-($B$51*$B$13)/2),NA())</f>
        <v>#N/A</v>
      </c>
      <c r="HT611" t="e">
        <f>IF(AND(26&lt;=$B$12,$B$51&gt;0),$B$158+$B$156*((0*$B$5/2+0.6*$B$159)),NA())</f>
        <v>#N/A</v>
      </c>
      <c r="KI611" t="e">
        <f>IF(AND($B$21=1,51*$B$67&gt;$B$59,51*$B$67&lt;$B$178-$B$59,OR($B$63=0,ABS(51*$B$67-$B$178/2)&gt;$B$59/2)),$B$182+$B$181*($B$177*2/4+$B$60/2),NA())</f>
        <v>#N/A</v>
      </c>
      <c r="KJ611" t="e">
        <f>IF(AND($B$21=1,51*$B$67&gt;$B$59,51*$B$67&lt;$B$178-$B$59,OR($B$63=0,ABS(51*$B$67-$B$178/2)&gt;$B$59/2)),$B$183+$B$181*(51*$B$67),NA())</f>
        <v>#N/A</v>
      </c>
    </row>
    <row r="612">
      <c r="K612" t="e">
        <f>IF(AND(33&lt;=$B$12,$B$45=1),$B$133+$B$132*($B$13*33+$B$27/2),NA())</f>
        <v>#N/A</v>
      </c>
      <c r="L612" t="e">
        <f>IF(AND(33&lt;=$B$12,$B$45=1),$B$134+$B$132*($B$5/2-$B$27/2),NA())</f>
        <v>#N/A</v>
      </c>
      <c r="GI612" t="e">
        <f>IF(AND($B$21=1,(41*$B$66)&lt;IF($B$63=1,$B$10-0.2,$B$62)),$B$151+$B$150*(MAX(IF((41*$B$66)&lt;=$B$9,0,((41*$B$66)-$B$9)/$B$8),MIN(($B$5-IF((41*$B$66)&lt;=$B$9,0,((41*$B$66)-$B$9)/$B$8)),IF((41*$B$66)&lt;$B$118,$B$121,$B$120)))),NA())</f>
        <v>#N/A</v>
      </c>
      <c r="GJ612" t="e">
        <f>IF(AND($B$21=1,(41*$B$66)&lt;IF($B$63=1,$B$10-0.2,$B$62)),$B$152+$B$150*((41*$B$66)),NA())</f>
        <v>#N/A</v>
      </c>
      <c r="HQ612" t="e">
        <f>IF(AND(9&lt;=$B$23,6&lt;=$B$24),$B$157+$B$156*(IF(9=1,1,IF(9=$B$23,$B$12,5*(9-1)))*$B$13),NA())</f>
        <v>#N/A</v>
      </c>
      <c r="HR612" t="e">
        <f>IF(AND(9&lt;=$B$23,6&lt;=$B$24),$B$158+$B$156*((0*$B$5/2+6*($B$5/2)/$B$24)),NA())</f>
        <v>#N/A</v>
      </c>
      <c r="HS612" t="e">
        <f>IF(AND(26&lt;=$B$12,$B$51&gt;0),$B$157+$B$156*(((26-0.5)*$B$13)+($B$51*$B$13)/2),NA())</f>
        <v>#N/A</v>
      </c>
      <c r="HT612" t="e">
        <f>IF(AND(26&lt;=$B$12,$B$51&gt;0),$B$158+$B$156*((0*$B$5/2+0.6*$B$159)+(((0*$B$5/2+$B$5/2-0.6*$B$159))-((0*$B$5/2+0.6*$B$159)))/4),NA())</f>
        <v>#N/A</v>
      </c>
      <c r="KI612" t="e">
        <f>IF(AND($B$21=1,51*$B$67&gt;$B$59,51*$B$67&lt;$B$178-$B$59,OR($B$63=0,ABS(51*$B$67-$B$178/2)&gt;$B$59/2)),$B$182+$B$181*($B$177*3/4-$B$60/2),NA())</f>
        <v>#N/A</v>
      </c>
      <c r="KJ612" t="e">
        <f>IF(AND($B$21=1,51*$B$67&gt;$B$59,51*$B$67&lt;$B$178-$B$59,OR($B$63=0,ABS(51*$B$67-$B$178/2)&gt;$B$59/2)),$B$183+$B$181*(51*$B$67),NA())</f>
        <v>#N/A</v>
      </c>
    </row>
    <row r="613">
      <c r="K613" t="e">
        <f>IF(AND(33&lt;=$B$12,$B$45=1),$B$133+$B$132*($B$13*33+$B$27/2),NA())</f>
        <v>#N/A</v>
      </c>
      <c r="L613" t="e">
        <f>IF(AND(33&lt;=$B$12,$B$45=1),$B$134+$B$132*($B$5/2+$B$27/2),NA())</f>
        <v>#N/A</v>
      </c>
      <c r="GI613" t="e">
        <f>IF(AND(AND($B$21=1,(41*$B$66)&lt;IF($B$63=1,$B$10-0.2,$B$62)),(41*$B$66)&gt;=$B$118),$B$151+$B$150*(MAX(IF((41*$B$66)&lt;=$B$9,0,((41*$B$66)-$B$9)/$B$8),MIN(($B$5-IF((41*$B$66)&lt;=$B$9,0,((41*$B$66)-$B$9)/$B$8)),$B$120))),NA())</f>
        <v>#N/A</v>
      </c>
      <c r="GJ613" t="e">
        <f>IF(AND(AND($B$21=1,(41*$B$66)&lt;IF($B$63=1,$B$10-0.2,$B$62)),(41*$B$66)&gt;=$B$118),$B$152+$B$150*((41*$B$66)),NA())</f>
        <v>#N/A</v>
      </c>
      <c r="HQ613" t="e">
        <f>NA()</f>
        <v>#N/A</v>
      </c>
      <c r="HR613" t="e">
        <f>NA()</f>
        <v>#N/A</v>
      </c>
      <c r="HS613" t="e">
        <f>IF(AND(26&lt;=$B$12,$B$51&gt;0),$B$157+$B$156*(((26-0.5)*$B$13)-($B$51*$B$13)/2),NA())</f>
        <v>#N/A</v>
      </c>
      <c r="HT613" t="e">
        <f>IF(AND(26&lt;=$B$12,$B$51&gt;0),$B$158+$B$156*((0*$B$5/2+0.6*$B$159)+(((0*$B$5/2+$B$5/2-0.6*$B$159))-((0*$B$5/2+0.6*$B$159)))/2),NA())</f>
        <v>#N/A</v>
      </c>
      <c r="KI613" t="e">
        <f>NA()</f>
        <v>#N/A</v>
      </c>
      <c r="KJ613" t="e">
        <f>NA()</f>
        <v>#N/A</v>
      </c>
    </row>
    <row r="614">
      <c r="K614" t="e">
        <f>IF(AND(33&lt;=$B$12,$B$45=1),$B$133+$B$132*($B$13*33-$B$27/2),NA())</f>
        <v>#N/A</v>
      </c>
      <c r="L614" t="e">
        <f>IF(AND(33&lt;=$B$12,$B$45=1),$B$134+$B$132*($B$5/2+$B$27/2),NA())</f>
        <v>#N/A</v>
      </c>
      <c r="GI614" t="e">
        <f>IF(AND($B$21=1,(41*$B$66)&lt;IF($B$63=1,$B$10-0.2,$B$62)),$B$151+$B$150*(MAX(IF((41*$B$66)&lt;=$B$9,0,((41*$B$66)-$B$9)/$B$8),MIN(($B$5-IF((41*$B$66)&lt;=$B$9,0,((41*$B$66)-$B$9)/$B$8)),IF((41*$B$66)&lt;$B$118,$B$122,$B$120)))),NA())</f>
        <v>#N/A</v>
      </c>
      <c r="GJ614" t="e">
        <f>IF(AND($B$21=1,(41*$B$66)&lt;IF($B$63=1,$B$10-0.2,$B$62)),$B$152+$B$150*((41*$B$66)),NA())</f>
        <v>#N/A</v>
      </c>
      <c r="HQ614" t="e">
        <f>IF(AND(9&lt;=$B$23,6&lt;=$B$24),$B$157+$B$156*((IF(9=1,1,IF(9=$B$23,$B$12,5*(9-1)))-1)*$B$13),NA())</f>
        <v>#N/A</v>
      </c>
      <c r="HR614" t="e">
        <f>IF(AND(9&lt;=$B$23,6&lt;=$B$24),$B$158+$B$156*((0*$B$5/2+6*($B$5/2)/$B$24)),NA())</f>
        <v>#N/A</v>
      </c>
      <c r="HS614" t="e">
        <f>IF(AND(26&lt;=$B$12,$B$51&gt;0),$B$157+$B$156*(((26-0.5)*$B$13)+($B$51*$B$13)/2),NA())</f>
        <v>#N/A</v>
      </c>
      <c r="HT614" t="e">
        <f>IF(AND(26&lt;=$B$12,$B$51&gt;0),$B$158+$B$156*((0*$B$5/2+0.6*$B$159)+3*(((0*$B$5/2+$B$5/2-0.6*$B$159))-((0*$B$5/2+0.6*$B$159)))/4),NA())</f>
        <v>#N/A</v>
      </c>
      <c r="KI614" t="e">
        <f>IF(AND($B$21=1,51*$B$67&gt;$B$59,51*$B$67&lt;$B$178-$B$59,OR($B$63=0,ABS(51*$B$67-$B$178/2)&gt;$B$59/2)),$B$182+$B$181*($B$177*3/4+$B$60/2),NA())</f>
        <v>#N/A</v>
      </c>
      <c r="KJ614" t="e">
        <f>IF(AND($B$21=1,51*$B$67&gt;$B$59,51*$B$67&lt;$B$178-$B$59,OR($B$63=0,ABS(51*$B$67-$B$178/2)&gt;$B$59/2)),$B$183+$B$181*(51*$B$67),NA())</f>
        <v>#N/A</v>
      </c>
    </row>
    <row r="615">
      <c r="K615" t="e">
        <f>IF(AND(33&lt;=$B$12,$B$45=1),$B$133+$B$132*($B$13*33-$B$27/2),NA())</f>
        <v>#N/A</v>
      </c>
      <c r="L615" t="e">
        <f>IF(AND(33&lt;=$B$12,$B$45=1),$B$134+$B$132*($B$5/2-$B$27/2),NA())</f>
        <v>#N/A</v>
      </c>
      <c r="GI615" t="e">
        <f>IF(AND($B$21=1,(41*$B$66)&lt;IF($B$63=1,$B$10-0.2,$B$62)),$B$151+$B$150*(MAX(IF((41*$B$66)&lt;=$B$9,0,((41*$B$66)-$B$9)/$B$8),MIN(($B$5-IF((41*$B$66)&lt;=$B$9,0,((41*$B$66)-$B$9)/$B$8)),IF((41*$B$66)&lt;$B$125,$B$128,$B$127)))),NA())</f>
        <v>#N/A</v>
      </c>
      <c r="GJ615" t="e">
        <f>IF(AND($B$21=1,(41*$B$66)&lt;IF($B$63=1,$B$10-0.2,$B$62)),$B$152+$B$150*((41*$B$66)),NA())</f>
        <v>#N/A</v>
      </c>
      <c r="HQ615" t="e">
        <f>IF(AND(9&lt;=$B$23,6&lt;=$B$24),$B$157+$B$156*(IF(9=1,1,IF(9=$B$23,$B$12,5*(9-1)))*$B$13),NA())</f>
        <v>#N/A</v>
      </c>
      <c r="HR615" t="e">
        <f>IF(AND(9&lt;=$B$23,6&lt;=$B$24),$B$158+$B$156*((0*$B$5/2+(6-1)*($B$5/2)/$B$24)),NA())</f>
        <v>#N/A</v>
      </c>
      <c r="HS615" t="e">
        <f>IF(AND(26&lt;=$B$12,$B$51&gt;0),$B$157+$B$156*(((26-0.5)*$B$13)-($B$51*$B$13)/2),NA())</f>
        <v>#N/A</v>
      </c>
      <c r="HT615" t="e">
        <f>IF(AND(26&lt;=$B$12,$B$51&gt;0),$B$158+$B$156*((0*$B$5/2+$B$5/2-0.6*$B$159)),NA())</f>
        <v>#N/A</v>
      </c>
      <c r="KI615" t="e">
        <f>IF(AND($B$21=1,51*$B$67&gt;$B$59,51*$B$67&lt;$B$178-$B$59,OR($B$63=0,ABS(51*$B$67-$B$178/2)&gt;$B$59/2)),$B$182+$B$181*($B$177),NA())</f>
        <v>#N/A</v>
      </c>
      <c r="KJ615" t="e">
        <f>IF(AND($B$21=1,51*$B$67&gt;$B$59,51*$B$67&lt;$B$178-$B$59,OR($B$63=0,ABS(51*$B$67-$B$178/2)&gt;$B$59/2)),$B$183+$B$181*(51*$B$67),NA())</f>
        <v>#N/A</v>
      </c>
    </row>
    <row r="616">
      <c r="K616" t="e">
        <f>NA()</f>
        <v>#N/A</v>
      </c>
      <c r="L616" t="e">
        <f>NA()</f>
        <v>#N/A</v>
      </c>
      <c r="GI616" t="e">
        <f>IF(AND(AND($B$21=1,(41*$B$66)&lt;IF($B$63=1,$B$10-0.2,$B$62)),(41*$B$66)&gt;=$B$125),$B$151+$B$150*(MAX(IF((41*$B$66)&lt;=$B$9,0,((41*$B$66)-$B$9)/$B$8),MIN(($B$5-IF((41*$B$66)&lt;=$B$9,0,((41*$B$66)-$B$9)/$B$8)),$B$127))),NA())</f>
        <v>#N/A</v>
      </c>
      <c r="GJ616" t="e">
        <f>IF(AND(AND($B$21=1,(41*$B$66)&lt;IF($B$63=1,$B$10-0.2,$B$62)),(41*$B$66)&gt;=$B$125),$B$152+$B$150*((41*$B$66)),NA())</f>
        <v>#N/A</v>
      </c>
      <c r="HQ616" t="e">
        <f>NA()</f>
        <v>#N/A</v>
      </c>
      <c r="HR616" t="e">
        <f>NA()</f>
        <v>#N/A</v>
      </c>
      <c r="HS616" t="e">
        <f>NA()</f>
        <v>#N/A</v>
      </c>
      <c r="HT616" t="e">
        <f>NA()</f>
        <v>#N/A</v>
      </c>
      <c r="KI616" t="e">
        <f>NA()</f>
        <v>#N/A</v>
      </c>
      <c r="KJ616" t="e">
        <f>NA()</f>
        <v>#N/A</v>
      </c>
    </row>
    <row r="617">
      <c r="K617" t="e">
        <f>IF(34&lt;=$B$12,$B$133+$B$132*($B$13*34-$B$27/2),NA())</f>
        <v>#N/A</v>
      </c>
      <c r="L617" t="e">
        <f>IF(34&lt;=$B$12,$B$134+$B$132*(0-$B$27/2),NA())</f>
        <v>#N/A</v>
      </c>
      <c r="GI617" t="e">
        <f>IF(AND($B$21=1,(41*$B$66)&lt;IF($B$63=1,$B$10-0.2,$B$62)),$B$151+$B$150*(MAX(IF((41*$B$66)&lt;=$B$9,0,((41*$B$66)-$B$9)/$B$8),MIN(($B$5-IF((41*$B$66)&lt;=$B$9,0,((41*$B$66)-$B$9)/$B$8)),IF((41*$B$66)&lt;$B$125,$B$129,$B$127)))),NA())</f>
        <v>#N/A</v>
      </c>
      <c r="GJ617" t="e">
        <f>IF(AND($B$21=1,(41*$B$66)&lt;IF($B$63=1,$B$10-0.2,$B$62)),$B$152+$B$150*((41*$B$66)),NA())</f>
        <v>#N/A</v>
      </c>
      <c r="HQ617" t="e">
        <f>IF(AND(9&lt;=$B$23,1&lt;=$B$24),$B$157+$B$156*((IF(9=1,1,IF(9=$B$23,$B$12,5*(9-1)))-1)*$B$13),NA())</f>
        <v>#N/A</v>
      </c>
      <c r="HR617" t="e">
        <f>IF(AND(9&lt;=$B$23,1&lt;=$B$24),$B$158+$B$156*((1*$B$5/2+(1-1)*($B$5/2)/$B$24)),NA())</f>
        <v>#N/A</v>
      </c>
      <c r="HS617" t="e">
        <f>IF(AND(26&lt;=$B$12,$B$51&gt;0),$B$157+$B$156*(((26-0.5)*$B$13)-($B$51*$B$13)/2),NA())</f>
        <v>#N/A</v>
      </c>
      <c r="HT617" t="e">
        <f>IF(AND(26&lt;=$B$12,$B$51&gt;0),$B$158+$B$156*((1*$B$5/2+0.6*$B$159)),NA())</f>
        <v>#N/A</v>
      </c>
      <c r="KI617" t="e">
        <f>IF(AND($B$21=1,52*$B$67&gt;$B$59,52*$B$67&lt;$B$178-$B$59,OR($B$63=0,ABS(52*$B$67-$B$178/2)&gt;$B$59/2)),$B$182+$B$181*(0),NA())</f>
        <v>#N/A</v>
      </c>
      <c r="KJ617" t="e">
        <f>IF(AND($B$21=1,52*$B$67&gt;$B$59,52*$B$67&lt;$B$178-$B$59,OR($B$63=0,ABS(52*$B$67-$B$178/2)&gt;$B$59/2)),$B$183+$B$181*(52*$B$67),NA())</f>
        <v>#N/A</v>
      </c>
    </row>
    <row r="618">
      <c r="K618" t="e">
        <f>IF(34&lt;=$B$12,$B$133+$B$132*($B$13*34+$B$27/2),NA())</f>
        <v>#N/A</v>
      </c>
      <c r="L618" t="e">
        <f>IF(34&lt;=$B$12,$B$134+$B$132*(0-$B$27/2),NA())</f>
        <v>#N/A</v>
      </c>
      <c r="GI618" t="e">
        <f>IF(AND($B$21=1,(41*$B$66)&lt;IF($B$63=1,$B$10-0.2,$B$62)),$B$151+$B$150*(($B$5-IF((41*$B$66)&lt;=$B$9,0,((41*$B$66)-$B$9)/$B$8))),NA())</f>
        <v>#N/A</v>
      </c>
      <c r="GJ618" t="e">
        <f>IF(AND($B$21=1,(41*$B$66)&lt;IF($B$63=1,$B$10-0.2,$B$62)),$B$152+$B$150*((41*$B$66)),NA())</f>
        <v>#N/A</v>
      </c>
      <c r="HQ618" t="e">
        <f>IF(AND(9&lt;=$B$23,1&lt;=$B$24),$B$157+$B$156*(IF(9=1,1,IF(9=$B$23,$B$12,5*(9-1)))*$B$13),NA())</f>
        <v>#N/A</v>
      </c>
      <c r="HR618" t="e">
        <f>IF(AND(9&lt;=$B$23,1&lt;=$B$24),$B$158+$B$156*((1*$B$5/2+1*($B$5/2)/$B$24)),NA())</f>
        <v>#N/A</v>
      </c>
      <c r="HS618" t="e">
        <f>IF(AND(26&lt;=$B$12,$B$51&gt;0),$B$157+$B$156*(((26-0.5)*$B$13)+($B$51*$B$13)/2),NA())</f>
        <v>#N/A</v>
      </c>
      <c r="HT618" t="e">
        <f>IF(AND(26&lt;=$B$12,$B$51&gt;0),$B$158+$B$156*((1*$B$5/2+0.6*$B$159)),NA())</f>
        <v>#N/A</v>
      </c>
      <c r="KI618" t="e">
        <f>IF(AND($B$21=1,52*$B$67&gt;$B$59,52*$B$67&lt;$B$178-$B$59,OR($B$63=0,ABS(52*$B$67-$B$178/2)&gt;$B$59/2)),$B$182+$B$181*($B$177*1/4-$B$60/2),NA())</f>
        <v>#N/A</v>
      </c>
      <c r="KJ618" t="e">
        <f>IF(AND($B$21=1,52*$B$67&gt;$B$59,52*$B$67&lt;$B$178-$B$59,OR($B$63=0,ABS(52*$B$67-$B$178/2)&gt;$B$59/2)),$B$183+$B$181*(52*$B$67),NA())</f>
        <v>#N/A</v>
      </c>
    </row>
    <row r="619">
      <c r="K619" t="e">
        <f>IF(34&lt;=$B$12,$B$133+$B$132*($B$13*34+$B$27/2),NA())</f>
        <v>#N/A</v>
      </c>
      <c r="L619" t="e">
        <f>IF(34&lt;=$B$12,$B$134+$B$132*(0+$B$27/2),NA())</f>
        <v>#N/A</v>
      </c>
      <c r="GI619" t="e">
        <f>NA()</f>
        <v>#N/A</v>
      </c>
      <c r="GJ619" t="e">
        <f>NA()</f>
        <v>#N/A</v>
      </c>
      <c r="HQ619" t="e">
        <f>NA()</f>
        <v>#N/A</v>
      </c>
      <c r="HR619" t="e">
        <f>NA()</f>
        <v>#N/A</v>
      </c>
      <c r="HS619" t="e">
        <f>IF(AND(26&lt;=$B$12,$B$51&gt;0),$B$157+$B$156*(((26-0.5)*$B$13)+($B$51*$B$13)/2),NA())</f>
        <v>#N/A</v>
      </c>
      <c r="HT619" t="e">
        <f>IF(AND(26&lt;=$B$12,$B$51&gt;0),$B$158+$B$156*((1*$B$5/2+$B$5/2-0.6*$B$159)),NA())</f>
        <v>#N/A</v>
      </c>
      <c r="KI619" t="e">
        <f>NA()</f>
        <v>#N/A</v>
      </c>
      <c r="KJ619" t="e">
        <f>NA()</f>
        <v>#N/A</v>
      </c>
    </row>
    <row r="620">
      <c r="K620" t="e">
        <f>IF(34&lt;=$B$12,$B$133+$B$132*($B$13*34-$B$27/2),NA())</f>
        <v>#N/A</v>
      </c>
      <c r="L620" t="e">
        <f>IF(34&lt;=$B$12,$B$134+$B$132*(0+$B$27/2),NA())</f>
        <v>#N/A</v>
      </c>
      <c r="GI620" t="e">
        <f>IF(AND($B$21=1,(42*$B$66)&lt;IF($B$63=1,$B$10-0.2,$B$62)),$B$151+$B$150*(IF((42*$B$66)&lt;=$B$9,0,((42*$B$66)-$B$9)/$B$8)),NA())</f>
        <v>#N/A</v>
      </c>
      <c r="GJ620" t="e">
        <f>IF(AND($B$21=1,(42*$B$66)&lt;IF($B$63=1,$B$10-0.2,$B$62)),$B$152+$B$150*((42*$B$66)),NA())</f>
        <v>#N/A</v>
      </c>
      <c r="HQ620" t="e">
        <f>IF(AND(9&lt;=$B$23,1&lt;=$B$24),$B$157+$B$156*((IF(9=1,1,IF(9=$B$23,$B$12,5*(9-1)))-1)*$B$13),NA())</f>
        <v>#N/A</v>
      </c>
      <c r="HR620" t="e">
        <f>IF(AND(9&lt;=$B$23,1&lt;=$B$24),$B$158+$B$156*((1*$B$5/2+1*($B$5/2)/$B$24)),NA())</f>
        <v>#N/A</v>
      </c>
      <c r="HS620" t="e">
        <f>IF(AND(26&lt;=$B$12,$B$51&gt;0),$B$157+$B$156*(((26-0.5)*$B$13)-($B$51*$B$13)/2),NA())</f>
        <v>#N/A</v>
      </c>
      <c r="HT620" t="e">
        <f>IF(AND(26&lt;=$B$12,$B$51&gt;0),$B$158+$B$156*((1*$B$5/2+$B$5/2-0.6*$B$159)),NA())</f>
        <v>#N/A</v>
      </c>
      <c r="KI620" t="e">
        <f>IF(AND($B$21=1,52*$B$67&gt;$B$59,52*$B$67&lt;$B$178-$B$59,OR($B$63=0,ABS(52*$B$67-$B$178/2)&gt;$B$59/2)),$B$182+$B$181*($B$177*1/4+$B$60/2),NA())</f>
        <v>#N/A</v>
      </c>
      <c r="KJ620" t="e">
        <f>IF(AND($B$21=1,52*$B$67&gt;$B$59,52*$B$67&lt;$B$178-$B$59,OR($B$63=0,ABS(52*$B$67-$B$178/2)&gt;$B$59/2)),$B$183+$B$181*(52*$B$67),NA())</f>
        <v>#N/A</v>
      </c>
    </row>
    <row r="621">
      <c r="K621" t="e">
        <f>IF(34&lt;=$B$12,$B$133+$B$132*($B$13*34-$B$27/2),NA())</f>
        <v>#N/A</v>
      </c>
      <c r="L621" t="e">
        <f>IF(34&lt;=$B$12,$B$134+$B$132*(0-$B$27/2),NA())</f>
        <v>#N/A</v>
      </c>
      <c r="GI621" t="e">
        <f>IF(AND($B$21=1,(42*$B$66)&lt;IF($B$63=1,$B$10-0.2,$B$62)),$B$151+$B$150*(MAX(IF((42*$B$66)&lt;=$B$9,0,((42*$B$66)-$B$9)/$B$8),MIN(($B$5-IF((42*$B$66)&lt;=$B$9,0,((42*$B$66)-$B$9)/$B$8)),IF((42*$B$66)&lt;$B$104,$B$107,$B$106)))),NA())</f>
        <v>#N/A</v>
      </c>
      <c r="GJ621" t="e">
        <f>IF(AND($B$21=1,(42*$B$66)&lt;IF($B$63=1,$B$10-0.2,$B$62)),$B$152+$B$150*((42*$B$66)),NA())</f>
        <v>#N/A</v>
      </c>
      <c r="HQ621" t="e">
        <f>IF(AND(9&lt;=$B$23,1&lt;=$B$24),$B$157+$B$156*(IF(9=1,1,IF(9=$B$23,$B$12,5*(9-1)))*$B$13),NA())</f>
        <v>#N/A</v>
      </c>
      <c r="HR621" t="e">
        <f>IF(AND(9&lt;=$B$23,1&lt;=$B$24),$B$158+$B$156*((1*$B$5/2+(1-1)*($B$5/2)/$B$24)),NA())</f>
        <v>#N/A</v>
      </c>
      <c r="HS621" t="e">
        <f>IF(AND(26&lt;=$B$12,$B$51&gt;0),$B$157+$B$156*(((26-0.5)*$B$13)-($B$51*$B$13)/2),NA())</f>
        <v>#N/A</v>
      </c>
      <c r="HT621" t="e">
        <f>IF(AND(26&lt;=$B$12,$B$51&gt;0),$B$158+$B$156*((1*$B$5/2+0.6*$B$159)),NA())</f>
        <v>#N/A</v>
      </c>
      <c r="KI621" t="e">
        <f>IF(AND($B$21=1,52*$B$67&gt;$B$59,52*$B$67&lt;$B$178-$B$59,OR($B$63=0,ABS(52*$B$67-$B$178/2)&gt;$B$59/2)),$B$182+$B$181*($B$177*2/4-$B$60/2),NA())</f>
        <v>#N/A</v>
      </c>
      <c r="KJ621" t="e">
        <f>IF(AND($B$21=1,52*$B$67&gt;$B$59,52*$B$67&lt;$B$178-$B$59,OR($B$63=0,ABS(52*$B$67-$B$178/2)&gt;$B$59/2)),$B$183+$B$181*(52*$B$67),NA())</f>
        <v>#N/A</v>
      </c>
    </row>
    <row r="622">
      <c r="K622" t="e">
        <f>NA()</f>
        <v>#N/A</v>
      </c>
      <c r="L622" t="e">
        <f>NA()</f>
        <v>#N/A</v>
      </c>
      <c r="GI622" t="e">
        <f>IF(AND(AND($B$21=1,(42*$B$66)&lt;IF($B$63=1,$B$10-0.2,$B$62)),(42*$B$66)&gt;=$B$104),$B$151+$B$150*(MAX(IF((42*$B$66)&lt;=$B$9,0,((42*$B$66)-$B$9)/$B$8),MIN(($B$5-IF((42*$B$66)&lt;=$B$9,0,((42*$B$66)-$B$9)/$B$8)),$B$106))),NA())</f>
        <v>#N/A</v>
      </c>
      <c r="GJ622" t="e">
        <f>IF(AND(AND($B$21=1,(42*$B$66)&lt;IF($B$63=1,$B$10-0.2,$B$62)),(42*$B$66)&gt;=$B$104),$B$152+$B$150*((42*$B$66)),NA())</f>
        <v>#N/A</v>
      </c>
      <c r="HQ622" t="e">
        <f>NA()</f>
        <v>#N/A</v>
      </c>
      <c r="HR622" t="e">
        <f>NA()</f>
        <v>#N/A</v>
      </c>
      <c r="HS622" t="e">
        <f>NA()</f>
        <v>#N/A</v>
      </c>
      <c r="HT622" t="e">
        <f>NA()</f>
        <v>#N/A</v>
      </c>
      <c r="KI622" t="e">
        <f>NA()</f>
        <v>#N/A</v>
      </c>
      <c r="KJ622" t="e">
        <f>NA()</f>
        <v>#N/A</v>
      </c>
    </row>
    <row r="623">
      <c r="K623" t="e">
        <f>IF(34&lt;=$B$12,$B$133+$B$132*($B$13*34-$B$27/2),NA())</f>
        <v>#N/A</v>
      </c>
      <c r="L623" t="e">
        <f>IF(34&lt;=$B$12,$B$134+$B$132*($B$5-$B$27/2),NA())</f>
        <v>#N/A</v>
      </c>
      <c r="GI623" t="e">
        <f>IF(AND($B$21=1,(42*$B$66)&lt;IF($B$63=1,$B$10-0.2,$B$62)),$B$151+$B$150*(MAX(IF((42*$B$66)&lt;=$B$9,0,((42*$B$66)-$B$9)/$B$8),MIN(($B$5-IF((42*$B$66)&lt;=$B$9,0,((42*$B$66)-$B$9)/$B$8)),IF((42*$B$66)&lt;$B$104,$B$108,$B$106)))),NA())</f>
        <v>#N/A</v>
      </c>
      <c r="GJ623" t="e">
        <f>IF(AND($B$21=1,(42*$B$66)&lt;IF($B$63=1,$B$10-0.2,$B$62)),$B$152+$B$150*((42*$B$66)),NA())</f>
        <v>#N/A</v>
      </c>
      <c r="HQ623" t="e">
        <f>IF(AND(9&lt;=$B$23,2&lt;=$B$24),$B$157+$B$156*((IF(9=1,1,IF(9=$B$23,$B$12,5*(9-1)))-1)*$B$13),NA())</f>
        <v>#N/A</v>
      </c>
      <c r="HR623" t="e">
        <f>IF(AND(9&lt;=$B$23,2&lt;=$B$24),$B$158+$B$156*((1*$B$5/2+(2-1)*($B$5/2)/$B$24)),NA())</f>
        <v>#N/A</v>
      </c>
      <c r="HS623" t="e">
        <f>IF(AND(26&lt;=$B$12,$B$51&gt;0),$B$157+$B$156*(((26-0.5)*$B$13)-($B$51*$B$13)/2),NA())</f>
        <v>#N/A</v>
      </c>
      <c r="HT623" t="e">
        <f>IF(AND(26&lt;=$B$12,$B$51&gt;0),$B$158+$B$156*((1*$B$5/2+0.6*$B$159)),NA())</f>
        <v>#N/A</v>
      </c>
      <c r="KI623" t="e">
        <f>IF(AND($B$21=1,52*$B$67&gt;$B$59,52*$B$67&lt;$B$178-$B$59,OR($B$63=0,ABS(52*$B$67-$B$178/2)&gt;$B$59/2)),$B$182+$B$181*($B$177*2/4+$B$60/2),NA())</f>
        <v>#N/A</v>
      </c>
      <c r="KJ623" t="e">
        <f>IF(AND($B$21=1,52*$B$67&gt;$B$59,52*$B$67&lt;$B$178-$B$59,OR($B$63=0,ABS(52*$B$67-$B$178/2)&gt;$B$59/2)),$B$183+$B$181*(52*$B$67),NA())</f>
        <v>#N/A</v>
      </c>
    </row>
    <row r="624">
      <c r="K624" t="e">
        <f>IF(34&lt;=$B$12,$B$133+$B$132*($B$13*34+$B$27/2),NA())</f>
        <v>#N/A</v>
      </c>
      <c r="L624" t="e">
        <f>IF(34&lt;=$B$12,$B$134+$B$132*($B$5-$B$27/2),NA())</f>
        <v>#N/A</v>
      </c>
      <c r="GI624" t="e">
        <f>IF(AND($B$21=1,(42*$B$66)&lt;IF($B$63=1,$B$10-0.2,$B$62)),$B$151+$B$150*(MAX(IF((42*$B$66)&lt;=$B$9,0,((42*$B$66)-$B$9)/$B$8),MIN(($B$5-IF((42*$B$66)&lt;=$B$9,0,((42*$B$66)-$B$9)/$B$8)),IF((42*$B$66)&lt;$B$111,$B$114,$B$113)))),NA())</f>
        <v>#N/A</v>
      </c>
      <c r="GJ624" t="e">
        <f>IF(AND($B$21=1,(42*$B$66)&lt;IF($B$63=1,$B$10-0.2,$B$62)),$B$152+$B$150*((42*$B$66)),NA())</f>
        <v>#N/A</v>
      </c>
      <c r="HQ624" t="e">
        <f>IF(AND(9&lt;=$B$23,2&lt;=$B$24),$B$157+$B$156*(IF(9=1,1,IF(9=$B$23,$B$12,5*(9-1)))*$B$13),NA())</f>
        <v>#N/A</v>
      </c>
      <c r="HR624" t="e">
        <f>IF(AND(9&lt;=$B$23,2&lt;=$B$24),$B$158+$B$156*((1*$B$5/2+2*($B$5/2)/$B$24)),NA())</f>
        <v>#N/A</v>
      </c>
      <c r="HS624" t="e">
        <f>IF(AND(26&lt;=$B$12,$B$51&gt;0),$B$157+$B$156*(((26-0.5)*$B$13)+($B$51*$B$13)/2),NA())</f>
        <v>#N/A</v>
      </c>
      <c r="HT624" t="e">
        <f>IF(AND(26&lt;=$B$12,$B$51&gt;0),$B$158+$B$156*((1*$B$5/2+0.6*$B$159)+(((1*$B$5/2+$B$5/2-0.6*$B$159))-((1*$B$5/2+0.6*$B$159)))/4),NA())</f>
        <v>#N/A</v>
      </c>
      <c r="KI624" t="e">
        <f>IF(AND($B$21=1,52*$B$67&gt;$B$59,52*$B$67&lt;$B$178-$B$59,OR($B$63=0,ABS(52*$B$67-$B$178/2)&gt;$B$59/2)),$B$182+$B$181*($B$177*3/4-$B$60/2),NA())</f>
        <v>#N/A</v>
      </c>
      <c r="KJ624" t="e">
        <f>IF(AND($B$21=1,52*$B$67&gt;$B$59,52*$B$67&lt;$B$178-$B$59,OR($B$63=0,ABS(52*$B$67-$B$178/2)&gt;$B$59/2)),$B$183+$B$181*(52*$B$67),NA())</f>
        <v>#N/A</v>
      </c>
    </row>
    <row r="625">
      <c r="K625" t="e">
        <f>IF(34&lt;=$B$12,$B$133+$B$132*($B$13*34+$B$27/2),NA())</f>
        <v>#N/A</v>
      </c>
      <c r="L625" t="e">
        <f>IF(34&lt;=$B$12,$B$134+$B$132*($B$5+$B$27/2),NA())</f>
        <v>#N/A</v>
      </c>
      <c r="GI625" t="e">
        <f>IF(AND(AND($B$21=1,(42*$B$66)&lt;IF($B$63=1,$B$10-0.2,$B$62)),(42*$B$66)&gt;=$B$111),$B$151+$B$150*(MAX(IF((42*$B$66)&lt;=$B$9,0,((42*$B$66)-$B$9)/$B$8),MIN(($B$5-IF((42*$B$66)&lt;=$B$9,0,((42*$B$66)-$B$9)/$B$8)),$B$113))),NA())</f>
        <v>#N/A</v>
      </c>
      <c r="GJ625" t="e">
        <f>IF(AND(AND($B$21=1,(42*$B$66)&lt;IF($B$63=1,$B$10-0.2,$B$62)),(42*$B$66)&gt;=$B$111),$B$152+$B$150*((42*$B$66)),NA())</f>
        <v>#N/A</v>
      </c>
      <c r="HQ625" t="e">
        <f>NA()</f>
        <v>#N/A</v>
      </c>
      <c r="HR625" t="e">
        <f>NA()</f>
        <v>#N/A</v>
      </c>
      <c r="HS625" t="e">
        <f>IF(AND(26&lt;=$B$12,$B$51&gt;0),$B$157+$B$156*(((26-0.5)*$B$13)-($B$51*$B$13)/2),NA())</f>
        <v>#N/A</v>
      </c>
      <c r="HT625" t="e">
        <f>IF(AND(26&lt;=$B$12,$B$51&gt;0),$B$158+$B$156*((1*$B$5/2+0.6*$B$159)+(((1*$B$5/2+$B$5/2-0.6*$B$159))-((1*$B$5/2+0.6*$B$159)))/2),NA())</f>
        <v>#N/A</v>
      </c>
      <c r="KI625" t="e">
        <f>NA()</f>
        <v>#N/A</v>
      </c>
      <c r="KJ625" t="e">
        <f>NA()</f>
        <v>#N/A</v>
      </c>
    </row>
    <row r="626">
      <c r="K626" t="e">
        <f>IF(34&lt;=$B$12,$B$133+$B$132*($B$13*34-$B$27/2),NA())</f>
        <v>#N/A</v>
      </c>
      <c r="L626" t="e">
        <f>IF(34&lt;=$B$12,$B$134+$B$132*($B$5+$B$27/2),NA())</f>
        <v>#N/A</v>
      </c>
      <c r="GI626" t="e">
        <f>IF(AND($B$21=1,(42*$B$66)&lt;IF($B$63=1,$B$10-0.2,$B$62)),$B$151+$B$150*(MAX(IF((42*$B$66)&lt;=$B$9,0,((42*$B$66)-$B$9)/$B$8),MIN(($B$5-IF((42*$B$66)&lt;=$B$9,0,((42*$B$66)-$B$9)/$B$8)),IF((42*$B$66)&lt;$B$111,$B$115,$B$113)))),NA())</f>
        <v>#N/A</v>
      </c>
      <c r="GJ626" t="e">
        <f>IF(AND($B$21=1,(42*$B$66)&lt;IF($B$63=1,$B$10-0.2,$B$62)),$B$152+$B$150*((42*$B$66)),NA())</f>
        <v>#N/A</v>
      </c>
      <c r="HQ626" t="e">
        <f>IF(AND(9&lt;=$B$23,2&lt;=$B$24),$B$157+$B$156*((IF(9=1,1,IF(9=$B$23,$B$12,5*(9-1)))-1)*$B$13),NA())</f>
        <v>#N/A</v>
      </c>
      <c r="HR626" t="e">
        <f>IF(AND(9&lt;=$B$23,2&lt;=$B$24),$B$158+$B$156*((1*$B$5/2+2*($B$5/2)/$B$24)),NA())</f>
        <v>#N/A</v>
      </c>
      <c r="HS626" t="e">
        <f>IF(AND(26&lt;=$B$12,$B$51&gt;0),$B$157+$B$156*(((26-0.5)*$B$13)+($B$51*$B$13)/2),NA())</f>
        <v>#N/A</v>
      </c>
      <c r="HT626" t="e">
        <f>IF(AND(26&lt;=$B$12,$B$51&gt;0),$B$158+$B$156*((1*$B$5/2+0.6*$B$159)+3*(((1*$B$5/2+$B$5/2-0.6*$B$159))-((1*$B$5/2+0.6*$B$159)))/4),NA())</f>
        <v>#N/A</v>
      </c>
      <c r="KI626" t="e">
        <f>IF(AND($B$21=1,52*$B$67&gt;$B$59,52*$B$67&lt;$B$178-$B$59,OR($B$63=0,ABS(52*$B$67-$B$178/2)&gt;$B$59/2)),$B$182+$B$181*($B$177*3/4+$B$60/2),NA())</f>
        <v>#N/A</v>
      </c>
      <c r="KJ626" t="e">
        <f>IF(AND($B$21=1,52*$B$67&gt;$B$59,52*$B$67&lt;$B$178-$B$59,OR($B$63=0,ABS(52*$B$67-$B$178/2)&gt;$B$59/2)),$B$183+$B$181*(52*$B$67),NA())</f>
        <v>#N/A</v>
      </c>
    </row>
    <row r="627">
      <c r="K627" t="e">
        <f>IF(34&lt;=$B$12,$B$133+$B$132*($B$13*34-$B$27/2),NA())</f>
        <v>#N/A</v>
      </c>
      <c r="L627" t="e">
        <f>IF(34&lt;=$B$12,$B$134+$B$132*($B$5-$B$27/2),NA())</f>
        <v>#N/A</v>
      </c>
      <c r="GI627" t="e">
        <f>IF(AND($B$21=1,(42*$B$66)&lt;IF($B$63=1,$B$10-0.2,$B$62)),$B$151+$B$150*(MAX(IF((42*$B$66)&lt;=$B$9,0,((42*$B$66)-$B$9)/$B$8),MIN(($B$5-IF((42*$B$66)&lt;=$B$9,0,((42*$B$66)-$B$9)/$B$8)),IF((42*$B$66)&lt;$B$118,$B$121,$B$120)))),NA())</f>
        <v>#N/A</v>
      </c>
      <c r="GJ627" t="e">
        <f>IF(AND($B$21=1,(42*$B$66)&lt;IF($B$63=1,$B$10-0.2,$B$62)),$B$152+$B$150*((42*$B$66)),NA())</f>
        <v>#N/A</v>
      </c>
      <c r="HQ627" t="e">
        <f>IF(AND(9&lt;=$B$23,2&lt;=$B$24),$B$157+$B$156*(IF(9=1,1,IF(9=$B$23,$B$12,5*(9-1)))*$B$13),NA())</f>
        <v>#N/A</v>
      </c>
      <c r="HR627" t="e">
        <f>IF(AND(9&lt;=$B$23,2&lt;=$B$24),$B$158+$B$156*((1*$B$5/2+(2-1)*($B$5/2)/$B$24)),NA())</f>
        <v>#N/A</v>
      </c>
      <c r="HS627" t="e">
        <f>IF(AND(26&lt;=$B$12,$B$51&gt;0),$B$157+$B$156*(((26-0.5)*$B$13)-($B$51*$B$13)/2),NA())</f>
        <v>#N/A</v>
      </c>
      <c r="HT627" t="e">
        <f>IF(AND(26&lt;=$B$12,$B$51&gt;0),$B$158+$B$156*((1*$B$5/2+$B$5/2-0.6*$B$159)),NA())</f>
        <v>#N/A</v>
      </c>
      <c r="KI627" t="e">
        <f>IF(AND($B$21=1,52*$B$67&gt;$B$59,52*$B$67&lt;$B$178-$B$59,OR($B$63=0,ABS(52*$B$67-$B$178/2)&gt;$B$59/2)),$B$182+$B$181*($B$177),NA())</f>
        <v>#N/A</v>
      </c>
      <c r="KJ627" t="e">
        <f>IF(AND($B$21=1,52*$B$67&gt;$B$59,52*$B$67&lt;$B$178-$B$59,OR($B$63=0,ABS(52*$B$67-$B$178/2)&gt;$B$59/2)),$B$183+$B$181*(52*$B$67),NA())</f>
        <v>#N/A</v>
      </c>
    </row>
    <row r="628">
      <c r="K628" t="e">
        <f>NA()</f>
        <v>#N/A</v>
      </c>
      <c r="L628" t="e">
        <f>NA()</f>
        <v>#N/A</v>
      </c>
      <c r="GI628" t="e">
        <f>IF(AND(AND($B$21=1,(42*$B$66)&lt;IF($B$63=1,$B$10-0.2,$B$62)),(42*$B$66)&gt;=$B$118),$B$151+$B$150*(MAX(IF((42*$B$66)&lt;=$B$9,0,((42*$B$66)-$B$9)/$B$8),MIN(($B$5-IF((42*$B$66)&lt;=$B$9,0,((42*$B$66)-$B$9)/$B$8)),$B$120))),NA())</f>
        <v>#N/A</v>
      </c>
      <c r="GJ628" t="e">
        <f>IF(AND(AND($B$21=1,(42*$B$66)&lt;IF($B$63=1,$B$10-0.2,$B$62)),(42*$B$66)&gt;=$B$118),$B$152+$B$150*((42*$B$66)),NA())</f>
        <v>#N/A</v>
      </c>
      <c r="HQ628" t="e">
        <f>NA()</f>
        <v>#N/A</v>
      </c>
      <c r="HR628" t="e">
        <f>NA()</f>
        <v>#N/A</v>
      </c>
      <c r="HS628" t="e">
        <f>NA()</f>
        <v>#N/A</v>
      </c>
      <c r="HT628" t="e">
        <f>NA()</f>
        <v>#N/A</v>
      </c>
      <c r="KI628" t="e">
        <f>NA()</f>
        <v>#N/A</v>
      </c>
      <c r="KJ628" t="e">
        <f>NA()</f>
        <v>#N/A</v>
      </c>
    </row>
    <row r="629">
      <c r="K629" t="e">
        <f>IF(AND(34&lt;=$B$12,$B$45=1),$B$133+$B$132*($B$13*34-$B$27/2),NA())</f>
        <v>#N/A</v>
      </c>
      <c r="L629" t="e">
        <f>IF(AND(34&lt;=$B$12,$B$45=1),$B$134+$B$132*($B$5/2-$B$27/2),NA())</f>
        <v>#N/A</v>
      </c>
      <c r="GI629" t="e">
        <f>IF(AND($B$21=1,(42*$B$66)&lt;IF($B$63=1,$B$10-0.2,$B$62)),$B$151+$B$150*(MAX(IF((42*$B$66)&lt;=$B$9,0,((42*$B$66)-$B$9)/$B$8),MIN(($B$5-IF((42*$B$66)&lt;=$B$9,0,((42*$B$66)-$B$9)/$B$8)),IF((42*$B$66)&lt;$B$118,$B$122,$B$120)))),NA())</f>
        <v>#N/A</v>
      </c>
      <c r="GJ629" t="e">
        <f>IF(AND($B$21=1,(42*$B$66)&lt;IF($B$63=1,$B$10-0.2,$B$62)),$B$152+$B$150*((42*$B$66)),NA())</f>
        <v>#N/A</v>
      </c>
      <c r="HQ629" t="e">
        <f>IF(AND(9&lt;=$B$23,3&lt;=$B$24),$B$157+$B$156*((IF(9=1,1,IF(9=$B$23,$B$12,5*(9-1)))-1)*$B$13),NA())</f>
        <v>#N/A</v>
      </c>
      <c r="HR629" t="e">
        <f>IF(AND(9&lt;=$B$23,3&lt;=$B$24),$B$158+$B$156*((1*$B$5/2+(3-1)*($B$5/2)/$B$24)),NA())</f>
        <v>#N/A</v>
      </c>
      <c r="HS629" t="e">
        <f>IF(AND(27&lt;=$B$12,$B$51&gt;0),$B$157+$B$156*(((27-0.5)*$B$13)-($B$51*$B$13)/2),NA())</f>
        <v>#N/A</v>
      </c>
      <c r="HT629" t="e">
        <f>IF(AND(27&lt;=$B$12,$B$51&gt;0),$B$158+$B$156*((0*$B$5/2+0.6*$B$159)),NA())</f>
        <v>#N/A</v>
      </c>
      <c r="KI629" t="e">
        <f>IF(AND($B$21=1,53*$B$67&gt;$B$59,53*$B$67&lt;$B$178-$B$59,OR($B$63=0,ABS(53*$B$67-$B$178/2)&gt;$B$59/2)),$B$182+$B$181*(0),NA())</f>
        <v>#N/A</v>
      </c>
      <c r="KJ629" t="e">
        <f>IF(AND($B$21=1,53*$B$67&gt;$B$59,53*$B$67&lt;$B$178-$B$59,OR($B$63=0,ABS(53*$B$67-$B$178/2)&gt;$B$59/2)),$B$183+$B$181*(53*$B$67),NA())</f>
        <v>#N/A</v>
      </c>
    </row>
    <row r="630">
      <c r="K630" t="e">
        <f>IF(AND(34&lt;=$B$12,$B$45=1),$B$133+$B$132*($B$13*34+$B$27/2),NA())</f>
        <v>#N/A</v>
      </c>
      <c r="L630" t="e">
        <f>IF(AND(34&lt;=$B$12,$B$45=1),$B$134+$B$132*($B$5/2-$B$27/2),NA())</f>
        <v>#N/A</v>
      </c>
      <c r="GI630" t="e">
        <f>IF(AND($B$21=1,(42*$B$66)&lt;IF($B$63=1,$B$10-0.2,$B$62)),$B$151+$B$150*(MAX(IF((42*$B$66)&lt;=$B$9,0,((42*$B$66)-$B$9)/$B$8),MIN(($B$5-IF((42*$B$66)&lt;=$B$9,0,((42*$B$66)-$B$9)/$B$8)),IF((42*$B$66)&lt;$B$125,$B$128,$B$127)))),NA())</f>
        <v>#N/A</v>
      </c>
      <c r="GJ630" t="e">
        <f>IF(AND($B$21=1,(42*$B$66)&lt;IF($B$63=1,$B$10-0.2,$B$62)),$B$152+$B$150*((42*$B$66)),NA())</f>
        <v>#N/A</v>
      </c>
      <c r="HQ630" t="e">
        <f>IF(AND(9&lt;=$B$23,3&lt;=$B$24),$B$157+$B$156*(IF(9=1,1,IF(9=$B$23,$B$12,5*(9-1)))*$B$13),NA())</f>
        <v>#N/A</v>
      </c>
      <c r="HR630" t="e">
        <f>IF(AND(9&lt;=$B$23,3&lt;=$B$24),$B$158+$B$156*((1*$B$5/2+3*($B$5/2)/$B$24)),NA())</f>
        <v>#N/A</v>
      </c>
      <c r="HS630" t="e">
        <f>IF(AND(27&lt;=$B$12,$B$51&gt;0),$B$157+$B$156*(((27-0.5)*$B$13)+($B$51*$B$13)/2),NA())</f>
        <v>#N/A</v>
      </c>
      <c r="HT630" t="e">
        <f>IF(AND(27&lt;=$B$12,$B$51&gt;0),$B$158+$B$156*((0*$B$5/2+0.6*$B$159)),NA())</f>
        <v>#N/A</v>
      </c>
      <c r="KI630" t="e">
        <f>IF(AND($B$21=1,53*$B$67&gt;$B$59,53*$B$67&lt;$B$178-$B$59,OR($B$63=0,ABS(53*$B$67-$B$178/2)&gt;$B$59/2)),$B$182+$B$181*($B$177*1/4-$B$60/2),NA())</f>
        <v>#N/A</v>
      </c>
      <c r="KJ630" t="e">
        <f>IF(AND($B$21=1,53*$B$67&gt;$B$59,53*$B$67&lt;$B$178-$B$59,OR($B$63=0,ABS(53*$B$67-$B$178/2)&gt;$B$59/2)),$B$183+$B$181*(53*$B$67),NA())</f>
        <v>#N/A</v>
      </c>
    </row>
    <row r="631">
      <c r="K631" t="e">
        <f>IF(AND(34&lt;=$B$12,$B$45=1),$B$133+$B$132*($B$13*34+$B$27/2),NA())</f>
        <v>#N/A</v>
      </c>
      <c r="L631" t="e">
        <f>IF(AND(34&lt;=$B$12,$B$45=1),$B$134+$B$132*($B$5/2+$B$27/2),NA())</f>
        <v>#N/A</v>
      </c>
      <c r="GI631" t="e">
        <f>IF(AND(AND($B$21=1,(42*$B$66)&lt;IF($B$63=1,$B$10-0.2,$B$62)),(42*$B$66)&gt;=$B$125),$B$151+$B$150*(MAX(IF((42*$B$66)&lt;=$B$9,0,((42*$B$66)-$B$9)/$B$8),MIN(($B$5-IF((42*$B$66)&lt;=$B$9,0,((42*$B$66)-$B$9)/$B$8)),$B$127))),NA())</f>
        <v>#N/A</v>
      </c>
      <c r="GJ631" t="e">
        <f>IF(AND(AND($B$21=1,(42*$B$66)&lt;IF($B$63=1,$B$10-0.2,$B$62)),(42*$B$66)&gt;=$B$125),$B$152+$B$150*((42*$B$66)),NA())</f>
        <v>#N/A</v>
      </c>
      <c r="HQ631" t="e">
        <f>NA()</f>
        <v>#N/A</v>
      </c>
      <c r="HR631" t="e">
        <f>NA()</f>
        <v>#N/A</v>
      </c>
      <c r="HS631" t="e">
        <f>IF(AND(27&lt;=$B$12,$B$51&gt;0),$B$157+$B$156*(((27-0.5)*$B$13)+($B$51*$B$13)/2),NA())</f>
        <v>#N/A</v>
      </c>
      <c r="HT631" t="e">
        <f>IF(AND(27&lt;=$B$12,$B$51&gt;0),$B$158+$B$156*((0*$B$5/2+$B$5/2-0.6*$B$159)),NA())</f>
        <v>#N/A</v>
      </c>
      <c r="KI631" t="e">
        <f>NA()</f>
        <v>#N/A</v>
      </c>
      <c r="KJ631" t="e">
        <f>NA()</f>
        <v>#N/A</v>
      </c>
    </row>
    <row r="632">
      <c r="K632" t="e">
        <f>IF(AND(34&lt;=$B$12,$B$45=1),$B$133+$B$132*($B$13*34-$B$27/2),NA())</f>
        <v>#N/A</v>
      </c>
      <c r="L632" t="e">
        <f>IF(AND(34&lt;=$B$12,$B$45=1),$B$134+$B$132*($B$5/2+$B$27/2),NA())</f>
        <v>#N/A</v>
      </c>
      <c r="GI632" t="e">
        <f>IF(AND($B$21=1,(42*$B$66)&lt;IF($B$63=1,$B$10-0.2,$B$62)),$B$151+$B$150*(MAX(IF((42*$B$66)&lt;=$B$9,0,((42*$B$66)-$B$9)/$B$8),MIN(($B$5-IF((42*$B$66)&lt;=$B$9,0,((42*$B$66)-$B$9)/$B$8)),IF((42*$B$66)&lt;$B$125,$B$129,$B$127)))),NA())</f>
        <v>#N/A</v>
      </c>
      <c r="GJ632" t="e">
        <f>IF(AND($B$21=1,(42*$B$66)&lt;IF($B$63=1,$B$10-0.2,$B$62)),$B$152+$B$150*((42*$B$66)),NA())</f>
        <v>#N/A</v>
      </c>
      <c r="HQ632" t="e">
        <f>IF(AND(9&lt;=$B$23,3&lt;=$B$24),$B$157+$B$156*((IF(9=1,1,IF(9=$B$23,$B$12,5*(9-1)))-1)*$B$13),NA())</f>
        <v>#N/A</v>
      </c>
      <c r="HR632" t="e">
        <f>IF(AND(9&lt;=$B$23,3&lt;=$B$24),$B$158+$B$156*((1*$B$5/2+3*($B$5/2)/$B$24)),NA())</f>
        <v>#N/A</v>
      </c>
      <c r="HS632" t="e">
        <f>IF(AND(27&lt;=$B$12,$B$51&gt;0),$B$157+$B$156*(((27-0.5)*$B$13)-($B$51*$B$13)/2),NA())</f>
        <v>#N/A</v>
      </c>
      <c r="HT632" t="e">
        <f>IF(AND(27&lt;=$B$12,$B$51&gt;0),$B$158+$B$156*((0*$B$5/2+$B$5/2-0.6*$B$159)),NA())</f>
        <v>#N/A</v>
      </c>
      <c r="KI632" t="e">
        <f>IF(AND($B$21=1,53*$B$67&gt;$B$59,53*$B$67&lt;$B$178-$B$59,OR($B$63=0,ABS(53*$B$67-$B$178/2)&gt;$B$59/2)),$B$182+$B$181*($B$177*1/4+$B$60/2),NA())</f>
        <v>#N/A</v>
      </c>
      <c r="KJ632" t="e">
        <f>IF(AND($B$21=1,53*$B$67&gt;$B$59,53*$B$67&lt;$B$178-$B$59,OR($B$63=0,ABS(53*$B$67-$B$178/2)&gt;$B$59/2)),$B$183+$B$181*(53*$B$67),NA())</f>
        <v>#N/A</v>
      </c>
    </row>
    <row r="633">
      <c r="K633" t="e">
        <f>IF(AND(34&lt;=$B$12,$B$45=1),$B$133+$B$132*($B$13*34-$B$27/2),NA())</f>
        <v>#N/A</v>
      </c>
      <c r="L633" t="e">
        <f>IF(AND(34&lt;=$B$12,$B$45=1),$B$134+$B$132*($B$5/2-$B$27/2),NA())</f>
        <v>#N/A</v>
      </c>
      <c r="GI633" t="e">
        <f>IF(AND($B$21=1,(42*$B$66)&lt;IF($B$63=1,$B$10-0.2,$B$62)),$B$151+$B$150*(($B$5-IF((42*$B$66)&lt;=$B$9,0,((42*$B$66)-$B$9)/$B$8))),NA())</f>
        <v>#N/A</v>
      </c>
      <c r="GJ633" t="e">
        <f>IF(AND($B$21=1,(42*$B$66)&lt;IF($B$63=1,$B$10-0.2,$B$62)),$B$152+$B$150*((42*$B$66)),NA())</f>
        <v>#N/A</v>
      </c>
      <c r="HQ633" t="e">
        <f>IF(AND(9&lt;=$B$23,3&lt;=$B$24),$B$157+$B$156*(IF(9=1,1,IF(9=$B$23,$B$12,5*(9-1)))*$B$13),NA())</f>
        <v>#N/A</v>
      </c>
      <c r="HR633" t="e">
        <f>IF(AND(9&lt;=$B$23,3&lt;=$B$24),$B$158+$B$156*((1*$B$5/2+(3-1)*($B$5/2)/$B$24)),NA())</f>
        <v>#N/A</v>
      </c>
      <c r="HS633" t="e">
        <f>IF(AND(27&lt;=$B$12,$B$51&gt;0),$B$157+$B$156*(((27-0.5)*$B$13)-($B$51*$B$13)/2),NA())</f>
        <v>#N/A</v>
      </c>
      <c r="HT633" t="e">
        <f>IF(AND(27&lt;=$B$12,$B$51&gt;0),$B$158+$B$156*((0*$B$5/2+0.6*$B$159)),NA())</f>
        <v>#N/A</v>
      </c>
      <c r="KI633" t="e">
        <f>IF(AND($B$21=1,53*$B$67&gt;$B$59,53*$B$67&lt;$B$178-$B$59,OR($B$63=0,ABS(53*$B$67-$B$178/2)&gt;$B$59/2)),$B$182+$B$181*($B$177*2/4-$B$60/2),NA())</f>
        <v>#N/A</v>
      </c>
      <c r="KJ633" t="e">
        <f>IF(AND($B$21=1,53*$B$67&gt;$B$59,53*$B$67&lt;$B$178-$B$59,OR($B$63=0,ABS(53*$B$67-$B$178/2)&gt;$B$59/2)),$B$183+$B$181*(53*$B$67),NA())</f>
        <v>#N/A</v>
      </c>
    </row>
    <row r="634">
      <c r="K634" t="e">
        <f>NA()</f>
        <v>#N/A</v>
      </c>
      <c r="L634" t="e">
        <f>NA()</f>
        <v>#N/A</v>
      </c>
      <c r="GI634" t="e">
        <f>NA()</f>
        <v>#N/A</v>
      </c>
      <c r="GJ634" t="e">
        <f>NA()</f>
        <v>#N/A</v>
      </c>
      <c r="HQ634" t="e">
        <f>NA()</f>
        <v>#N/A</v>
      </c>
      <c r="HR634" t="e">
        <f>NA()</f>
        <v>#N/A</v>
      </c>
      <c r="HS634" t="e">
        <f>NA()</f>
        <v>#N/A</v>
      </c>
      <c r="HT634" t="e">
        <f>NA()</f>
        <v>#N/A</v>
      </c>
      <c r="KI634" t="e">
        <f>NA()</f>
        <v>#N/A</v>
      </c>
      <c r="KJ634" t="e">
        <f>NA()</f>
        <v>#N/A</v>
      </c>
    </row>
    <row r="635">
      <c r="K635" t="e">
        <f>IF(35&lt;=$B$12,$B$133+$B$132*($B$13*35-$B$27/2),NA())</f>
        <v>#N/A</v>
      </c>
      <c r="L635" t="e">
        <f>IF(35&lt;=$B$12,$B$134+$B$132*(0-$B$27/2),NA())</f>
        <v>#N/A</v>
      </c>
      <c r="HQ635" t="e">
        <f>IF(AND(9&lt;=$B$23,4&lt;=$B$24),$B$157+$B$156*((IF(9=1,1,IF(9=$B$23,$B$12,5*(9-1)))-1)*$B$13),NA())</f>
        <v>#N/A</v>
      </c>
      <c r="HR635" t="e">
        <f>IF(AND(9&lt;=$B$23,4&lt;=$B$24),$B$158+$B$156*((1*$B$5/2+(4-1)*($B$5/2)/$B$24)),NA())</f>
        <v>#N/A</v>
      </c>
      <c r="HS635" t="e">
        <f>IF(AND(27&lt;=$B$12,$B$51&gt;0),$B$157+$B$156*(((27-0.5)*$B$13)-($B$51*$B$13)/2),NA())</f>
        <v>#N/A</v>
      </c>
      <c r="HT635" t="e">
        <f>IF(AND(27&lt;=$B$12,$B$51&gt;0),$B$158+$B$156*((0*$B$5/2+0.6*$B$159)),NA())</f>
        <v>#N/A</v>
      </c>
      <c r="KI635" t="e">
        <f>IF(AND($B$21=1,53*$B$67&gt;$B$59,53*$B$67&lt;$B$178-$B$59,OR($B$63=0,ABS(53*$B$67-$B$178/2)&gt;$B$59/2)),$B$182+$B$181*($B$177*2/4+$B$60/2),NA())</f>
        <v>#N/A</v>
      </c>
      <c r="KJ635" t="e">
        <f>IF(AND($B$21=1,53*$B$67&gt;$B$59,53*$B$67&lt;$B$178-$B$59,OR($B$63=0,ABS(53*$B$67-$B$178/2)&gt;$B$59/2)),$B$183+$B$181*(53*$B$67),NA())</f>
        <v>#N/A</v>
      </c>
    </row>
    <row r="636">
      <c r="K636" t="e">
        <f>IF(35&lt;=$B$12,$B$133+$B$132*($B$13*35+$B$27/2),NA())</f>
        <v>#N/A</v>
      </c>
      <c r="L636" t="e">
        <f>IF(35&lt;=$B$12,$B$134+$B$132*(0-$B$27/2),NA())</f>
        <v>#N/A</v>
      </c>
      <c r="HQ636" t="e">
        <f>IF(AND(9&lt;=$B$23,4&lt;=$B$24),$B$157+$B$156*(IF(9=1,1,IF(9=$B$23,$B$12,5*(9-1)))*$B$13),NA())</f>
        <v>#N/A</v>
      </c>
      <c r="HR636" t="e">
        <f>IF(AND(9&lt;=$B$23,4&lt;=$B$24),$B$158+$B$156*((1*$B$5/2+4*($B$5/2)/$B$24)),NA())</f>
        <v>#N/A</v>
      </c>
      <c r="HS636" t="e">
        <f>IF(AND(27&lt;=$B$12,$B$51&gt;0),$B$157+$B$156*(((27-0.5)*$B$13)+($B$51*$B$13)/2),NA())</f>
        <v>#N/A</v>
      </c>
      <c r="HT636" t="e">
        <f>IF(AND(27&lt;=$B$12,$B$51&gt;0),$B$158+$B$156*((0*$B$5/2+0.6*$B$159)+(((0*$B$5/2+$B$5/2-0.6*$B$159))-((0*$B$5/2+0.6*$B$159)))/4),NA())</f>
        <v>#N/A</v>
      </c>
      <c r="KI636" t="e">
        <f>IF(AND($B$21=1,53*$B$67&gt;$B$59,53*$B$67&lt;$B$178-$B$59,OR($B$63=0,ABS(53*$B$67-$B$178/2)&gt;$B$59/2)),$B$182+$B$181*($B$177*3/4-$B$60/2),NA())</f>
        <v>#N/A</v>
      </c>
      <c r="KJ636" t="e">
        <f>IF(AND($B$21=1,53*$B$67&gt;$B$59,53*$B$67&lt;$B$178-$B$59,OR($B$63=0,ABS(53*$B$67-$B$178/2)&gt;$B$59/2)),$B$183+$B$181*(53*$B$67),NA())</f>
        <v>#N/A</v>
      </c>
    </row>
    <row r="637">
      <c r="K637" t="e">
        <f>IF(35&lt;=$B$12,$B$133+$B$132*($B$13*35+$B$27/2),NA())</f>
        <v>#N/A</v>
      </c>
      <c r="L637" t="e">
        <f>IF(35&lt;=$B$12,$B$134+$B$132*(0+$B$27/2),NA())</f>
        <v>#N/A</v>
      </c>
      <c r="HQ637" t="e">
        <f>NA()</f>
        <v>#N/A</v>
      </c>
      <c r="HR637" t="e">
        <f>NA()</f>
        <v>#N/A</v>
      </c>
      <c r="HS637" t="e">
        <f>IF(AND(27&lt;=$B$12,$B$51&gt;0),$B$157+$B$156*(((27-0.5)*$B$13)-($B$51*$B$13)/2),NA())</f>
        <v>#N/A</v>
      </c>
      <c r="HT637" t="e">
        <f>IF(AND(27&lt;=$B$12,$B$51&gt;0),$B$158+$B$156*((0*$B$5/2+0.6*$B$159)+(((0*$B$5/2+$B$5/2-0.6*$B$159))-((0*$B$5/2+0.6*$B$159)))/2),NA())</f>
        <v>#N/A</v>
      </c>
      <c r="KI637" t="e">
        <f>NA()</f>
        <v>#N/A</v>
      </c>
      <c r="KJ637" t="e">
        <f>NA()</f>
        <v>#N/A</v>
      </c>
    </row>
    <row r="638">
      <c r="K638" t="e">
        <f>IF(35&lt;=$B$12,$B$133+$B$132*($B$13*35-$B$27/2),NA())</f>
        <v>#N/A</v>
      </c>
      <c r="L638" t="e">
        <f>IF(35&lt;=$B$12,$B$134+$B$132*(0+$B$27/2),NA())</f>
        <v>#N/A</v>
      </c>
      <c r="HQ638" t="e">
        <f>IF(AND(9&lt;=$B$23,4&lt;=$B$24),$B$157+$B$156*((IF(9=1,1,IF(9=$B$23,$B$12,5*(9-1)))-1)*$B$13),NA())</f>
        <v>#N/A</v>
      </c>
      <c r="HR638" t="e">
        <f>IF(AND(9&lt;=$B$23,4&lt;=$B$24),$B$158+$B$156*((1*$B$5/2+4*($B$5/2)/$B$24)),NA())</f>
        <v>#N/A</v>
      </c>
      <c r="HS638" t="e">
        <f>IF(AND(27&lt;=$B$12,$B$51&gt;0),$B$157+$B$156*(((27-0.5)*$B$13)+($B$51*$B$13)/2),NA())</f>
        <v>#N/A</v>
      </c>
      <c r="HT638" t="e">
        <f>IF(AND(27&lt;=$B$12,$B$51&gt;0),$B$158+$B$156*((0*$B$5/2+0.6*$B$159)+3*(((0*$B$5/2+$B$5/2-0.6*$B$159))-((0*$B$5/2+0.6*$B$159)))/4),NA())</f>
        <v>#N/A</v>
      </c>
      <c r="KI638" t="e">
        <f>IF(AND($B$21=1,53*$B$67&gt;$B$59,53*$B$67&lt;$B$178-$B$59,OR($B$63=0,ABS(53*$B$67-$B$178/2)&gt;$B$59/2)),$B$182+$B$181*($B$177*3/4+$B$60/2),NA())</f>
        <v>#N/A</v>
      </c>
      <c r="KJ638" t="e">
        <f>IF(AND($B$21=1,53*$B$67&gt;$B$59,53*$B$67&lt;$B$178-$B$59,OR($B$63=0,ABS(53*$B$67-$B$178/2)&gt;$B$59/2)),$B$183+$B$181*(53*$B$67),NA())</f>
        <v>#N/A</v>
      </c>
    </row>
    <row r="639">
      <c r="K639" t="e">
        <f>IF(35&lt;=$B$12,$B$133+$B$132*($B$13*35-$B$27/2),NA())</f>
        <v>#N/A</v>
      </c>
      <c r="L639" t="e">
        <f>IF(35&lt;=$B$12,$B$134+$B$132*(0-$B$27/2),NA())</f>
        <v>#N/A</v>
      </c>
      <c r="HQ639" t="e">
        <f>IF(AND(9&lt;=$B$23,4&lt;=$B$24),$B$157+$B$156*(IF(9=1,1,IF(9=$B$23,$B$12,5*(9-1)))*$B$13),NA())</f>
        <v>#N/A</v>
      </c>
      <c r="HR639" t="e">
        <f>IF(AND(9&lt;=$B$23,4&lt;=$B$24),$B$158+$B$156*((1*$B$5/2+(4-1)*($B$5/2)/$B$24)),NA())</f>
        <v>#N/A</v>
      </c>
      <c r="HS639" t="e">
        <f>IF(AND(27&lt;=$B$12,$B$51&gt;0),$B$157+$B$156*(((27-0.5)*$B$13)-($B$51*$B$13)/2),NA())</f>
        <v>#N/A</v>
      </c>
      <c r="HT639" t="e">
        <f>IF(AND(27&lt;=$B$12,$B$51&gt;0),$B$158+$B$156*((0*$B$5/2+$B$5/2-0.6*$B$159)),NA())</f>
        <v>#N/A</v>
      </c>
      <c r="KI639" t="e">
        <f>IF(AND($B$21=1,53*$B$67&gt;$B$59,53*$B$67&lt;$B$178-$B$59,OR($B$63=0,ABS(53*$B$67-$B$178/2)&gt;$B$59/2)),$B$182+$B$181*($B$177),NA())</f>
        <v>#N/A</v>
      </c>
      <c r="KJ639" t="e">
        <f>IF(AND($B$21=1,53*$B$67&gt;$B$59,53*$B$67&lt;$B$178-$B$59,OR($B$63=0,ABS(53*$B$67-$B$178/2)&gt;$B$59/2)),$B$183+$B$181*(53*$B$67),NA())</f>
        <v>#N/A</v>
      </c>
    </row>
    <row r="640">
      <c r="K640" t="e">
        <f>NA()</f>
        <v>#N/A</v>
      </c>
      <c r="L640" t="e">
        <f>NA()</f>
        <v>#N/A</v>
      </c>
      <c r="HQ640" t="e">
        <f>NA()</f>
        <v>#N/A</v>
      </c>
      <c r="HR640" t="e">
        <f>NA()</f>
        <v>#N/A</v>
      </c>
      <c r="HS640" t="e">
        <f>NA()</f>
        <v>#N/A</v>
      </c>
      <c r="HT640" t="e">
        <f>NA()</f>
        <v>#N/A</v>
      </c>
      <c r="KI640" t="e">
        <f>NA()</f>
        <v>#N/A</v>
      </c>
      <c r="KJ640" t="e">
        <f>NA()</f>
        <v>#N/A</v>
      </c>
    </row>
    <row r="641">
      <c r="K641" t="e">
        <f>IF(35&lt;=$B$12,$B$133+$B$132*($B$13*35-$B$27/2),NA())</f>
        <v>#N/A</v>
      </c>
      <c r="L641" t="e">
        <f>IF(35&lt;=$B$12,$B$134+$B$132*($B$5-$B$27/2),NA())</f>
        <v>#N/A</v>
      </c>
      <c r="HQ641" t="e">
        <f>IF(AND(9&lt;=$B$23,5&lt;=$B$24),$B$157+$B$156*((IF(9=1,1,IF(9=$B$23,$B$12,5*(9-1)))-1)*$B$13),NA())</f>
        <v>#N/A</v>
      </c>
      <c r="HR641" t="e">
        <f>IF(AND(9&lt;=$B$23,5&lt;=$B$24),$B$158+$B$156*((1*$B$5/2+(5-1)*($B$5/2)/$B$24)),NA())</f>
        <v>#N/A</v>
      </c>
      <c r="HS641" t="e">
        <f>IF(AND(27&lt;=$B$12,$B$51&gt;0),$B$157+$B$156*(((27-0.5)*$B$13)-($B$51*$B$13)/2),NA())</f>
        <v>#N/A</v>
      </c>
      <c r="HT641" t="e">
        <f>IF(AND(27&lt;=$B$12,$B$51&gt;0),$B$158+$B$156*((1*$B$5/2+0.6*$B$159)),NA())</f>
        <v>#N/A</v>
      </c>
      <c r="KI641" t="e">
        <f>IF(AND($B$21=1,54*$B$67&gt;$B$59,54*$B$67&lt;$B$178-$B$59,OR($B$63=0,ABS(54*$B$67-$B$178/2)&gt;$B$59/2)),$B$182+$B$181*(0),NA())</f>
        <v>#N/A</v>
      </c>
      <c r="KJ641" t="e">
        <f>IF(AND($B$21=1,54*$B$67&gt;$B$59,54*$B$67&lt;$B$178-$B$59,OR($B$63=0,ABS(54*$B$67-$B$178/2)&gt;$B$59/2)),$B$183+$B$181*(54*$B$67),NA())</f>
        <v>#N/A</v>
      </c>
    </row>
    <row r="642">
      <c r="K642" t="e">
        <f>IF(35&lt;=$B$12,$B$133+$B$132*($B$13*35+$B$27/2),NA())</f>
        <v>#N/A</v>
      </c>
      <c r="L642" t="e">
        <f>IF(35&lt;=$B$12,$B$134+$B$132*($B$5-$B$27/2),NA())</f>
        <v>#N/A</v>
      </c>
      <c r="HQ642" t="e">
        <f>IF(AND(9&lt;=$B$23,5&lt;=$B$24),$B$157+$B$156*(IF(9=1,1,IF(9=$B$23,$B$12,5*(9-1)))*$B$13),NA())</f>
        <v>#N/A</v>
      </c>
      <c r="HR642" t="e">
        <f>IF(AND(9&lt;=$B$23,5&lt;=$B$24),$B$158+$B$156*((1*$B$5/2+5*($B$5/2)/$B$24)),NA())</f>
        <v>#N/A</v>
      </c>
      <c r="HS642" t="e">
        <f>IF(AND(27&lt;=$B$12,$B$51&gt;0),$B$157+$B$156*(((27-0.5)*$B$13)+($B$51*$B$13)/2),NA())</f>
        <v>#N/A</v>
      </c>
      <c r="HT642" t="e">
        <f>IF(AND(27&lt;=$B$12,$B$51&gt;0),$B$158+$B$156*((1*$B$5/2+0.6*$B$159)),NA())</f>
        <v>#N/A</v>
      </c>
      <c r="KI642" t="e">
        <f>IF(AND($B$21=1,54*$B$67&gt;$B$59,54*$B$67&lt;$B$178-$B$59,OR($B$63=0,ABS(54*$B$67-$B$178/2)&gt;$B$59/2)),$B$182+$B$181*($B$177*1/4-$B$60/2),NA())</f>
        <v>#N/A</v>
      </c>
      <c r="KJ642" t="e">
        <f>IF(AND($B$21=1,54*$B$67&gt;$B$59,54*$B$67&lt;$B$178-$B$59,OR($B$63=0,ABS(54*$B$67-$B$178/2)&gt;$B$59/2)),$B$183+$B$181*(54*$B$67),NA())</f>
        <v>#N/A</v>
      </c>
    </row>
    <row r="643">
      <c r="K643" t="e">
        <f>IF(35&lt;=$B$12,$B$133+$B$132*($B$13*35+$B$27/2),NA())</f>
        <v>#N/A</v>
      </c>
      <c r="L643" t="e">
        <f>IF(35&lt;=$B$12,$B$134+$B$132*($B$5+$B$27/2),NA())</f>
        <v>#N/A</v>
      </c>
      <c r="HQ643" t="e">
        <f>NA()</f>
        <v>#N/A</v>
      </c>
      <c r="HR643" t="e">
        <f>NA()</f>
        <v>#N/A</v>
      </c>
      <c r="HS643" t="e">
        <f>IF(AND(27&lt;=$B$12,$B$51&gt;0),$B$157+$B$156*(((27-0.5)*$B$13)+($B$51*$B$13)/2),NA())</f>
        <v>#N/A</v>
      </c>
      <c r="HT643" t="e">
        <f>IF(AND(27&lt;=$B$12,$B$51&gt;0),$B$158+$B$156*((1*$B$5/2+$B$5/2-0.6*$B$159)),NA())</f>
        <v>#N/A</v>
      </c>
      <c r="KI643" t="e">
        <f>NA()</f>
        <v>#N/A</v>
      </c>
      <c r="KJ643" t="e">
        <f>NA()</f>
        <v>#N/A</v>
      </c>
    </row>
    <row r="644">
      <c r="K644" t="e">
        <f>IF(35&lt;=$B$12,$B$133+$B$132*($B$13*35-$B$27/2),NA())</f>
        <v>#N/A</v>
      </c>
      <c r="L644" t="e">
        <f>IF(35&lt;=$B$12,$B$134+$B$132*($B$5+$B$27/2),NA())</f>
        <v>#N/A</v>
      </c>
      <c r="HQ644" t="e">
        <f>IF(AND(9&lt;=$B$23,5&lt;=$B$24),$B$157+$B$156*((IF(9=1,1,IF(9=$B$23,$B$12,5*(9-1)))-1)*$B$13),NA())</f>
        <v>#N/A</v>
      </c>
      <c r="HR644" t="e">
        <f>IF(AND(9&lt;=$B$23,5&lt;=$B$24),$B$158+$B$156*((1*$B$5/2+5*($B$5/2)/$B$24)),NA())</f>
        <v>#N/A</v>
      </c>
      <c r="HS644" t="e">
        <f>IF(AND(27&lt;=$B$12,$B$51&gt;0),$B$157+$B$156*(((27-0.5)*$B$13)-($B$51*$B$13)/2),NA())</f>
        <v>#N/A</v>
      </c>
      <c r="HT644" t="e">
        <f>IF(AND(27&lt;=$B$12,$B$51&gt;0),$B$158+$B$156*((1*$B$5/2+$B$5/2-0.6*$B$159)),NA())</f>
        <v>#N/A</v>
      </c>
      <c r="KI644" t="e">
        <f>IF(AND($B$21=1,54*$B$67&gt;$B$59,54*$B$67&lt;$B$178-$B$59,OR($B$63=0,ABS(54*$B$67-$B$178/2)&gt;$B$59/2)),$B$182+$B$181*($B$177*1/4+$B$60/2),NA())</f>
        <v>#N/A</v>
      </c>
      <c r="KJ644" t="e">
        <f>IF(AND($B$21=1,54*$B$67&gt;$B$59,54*$B$67&lt;$B$178-$B$59,OR($B$63=0,ABS(54*$B$67-$B$178/2)&gt;$B$59/2)),$B$183+$B$181*(54*$B$67),NA())</f>
        <v>#N/A</v>
      </c>
    </row>
    <row r="645">
      <c r="K645" t="e">
        <f>IF(35&lt;=$B$12,$B$133+$B$132*($B$13*35-$B$27/2),NA())</f>
        <v>#N/A</v>
      </c>
      <c r="L645" t="e">
        <f>IF(35&lt;=$B$12,$B$134+$B$132*($B$5-$B$27/2),NA())</f>
        <v>#N/A</v>
      </c>
      <c r="HQ645" t="e">
        <f>IF(AND(9&lt;=$B$23,5&lt;=$B$24),$B$157+$B$156*(IF(9=1,1,IF(9=$B$23,$B$12,5*(9-1)))*$B$13),NA())</f>
        <v>#N/A</v>
      </c>
      <c r="HR645" t="e">
        <f>IF(AND(9&lt;=$B$23,5&lt;=$B$24),$B$158+$B$156*((1*$B$5/2+(5-1)*($B$5/2)/$B$24)),NA())</f>
        <v>#N/A</v>
      </c>
      <c r="HS645" t="e">
        <f>IF(AND(27&lt;=$B$12,$B$51&gt;0),$B$157+$B$156*(((27-0.5)*$B$13)-($B$51*$B$13)/2),NA())</f>
        <v>#N/A</v>
      </c>
      <c r="HT645" t="e">
        <f>IF(AND(27&lt;=$B$12,$B$51&gt;0),$B$158+$B$156*((1*$B$5/2+0.6*$B$159)),NA())</f>
        <v>#N/A</v>
      </c>
      <c r="KI645" t="e">
        <f>IF(AND($B$21=1,54*$B$67&gt;$B$59,54*$B$67&lt;$B$178-$B$59,OR($B$63=0,ABS(54*$B$67-$B$178/2)&gt;$B$59/2)),$B$182+$B$181*($B$177*2/4-$B$60/2),NA())</f>
        <v>#N/A</v>
      </c>
      <c r="KJ645" t="e">
        <f>IF(AND($B$21=1,54*$B$67&gt;$B$59,54*$B$67&lt;$B$178-$B$59,OR($B$63=0,ABS(54*$B$67-$B$178/2)&gt;$B$59/2)),$B$183+$B$181*(54*$B$67),NA())</f>
        <v>#N/A</v>
      </c>
    </row>
    <row r="646">
      <c r="K646" t="e">
        <f>NA()</f>
        <v>#N/A</v>
      </c>
      <c r="L646" t="e">
        <f>NA()</f>
        <v>#N/A</v>
      </c>
      <c r="HQ646" t="e">
        <f>NA()</f>
        <v>#N/A</v>
      </c>
      <c r="HR646" t="e">
        <f>NA()</f>
        <v>#N/A</v>
      </c>
      <c r="HS646" t="e">
        <f>NA()</f>
        <v>#N/A</v>
      </c>
      <c r="HT646" t="e">
        <f>NA()</f>
        <v>#N/A</v>
      </c>
      <c r="KI646" t="e">
        <f>NA()</f>
        <v>#N/A</v>
      </c>
      <c r="KJ646" t="e">
        <f>NA()</f>
        <v>#N/A</v>
      </c>
    </row>
    <row r="647">
      <c r="K647" t="e">
        <f>IF(AND(35&lt;=$B$12,$B$45=1),$B$133+$B$132*($B$13*35-$B$27/2),NA())</f>
        <v>#N/A</v>
      </c>
      <c r="L647" t="e">
        <f>IF(AND(35&lt;=$B$12,$B$45=1),$B$134+$B$132*($B$5/2-$B$27/2),NA())</f>
        <v>#N/A</v>
      </c>
      <c r="HQ647" t="e">
        <f>IF(AND(9&lt;=$B$23,6&lt;=$B$24),$B$157+$B$156*((IF(9=1,1,IF(9=$B$23,$B$12,5*(9-1)))-1)*$B$13),NA())</f>
        <v>#N/A</v>
      </c>
      <c r="HR647" t="e">
        <f>IF(AND(9&lt;=$B$23,6&lt;=$B$24),$B$158+$B$156*((1*$B$5/2+(6-1)*($B$5/2)/$B$24)),NA())</f>
        <v>#N/A</v>
      </c>
      <c r="HS647" t="e">
        <f>IF(AND(27&lt;=$B$12,$B$51&gt;0),$B$157+$B$156*(((27-0.5)*$B$13)-($B$51*$B$13)/2),NA())</f>
        <v>#N/A</v>
      </c>
      <c r="HT647" t="e">
        <f>IF(AND(27&lt;=$B$12,$B$51&gt;0),$B$158+$B$156*((1*$B$5/2+0.6*$B$159)),NA())</f>
        <v>#N/A</v>
      </c>
      <c r="KI647" t="e">
        <f>IF(AND($B$21=1,54*$B$67&gt;$B$59,54*$B$67&lt;$B$178-$B$59,OR($B$63=0,ABS(54*$B$67-$B$178/2)&gt;$B$59/2)),$B$182+$B$181*($B$177*2/4+$B$60/2),NA())</f>
        <v>#N/A</v>
      </c>
      <c r="KJ647" t="e">
        <f>IF(AND($B$21=1,54*$B$67&gt;$B$59,54*$B$67&lt;$B$178-$B$59,OR($B$63=0,ABS(54*$B$67-$B$178/2)&gt;$B$59/2)),$B$183+$B$181*(54*$B$67),NA())</f>
        <v>#N/A</v>
      </c>
    </row>
    <row r="648">
      <c r="K648" t="e">
        <f>IF(AND(35&lt;=$B$12,$B$45=1),$B$133+$B$132*($B$13*35+$B$27/2),NA())</f>
        <v>#N/A</v>
      </c>
      <c r="L648" t="e">
        <f>IF(AND(35&lt;=$B$12,$B$45=1),$B$134+$B$132*($B$5/2-$B$27/2),NA())</f>
        <v>#N/A</v>
      </c>
      <c r="HQ648" t="e">
        <f>IF(AND(9&lt;=$B$23,6&lt;=$B$24),$B$157+$B$156*(IF(9=1,1,IF(9=$B$23,$B$12,5*(9-1)))*$B$13),NA())</f>
        <v>#N/A</v>
      </c>
      <c r="HR648" t="e">
        <f>IF(AND(9&lt;=$B$23,6&lt;=$B$24),$B$158+$B$156*((1*$B$5/2+6*($B$5/2)/$B$24)),NA())</f>
        <v>#N/A</v>
      </c>
      <c r="HS648" t="e">
        <f>IF(AND(27&lt;=$B$12,$B$51&gt;0),$B$157+$B$156*(((27-0.5)*$B$13)+($B$51*$B$13)/2),NA())</f>
        <v>#N/A</v>
      </c>
      <c r="HT648" t="e">
        <f>IF(AND(27&lt;=$B$12,$B$51&gt;0),$B$158+$B$156*((1*$B$5/2+0.6*$B$159)+(((1*$B$5/2+$B$5/2-0.6*$B$159))-((1*$B$5/2+0.6*$B$159)))/4),NA())</f>
        <v>#N/A</v>
      </c>
      <c r="KI648" t="e">
        <f>IF(AND($B$21=1,54*$B$67&gt;$B$59,54*$B$67&lt;$B$178-$B$59,OR($B$63=0,ABS(54*$B$67-$B$178/2)&gt;$B$59/2)),$B$182+$B$181*($B$177*3/4-$B$60/2),NA())</f>
        <v>#N/A</v>
      </c>
      <c r="KJ648" t="e">
        <f>IF(AND($B$21=1,54*$B$67&gt;$B$59,54*$B$67&lt;$B$178-$B$59,OR($B$63=0,ABS(54*$B$67-$B$178/2)&gt;$B$59/2)),$B$183+$B$181*(54*$B$67),NA())</f>
        <v>#N/A</v>
      </c>
    </row>
    <row r="649">
      <c r="K649" t="e">
        <f>IF(AND(35&lt;=$B$12,$B$45=1),$B$133+$B$132*($B$13*35+$B$27/2),NA())</f>
        <v>#N/A</v>
      </c>
      <c r="L649" t="e">
        <f>IF(AND(35&lt;=$B$12,$B$45=1),$B$134+$B$132*($B$5/2+$B$27/2),NA())</f>
        <v>#N/A</v>
      </c>
      <c r="HQ649" t="e">
        <f>NA()</f>
        <v>#N/A</v>
      </c>
      <c r="HR649" t="e">
        <f>NA()</f>
        <v>#N/A</v>
      </c>
      <c r="HS649" t="e">
        <f>IF(AND(27&lt;=$B$12,$B$51&gt;0),$B$157+$B$156*(((27-0.5)*$B$13)-($B$51*$B$13)/2),NA())</f>
        <v>#N/A</v>
      </c>
      <c r="HT649" t="e">
        <f>IF(AND(27&lt;=$B$12,$B$51&gt;0),$B$158+$B$156*((1*$B$5/2+0.6*$B$159)+(((1*$B$5/2+$B$5/2-0.6*$B$159))-((1*$B$5/2+0.6*$B$159)))/2),NA())</f>
        <v>#N/A</v>
      </c>
      <c r="KI649" t="e">
        <f>NA()</f>
        <v>#N/A</v>
      </c>
      <c r="KJ649" t="e">
        <f>NA()</f>
        <v>#N/A</v>
      </c>
    </row>
    <row r="650">
      <c r="K650" t="e">
        <f>IF(AND(35&lt;=$B$12,$B$45=1),$B$133+$B$132*($B$13*35-$B$27/2),NA())</f>
        <v>#N/A</v>
      </c>
      <c r="L650" t="e">
        <f>IF(AND(35&lt;=$B$12,$B$45=1),$B$134+$B$132*($B$5/2+$B$27/2),NA())</f>
        <v>#N/A</v>
      </c>
      <c r="HQ650" t="e">
        <f>IF(AND(9&lt;=$B$23,6&lt;=$B$24),$B$157+$B$156*((IF(9=1,1,IF(9=$B$23,$B$12,5*(9-1)))-1)*$B$13),NA())</f>
        <v>#N/A</v>
      </c>
      <c r="HR650" t="e">
        <f>IF(AND(9&lt;=$B$23,6&lt;=$B$24),$B$158+$B$156*((1*$B$5/2+6*($B$5/2)/$B$24)),NA())</f>
        <v>#N/A</v>
      </c>
      <c r="HS650" t="e">
        <f>IF(AND(27&lt;=$B$12,$B$51&gt;0),$B$157+$B$156*(((27-0.5)*$B$13)+($B$51*$B$13)/2),NA())</f>
        <v>#N/A</v>
      </c>
      <c r="HT650" t="e">
        <f>IF(AND(27&lt;=$B$12,$B$51&gt;0),$B$158+$B$156*((1*$B$5/2+0.6*$B$159)+3*(((1*$B$5/2+$B$5/2-0.6*$B$159))-((1*$B$5/2+0.6*$B$159)))/4),NA())</f>
        <v>#N/A</v>
      </c>
      <c r="KI650" t="e">
        <f>IF(AND($B$21=1,54*$B$67&gt;$B$59,54*$B$67&lt;$B$178-$B$59,OR($B$63=0,ABS(54*$B$67-$B$178/2)&gt;$B$59/2)),$B$182+$B$181*($B$177*3/4+$B$60/2),NA())</f>
        <v>#N/A</v>
      </c>
      <c r="KJ650" t="e">
        <f>IF(AND($B$21=1,54*$B$67&gt;$B$59,54*$B$67&lt;$B$178-$B$59,OR($B$63=0,ABS(54*$B$67-$B$178/2)&gt;$B$59/2)),$B$183+$B$181*(54*$B$67),NA())</f>
        <v>#N/A</v>
      </c>
    </row>
    <row r="651">
      <c r="K651" t="e">
        <f>IF(AND(35&lt;=$B$12,$B$45=1),$B$133+$B$132*($B$13*35-$B$27/2),NA())</f>
        <v>#N/A</v>
      </c>
      <c r="L651" t="e">
        <f>IF(AND(35&lt;=$B$12,$B$45=1),$B$134+$B$132*($B$5/2-$B$27/2),NA())</f>
        <v>#N/A</v>
      </c>
      <c r="HQ651" t="e">
        <f>IF(AND(9&lt;=$B$23,6&lt;=$B$24),$B$157+$B$156*(IF(9=1,1,IF(9=$B$23,$B$12,5*(9-1)))*$B$13),NA())</f>
        <v>#N/A</v>
      </c>
      <c r="HR651" t="e">
        <f>IF(AND(9&lt;=$B$23,6&lt;=$B$24),$B$158+$B$156*((1*$B$5/2+(6-1)*($B$5/2)/$B$24)),NA())</f>
        <v>#N/A</v>
      </c>
      <c r="HS651" t="e">
        <f>IF(AND(27&lt;=$B$12,$B$51&gt;0),$B$157+$B$156*(((27-0.5)*$B$13)-($B$51*$B$13)/2),NA())</f>
        <v>#N/A</v>
      </c>
      <c r="HT651" t="e">
        <f>IF(AND(27&lt;=$B$12,$B$51&gt;0),$B$158+$B$156*((1*$B$5/2+$B$5/2-0.6*$B$159)),NA())</f>
        <v>#N/A</v>
      </c>
      <c r="KI651" t="e">
        <f>IF(AND($B$21=1,54*$B$67&gt;$B$59,54*$B$67&lt;$B$178-$B$59,OR($B$63=0,ABS(54*$B$67-$B$178/2)&gt;$B$59/2)),$B$182+$B$181*($B$177),NA())</f>
        <v>#N/A</v>
      </c>
      <c r="KJ651" t="e">
        <f>IF(AND($B$21=1,54*$B$67&gt;$B$59,54*$B$67&lt;$B$178-$B$59,OR($B$63=0,ABS(54*$B$67-$B$178/2)&gt;$B$59/2)),$B$183+$B$181*(54*$B$67),NA())</f>
        <v>#N/A</v>
      </c>
    </row>
    <row r="652">
      <c r="K652" t="e">
        <f>NA()</f>
        <v>#N/A</v>
      </c>
      <c r="L652" t="e">
        <f>NA()</f>
        <v>#N/A</v>
      </c>
      <c r="HQ652" t="e">
        <f>NA()</f>
        <v>#N/A</v>
      </c>
      <c r="HR652" t="e">
        <f>NA()</f>
        <v>#N/A</v>
      </c>
      <c r="HS652" t="e">
        <f>NA()</f>
        <v>#N/A</v>
      </c>
      <c r="HT652" t="e">
        <f>NA()</f>
        <v>#N/A</v>
      </c>
      <c r="KI652" t="e">
        <f>NA()</f>
        <v>#N/A</v>
      </c>
      <c r="KJ652" t="e">
        <f>NA()</f>
        <v>#N/A</v>
      </c>
    </row>
    <row r="653">
      <c r="K653" t="e">
        <f>IF(36&lt;=$B$12,$B$133+$B$132*($B$13*36-$B$27/2),NA())</f>
        <v>#N/A</v>
      </c>
      <c r="L653" t="e">
        <f>IF(36&lt;=$B$12,$B$134+$B$132*(0-$B$27/2),NA())</f>
        <v>#N/A</v>
      </c>
      <c r="HQ653" t="e">
        <f>IF(AND(10&lt;=$B$23,1&lt;=$B$24),$B$157+$B$156*((IF(10=1,1,IF(10=$B$23,$B$12,5*(10-1)))-1)*$B$13),NA())</f>
        <v>#N/A</v>
      </c>
      <c r="HR653" t="e">
        <f>IF(AND(10&lt;=$B$23,1&lt;=$B$24),$B$158+$B$156*((0*$B$5/2+(1-1)*($B$5/2)/$B$24)),NA())</f>
        <v>#N/A</v>
      </c>
      <c r="HS653" t="e">
        <f>IF(AND(28&lt;=$B$12,$B$51&gt;0),$B$157+$B$156*(((28-0.5)*$B$13)-($B$51*$B$13)/2),NA())</f>
        <v>#N/A</v>
      </c>
      <c r="HT653" t="e">
        <f>IF(AND(28&lt;=$B$12,$B$51&gt;0),$B$158+$B$156*((0*$B$5/2+0.6*$B$159)),NA())</f>
        <v>#N/A</v>
      </c>
      <c r="KI653" t="e">
        <f>IF(AND($B$21=1,55*$B$67&gt;$B$59,55*$B$67&lt;$B$178-$B$59,OR($B$63=0,ABS(55*$B$67-$B$178/2)&gt;$B$59/2)),$B$182+$B$181*(0),NA())</f>
        <v>#N/A</v>
      </c>
      <c r="KJ653" t="e">
        <f>IF(AND($B$21=1,55*$B$67&gt;$B$59,55*$B$67&lt;$B$178-$B$59,OR($B$63=0,ABS(55*$B$67-$B$178/2)&gt;$B$59/2)),$B$183+$B$181*(55*$B$67),NA())</f>
        <v>#N/A</v>
      </c>
    </row>
    <row r="654">
      <c r="K654" t="e">
        <f>IF(36&lt;=$B$12,$B$133+$B$132*($B$13*36+$B$27/2),NA())</f>
        <v>#N/A</v>
      </c>
      <c r="L654" t="e">
        <f>IF(36&lt;=$B$12,$B$134+$B$132*(0-$B$27/2),NA())</f>
        <v>#N/A</v>
      </c>
      <c r="HQ654" t="e">
        <f>IF(AND(10&lt;=$B$23,1&lt;=$B$24),$B$157+$B$156*(IF(10=1,1,IF(10=$B$23,$B$12,5*(10-1)))*$B$13),NA())</f>
        <v>#N/A</v>
      </c>
      <c r="HR654" t="e">
        <f>IF(AND(10&lt;=$B$23,1&lt;=$B$24),$B$158+$B$156*((0*$B$5/2+1*($B$5/2)/$B$24)),NA())</f>
        <v>#N/A</v>
      </c>
      <c r="HS654" t="e">
        <f>IF(AND(28&lt;=$B$12,$B$51&gt;0),$B$157+$B$156*(((28-0.5)*$B$13)+($B$51*$B$13)/2),NA())</f>
        <v>#N/A</v>
      </c>
      <c r="HT654" t="e">
        <f>IF(AND(28&lt;=$B$12,$B$51&gt;0),$B$158+$B$156*((0*$B$5/2+0.6*$B$159)),NA())</f>
        <v>#N/A</v>
      </c>
      <c r="KI654" t="e">
        <f>IF(AND($B$21=1,55*$B$67&gt;$B$59,55*$B$67&lt;$B$178-$B$59,OR($B$63=0,ABS(55*$B$67-$B$178/2)&gt;$B$59/2)),$B$182+$B$181*($B$177*1/4-$B$60/2),NA())</f>
        <v>#N/A</v>
      </c>
      <c r="KJ654" t="e">
        <f>IF(AND($B$21=1,55*$B$67&gt;$B$59,55*$B$67&lt;$B$178-$B$59,OR($B$63=0,ABS(55*$B$67-$B$178/2)&gt;$B$59/2)),$B$183+$B$181*(55*$B$67),NA())</f>
        <v>#N/A</v>
      </c>
    </row>
    <row r="655">
      <c r="K655" t="e">
        <f>IF(36&lt;=$B$12,$B$133+$B$132*($B$13*36+$B$27/2),NA())</f>
        <v>#N/A</v>
      </c>
      <c r="L655" t="e">
        <f>IF(36&lt;=$B$12,$B$134+$B$132*(0+$B$27/2),NA())</f>
        <v>#N/A</v>
      </c>
      <c r="HQ655" t="e">
        <f>NA()</f>
        <v>#N/A</v>
      </c>
      <c r="HR655" t="e">
        <f>NA()</f>
        <v>#N/A</v>
      </c>
      <c r="HS655" t="e">
        <f>IF(AND(28&lt;=$B$12,$B$51&gt;0),$B$157+$B$156*(((28-0.5)*$B$13)+($B$51*$B$13)/2),NA())</f>
        <v>#N/A</v>
      </c>
      <c r="HT655" t="e">
        <f>IF(AND(28&lt;=$B$12,$B$51&gt;0),$B$158+$B$156*((0*$B$5/2+$B$5/2-0.6*$B$159)),NA())</f>
        <v>#N/A</v>
      </c>
      <c r="KI655" t="e">
        <f>NA()</f>
        <v>#N/A</v>
      </c>
      <c r="KJ655" t="e">
        <f>NA()</f>
        <v>#N/A</v>
      </c>
    </row>
    <row r="656">
      <c r="K656" t="e">
        <f>IF(36&lt;=$B$12,$B$133+$B$132*($B$13*36-$B$27/2),NA())</f>
        <v>#N/A</v>
      </c>
      <c r="L656" t="e">
        <f>IF(36&lt;=$B$12,$B$134+$B$132*(0+$B$27/2),NA())</f>
        <v>#N/A</v>
      </c>
      <c r="HQ656" t="e">
        <f>IF(AND(10&lt;=$B$23,1&lt;=$B$24),$B$157+$B$156*((IF(10=1,1,IF(10=$B$23,$B$12,5*(10-1)))-1)*$B$13),NA())</f>
        <v>#N/A</v>
      </c>
      <c r="HR656" t="e">
        <f>IF(AND(10&lt;=$B$23,1&lt;=$B$24),$B$158+$B$156*((0*$B$5/2+1*($B$5/2)/$B$24)),NA())</f>
        <v>#N/A</v>
      </c>
      <c r="HS656" t="e">
        <f>IF(AND(28&lt;=$B$12,$B$51&gt;0),$B$157+$B$156*(((28-0.5)*$B$13)-($B$51*$B$13)/2),NA())</f>
        <v>#N/A</v>
      </c>
      <c r="HT656" t="e">
        <f>IF(AND(28&lt;=$B$12,$B$51&gt;0),$B$158+$B$156*((0*$B$5/2+$B$5/2-0.6*$B$159)),NA())</f>
        <v>#N/A</v>
      </c>
      <c r="KI656" t="e">
        <f>IF(AND($B$21=1,55*$B$67&gt;$B$59,55*$B$67&lt;$B$178-$B$59,OR($B$63=0,ABS(55*$B$67-$B$178/2)&gt;$B$59/2)),$B$182+$B$181*($B$177*1/4+$B$60/2),NA())</f>
        <v>#N/A</v>
      </c>
      <c r="KJ656" t="e">
        <f>IF(AND($B$21=1,55*$B$67&gt;$B$59,55*$B$67&lt;$B$178-$B$59,OR($B$63=0,ABS(55*$B$67-$B$178/2)&gt;$B$59/2)),$B$183+$B$181*(55*$B$67),NA())</f>
        <v>#N/A</v>
      </c>
    </row>
    <row r="657">
      <c r="K657" t="e">
        <f>IF(36&lt;=$B$12,$B$133+$B$132*($B$13*36-$B$27/2),NA())</f>
        <v>#N/A</v>
      </c>
      <c r="L657" t="e">
        <f>IF(36&lt;=$B$12,$B$134+$B$132*(0-$B$27/2),NA())</f>
        <v>#N/A</v>
      </c>
      <c r="HQ657" t="e">
        <f>IF(AND(10&lt;=$B$23,1&lt;=$B$24),$B$157+$B$156*(IF(10=1,1,IF(10=$B$23,$B$12,5*(10-1)))*$B$13),NA())</f>
        <v>#N/A</v>
      </c>
      <c r="HR657" t="e">
        <f>IF(AND(10&lt;=$B$23,1&lt;=$B$24),$B$158+$B$156*((0*$B$5/2+(1-1)*($B$5/2)/$B$24)),NA())</f>
        <v>#N/A</v>
      </c>
      <c r="HS657" t="e">
        <f>IF(AND(28&lt;=$B$12,$B$51&gt;0),$B$157+$B$156*(((28-0.5)*$B$13)-($B$51*$B$13)/2),NA())</f>
        <v>#N/A</v>
      </c>
      <c r="HT657" t="e">
        <f>IF(AND(28&lt;=$B$12,$B$51&gt;0),$B$158+$B$156*((0*$B$5/2+0.6*$B$159)),NA())</f>
        <v>#N/A</v>
      </c>
      <c r="KI657" t="e">
        <f>IF(AND($B$21=1,55*$B$67&gt;$B$59,55*$B$67&lt;$B$178-$B$59,OR($B$63=0,ABS(55*$B$67-$B$178/2)&gt;$B$59/2)),$B$182+$B$181*($B$177*2/4-$B$60/2),NA())</f>
        <v>#N/A</v>
      </c>
      <c r="KJ657" t="e">
        <f>IF(AND($B$21=1,55*$B$67&gt;$B$59,55*$B$67&lt;$B$178-$B$59,OR($B$63=0,ABS(55*$B$67-$B$178/2)&gt;$B$59/2)),$B$183+$B$181*(55*$B$67),NA())</f>
        <v>#N/A</v>
      </c>
    </row>
    <row r="658">
      <c r="K658" t="e">
        <f>NA()</f>
        <v>#N/A</v>
      </c>
      <c r="L658" t="e">
        <f>NA()</f>
        <v>#N/A</v>
      </c>
      <c r="HQ658" t="e">
        <f>NA()</f>
        <v>#N/A</v>
      </c>
      <c r="HR658" t="e">
        <f>NA()</f>
        <v>#N/A</v>
      </c>
      <c r="HS658" t="e">
        <f>NA()</f>
        <v>#N/A</v>
      </c>
      <c r="HT658" t="e">
        <f>NA()</f>
        <v>#N/A</v>
      </c>
      <c r="KI658" t="e">
        <f>NA()</f>
        <v>#N/A</v>
      </c>
      <c r="KJ658" t="e">
        <f>NA()</f>
        <v>#N/A</v>
      </c>
    </row>
    <row r="659">
      <c r="K659" t="e">
        <f>IF(36&lt;=$B$12,$B$133+$B$132*($B$13*36-$B$27/2),NA())</f>
        <v>#N/A</v>
      </c>
      <c r="L659" t="e">
        <f>IF(36&lt;=$B$12,$B$134+$B$132*($B$5-$B$27/2),NA())</f>
        <v>#N/A</v>
      </c>
      <c r="HQ659" t="e">
        <f>IF(AND(10&lt;=$B$23,2&lt;=$B$24),$B$157+$B$156*((IF(10=1,1,IF(10=$B$23,$B$12,5*(10-1)))-1)*$B$13),NA())</f>
        <v>#N/A</v>
      </c>
      <c r="HR659" t="e">
        <f>IF(AND(10&lt;=$B$23,2&lt;=$B$24),$B$158+$B$156*((0*$B$5/2+(2-1)*($B$5/2)/$B$24)),NA())</f>
        <v>#N/A</v>
      </c>
      <c r="HS659" t="e">
        <f>IF(AND(28&lt;=$B$12,$B$51&gt;0),$B$157+$B$156*(((28-0.5)*$B$13)-($B$51*$B$13)/2),NA())</f>
        <v>#N/A</v>
      </c>
      <c r="HT659" t="e">
        <f>IF(AND(28&lt;=$B$12,$B$51&gt;0),$B$158+$B$156*((0*$B$5/2+0.6*$B$159)),NA())</f>
        <v>#N/A</v>
      </c>
      <c r="KI659" t="e">
        <f>IF(AND($B$21=1,55*$B$67&gt;$B$59,55*$B$67&lt;$B$178-$B$59,OR($B$63=0,ABS(55*$B$67-$B$178/2)&gt;$B$59/2)),$B$182+$B$181*($B$177*2/4+$B$60/2),NA())</f>
        <v>#N/A</v>
      </c>
      <c r="KJ659" t="e">
        <f>IF(AND($B$21=1,55*$B$67&gt;$B$59,55*$B$67&lt;$B$178-$B$59,OR($B$63=0,ABS(55*$B$67-$B$178/2)&gt;$B$59/2)),$B$183+$B$181*(55*$B$67),NA())</f>
        <v>#N/A</v>
      </c>
    </row>
    <row r="660">
      <c r="K660" t="e">
        <f>IF(36&lt;=$B$12,$B$133+$B$132*($B$13*36+$B$27/2),NA())</f>
        <v>#N/A</v>
      </c>
      <c r="L660" t="e">
        <f>IF(36&lt;=$B$12,$B$134+$B$132*($B$5-$B$27/2),NA())</f>
        <v>#N/A</v>
      </c>
      <c r="HQ660" t="e">
        <f>IF(AND(10&lt;=$B$23,2&lt;=$B$24),$B$157+$B$156*(IF(10=1,1,IF(10=$B$23,$B$12,5*(10-1)))*$B$13),NA())</f>
        <v>#N/A</v>
      </c>
      <c r="HR660" t="e">
        <f>IF(AND(10&lt;=$B$23,2&lt;=$B$24),$B$158+$B$156*((0*$B$5/2+2*($B$5/2)/$B$24)),NA())</f>
        <v>#N/A</v>
      </c>
      <c r="HS660" t="e">
        <f>IF(AND(28&lt;=$B$12,$B$51&gt;0),$B$157+$B$156*(((28-0.5)*$B$13)+($B$51*$B$13)/2),NA())</f>
        <v>#N/A</v>
      </c>
      <c r="HT660" t="e">
        <f>IF(AND(28&lt;=$B$12,$B$51&gt;0),$B$158+$B$156*((0*$B$5/2+0.6*$B$159)+(((0*$B$5/2+$B$5/2-0.6*$B$159))-((0*$B$5/2+0.6*$B$159)))/4),NA())</f>
        <v>#N/A</v>
      </c>
      <c r="KI660" t="e">
        <f>IF(AND($B$21=1,55*$B$67&gt;$B$59,55*$B$67&lt;$B$178-$B$59,OR($B$63=0,ABS(55*$B$67-$B$178/2)&gt;$B$59/2)),$B$182+$B$181*($B$177*3/4-$B$60/2),NA())</f>
        <v>#N/A</v>
      </c>
      <c r="KJ660" t="e">
        <f>IF(AND($B$21=1,55*$B$67&gt;$B$59,55*$B$67&lt;$B$178-$B$59,OR($B$63=0,ABS(55*$B$67-$B$178/2)&gt;$B$59/2)),$B$183+$B$181*(55*$B$67),NA())</f>
        <v>#N/A</v>
      </c>
    </row>
    <row r="661">
      <c r="K661" t="e">
        <f>IF(36&lt;=$B$12,$B$133+$B$132*($B$13*36+$B$27/2),NA())</f>
        <v>#N/A</v>
      </c>
      <c r="L661" t="e">
        <f>IF(36&lt;=$B$12,$B$134+$B$132*($B$5+$B$27/2),NA())</f>
        <v>#N/A</v>
      </c>
      <c r="HQ661" t="e">
        <f>NA()</f>
        <v>#N/A</v>
      </c>
      <c r="HR661" t="e">
        <f>NA()</f>
        <v>#N/A</v>
      </c>
      <c r="HS661" t="e">
        <f>IF(AND(28&lt;=$B$12,$B$51&gt;0),$B$157+$B$156*(((28-0.5)*$B$13)-($B$51*$B$13)/2),NA())</f>
        <v>#N/A</v>
      </c>
      <c r="HT661" t="e">
        <f>IF(AND(28&lt;=$B$12,$B$51&gt;0),$B$158+$B$156*((0*$B$5/2+0.6*$B$159)+(((0*$B$5/2+$B$5/2-0.6*$B$159))-((0*$B$5/2+0.6*$B$159)))/2),NA())</f>
        <v>#N/A</v>
      </c>
      <c r="KI661" t="e">
        <f>NA()</f>
        <v>#N/A</v>
      </c>
      <c r="KJ661" t="e">
        <f>NA()</f>
        <v>#N/A</v>
      </c>
    </row>
    <row r="662">
      <c r="K662" t="e">
        <f>IF(36&lt;=$B$12,$B$133+$B$132*($B$13*36-$B$27/2),NA())</f>
        <v>#N/A</v>
      </c>
      <c r="L662" t="e">
        <f>IF(36&lt;=$B$12,$B$134+$B$132*($B$5+$B$27/2),NA())</f>
        <v>#N/A</v>
      </c>
      <c r="HQ662" t="e">
        <f>IF(AND(10&lt;=$B$23,2&lt;=$B$24),$B$157+$B$156*((IF(10=1,1,IF(10=$B$23,$B$12,5*(10-1)))-1)*$B$13),NA())</f>
        <v>#N/A</v>
      </c>
      <c r="HR662" t="e">
        <f>IF(AND(10&lt;=$B$23,2&lt;=$B$24),$B$158+$B$156*((0*$B$5/2+2*($B$5/2)/$B$24)),NA())</f>
        <v>#N/A</v>
      </c>
      <c r="HS662" t="e">
        <f>IF(AND(28&lt;=$B$12,$B$51&gt;0),$B$157+$B$156*(((28-0.5)*$B$13)+($B$51*$B$13)/2),NA())</f>
        <v>#N/A</v>
      </c>
      <c r="HT662" t="e">
        <f>IF(AND(28&lt;=$B$12,$B$51&gt;0),$B$158+$B$156*((0*$B$5/2+0.6*$B$159)+3*(((0*$B$5/2+$B$5/2-0.6*$B$159))-((0*$B$5/2+0.6*$B$159)))/4),NA())</f>
        <v>#N/A</v>
      </c>
      <c r="KI662" t="e">
        <f>IF(AND($B$21=1,55*$B$67&gt;$B$59,55*$B$67&lt;$B$178-$B$59,OR($B$63=0,ABS(55*$B$67-$B$178/2)&gt;$B$59/2)),$B$182+$B$181*($B$177*3/4+$B$60/2),NA())</f>
        <v>#N/A</v>
      </c>
      <c r="KJ662" t="e">
        <f>IF(AND($B$21=1,55*$B$67&gt;$B$59,55*$B$67&lt;$B$178-$B$59,OR($B$63=0,ABS(55*$B$67-$B$178/2)&gt;$B$59/2)),$B$183+$B$181*(55*$B$67),NA())</f>
        <v>#N/A</v>
      </c>
    </row>
    <row r="663">
      <c r="K663" t="e">
        <f>IF(36&lt;=$B$12,$B$133+$B$132*($B$13*36-$B$27/2),NA())</f>
        <v>#N/A</v>
      </c>
      <c r="L663" t="e">
        <f>IF(36&lt;=$B$12,$B$134+$B$132*($B$5-$B$27/2),NA())</f>
        <v>#N/A</v>
      </c>
      <c r="HQ663" t="e">
        <f>IF(AND(10&lt;=$B$23,2&lt;=$B$24),$B$157+$B$156*(IF(10=1,1,IF(10=$B$23,$B$12,5*(10-1)))*$B$13),NA())</f>
        <v>#N/A</v>
      </c>
      <c r="HR663" t="e">
        <f>IF(AND(10&lt;=$B$23,2&lt;=$B$24),$B$158+$B$156*((0*$B$5/2+(2-1)*($B$5/2)/$B$24)),NA())</f>
        <v>#N/A</v>
      </c>
      <c r="HS663" t="e">
        <f>IF(AND(28&lt;=$B$12,$B$51&gt;0),$B$157+$B$156*(((28-0.5)*$B$13)-($B$51*$B$13)/2),NA())</f>
        <v>#N/A</v>
      </c>
      <c r="HT663" t="e">
        <f>IF(AND(28&lt;=$B$12,$B$51&gt;0),$B$158+$B$156*((0*$B$5/2+$B$5/2-0.6*$B$159)),NA())</f>
        <v>#N/A</v>
      </c>
      <c r="KI663" t="e">
        <f>IF(AND($B$21=1,55*$B$67&gt;$B$59,55*$B$67&lt;$B$178-$B$59,OR($B$63=0,ABS(55*$B$67-$B$178/2)&gt;$B$59/2)),$B$182+$B$181*($B$177),NA())</f>
        <v>#N/A</v>
      </c>
      <c r="KJ663" t="e">
        <f>IF(AND($B$21=1,55*$B$67&gt;$B$59,55*$B$67&lt;$B$178-$B$59,OR($B$63=0,ABS(55*$B$67-$B$178/2)&gt;$B$59/2)),$B$183+$B$181*(55*$B$67),NA())</f>
        <v>#N/A</v>
      </c>
    </row>
    <row r="664">
      <c r="K664" t="e">
        <f>NA()</f>
        <v>#N/A</v>
      </c>
      <c r="L664" t="e">
        <f>NA()</f>
        <v>#N/A</v>
      </c>
      <c r="HQ664" t="e">
        <f>NA()</f>
        <v>#N/A</v>
      </c>
      <c r="HR664" t="e">
        <f>NA()</f>
        <v>#N/A</v>
      </c>
      <c r="HS664" t="e">
        <f>NA()</f>
        <v>#N/A</v>
      </c>
      <c r="HT664" t="e">
        <f>NA()</f>
        <v>#N/A</v>
      </c>
      <c r="KI664" t="e">
        <f>NA()</f>
        <v>#N/A</v>
      </c>
      <c r="KJ664" t="e">
        <f>NA()</f>
        <v>#N/A</v>
      </c>
    </row>
    <row r="665">
      <c r="K665" t="e">
        <f>IF(AND(36&lt;=$B$12,$B$45=1),$B$133+$B$132*($B$13*36-$B$27/2),NA())</f>
        <v>#N/A</v>
      </c>
      <c r="L665" t="e">
        <f>IF(AND(36&lt;=$B$12,$B$45=1),$B$134+$B$132*($B$5/2-$B$27/2),NA())</f>
        <v>#N/A</v>
      </c>
      <c r="HQ665" t="e">
        <f>IF(AND(10&lt;=$B$23,3&lt;=$B$24),$B$157+$B$156*((IF(10=1,1,IF(10=$B$23,$B$12,5*(10-1)))-1)*$B$13),NA())</f>
        <v>#N/A</v>
      </c>
      <c r="HR665" t="e">
        <f>IF(AND(10&lt;=$B$23,3&lt;=$B$24),$B$158+$B$156*((0*$B$5/2+(3-1)*($B$5/2)/$B$24)),NA())</f>
        <v>#N/A</v>
      </c>
      <c r="HS665" t="e">
        <f>IF(AND(28&lt;=$B$12,$B$51&gt;0),$B$157+$B$156*(((28-0.5)*$B$13)-($B$51*$B$13)/2),NA())</f>
        <v>#N/A</v>
      </c>
      <c r="HT665" t="e">
        <f>IF(AND(28&lt;=$B$12,$B$51&gt;0),$B$158+$B$156*((1*$B$5/2+0.6*$B$159)),NA())</f>
        <v>#N/A</v>
      </c>
      <c r="KI665" t="e">
        <f>IF(AND($B$21=1,56*$B$67&gt;$B$59,56*$B$67&lt;$B$178-$B$59,OR($B$63=0,ABS(56*$B$67-$B$178/2)&gt;$B$59/2)),$B$182+$B$181*(0),NA())</f>
        <v>#N/A</v>
      </c>
      <c r="KJ665" t="e">
        <f>IF(AND($B$21=1,56*$B$67&gt;$B$59,56*$B$67&lt;$B$178-$B$59,OR($B$63=0,ABS(56*$B$67-$B$178/2)&gt;$B$59/2)),$B$183+$B$181*(56*$B$67),NA())</f>
        <v>#N/A</v>
      </c>
    </row>
    <row r="666">
      <c r="K666" t="e">
        <f>IF(AND(36&lt;=$B$12,$B$45=1),$B$133+$B$132*($B$13*36+$B$27/2),NA())</f>
        <v>#N/A</v>
      </c>
      <c r="L666" t="e">
        <f>IF(AND(36&lt;=$B$12,$B$45=1),$B$134+$B$132*($B$5/2-$B$27/2),NA())</f>
        <v>#N/A</v>
      </c>
      <c r="HQ666" t="e">
        <f>IF(AND(10&lt;=$B$23,3&lt;=$B$24),$B$157+$B$156*(IF(10=1,1,IF(10=$B$23,$B$12,5*(10-1)))*$B$13),NA())</f>
        <v>#N/A</v>
      </c>
      <c r="HR666" t="e">
        <f>IF(AND(10&lt;=$B$23,3&lt;=$B$24),$B$158+$B$156*((0*$B$5/2+3*($B$5/2)/$B$24)),NA())</f>
        <v>#N/A</v>
      </c>
      <c r="HS666" t="e">
        <f>IF(AND(28&lt;=$B$12,$B$51&gt;0),$B$157+$B$156*(((28-0.5)*$B$13)+($B$51*$B$13)/2),NA())</f>
        <v>#N/A</v>
      </c>
      <c r="HT666" t="e">
        <f>IF(AND(28&lt;=$B$12,$B$51&gt;0),$B$158+$B$156*((1*$B$5/2+0.6*$B$159)),NA())</f>
        <v>#N/A</v>
      </c>
      <c r="KI666" t="e">
        <f>IF(AND($B$21=1,56*$B$67&gt;$B$59,56*$B$67&lt;$B$178-$B$59,OR($B$63=0,ABS(56*$B$67-$B$178/2)&gt;$B$59/2)),$B$182+$B$181*($B$177*1/4-$B$60/2),NA())</f>
        <v>#N/A</v>
      </c>
      <c r="KJ666" t="e">
        <f>IF(AND($B$21=1,56*$B$67&gt;$B$59,56*$B$67&lt;$B$178-$B$59,OR($B$63=0,ABS(56*$B$67-$B$178/2)&gt;$B$59/2)),$B$183+$B$181*(56*$B$67),NA())</f>
        <v>#N/A</v>
      </c>
    </row>
    <row r="667">
      <c r="K667" t="e">
        <f>IF(AND(36&lt;=$B$12,$B$45=1),$B$133+$B$132*($B$13*36+$B$27/2),NA())</f>
        <v>#N/A</v>
      </c>
      <c r="L667" t="e">
        <f>IF(AND(36&lt;=$B$12,$B$45=1),$B$134+$B$132*($B$5/2+$B$27/2),NA())</f>
        <v>#N/A</v>
      </c>
      <c r="HQ667" t="e">
        <f>NA()</f>
        <v>#N/A</v>
      </c>
      <c r="HR667" t="e">
        <f>NA()</f>
        <v>#N/A</v>
      </c>
      <c r="HS667" t="e">
        <f>IF(AND(28&lt;=$B$12,$B$51&gt;0),$B$157+$B$156*(((28-0.5)*$B$13)+($B$51*$B$13)/2),NA())</f>
        <v>#N/A</v>
      </c>
      <c r="HT667" t="e">
        <f>IF(AND(28&lt;=$B$12,$B$51&gt;0),$B$158+$B$156*((1*$B$5/2+$B$5/2-0.6*$B$159)),NA())</f>
        <v>#N/A</v>
      </c>
      <c r="KI667" t="e">
        <f>NA()</f>
        <v>#N/A</v>
      </c>
      <c r="KJ667" t="e">
        <f>NA()</f>
        <v>#N/A</v>
      </c>
    </row>
    <row r="668">
      <c r="K668" t="e">
        <f>IF(AND(36&lt;=$B$12,$B$45=1),$B$133+$B$132*($B$13*36-$B$27/2),NA())</f>
        <v>#N/A</v>
      </c>
      <c r="L668" t="e">
        <f>IF(AND(36&lt;=$B$12,$B$45=1),$B$134+$B$132*($B$5/2+$B$27/2),NA())</f>
        <v>#N/A</v>
      </c>
      <c r="HQ668" t="e">
        <f>IF(AND(10&lt;=$B$23,3&lt;=$B$24),$B$157+$B$156*((IF(10=1,1,IF(10=$B$23,$B$12,5*(10-1)))-1)*$B$13),NA())</f>
        <v>#N/A</v>
      </c>
      <c r="HR668" t="e">
        <f>IF(AND(10&lt;=$B$23,3&lt;=$B$24),$B$158+$B$156*((0*$B$5/2+3*($B$5/2)/$B$24)),NA())</f>
        <v>#N/A</v>
      </c>
      <c r="HS668" t="e">
        <f>IF(AND(28&lt;=$B$12,$B$51&gt;0),$B$157+$B$156*(((28-0.5)*$B$13)-($B$51*$B$13)/2),NA())</f>
        <v>#N/A</v>
      </c>
      <c r="HT668" t="e">
        <f>IF(AND(28&lt;=$B$12,$B$51&gt;0),$B$158+$B$156*((1*$B$5/2+$B$5/2-0.6*$B$159)),NA())</f>
        <v>#N/A</v>
      </c>
      <c r="KI668" t="e">
        <f>IF(AND($B$21=1,56*$B$67&gt;$B$59,56*$B$67&lt;$B$178-$B$59,OR($B$63=0,ABS(56*$B$67-$B$178/2)&gt;$B$59/2)),$B$182+$B$181*($B$177*1/4+$B$60/2),NA())</f>
        <v>#N/A</v>
      </c>
      <c r="KJ668" t="e">
        <f>IF(AND($B$21=1,56*$B$67&gt;$B$59,56*$B$67&lt;$B$178-$B$59,OR($B$63=0,ABS(56*$B$67-$B$178/2)&gt;$B$59/2)),$B$183+$B$181*(56*$B$67),NA())</f>
        <v>#N/A</v>
      </c>
    </row>
    <row r="669">
      <c r="K669" t="e">
        <f>IF(AND(36&lt;=$B$12,$B$45=1),$B$133+$B$132*($B$13*36-$B$27/2),NA())</f>
        <v>#N/A</v>
      </c>
      <c r="L669" t="e">
        <f>IF(AND(36&lt;=$B$12,$B$45=1),$B$134+$B$132*($B$5/2-$B$27/2),NA())</f>
        <v>#N/A</v>
      </c>
      <c r="HQ669" t="e">
        <f>IF(AND(10&lt;=$B$23,3&lt;=$B$24),$B$157+$B$156*(IF(10=1,1,IF(10=$B$23,$B$12,5*(10-1)))*$B$13),NA())</f>
        <v>#N/A</v>
      </c>
      <c r="HR669" t="e">
        <f>IF(AND(10&lt;=$B$23,3&lt;=$B$24),$B$158+$B$156*((0*$B$5/2+(3-1)*($B$5/2)/$B$24)),NA())</f>
        <v>#N/A</v>
      </c>
      <c r="HS669" t="e">
        <f>IF(AND(28&lt;=$B$12,$B$51&gt;0),$B$157+$B$156*(((28-0.5)*$B$13)-($B$51*$B$13)/2),NA())</f>
        <v>#N/A</v>
      </c>
      <c r="HT669" t="e">
        <f>IF(AND(28&lt;=$B$12,$B$51&gt;0),$B$158+$B$156*((1*$B$5/2+0.6*$B$159)),NA())</f>
        <v>#N/A</v>
      </c>
      <c r="KI669" t="e">
        <f>IF(AND($B$21=1,56*$B$67&gt;$B$59,56*$B$67&lt;$B$178-$B$59,OR($B$63=0,ABS(56*$B$67-$B$178/2)&gt;$B$59/2)),$B$182+$B$181*($B$177*2/4-$B$60/2),NA())</f>
        <v>#N/A</v>
      </c>
      <c r="KJ669" t="e">
        <f>IF(AND($B$21=1,56*$B$67&gt;$B$59,56*$B$67&lt;$B$178-$B$59,OR($B$63=0,ABS(56*$B$67-$B$178/2)&gt;$B$59/2)),$B$183+$B$181*(56*$B$67),NA())</f>
        <v>#N/A</v>
      </c>
    </row>
    <row r="670">
      <c r="K670" t="e">
        <f>NA()</f>
        <v>#N/A</v>
      </c>
      <c r="L670" t="e">
        <f>NA()</f>
        <v>#N/A</v>
      </c>
      <c r="HQ670" t="e">
        <f>NA()</f>
        <v>#N/A</v>
      </c>
      <c r="HR670" t="e">
        <f>NA()</f>
        <v>#N/A</v>
      </c>
      <c r="HS670" t="e">
        <f>NA()</f>
        <v>#N/A</v>
      </c>
      <c r="HT670" t="e">
        <f>NA()</f>
        <v>#N/A</v>
      </c>
      <c r="KI670" t="e">
        <f>NA()</f>
        <v>#N/A</v>
      </c>
      <c r="KJ670" t="e">
        <f>NA()</f>
        <v>#N/A</v>
      </c>
    </row>
    <row r="671">
      <c r="K671" t="e">
        <f>IF(37&lt;=$B$12,$B$133+$B$132*($B$13*37-$B$27/2),NA())</f>
        <v>#N/A</v>
      </c>
      <c r="L671" t="e">
        <f>IF(37&lt;=$B$12,$B$134+$B$132*(0-$B$27/2),NA())</f>
        <v>#N/A</v>
      </c>
      <c r="HQ671" t="e">
        <f>IF(AND(10&lt;=$B$23,4&lt;=$B$24),$B$157+$B$156*((IF(10=1,1,IF(10=$B$23,$B$12,5*(10-1)))-1)*$B$13),NA())</f>
        <v>#N/A</v>
      </c>
      <c r="HR671" t="e">
        <f>IF(AND(10&lt;=$B$23,4&lt;=$B$24),$B$158+$B$156*((0*$B$5/2+(4-1)*($B$5/2)/$B$24)),NA())</f>
        <v>#N/A</v>
      </c>
      <c r="HS671" t="e">
        <f>IF(AND(28&lt;=$B$12,$B$51&gt;0),$B$157+$B$156*(((28-0.5)*$B$13)-($B$51*$B$13)/2),NA())</f>
        <v>#N/A</v>
      </c>
      <c r="HT671" t="e">
        <f>IF(AND(28&lt;=$B$12,$B$51&gt;0),$B$158+$B$156*((1*$B$5/2+0.6*$B$159)),NA())</f>
        <v>#N/A</v>
      </c>
      <c r="KI671" t="e">
        <f>IF(AND($B$21=1,56*$B$67&gt;$B$59,56*$B$67&lt;$B$178-$B$59,OR($B$63=0,ABS(56*$B$67-$B$178/2)&gt;$B$59/2)),$B$182+$B$181*($B$177*2/4+$B$60/2),NA())</f>
        <v>#N/A</v>
      </c>
      <c r="KJ671" t="e">
        <f>IF(AND($B$21=1,56*$B$67&gt;$B$59,56*$B$67&lt;$B$178-$B$59,OR($B$63=0,ABS(56*$B$67-$B$178/2)&gt;$B$59/2)),$B$183+$B$181*(56*$B$67),NA())</f>
        <v>#N/A</v>
      </c>
    </row>
    <row r="672">
      <c r="K672" t="e">
        <f>IF(37&lt;=$B$12,$B$133+$B$132*($B$13*37+$B$27/2),NA())</f>
        <v>#N/A</v>
      </c>
      <c r="L672" t="e">
        <f>IF(37&lt;=$B$12,$B$134+$B$132*(0-$B$27/2),NA())</f>
        <v>#N/A</v>
      </c>
      <c r="HQ672" t="e">
        <f>IF(AND(10&lt;=$B$23,4&lt;=$B$24),$B$157+$B$156*(IF(10=1,1,IF(10=$B$23,$B$12,5*(10-1)))*$B$13),NA())</f>
        <v>#N/A</v>
      </c>
      <c r="HR672" t="e">
        <f>IF(AND(10&lt;=$B$23,4&lt;=$B$24),$B$158+$B$156*((0*$B$5/2+4*($B$5/2)/$B$24)),NA())</f>
        <v>#N/A</v>
      </c>
      <c r="HS672" t="e">
        <f>IF(AND(28&lt;=$B$12,$B$51&gt;0),$B$157+$B$156*(((28-0.5)*$B$13)+($B$51*$B$13)/2),NA())</f>
        <v>#N/A</v>
      </c>
      <c r="HT672" t="e">
        <f>IF(AND(28&lt;=$B$12,$B$51&gt;0),$B$158+$B$156*((1*$B$5/2+0.6*$B$159)+(((1*$B$5/2+$B$5/2-0.6*$B$159))-((1*$B$5/2+0.6*$B$159)))/4),NA())</f>
        <v>#N/A</v>
      </c>
      <c r="KI672" t="e">
        <f>IF(AND($B$21=1,56*$B$67&gt;$B$59,56*$B$67&lt;$B$178-$B$59,OR($B$63=0,ABS(56*$B$67-$B$178/2)&gt;$B$59/2)),$B$182+$B$181*($B$177*3/4-$B$60/2),NA())</f>
        <v>#N/A</v>
      </c>
      <c r="KJ672" t="e">
        <f>IF(AND($B$21=1,56*$B$67&gt;$B$59,56*$B$67&lt;$B$178-$B$59,OR($B$63=0,ABS(56*$B$67-$B$178/2)&gt;$B$59/2)),$B$183+$B$181*(56*$B$67),NA())</f>
        <v>#N/A</v>
      </c>
    </row>
    <row r="673">
      <c r="K673" t="e">
        <f>IF(37&lt;=$B$12,$B$133+$B$132*($B$13*37+$B$27/2),NA())</f>
        <v>#N/A</v>
      </c>
      <c r="L673" t="e">
        <f>IF(37&lt;=$B$12,$B$134+$B$132*(0+$B$27/2),NA())</f>
        <v>#N/A</v>
      </c>
      <c r="HQ673" t="e">
        <f>NA()</f>
        <v>#N/A</v>
      </c>
      <c r="HR673" t="e">
        <f>NA()</f>
        <v>#N/A</v>
      </c>
      <c r="HS673" t="e">
        <f>IF(AND(28&lt;=$B$12,$B$51&gt;0),$B$157+$B$156*(((28-0.5)*$B$13)-($B$51*$B$13)/2),NA())</f>
        <v>#N/A</v>
      </c>
      <c r="HT673" t="e">
        <f>IF(AND(28&lt;=$B$12,$B$51&gt;0),$B$158+$B$156*((1*$B$5/2+0.6*$B$159)+(((1*$B$5/2+$B$5/2-0.6*$B$159))-((1*$B$5/2+0.6*$B$159)))/2),NA())</f>
        <v>#N/A</v>
      </c>
      <c r="KI673" t="e">
        <f>NA()</f>
        <v>#N/A</v>
      </c>
      <c r="KJ673" t="e">
        <f>NA()</f>
        <v>#N/A</v>
      </c>
    </row>
    <row r="674">
      <c r="K674" t="e">
        <f>IF(37&lt;=$B$12,$B$133+$B$132*($B$13*37-$B$27/2),NA())</f>
        <v>#N/A</v>
      </c>
      <c r="L674" t="e">
        <f>IF(37&lt;=$B$12,$B$134+$B$132*(0+$B$27/2),NA())</f>
        <v>#N/A</v>
      </c>
      <c r="HQ674" t="e">
        <f>IF(AND(10&lt;=$B$23,4&lt;=$B$24),$B$157+$B$156*((IF(10=1,1,IF(10=$B$23,$B$12,5*(10-1)))-1)*$B$13),NA())</f>
        <v>#N/A</v>
      </c>
      <c r="HR674" t="e">
        <f>IF(AND(10&lt;=$B$23,4&lt;=$B$24),$B$158+$B$156*((0*$B$5/2+4*($B$5/2)/$B$24)),NA())</f>
        <v>#N/A</v>
      </c>
      <c r="HS674" t="e">
        <f>IF(AND(28&lt;=$B$12,$B$51&gt;0),$B$157+$B$156*(((28-0.5)*$B$13)+($B$51*$B$13)/2),NA())</f>
        <v>#N/A</v>
      </c>
      <c r="HT674" t="e">
        <f>IF(AND(28&lt;=$B$12,$B$51&gt;0),$B$158+$B$156*((1*$B$5/2+0.6*$B$159)+3*(((1*$B$5/2+$B$5/2-0.6*$B$159))-((1*$B$5/2+0.6*$B$159)))/4),NA())</f>
        <v>#N/A</v>
      </c>
      <c r="KI674" t="e">
        <f>IF(AND($B$21=1,56*$B$67&gt;$B$59,56*$B$67&lt;$B$178-$B$59,OR($B$63=0,ABS(56*$B$67-$B$178/2)&gt;$B$59/2)),$B$182+$B$181*($B$177*3/4+$B$60/2),NA())</f>
        <v>#N/A</v>
      </c>
      <c r="KJ674" t="e">
        <f>IF(AND($B$21=1,56*$B$67&gt;$B$59,56*$B$67&lt;$B$178-$B$59,OR($B$63=0,ABS(56*$B$67-$B$178/2)&gt;$B$59/2)),$B$183+$B$181*(56*$B$67),NA())</f>
        <v>#N/A</v>
      </c>
    </row>
    <row r="675">
      <c r="K675" t="e">
        <f>IF(37&lt;=$B$12,$B$133+$B$132*($B$13*37-$B$27/2),NA())</f>
        <v>#N/A</v>
      </c>
      <c r="L675" t="e">
        <f>IF(37&lt;=$B$12,$B$134+$B$132*(0-$B$27/2),NA())</f>
        <v>#N/A</v>
      </c>
      <c r="HQ675" t="e">
        <f>IF(AND(10&lt;=$B$23,4&lt;=$B$24),$B$157+$B$156*(IF(10=1,1,IF(10=$B$23,$B$12,5*(10-1)))*$B$13),NA())</f>
        <v>#N/A</v>
      </c>
      <c r="HR675" t="e">
        <f>IF(AND(10&lt;=$B$23,4&lt;=$B$24),$B$158+$B$156*((0*$B$5/2+(4-1)*($B$5/2)/$B$24)),NA())</f>
        <v>#N/A</v>
      </c>
      <c r="HS675" t="e">
        <f>IF(AND(28&lt;=$B$12,$B$51&gt;0),$B$157+$B$156*(((28-0.5)*$B$13)-($B$51*$B$13)/2),NA())</f>
        <v>#N/A</v>
      </c>
      <c r="HT675" t="e">
        <f>IF(AND(28&lt;=$B$12,$B$51&gt;0),$B$158+$B$156*((1*$B$5/2+$B$5/2-0.6*$B$159)),NA())</f>
        <v>#N/A</v>
      </c>
      <c r="KI675" t="e">
        <f>IF(AND($B$21=1,56*$B$67&gt;$B$59,56*$B$67&lt;$B$178-$B$59,OR($B$63=0,ABS(56*$B$67-$B$178/2)&gt;$B$59/2)),$B$182+$B$181*($B$177),NA())</f>
        <v>#N/A</v>
      </c>
      <c r="KJ675" t="e">
        <f>IF(AND($B$21=1,56*$B$67&gt;$B$59,56*$B$67&lt;$B$178-$B$59,OR($B$63=0,ABS(56*$B$67-$B$178/2)&gt;$B$59/2)),$B$183+$B$181*(56*$B$67),NA())</f>
        <v>#N/A</v>
      </c>
    </row>
    <row r="676">
      <c r="K676" t="e">
        <f>NA()</f>
        <v>#N/A</v>
      </c>
      <c r="L676" t="e">
        <f>NA()</f>
        <v>#N/A</v>
      </c>
      <c r="HQ676" t="e">
        <f>NA()</f>
        <v>#N/A</v>
      </c>
      <c r="HR676" t="e">
        <f>NA()</f>
        <v>#N/A</v>
      </c>
      <c r="HS676" t="e">
        <f>NA()</f>
        <v>#N/A</v>
      </c>
      <c r="HT676" t="e">
        <f>NA()</f>
        <v>#N/A</v>
      </c>
      <c r="KI676" t="e">
        <f>NA()</f>
        <v>#N/A</v>
      </c>
      <c r="KJ676" t="e">
        <f>NA()</f>
        <v>#N/A</v>
      </c>
    </row>
    <row r="677">
      <c r="K677" t="e">
        <f>IF(37&lt;=$B$12,$B$133+$B$132*($B$13*37-$B$27/2),NA())</f>
        <v>#N/A</v>
      </c>
      <c r="L677" t="e">
        <f>IF(37&lt;=$B$12,$B$134+$B$132*($B$5-$B$27/2),NA())</f>
        <v>#N/A</v>
      </c>
      <c r="HQ677" t="e">
        <f>IF(AND(10&lt;=$B$23,5&lt;=$B$24),$B$157+$B$156*((IF(10=1,1,IF(10=$B$23,$B$12,5*(10-1)))-1)*$B$13),NA())</f>
        <v>#N/A</v>
      </c>
      <c r="HR677" t="e">
        <f>IF(AND(10&lt;=$B$23,5&lt;=$B$24),$B$158+$B$156*((0*$B$5/2+(5-1)*($B$5/2)/$B$24)),NA())</f>
        <v>#N/A</v>
      </c>
      <c r="HS677" t="e">
        <f>IF(AND(29&lt;=$B$12,$B$51&gt;0),$B$157+$B$156*(((29-0.5)*$B$13)-($B$51*$B$13)/2),NA())</f>
        <v>#N/A</v>
      </c>
      <c r="HT677" t="e">
        <f>IF(AND(29&lt;=$B$12,$B$51&gt;0),$B$158+$B$156*((0*$B$5/2+0.6*$B$159)),NA())</f>
        <v>#N/A</v>
      </c>
      <c r="KI677" t="e">
        <f>IF(AND($B$21=1,57*$B$67&gt;$B$59,57*$B$67&lt;$B$178-$B$59,OR($B$63=0,ABS(57*$B$67-$B$178/2)&gt;$B$59/2)),$B$182+$B$181*(0),NA())</f>
        <v>#N/A</v>
      </c>
      <c r="KJ677" t="e">
        <f>IF(AND($B$21=1,57*$B$67&gt;$B$59,57*$B$67&lt;$B$178-$B$59,OR($B$63=0,ABS(57*$B$67-$B$178/2)&gt;$B$59/2)),$B$183+$B$181*(57*$B$67),NA())</f>
        <v>#N/A</v>
      </c>
    </row>
    <row r="678">
      <c r="K678" t="e">
        <f>IF(37&lt;=$B$12,$B$133+$B$132*($B$13*37+$B$27/2),NA())</f>
        <v>#N/A</v>
      </c>
      <c r="L678" t="e">
        <f>IF(37&lt;=$B$12,$B$134+$B$132*($B$5-$B$27/2),NA())</f>
        <v>#N/A</v>
      </c>
      <c r="HQ678" t="e">
        <f>IF(AND(10&lt;=$B$23,5&lt;=$B$24),$B$157+$B$156*(IF(10=1,1,IF(10=$B$23,$B$12,5*(10-1)))*$B$13),NA())</f>
        <v>#N/A</v>
      </c>
      <c r="HR678" t="e">
        <f>IF(AND(10&lt;=$B$23,5&lt;=$B$24),$B$158+$B$156*((0*$B$5/2+5*($B$5/2)/$B$24)),NA())</f>
        <v>#N/A</v>
      </c>
      <c r="HS678" t="e">
        <f>IF(AND(29&lt;=$B$12,$B$51&gt;0),$B$157+$B$156*(((29-0.5)*$B$13)+($B$51*$B$13)/2),NA())</f>
        <v>#N/A</v>
      </c>
      <c r="HT678" t="e">
        <f>IF(AND(29&lt;=$B$12,$B$51&gt;0),$B$158+$B$156*((0*$B$5/2+0.6*$B$159)),NA())</f>
        <v>#N/A</v>
      </c>
      <c r="KI678" t="e">
        <f>IF(AND($B$21=1,57*$B$67&gt;$B$59,57*$B$67&lt;$B$178-$B$59,OR($B$63=0,ABS(57*$B$67-$B$178/2)&gt;$B$59/2)),$B$182+$B$181*($B$177*1/4-$B$60/2),NA())</f>
        <v>#N/A</v>
      </c>
      <c r="KJ678" t="e">
        <f>IF(AND($B$21=1,57*$B$67&gt;$B$59,57*$B$67&lt;$B$178-$B$59,OR($B$63=0,ABS(57*$B$67-$B$178/2)&gt;$B$59/2)),$B$183+$B$181*(57*$B$67),NA())</f>
        <v>#N/A</v>
      </c>
    </row>
    <row r="679">
      <c r="K679" t="e">
        <f>IF(37&lt;=$B$12,$B$133+$B$132*($B$13*37+$B$27/2),NA())</f>
        <v>#N/A</v>
      </c>
      <c r="L679" t="e">
        <f>IF(37&lt;=$B$12,$B$134+$B$132*($B$5+$B$27/2),NA())</f>
        <v>#N/A</v>
      </c>
      <c r="HQ679" t="e">
        <f>NA()</f>
        <v>#N/A</v>
      </c>
      <c r="HR679" t="e">
        <f>NA()</f>
        <v>#N/A</v>
      </c>
      <c r="HS679" t="e">
        <f>IF(AND(29&lt;=$B$12,$B$51&gt;0),$B$157+$B$156*(((29-0.5)*$B$13)+($B$51*$B$13)/2),NA())</f>
        <v>#N/A</v>
      </c>
      <c r="HT679" t="e">
        <f>IF(AND(29&lt;=$B$12,$B$51&gt;0),$B$158+$B$156*((0*$B$5/2+$B$5/2-0.6*$B$159)),NA())</f>
        <v>#N/A</v>
      </c>
      <c r="KI679" t="e">
        <f>NA()</f>
        <v>#N/A</v>
      </c>
      <c r="KJ679" t="e">
        <f>NA()</f>
        <v>#N/A</v>
      </c>
    </row>
    <row r="680">
      <c r="K680" t="e">
        <f>IF(37&lt;=$B$12,$B$133+$B$132*($B$13*37-$B$27/2),NA())</f>
        <v>#N/A</v>
      </c>
      <c r="L680" t="e">
        <f>IF(37&lt;=$B$12,$B$134+$B$132*($B$5+$B$27/2),NA())</f>
        <v>#N/A</v>
      </c>
      <c r="HQ680" t="e">
        <f>IF(AND(10&lt;=$B$23,5&lt;=$B$24),$B$157+$B$156*((IF(10=1,1,IF(10=$B$23,$B$12,5*(10-1)))-1)*$B$13),NA())</f>
        <v>#N/A</v>
      </c>
      <c r="HR680" t="e">
        <f>IF(AND(10&lt;=$B$23,5&lt;=$B$24),$B$158+$B$156*((0*$B$5/2+5*($B$5/2)/$B$24)),NA())</f>
        <v>#N/A</v>
      </c>
      <c r="HS680" t="e">
        <f>IF(AND(29&lt;=$B$12,$B$51&gt;0),$B$157+$B$156*(((29-0.5)*$B$13)-($B$51*$B$13)/2),NA())</f>
        <v>#N/A</v>
      </c>
      <c r="HT680" t="e">
        <f>IF(AND(29&lt;=$B$12,$B$51&gt;0),$B$158+$B$156*((0*$B$5/2+$B$5/2-0.6*$B$159)),NA())</f>
        <v>#N/A</v>
      </c>
      <c r="KI680" t="e">
        <f>IF(AND($B$21=1,57*$B$67&gt;$B$59,57*$B$67&lt;$B$178-$B$59,OR($B$63=0,ABS(57*$B$67-$B$178/2)&gt;$B$59/2)),$B$182+$B$181*($B$177*1/4+$B$60/2),NA())</f>
        <v>#N/A</v>
      </c>
      <c r="KJ680" t="e">
        <f>IF(AND($B$21=1,57*$B$67&gt;$B$59,57*$B$67&lt;$B$178-$B$59,OR($B$63=0,ABS(57*$B$67-$B$178/2)&gt;$B$59/2)),$B$183+$B$181*(57*$B$67),NA())</f>
        <v>#N/A</v>
      </c>
    </row>
    <row r="681">
      <c r="K681" t="e">
        <f>IF(37&lt;=$B$12,$B$133+$B$132*($B$13*37-$B$27/2),NA())</f>
        <v>#N/A</v>
      </c>
      <c r="L681" t="e">
        <f>IF(37&lt;=$B$12,$B$134+$B$132*($B$5-$B$27/2),NA())</f>
        <v>#N/A</v>
      </c>
      <c r="HQ681" t="e">
        <f>IF(AND(10&lt;=$B$23,5&lt;=$B$24),$B$157+$B$156*(IF(10=1,1,IF(10=$B$23,$B$12,5*(10-1)))*$B$13),NA())</f>
        <v>#N/A</v>
      </c>
      <c r="HR681" t="e">
        <f>IF(AND(10&lt;=$B$23,5&lt;=$B$24),$B$158+$B$156*((0*$B$5/2+(5-1)*($B$5/2)/$B$24)),NA())</f>
        <v>#N/A</v>
      </c>
      <c r="HS681" t="e">
        <f>IF(AND(29&lt;=$B$12,$B$51&gt;0),$B$157+$B$156*(((29-0.5)*$B$13)-($B$51*$B$13)/2),NA())</f>
        <v>#N/A</v>
      </c>
      <c r="HT681" t="e">
        <f>IF(AND(29&lt;=$B$12,$B$51&gt;0),$B$158+$B$156*((0*$B$5/2+0.6*$B$159)),NA())</f>
        <v>#N/A</v>
      </c>
      <c r="KI681" t="e">
        <f>IF(AND($B$21=1,57*$B$67&gt;$B$59,57*$B$67&lt;$B$178-$B$59,OR($B$63=0,ABS(57*$B$67-$B$178/2)&gt;$B$59/2)),$B$182+$B$181*($B$177*2/4-$B$60/2),NA())</f>
        <v>#N/A</v>
      </c>
      <c r="KJ681" t="e">
        <f>IF(AND($B$21=1,57*$B$67&gt;$B$59,57*$B$67&lt;$B$178-$B$59,OR($B$63=0,ABS(57*$B$67-$B$178/2)&gt;$B$59/2)),$B$183+$B$181*(57*$B$67),NA())</f>
        <v>#N/A</v>
      </c>
    </row>
    <row r="682">
      <c r="K682" t="e">
        <f>NA()</f>
        <v>#N/A</v>
      </c>
      <c r="L682" t="e">
        <f>NA()</f>
        <v>#N/A</v>
      </c>
      <c r="HQ682" t="e">
        <f>NA()</f>
        <v>#N/A</v>
      </c>
      <c r="HR682" t="e">
        <f>NA()</f>
        <v>#N/A</v>
      </c>
      <c r="HS682" t="e">
        <f>NA()</f>
        <v>#N/A</v>
      </c>
      <c r="HT682" t="e">
        <f>NA()</f>
        <v>#N/A</v>
      </c>
      <c r="KI682" t="e">
        <f>NA()</f>
        <v>#N/A</v>
      </c>
      <c r="KJ682" t="e">
        <f>NA()</f>
        <v>#N/A</v>
      </c>
    </row>
    <row r="683">
      <c r="K683" t="e">
        <f>IF(AND(37&lt;=$B$12,$B$45=1),$B$133+$B$132*($B$13*37-$B$27/2),NA())</f>
        <v>#N/A</v>
      </c>
      <c r="L683" t="e">
        <f>IF(AND(37&lt;=$B$12,$B$45=1),$B$134+$B$132*($B$5/2-$B$27/2),NA())</f>
        <v>#N/A</v>
      </c>
      <c r="HQ683" t="e">
        <f>IF(AND(10&lt;=$B$23,6&lt;=$B$24),$B$157+$B$156*((IF(10=1,1,IF(10=$B$23,$B$12,5*(10-1)))-1)*$B$13),NA())</f>
        <v>#N/A</v>
      </c>
      <c r="HR683" t="e">
        <f>IF(AND(10&lt;=$B$23,6&lt;=$B$24),$B$158+$B$156*((0*$B$5/2+(6-1)*($B$5/2)/$B$24)),NA())</f>
        <v>#N/A</v>
      </c>
      <c r="HS683" t="e">
        <f>IF(AND(29&lt;=$B$12,$B$51&gt;0),$B$157+$B$156*(((29-0.5)*$B$13)-($B$51*$B$13)/2),NA())</f>
        <v>#N/A</v>
      </c>
      <c r="HT683" t="e">
        <f>IF(AND(29&lt;=$B$12,$B$51&gt;0),$B$158+$B$156*((0*$B$5/2+0.6*$B$159)),NA())</f>
        <v>#N/A</v>
      </c>
      <c r="KI683" t="e">
        <f>IF(AND($B$21=1,57*$B$67&gt;$B$59,57*$B$67&lt;$B$178-$B$59,OR($B$63=0,ABS(57*$B$67-$B$178/2)&gt;$B$59/2)),$B$182+$B$181*($B$177*2/4+$B$60/2),NA())</f>
        <v>#N/A</v>
      </c>
      <c r="KJ683" t="e">
        <f>IF(AND($B$21=1,57*$B$67&gt;$B$59,57*$B$67&lt;$B$178-$B$59,OR($B$63=0,ABS(57*$B$67-$B$178/2)&gt;$B$59/2)),$B$183+$B$181*(57*$B$67),NA())</f>
        <v>#N/A</v>
      </c>
    </row>
    <row r="684">
      <c r="K684" t="e">
        <f>IF(AND(37&lt;=$B$12,$B$45=1),$B$133+$B$132*($B$13*37+$B$27/2),NA())</f>
        <v>#N/A</v>
      </c>
      <c r="L684" t="e">
        <f>IF(AND(37&lt;=$B$12,$B$45=1),$B$134+$B$132*($B$5/2-$B$27/2),NA())</f>
        <v>#N/A</v>
      </c>
      <c r="HQ684" t="e">
        <f>IF(AND(10&lt;=$B$23,6&lt;=$B$24),$B$157+$B$156*(IF(10=1,1,IF(10=$B$23,$B$12,5*(10-1)))*$B$13),NA())</f>
        <v>#N/A</v>
      </c>
      <c r="HR684" t="e">
        <f>IF(AND(10&lt;=$B$23,6&lt;=$B$24),$B$158+$B$156*((0*$B$5/2+6*($B$5/2)/$B$24)),NA())</f>
        <v>#N/A</v>
      </c>
      <c r="HS684" t="e">
        <f>IF(AND(29&lt;=$B$12,$B$51&gt;0),$B$157+$B$156*(((29-0.5)*$B$13)+($B$51*$B$13)/2),NA())</f>
        <v>#N/A</v>
      </c>
      <c r="HT684" t="e">
        <f>IF(AND(29&lt;=$B$12,$B$51&gt;0),$B$158+$B$156*((0*$B$5/2+0.6*$B$159)+(((0*$B$5/2+$B$5/2-0.6*$B$159))-((0*$B$5/2+0.6*$B$159)))/4),NA())</f>
        <v>#N/A</v>
      </c>
      <c r="KI684" t="e">
        <f>IF(AND($B$21=1,57*$B$67&gt;$B$59,57*$B$67&lt;$B$178-$B$59,OR($B$63=0,ABS(57*$B$67-$B$178/2)&gt;$B$59/2)),$B$182+$B$181*($B$177*3/4-$B$60/2),NA())</f>
        <v>#N/A</v>
      </c>
      <c r="KJ684" t="e">
        <f>IF(AND($B$21=1,57*$B$67&gt;$B$59,57*$B$67&lt;$B$178-$B$59,OR($B$63=0,ABS(57*$B$67-$B$178/2)&gt;$B$59/2)),$B$183+$B$181*(57*$B$67),NA())</f>
        <v>#N/A</v>
      </c>
    </row>
    <row r="685">
      <c r="K685" t="e">
        <f>IF(AND(37&lt;=$B$12,$B$45=1),$B$133+$B$132*($B$13*37+$B$27/2),NA())</f>
        <v>#N/A</v>
      </c>
      <c r="L685" t="e">
        <f>IF(AND(37&lt;=$B$12,$B$45=1),$B$134+$B$132*($B$5/2+$B$27/2),NA())</f>
        <v>#N/A</v>
      </c>
      <c r="HQ685" t="e">
        <f>NA()</f>
        <v>#N/A</v>
      </c>
      <c r="HR685" t="e">
        <f>NA()</f>
        <v>#N/A</v>
      </c>
      <c r="HS685" t="e">
        <f>IF(AND(29&lt;=$B$12,$B$51&gt;0),$B$157+$B$156*(((29-0.5)*$B$13)-($B$51*$B$13)/2),NA())</f>
        <v>#N/A</v>
      </c>
      <c r="HT685" t="e">
        <f>IF(AND(29&lt;=$B$12,$B$51&gt;0),$B$158+$B$156*((0*$B$5/2+0.6*$B$159)+(((0*$B$5/2+$B$5/2-0.6*$B$159))-((0*$B$5/2+0.6*$B$159)))/2),NA())</f>
        <v>#N/A</v>
      </c>
      <c r="KI685" t="e">
        <f>NA()</f>
        <v>#N/A</v>
      </c>
      <c r="KJ685" t="e">
        <f>NA()</f>
        <v>#N/A</v>
      </c>
    </row>
    <row r="686">
      <c r="K686" t="e">
        <f>IF(AND(37&lt;=$B$12,$B$45=1),$B$133+$B$132*($B$13*37-$B$27/2),NA())</f>
        <v>#N/A</v>
      </c>
      <c r="L686" t="e">
        <f>IF(AND(37&lt;=$B$12,$B$45=1),$B$134+$B$132*($B$5/2+$B$27/2),NA())</f>
        <v>#N/A</v>
      </c>
      <c r="HQ686" t="e">
        <f>IF(AND(10&lt;=$B$23,6&lt;=$B$24),$B$157+$B$156*((IF(10=1,1,IF(10=$B$23,$B$12,5*(10-1)))-1)*$B$13),NA())</f>
        <v>#N/A</v>
      </c>
      <c r="HR686" t="e">
        <f>IF(AND(10&lt;=$B$23,6&lt;=$B$24),$B$158+$B$156*((0*$B$5/2+6*($B$5/2)/$B$24)),NA())</f>
        <v>#N/A</v>
      </c>
      <c r="HS686" t="e">
        <f>IF(AND(29&lt;=$B$12,$B$51&gt;0),$B$157+$B$156*(((29-0.5)*$B$13)+($B$51*$B$13)/2),NA())</f>
        <v>#N/A</v>
      </c>
      <c r="HT686" t="e">
        <f>IF(AND(29&lt;=$B$12,$B$51&gt;0),$B$158+$B$156*((0*$B$5/2+0.6*$B$159)+3*(((0*$B$5/2+$B$5/2-0.6*$B$159))-((0*$B$5/2+0.6*$B$159)))/4),NA())</f>
        <v>#N/A</v>
      </c>
      <c r="KI686" t="e">
        <f>IF(AND($B$21=1,57*$B$67&gt;$B$59,57*$B$67&lt;$B$178-$B$59,OR($B$63=0,ABS(57*$B$67-$B$178/2)&gt;$B$59/2)),$B$182+$B$181*($B$177*3/4+$B$60/2),NA())</f>
        <v>#N/A</v>
      </c>
      <c r="KJ686" t="e">
        <f>IF(AND($B$21=1,57*$B$67&gt;$B$59,57*$B$67&lt;$B$178-$B$59,OR($B$63=0,ABS(57*$B$67-$B$178/2)&gt;$B$59/2)),$B$183+$B$181*(57*$B$67),NA())</f>
        <v>#N/A</v>
      </c>
    </row>
    <row r="687">
      <c r="K687" t="e">
        <f>IF(AND(37&lt;=$B$12,$B$45=1),$B$133+$B$132*($B$13*37-$B$27/2),NA())</f>
        <v>#N/A</v>
      </c>
      <c r="L687" t="e">
        <f>IF(AND(37&lt;=$B$12,$B$45=1),$B$134+$B$132*($B$5/2-$B$27/2),NA())</f>
        <v>#N/A</v>
      </c>
      <c r="HQ687" t="e">
        <f>IF(AND(10&lt;=$B$23,6&lt;=$B$24),$B$157+$B$156*(IF(10=1,1,IF(10=$B$23,$B$12,5*(10-1)))*$B$13),NA())</f>
        <v>#N/A</v>
      </c>
      <c r="HR687" t="e">
        <f>IF(AND(10&lt;=$B$23,6&lt;=$B$24),$B$158+$B$156*((0*$B$5/2+(6-1)*($B$5/2)/$B$24)),NA())</f>
        <v>#N/A</v>
      </c>
      <c r="HS687" t="e">
        <f>IF(AND(29&lt;=$B$12,$B$51&gt;0),$B$157+$B$156*(((29-0.5)*$B$13)-($B$51*$B$13)/2),NA())</f>
        <v>#N/A</v>
      </c>
      <c r="HT687" t="e">
        <f>IF(AND(29&lt;=$B$12,$B$51&gt;0),$B$158+$B$156*((0*$B$5/2+$B$5/2-0.6*$B$159)),NA())</f>
        <v>#N/A</v>
      </c>
      <c r="KI687" t="e">
        <f>IF(AND($B$21=1,57*$B$67&gt;$B$59,57*$B$67&lt;$B$178-$B$59,OR($B$63=0,ABS(57*$B$67-$B$178/2)&gt;$B$59/2)),$B$182+$B$181*($B$177),NA())</f>
        <v>#N/A</v>
      </c>
      <c r="KJ687" t="e">
        <f>IF(AND($B$21=1,57*$B$67&gt;$B$59,57*$B$67&lt;$B$178-$B$59,OR($B$63=0,ABS(57*$B$67-$B$178/2)&gt;$B$59/2)),$B$183+$B$181*(57*$B$67),NA())</f>
        <v>#N/A</v>
      </c>
    </row>
    <row r="688">
      <c r="K688" t="e">
        <f>NA()</f>
        <v>#N/A</v>
      </c>
      <c r="L688" t="e">
        <f>NA()</f>
        <v>#N/A</v>
      </c>
      <c r="HQ688" t="e">
        <f>NA()</f>
        <v>#N/A</v>
      </c>
      <c r="HR688" t="e">
        <f>NA()</f>
        <v>#N/A</v>
      </c>
      <c r="HS688" t="e">
        <f>NA()</f>
        <v>#N/A</v>
      </c>
      <c r="HT688" t="e">
        <f>NA()</f>
        <v>#N/A</v>
      </c>
      <c r="KI688" t="e">
        <f>NA()</f>
        <v>#N/A</v>
      </c>
      <c r="KJ688" t="e">
        <f>NA()</f>
        <v>#N/A</v>
      </c>
    </row>
    <row r="689">
      <c r="K689" t="e">
        <f>IF(38&lt;=$B$12,$B$133+$B$132*($B$13*38-$B$27/2),NA())</f>
        <v>#N/A</v>
      </c>
      <c r="L689" t="e">
        <f>IF(38&lt;=$B$12,$B$134+$B$132*(0-$B$27/2),NA())</f>
        <v>#N/A</v>
      </c>
      <c r="HQ689" t="e">
        <f>IF(AND(10&lt;=$B$23,1&lt;=$B$24),$B$157+$B$156*((IF(10=1,1,IF(10=$B$23,$B$12,5*(10-1)))-1)*$B$13),NA())</f>
        <v>#N/A</v>
      </c>
      <c r="HR689" t="e">
        <f>IF(AND(10&lt;=$B$23,1&lt;=$B$24),$B$158+$B$156*((1*$B$5/2+(1-1)*($B$5/2)/$B$24)),NA())</f>
        <v>#N/A</v>
      </c>
      <c r="HS689" t="e">
        <f>IF(AND(29&lt;=$B$12,$B$51&gt;0),$B$157+$B$156*(((29-0.5)*$B$13)-($B$51*$B$13)/2),NA())</f>
        <v>#N/A</v>
      </c>
      <c r="HT689" t="e">
        <f>IF(AND(29&lt;=$B$12,$B$51&gt;0),$B$158+$B$156*((1*$B$5/2+0.6*$B$159)),NA())</f>
        <v>#N/A</v>
      </c>
      <c r="KI689" t="e">
        <f>IF(AND($B$21=1,58*$B$67&gt;$B$59,58*$B$67&lt;$B$178-$B$59,OR($B$63=0,ABS(58*$B$67-$B$178/2)&gt;$B$59/2)),$B$182+$B$181*(0),NA())</f>
        <v>#N/A</v>
      </c>
      <c r="KJ689" t="e">
        <f>IF(AND($B$21=1,58*$B$67&gt;$B$59,58*$B$67&lt;$B$178-$B$59,OR($B$63=0,ABS(58*$B$67-$B$178/2)&gt;$B$59/2)),$B$183+$B$181*(58*$B$67),NA())</f>
        <v>#N/A</v>
      </c>
    </row>
    <row r="690">
      <c r="K690" t="e">
        <f>IF(38&lt;=$B$12,$B$133+$B$132*($B$13*38+$B$27/2),NA())</f>
        <v>#N/A</v>
      </c>
      <c r="L690" t="e">
        <f>IF(38&lt;=$B$12,$B$134+$B$132*(0-$B$27/2),NA())</f>
        <v>#N/A</v>
      </c>
      <c r="HQ690" t="e">
        <f>IF(AND(10&lt;=$B$23,1&lt;=$B$24),$B$157+$B$156*(IF(10=1,1,IF(10=$B$23,$B$12,5*(10-1)))*$B$13),NA())</f>
        <v>#N/A</v>
      </c>
      <c r="HR690" t="e">
        <f>IF(AND(10&lt;=$B$23,1&lt;=$B$24),$B$158+$B$156*((1*$B$5/2+1*($B$5/2)/$B$24)),NA())</f>
        <v>#N/A</v>
      </c>
      <c r="HS690" t="e">
        <f>IF(AND(29&lt;=$B$12,$B$51&gt;0),$B$157+$B$156*(((29-0.5)*$B$13)+($B$51*$B$13)/2),NA())</f>
        <v>#N/A</v>
      </c>
      <c r="HT690" t="e">
        <f>IF(AND(29&lt;=$B$12,$B$51&gt;0),$B$158+$B$156*((1*$B$5/2+0.6*$B$159)),NA())</f>
        <v>#N/A</v>
      </c>
      <c r="KI690" t="e">
        <f>IF(AND($B$21=1,58*$B$67&gt;$B$59,58*$B$67&lt;$B$178-$B$59,OR($B$63=0,ABS(58*$B$67-$B$178/2)&gt;$B$59/2)),$B$182+$B$181*($B$177*1/4-$B$60/2),NA())</f>
        <v>#N/A</v>
      </c>
      <c r="KJ690" t="e">
        <f>IF(AND($B$21=1,58*$B$67&gt;$B$59,58*$B$67&lt;$B$178-$B$59,OR($B$63=0,ABS(58*$B$67-$B$178/2)&gt;$B$59/2)),$B$183+$B$181*(58*$B$67),NA())</f>
        <v>#N/A</v>
      </c>
    </row>
    <row r="691">
      <c r="K691" t="e">
        <f>IF(38&lt;=$B$12,$B$133+$B$132*($B$13*38+$B$27/2),NA())</f>
        <v>#N/A</v>
      </c>
      <c r="L691" t="e">
        <f>IF(38&lt;=$B$12,$B$134+$B$132*(0+$B$27/2),NA())</f>
        <v>#N/A</v>
      </c>
      <c r="HQ691" t="e">
        <f>NA()</f>
        <v>#N/A</v>
      </c>
      <c r="HR691" t="e">
        <f>NA()</f>
        <v>#N/A</v>
      </c>
      <c r="HS691" t="e">
        <f>IF(AND(29&lt;=$B$12,$B$51&gt;0),$B$157+$B$156*(((29-0.5)*$B$13)+($B$51*$B$13)/2),NA())</f>
        <v>#N/A</v>
      </c>
      <c r="HT691" t="e">
        <f>IF(AND(29&lt;=$B$12,$B$51&gt;0),$B$158+$B$156*((1*$B$5/2+$B$5/2-0.6*$B$159)),NA())</f>
        <v>#N/A</v>
      </c>
      <c r="KI691" t="e">
        <f>NA()</f>
        <v>#N/A</v>
      </c>
      <c r="KJ691" t="e">
        <f>NA()</f>
        <v>#N/A</v>
      </c>
    </row>
    <row r="692">
      <c r="K692" t="e">
        <f>IF(38&lt;=$B$12,$B$133+$B$132*($B$13*38-$B$27/2),NA())</f>
        <v>#N/A</v>
      </c>
      <c r="L692" t="e">
        <f>IF(38&lt;=$B$12,$B$134+$B$132*(0+$B$27/2),NA())</f>
        <v>#N/A</v>
      </c>
      <c r="HQ692" t="e">
        <f>IF(AND(10&lt;=$B$23,1&lt;=$B$24),$B$157+$B$156*((IF(10=1,1,IF(10=$B$23,$B$12,5*(10-1)))-1)*$B$13),NA())</f>
        <v>#N/A</v>
      </c>
      <c r="HR692" t="e">
        <f>IF(AND(10&lt;=$B$23,1&lt;=$B$24),$B$158+$B$156*((1*$B$5/2+1*($B$5/2)/$B$24)),NA())</f>
        <v>#N/A</v>
      </c>
      <c r="HS692" t="e">
        <f>IF(AND(29&lt;=$B$12,$B$51&gt;0),$B$157+$B$156*(((29-0.5)*$B$13)-($B$51*$B$13)/2),NA())</f>
        <v>#N/A</v>
      </c>
      <c r="HT692" t="e">
        <f>IF(AND(29&lt;=$B$12,$B$51&gt;0),$B$158+$B$156*((1*$B$5/2+$B$5/2-0.6*$B$159)),NA())</f>
        <v>#N/A</v>
      </c>
      <c r="KI692" t="e">
        <f>IF(AND($B$21=1,58*$B$67&gt;$B$59,58*$B$67&lt;$B$178-$B$59,OR($B$63=0,ABS(58*$B$67-$B$178/2)&gt;$B$59/2)),$B$182+$B$181*($B$177*1/4+$B$60/2),NA())</f>
        <v>#N/A</v>
      </c>
      <c r="KJ692" t="e">
        <f>IF(AND($B$21=1,58*$B$67&gt;$B$59,58*$B$67&lt;$B$178-$B$59,OR($B$63=0,ABS(58*$B$67-$B$178/2)&gt;$B$59/2)),$B$183+$B$181*(58*$B$67),NA())</f>
        <v>#N/A</v>
      </c>
    </row>
    <row r="693">
      <c r="K693" t="e">
        <f>IF(38&lt;=$B$12,$B$133+$B$132*($B$13*38-$B$27/2),NA())</f>
        <v>#N/A</v>
      </c>
      <c r="L693" t="e">
        <f>IF(38&lt;=$B$12,$B$134+$B$132*(0-$B$27/2),NA())</f>
        <v>#N/A</v>
      </c>
      <c r="HQ693" t="e">
        <f>IF(AND(10&lt;=$B$23,1&lt;=$B$24),$B$157+$B$156*(IF(10=1,1,IF(10=$B$23,$B$12,5*(10-1)))*$B$13),NA())</f>
        <v>#N/A</v>
      </c>
      <c r="HR693" t="e">
        <f>IF(AND(10&lt;=$B$23,1&lt;=$B$24),$B$158+$B$156*((1*$B$5/2+(1-1)*($B$5/2)/$B$24)),NA())</f>
        <v>#N/A</v>
      </c>
      <c r="HS693" t="e">
        <f>IF(AND(29&lt;=$B$12,$B$51&gt;0),$B$157+$B$156*(((29-0.5)*$B$13)-($B$51*$B$13)/2),NA())</f>
        <v>#N/A</v>
      </c>
      <c r="HT693" t="e">
        <f>IF(AND(29&lt;=$B$12,$B$51&gt;0),$B$158+$B$156*((1*$B$5/2+0.6*$B$159)),NA())</f>
        <v>#N/A</v>
      </c>
      <c r="KI693" t="e">
        <f>IF(AND($B$21=1,58*$B$67&gt;$B$59,58*$B$67&lt;$B$178-$B$59,OR($B$63=0,ABS(58*$B$67-$B$178/2)&gt;$B$59/2)),$B$182+$B$181*($B$177*2/4-$B$60/2),NA())</f>
        <v>#N/A</v>
      </c>
      <c r="KJ693" t="e">
        <f>IF(AND($B$21=1,58*$B$67&gt;$B$59,58*$B$67&lt;$B$178-$B$59,OR($B$63=0,ABS(58*$B$67-$B$178/2)&gt;$B$59/2)),$B$183+$B$181*(58*$B$67),NA())</f>
        <v>#N/A</v>
      </c>
    </row>
    <row r="694">
      <c r="K694" t="e">
        <f>NA()</f>
        <v>#N/A</v>
      </c>
      <c r="L694" t="e">
        <f>NA()</f>
        <v>#N/A</v>
      </c>
      <c r="HQ694" t="e">
        <f>NA()</f>
        <v>#N/A</v>
      </c>
      <c r="HR694" t="e">
        <f>NA()</f>
        <v>#N/A</v>
      </c>
      <c r="HS694" t="e">
        <f>NA()</f>
        <v>#N/A</v>
      </c>
      <c r="HT694" t="e">
        <f>NA()</f>
        <v>#N/A</v>
      </c>
      <c r="KI694" t="e">
        <f>NA()</f>
        <v>#N/A</v>
      </c>
      <c r="KJ694" t="e">
        <f>NA()</f>
        <v>#N/A</v>
      </c>
    </row>
    <row r="695">
      <c r="K695" t="e">
        <f>IF(38&lt;=$B$12,$B$133+$B$132*($B$13*38-$B$27/2),NA())</f>
        <v>#N/A</v>
      </c>
      <c r="L695" t="e">
        <f>IF(38&lt;=$B$12,$B$134+$B$132*($B$5-$B$27/2),NA())</f>
        <v>#N/A</v>
      </c>
      <c r="HQ695" t="e">
        <f>IF(AND(10&lt;=$B$23,2&lt;=$B$24),$B$157+$B$156*((IF(10=1,1,IF(10=$B$23,$B$12,5*(10-1)))-1)*$B$13),NA())</f>
        <v>#N/A</v>
      </c>
      <c r="HR695" t="e">
        <f>IF(AND(10&lt;=$B$23,2&lt;=$B$24),$B$158+$B$156*((1*$B$5/2+(2-1)*($B$5/2)/$B$24)),NA())</f>
        <v>#N/A</v>
      </c>
      <c r="HS695" t="e">
        <f>IF(AND(29&lt;=$B$12,$B$51&gt;0),$B$157+$B$156*(((29-0.5)*$B$13)-($B$51*$B$13)/2),NA())</f>
        <v>#N/A</v>
      </c>
      <c r="HT695" t="e">
        <f>IF(AND(29&lt;=$B$12,$B$51&gt;0),$B$158+$B$156*((1*$B$5/2+0.6*$B$159)),NA())</f>
        <v>#N/A</v>
      </c>
      <c r="KI695" t="e">
        <f>IF(AND($B$21=1,58*$B$67&gt;$B$59,58*$B$67&lt;$B$178-$B$59,OR($B$63=0,ABS(58*$B$67-$B$178/2)&gt;$B$59/2)),$B$182+$B$181*($B$177*2/4+$B$60/2),NA())</f>
        <v>#N/A</v>
      </c>
      <c r="KJ695" t="e">
        <f>IF(AND($B$21=1,58*$B$67&gt;$B$59,58*$B$67&lt;$B$178-$B$59,OR($B$63=0,ABS(58*$B$67-$B$178/2)&gt;$B$59/2)),$B$183+$B$181*(58*$B$67),NA())</f>
        <v>#N/A</v>
      </c>
    </row>
    <row r="696">
      <c r="K696" t="e">
        <f>IF(38&lt;=$B$12,$B$133+$B$132*($B$13*38+$B$27/2),NA())</f>
        <v>#N/A</v>
      </c>
      <c r="L696" t="e">
        <f>IF(38&lt;=$B$12,$B$134+$B$132*($B$5-$B$27/2),NA())</f>
        <v>#N/A</v>
      </c>
      <c r="HQ696" t="e">
        <f>IF(AND(10&lt;=$B$23,2&lt;=$B$24),$B$157+$B$156*(IF(10=1,1,IF(10=$B$23,$B$12,5*(10-1)))*$B$13),NA())</f>
        <v>#N/A</v>
      </c>
      <c r="HR696" t="e">
        <f>IF(AND(10&lt;=$B$23,2&lt;=$B$24),$B$158+$B$156*((1*$B$5/2+2*($B$5/2)/$B$24)),NA())</f>
        <v>#N/A</v>
      </c>
      <c r="HS696" t="e">
        <f>IF(AND(29&lt;=$B$12,$B$51&gt;0),$B$157+$B$156*(((29-0.5)*$B$13)+($B$51*$B$13)/2),NA())</f>
        <v>#N/A</v>
      </c>
      <c r="HT696" t="e">
        <f>IF(AND(29&lt;=$B$12,$B$51&gt;0),$B$158+$B$156*((1*$B$5/2+0.6*$B$159)+(((1*$B$5/2+$B$5/2-0.6*$B$159))-((1*$B$5/2+0.6*$B$159)))/4),NA())</f>
        <v>#N/A</v>
      </c>
      <c r="KI696" t="e">
        <f>IF(AND($B$21=1,58*$B$67&gt;$B$59,58*$B$67&lt;$B$178-$B$59,OR($B$63=0,ABS(58*$B$67-$B$178/2)&gt;$B$59/2)),$B$182+$B$181*($B$177*3/4-$B$60/2),NA())</f>
        <v>#N/A</v>
      </c>
      <c r="KJ696" t="e">
        <f>IF(AND($B$21=1,58*$B$67&gt;$B$59,58*$B$67&lt;$B$178-$B$59,OR($B$63=0,ABS(58*$B$67-$B$178/2)&gt;$B$59/2)),$B$183+$B$181*(58*$B$67),NA())</f>
        <v>#N/A</v>
      </c>
    </row>
    <row r="697">
      <c r="K697" t="e">
        <f>IF(38&lt;=$B$12,$B$133+$B$132*($B$13*38+$B$27/2),NA())</f>
        <v>#N/A</v>
      </c>
      <c r="L697" t="e">
        <f>IF(38&lt;=$B$12,$B$134+$B$132*($B$5+$B$27/2),NA())</f>
        <v>#N/A</v>
      </c>
      <c r="HQ697" t="e">
        <f>NA()</f>
        <v>#N/A</v>
      </c>
      <c r="HR697" t="e">
        <f>NA()</f>
        <v>#N/A</v>
      </c>
      <c r="HS697" t="e">
        <f>IF(AND(29&lt;=$B$12,$B$51&gt;0),$B$157+$B$156*(((29-0.5)*$B$13)-($B$51*$B$13)/2),NA())</f>
        <v>#N/A</v>
      </c>
      <c r="HT697" t="e">
        <f>IF(AND(29&lt;=$B$12,$B$51&gt;0),$B$158+$B$156*((1*$B$5/2+0.6*$B$159)+(((1*$B$5/2+$B$5/2-0.6*$B$159))-((1*$B$5/2+0.6*$B$159)))/2),NA())</f>
        <v>#N/A</v>
      </c>
      <c r="KI697" t="e">
        <f>NA()</f>
        <v>#N/A</v>
      </c>
      <c r="KJ697" t="e">
        <f>NA()</f>
        <v>#N/A</v>
      </c>
    </row>
    <row r="698">
      <c r="K698" t="e">
        <f>IF(38&lt;=$B$12,$B$133+$B$132*($B$13*38-$B$27/2),NA())</f>
        <v>#N/A</v>
      </c>
      <c r="L698" t="e">
        <f>IF(38&lt;=$B$12,$B$134+$B$132*($B$5+$B$27/2),NA())</f>
        <v>#N/A</v>
      </c>
      <c r="HQ698" t="e">
        <f>IF(AND(10&lt;=$B$23,2&lt;=$B$24),$B$157+$B$156*((IF(10=1,1,IF(10=$B$23,$B$12,5*(10-1)))-1)*$B$13),NA())</f>
        <v>#N/A</v>
      </c>
      <c r="HR698" t="e">
        <f>IF(AND(10&lt;=$B$23,2&lt;=$B$24),$B$158+$B$156*((1*$B$5/2+2*($B$5/2)/$B$24)),NA())</f>
        <v>#N/A</v>
      </c>
      <c r="HS698" t="e">
        <f>IF(AND(29&lt;=$B$12,$B$51&gt;0),$B$157+$B$156*(((29-0.5)*$B$13)+($B$51*$B$13)/2),NA())</f>
        <v>#N/A</v>
      </c>
      <c r="HT698" t="e">
        <f>IF(AND(29&lt;=$B$12,$B$51&gt;0),$B$158+$B$156*((1*$B$5/2+0.6*$B$159)+3*(((1*$B$5/2+$B$5/2-0.6*$B$159))-((1*$B$5/2+0.6*$B$159)))/4),NA())</f>
        <v>#N/A</v>
      </c>
      <c r="KI698" t="e">
        <f>IF(AND($B$21=1,58*$B$67&gt;$B$59,58*$B$67&lt;$B$178-$B$59,OR($B$63=0,ABS(58*$B$67-$B$178/2)&gt;$B$59/2)),$B$182+$B$181*($B$177*3/4+$B$60/2),NA())</f>
        <v>#N/A</v>
      </c>
      <c r="KJ698" t="e">
        <f>IF(AND($B$21=1,58*$B$67&gt;$B$59,58*$B$67&lt;$B$178-$B$59,OR($B$63=0,ABS(58*$B$67-$B$178/2)&gt;$B$59/2)),$B$183+$B$181*(58*$B$67),NA())</f>
        <v>#N/A</v>
      </c>
    </row>
    <row r="699">
      <c r="K699" t="e">
        <f>IF(38&lt;=$B$12,$B$133+$B$132*($B$13*38-$B$27/2),NA())</f>
        <v>#N/A</v>
      </c>
      <c r="L699" t="e">
        <f>IF(38&lt;=$B$12,$B$134+$B$132*($B$5-$B$27/2),NA())</f>
        <v>#N/A</v>
      </c>
      <c r="HQ699" t="e">
        <f>IF(AND(10&lt;=$B$23,2&lt;=$B$24),$B$157+$B$156*(IF(10=1,1,IF(10=$B$23,$B$12,5*(10-1)))*$B$13),NA())</f>
        <v>#N/A</v>
      </c>
      <c r="HR699" t="e">
        <f>IF(AND(10&lt;=$B$23,2&lt;=$B$24),$B$158+$B$156*((1*$B$5/2+(2-1)*($B$5/2)/$B$24)),NA())</f>
        <v>#N/A</v>
      </c>
      <c r="HS699" t="e">
        <f>IF(AND(29&lt;=$B$12,$B$51&gt;0),$B$157+$B$156*(((29-0.5)*$B$13)-($B$51*$B$13)/2),NA())</f>
        <v>#N/A</v>
      </c>
      <c r="HT699" t="e">
        <f>IF(AND(29&lt;=$B$12,$B$51&gt;0),$B$158+$B$156*((1*$B$5/2+$B$5/2-0.6*$B$159)),NA())</f>
        <v>#N/A</v>
      </c>
      <c r="KI699" t="e">
        <f>IF(AND($B$21=1,58*$B$67&gt;$B$59,58*$B$67&lt;$B$178-$B$59,OR($B$63=0,ABS(58*$B$67-$B$178/2)&gt;$B$59/2)),$B$182+$B$181*($B$177),NA())</f>
        <v>#N/A</v>
      </c>
      <c r="KJ699" t="e">
        <f>IF(AND($B$21=1,58*$B$67&gt;$B$59,58*$B$67&lt;$B$178-$B$59,OR($B$63=0,ABS(58*$B$67-$B$178/2)&gt;$B$59/2)),$B$183+$B$181*(58*$B$67),NA())</f>
        <v>#N/A</v>
      </c>
    </row>
    <row r="700">
      <c r="K700" t="e">
        <f>NA()</f>
        <v>#N/A</v>
      </c>
      <c r="L700" t="e">
        <f>NA()</f>
        <v>#N/A</v>
      </c>
      <c r="HQ700" t="e">
        <f>NA()</f>
        <v>#N/A</v>
      </c>
      <c r="HR700" t="e">
        <f>NA()</f>
        <v>#N/A</v>
      </c>
      <c r="HS700" t="e">
        <f>NA()</f>
        <v>#N/A</v>
      </c>
      <c r="HT700" t="e">
        <f>NA()</f>
        <v>#N/A</v>
      </c>
      <c r="KI700" t="e">
        <f>NA()</f>
        <v>#N/A</v>
      </c>
      <c r="KJ700" t="e">
        <f>NA()</f>
        <v>#N/A</v>
      </c>
    </row>
    <row r="701">
      <c r="K701" t="e">
        <f>IF(AND(38&lt;=$B$12,$B$45=1),$B$133+$B$132*($B$13*38-$B$27/2),NA())</f>
        <v>#N/A</v>
      </c>
      <c r="L701" t="e">
        <f>IF(AND(38&lt;=$B$12,$B$45=1),$B$134+$B$132*($B$5/2-$B$27/2),NA())</f>
        <v>#N/A</v>
      </c>
      <c r="HQ701" t="e">
        <f>IF(AND(10&lt;=$B$23,3&lt;=$B$24),$B$157+$B$156*((IF(10=1,1,IF(10=$B$23,$B$12,5*(10-1)))-1)*$B$13),NA())</f>
        <v>#N/A</v>
      </c>
      <c r="HR701" t="e">
        <f>IF(AND(10&lt;=$B$23,3&lt;=$B$24),$B$158+$B$156*((1*$B$5/2+(3-1)*($B$5/2)/$B$24)),NA())</f>
        <v>#N/A</v>
      </c>
      <c r="HS701" t="e">
        <f>IF(AND(30&lt;=$B$12,$B$51&gt;0),$B$157+$B$156*(((30-0.5)*$B$13)-($B$51*$B$13)/2),NA())</f>
        <v>#N/A</v>
      </c>
      <c r="HT701" t="e">
        <f>IF(AND(30&lt;=$B$12,$B$51&gt;0),$B$158+$B$156*((0*$B$5/2+0.6*$B$159)),NA())</f>
        <v>#N/A</v>
      </c>
      <c r="KI701" t="e">
        <f>IF(AND($B$21=1,59*$B$67&gt;$B$59,59*$B$67&lt;$B$178-$B$59,OR($B$63=0,ABS(59*$B$67-$B$178/2)&gt;$B$59/2)),$B$182+$B$181*(0),NA())</f>
        <v>#N/A</v>
      </c>
      <c r="KJ701" t="e">
        <f>IF(AND($B$21=1,59*$B$67&gt;$B$59,59*$B$67&lt;$B$178-$B$59,OR($B$63=0,ABS(59*$B$67-$B$178/2)&gt;$B$59/2)),$B$183+$B$181*(59*$B$67),NA())</f>
        <v>#N/A</v>
      </c>
    </row>
    <row r="702">
      <c r="K702" t="e">
        <f>IF(AND(38&lt;=$B$12,$B$45=1),$B$133+$B$132*($B$13*38+$B$27/2),NA())</f>
        <v>#N/A</v>
      </c>
      <c r="L702" t="e">
        <f>IF(AND(38&lt;=$B$12,$B$45=1),$B$134+$B$132*($B$5/2-$B$27/2),NA())</f>
        <v>#N/A</v>
      </c>
      <c r="HQ702" t="e">
        <f>IF(AND(10&lt;=$B$23,3&lt;=$B$24),$B$157+$B$156*(IF(10=1,1,IF(10=$B$23,$B$12,5*(10-1)))*$B$13),NA())</f>
        <v>#N/A</v>
      </c>
      <c r="HR702" t="e">
        <f>IF(AND(10&lt;=$B$23,3&lt;=$B$24),$B$158+$B$156*((1*$B$5/2+3*($B$5/2)/$B$24)),NA())</f>
        <v>#N/A</v>
      </c>
      <c r="HS702" t="e">
        <f>IF(AND(30&lt;=$B$12,$B$51&gt;0),$B$157+$B$156*(((30-0.5)*$B$13)+($B$51*$B$13)/2),NA())</f>
        <v>#N/A</v>
      </c>
      <c r="HT702" t="e">
        <f>IF(AND(30&lt;=$B$12,$B$51&gt;0),$B$158+$B$156*((0*$B$5/2+0.6*$B$159)),NA())</f>
        <v>#N/A</v>
      </c>
      <c r="KI702" t="e">
        <f>IF(AND($B$21=1,59*$B$67&gt;$B$59,59*$B$67&lt;$B$178-$B$59,OR($B$63=0,ABS(59*$B$67-$B$178/2)&gt;$B$59/2)),$B$182+$B$181*($B$177*1/4-$B$60/2),NA())</f>
        <v>#N/A</v>
      </c>
      <c r="KJ702" t="e">
        <f>IF(AND($B$21=1,59*$B$67&gt;$B$59,59*$B$67&lt;$B$178-$B$59,OR($B$63=0,ABS(59*$B$67-$B$178/2)&gt;$B$59/2)),$B$183+$B$181*(59*$B$67),NA())</f>
        <v>#N/A</v>
      </c>
    </row>
    <row r="703">
      <c r="K703" t="e">
        <f>IF(AND(38&lt;=$B$12,$B$45=1),$B$133+$B$132*($B$13*38+$B$27/2),NA())</f>
        <v>#N/A</v>
      </c>
      <c r="L703" t="e">
        <f>IF(AND(38&lt;=$B$12,$B$45=1),$B$134+$B$132*($B$5/2+$B$27/2),NA())</f>
        <v>#N/A</v>
      </c>
      <c r="HQ703" t="e">
        <f>NA()</f>
        <v>#N/A</v>
      </c>
      <c r="HR703" t="e">
        <f>NA()</f>
        <v>#N/A</v>
      </c>
      <c r="HS703" t="e">
        <f>IF(AND(30&lt;=$B$12,$B$51&gt;0),$B$157+$B$156*(((30-0.5)*$B$13)+($B$51*$B$13)/2),NA())</f>
        <v>#N/A</v>
      </c>
      <c r="HT703" t="e">
        <f>IF(AND(30&lt;=$B$12,$B$51&gt;0),$B$158+$B$156*((0*$B$5/2+$B$5/2-0.6*$B$159)),NA())</f>
        <v>#N/A</v>
      </c>
      <c r="KI703" t="e">
        <f>NA()</f>
        <v>#N/A</v>
      </c>
      <c r="KJ703" t="e">
        <f>NA()</f>
        <v>#N/A</v>
      </c>
    </row>
    <row r="704">
      <c r="K704" t="e">
        <f>IF(AND(38&lt;=$B$12,$B$45=1),$B$133+$B$132*($B$13*38-$B$27/2),NA())</f>
        <v>#N/A</v>
      </c>
      <c r="L704" t="e">
        <f>IF(AND(38&lt;=$B$12,$B$45=1),$B$134+$B$132*($B$5/2+$B$27/2),NA())</f>
        <v>#N/A</v>
      </c>
      <c r="HQ704" t="e">
        <f>IF(AND(10&lt;=$B$23,3&lt;=$B$24),$B$157+$B$156*((IF(10=1,1,IF(10=$B$23,$B$12,5*(10-1)))-1)*$B$13),NA())</f>
        <v>#N/A</v>
      </c>
      <c r="HR704" t="e">
        <f>IF(AND(10&lt;=$B$23,3&lt;=$B$24),$B$158+$B$156*((1*$B$5/2+3*($B$5/2)/$B$24)),NA())</f>
        <v>#N/A</v>
      </c>
      <c r="HS704" t="e">
        <f>IF(AND(30&lt;=$B$12,$B$51&gt;0),$B$157+$B$156*(((30-0.5)*$B$13)-($B$51*$B$13)/2),NA())</f>
        <v>#N/A</v>
      </c>
      <c r="HT704" t="e">
        <f>IF(AND(30&lt;=$B$12,$B$51&gt;0),$B$158+$B$156*((0*$B$5/2+$B$5/2-0.6*$B$159)),NA())</f>
        <v>#N/A</v>
      </c>
      <c r="KI704" t="e">
        <f>IF(AND($B$21=1,59*$B$67&gt;$B$59,59*$B$67&lt;$B$178-$B$59,OR($B$63=0,ABS(59*$B$67-$B$178/2)&gt;$B$59/2)),$B$182+$B$181*($B$177*1/4+$B$60/2),NA())</f>
        <v>#N/A</v>
      </c>
      <c r="KJ704" t="e">
        <f>IF(AND($B$21=1,59*$B$67&gt;$B$59,59*$B$67&lt;$B$178-$B$59,OR($B$63=0,ABS(59*$B$67-$B$178/2)&gt;$B$59/2)),$B$183+$B$181*(59*$B$67),NA())</f>
        <v>#N/A</v>
      </c>
    </row>
    <row r="705">
      <c r="K705" t="e">
        <f>IF(AND(38&lt;=$B$12,$B$45=1),$B$133+$B$132*($B$13*38-$B$27/2),NA())</f>
        <v>#N/A</v>
      </c>
      <c r="L705" t="e">
        <f>IF(AND(38&lt;=$B$12,$B$45=1),$B$134+$B$132*($B$5/2-$B$27/2),NA())</f>
        <v>#N/A</v>
      </c>
      <c r="HQ705" t="e">
        <f>IF(AND(10&lt;=$B$23,3&lt;=$B$24),$B$157+$B$156*(IF(10=1,1,IF(10=$B$23,$B$12,5*(10-1)))*$B$13),NA())</f>
        <v>#N/A</v>
      </c>
      <c r="HR705" t="e">
        <f>IF(AND(10&lt;=$B$23,3&lt;=$B$24),$B$158+$B$156*((1*$B$5/2+(3-1)*($B$5/2)/$B$24)),NA())</f>
        <v>#N/A</v>
      </c>
      <c r="HS705" t="e">
        <f>IF(AND(30&lt;=$B$12,$B$51&gt;0),$B$157+$B$156*(((30-0.5)*$B$13)-($B$51*$B$13)/2),NA())</f>
        <v>#N/A</v>
      </c>
      <c r="HT705" t="e">
        <f>IF(AND(30&lt;=$B$12,$B$51&gt;0),$B$158+$B$156*((0*$B$5/2+0.6*$B$159)),NA())</f>
        <v>#N/A</v>
      </c>
      <c r="KI705" t="e">
        <f>IF(AND($B$21=1,59*$B$67&gt;$B$59,59*$B$67&lt;$B$178-$B$59,OR($B$63=0,ABS(59*$B$67-$B$178/2)&gt;$B$59/2)),$B$182+$B$181*($B$177*2/4-$B$60/2),NA())</f>
        <v>#N/A</v>
      </c>
      <c r="KJ705" t="e">
        <f>IF(AND($B$21=1,59*$B$67&gt;$B$59,59*$B$67&lt;$B$178-$B$59,OR($B$63=0,ABS(59*$B$67-$B$178/2)&gt;$B$59/2)),$B$183+$B$181*(59*$B$67),NA())</f>
        <v>#N/A</v>
      </c>
    </row>
    <row r="706">
      <c r="K706" t="e">
        <f>NA()</f>
        <v>#N/A</v>
      </c>
      <c r="L706" t="e">
        <f>NA()</f>
        <v>#N/A</v>
      </c>
      <c r="HQ706" t="e">
        <f>NA()</f>
        <v>#N/A</v>
      </c>
      <c r="HR706" t="e">
        <f>NA()</f>
        <v>#N/A</v>
      </c>
      <c r="HS706" t="e">
        <f>NA()</f>
        <v>#N/A</v>
      </c>
      <c r="HT706" t="e">
        <f>NA()</f>
        <v>#N/A</v>
      </c>
      <c r="KI706" t="e">
        <f>NA()</f>
        <v>#N/A</v>
      </c>
      <c r="KJ706" t="e">
        <f>NA()</f>
        <v>#N/A</v>
      </c>
    </row>
    <row r="707">
      <c r="K707" t="e">
        <f>IF(39&lt;=$B$12,$B$133+$B$132*($B$13*39-$B$27/2),NA())</f>
        <v>#N/A</v>
      </c>
      <c r="L707" t="e">
        <f>IF(39&lt;=$B$12,$B$134+$B$132*(0-$B$27/2),NA())</f>
        <v>#N/A</v>
      </c>
      <c r="HQ707" t="e">
        <f>IF(AND(10&lt;=$B$23,4&lt;=$B$24),$B$157+$B$156*((IF(10=1,1,IF(10=$B$23,$B$12,5*(10-1)))-1)*$B$13),NA())</f>
        <v>#N/A</v>
      </c>
      <c r="HR707" t="e">
        <f>IF(AND(10&lt;=$B$23,4&lt;=$B$24),$B$158+$B$156*((1*$B$5/2+(4-1)*($B$5/2)/$B$24)),NA())</f>
        <v>#N/A</v>
      </c>
      <c r="HS707" t="e">
        <f>IF(AND(30&lt;=$B$12,$B$51&gt;0),$B$157+$B$156*(((30-0.5)*$B$13)-($B$51*$B$13)/2),NA())</f>
        <v>#N/A</v>
      </c>
      <c r="HT707" t="e">
        <f>IF(AND(30&lt;=$B$12,$B$51&gt;0),$B$158+$B$156*((0*$B$5/2+0.6*$B$159)),NA())</f>
        <v>#N/A</v>
      </c>
      <c r="KI707" t="e">
        <f>IF(AND($B$21=1,59*$B$67&gt;$B$59,59*$B$67&lt;$B$178-$B$59,OR($B$63=0,ABS(59*$B$67-$B$178/2)&gt;$B$59/2)),$B$182+$B$181*($B$177*2/4+$B$60/2),NA())</f>
        <v>#N/A</v>
      </c>
      <c r="KJ707" t="e">
        <f>IF(AND($B$21=1,59*$B$67&gt;$B$59,59*$B$67&lt;$B$178-$B$59,OR($B$63=0,ABS(59*$B$67-$B$178/2)&gt;$B$59/2)),$B$183+$B$181*(59*$B$67),NA())</f>
        <v>#N/A</v>
      </c>
    </row>
    <row r="708">
      <c r="K708" t="e">
        <f>IF(39&lt;=$B$12,$B$133+$B$132*($B$13*39+$B$27/2),NA())</f>
        <v>#N/A</v>
      </c>
      <c r="L708" t="e">
        <f>IF(39&lt;=$B$12,$B$134+$B$132*(0-$B$27/2),NA())</f>
        <v>#N/A</v>
      </c>
      <c r="HQ708" t="e">
        <f>IF(AND(10&lt;=$B$23,4&lt;=$B$24),$B$157+$B$156*(IF(10=1,1,IF(10=$B$23,$B$12,5*(10-1)))*$B$13),NA())</f>
        <v>#N/A</v>
      </c>
      <c r="HR708" t="e">
        <f>IF(AND(10&lt;=$B$23,4&lt;=$B$24),$B$158+$B$156*((1*$B$5/2+4*($B$5/2)/$B$24)),NA())</f>
        <v>#N/A</v>
      </c>
      <c r="HS708" t="e">
        <f>IF(AND(30&lt;=$B$12,$B$51&gt;0),$B$157+$B$156*(((30-0.5)*$B$13)+($B$51*$B$13)/2),NA())</f>
        <v>#N/A</v>
      </c>
      <c r="HT708" t="e">
        <f>IF(AND(30&lt;=$B$12,$B$51&gt;0),$B$158+$B$156*((0*$B$5/2+0.6*$B$159)+(((0*$B$5/2+$B$5/2-0.6*$B$159))-((0*$B$5/2+0.6*$B$159)))/4),NA())</f>
        <v>#N/A</v>
      </c>
      <c r="KI708" t="e">
        <f>IF(AND($B$21=1,59*$B$67&gt;$B$59,59*$B$67&lt;$B$178-$B$59,OR($B$63=0,ABS(59*$B$67-$B$178/2)&gt;$B$59/2)),$B$182+$B$181*($B$177*3/4-$B$60/2),NA())</f>
        <v>#N/A</v>
      </c>
      <c r="KJ708" t="e">
        <f>IF(AND($B$21=1,59*$B$67&gt;$B$59,59*$B$67&lt;$B$178-$B$59,OR($B$63=0,ABS(59*$B$67-$B$178/2)&gt;$B$59/2)),$B$183+$B$181*(59*$B$67),NA())</f>
        <v>#N/A</v>
      </c>
    </row>
    <row r="709">
      <c r="K709" t="e">
        <f>IF(39&lt;=$B$12,$B$133+$B$132*($B$13*39+$B$27/2),NA())</f>
        <v>#N/A</v>
      </c>
      <c r="L709" t="e">
        <f>IF(39&lt;=$B$12,$B$134+$B$132*(0+$B$27/2),NA())</f>
        <v>#N/A</v>
      </c>
      <c r="HQ709" t="e">
        <f>NA()</f>
        <v>#N/A</v>
      </c>
      <c r="HR709" t="e">
        <f>NA()</f>
        <v>#N/A</v>
      </c>
      <c r="HS709" t="e">
        <f>IF(AND(30&lt;=$B$12,$B$51&gt;0),$B$157+$B$156*(((30-0.5)*$B$13)-($B$51*$B$13)/2),NA())</f>
        <v>#N/A</v>
      </c>
      <c r="HT709" t="e">
        <f>IF(AND(30&lt;=$B$12,$B$51&gt;0),$B$158+$B$156*((0*$B$5/2+0.6*$B$159)+(((0*$B$5/2+$B$5/2-0.6*$B$159))-((0*$B$5/2+0.6*$B$159)))/2),NA())</f>
        <v>#N/A</v>
      </c>
      <c r="KI709" t="e">
        <f>NA()</f>
        <v>#N/A</v>
      </c>
      <c r="KJ709" t="e">
        <f>NA()</f>
        <v>#N/A</v>
      </c>
    </row>
    <row r="710">
      <c r="K710" t="e">
        <f>IF(39&lt;=$B$12,$B$133+$B$132*($B$13*39-$B$27/2),NA())</f>
        <v>#N/A</v>
      </c>
      <c r="L710" t="e">
        <f>IF(39&lt;=$B$12,$B$134+$B$132*(0+$B$27/2),NA())</f>
        <v>#N/A</v>
      </c>
      <c r="HQ710" t="e">
        <f>IF(AND(10&lt;=$B$23,4&lt;=$B$24),$B$157+$B$156*((IF(10=1,1,IF(10=$B$23,$B$12,5*(10-1)))-1)*$B$13),NA())</f>
        <v>#N/A</v>
      </c>
      <c r="HR710" t="e">
        <f>IF(AND(10&lt;=$B$23,4&lt;=$B$24),$B$158+$B$156*((1*$B$5/2+4*($B$5/2)/$B$24)),NA())</f>
        <v>#N/A</v>
      </c>
      <c r="HS710" t="e">
        <f>IF(AND(30&lt;=$B$12,$B$51&gt;0),$B$157+$B$156*(((30-0.5)*$B$13)+($B$51*$B$13)/2),NA())</f>
        <v>#N/A</v>
      </c>
      <c r="HT710" t="e">
        <f>IF(AND(30&lt;=$B$12,$B$51&gt;0),$B$158+$B$156*((0*$B$5/2+0.6*$B$159)+3*(((0*$B$5/2+$B$5/2-0.6*$B$159))-((0*$B$5/2+0.6*$B$159)))/4),NA())</f>
        <v>#N/A</v>
      </c>
      <c r="KI710" t="e">
        <f>IF(AND($B$21=1,59*$B$67&gt;$B$59,59*$B$67&lt;$B$178-$B$59,OR($B$63=0,ABS(59*$B$67-$B$178/2)&gt;$B$59/2)),$B$182+$B$181*($B$177*3/4+$B$60/2),NA())</f>
        <v>#N/A</v>
      </c>
      <c r="KJ710" t="e">
        <f>IF(AND($B$21=1,59*$B$67&gt;$B$59,59*$B$67&lt;$B$178-$B$59,OR($B$63=0,ABS(59*$B$67-$B$178/2)&gt;$B$59/2)),$B$183+$B$181*(59*$B$67),NA())</f>
        <v>#N/A</v>
      </c>
    </row>
    <row r="711">
      <c r="K711" t="e">
        <f>IF(39&lt;=$B$12,$B$133+$B$132*($B$13*39-$B$27/2),NA())</f>
        <v>#N/A</v>
      </c>
      <c r="L711" t="e">
        <f>IF(39&lt;=$B$12,$B$134+$B$132*(0-$B$27/2),NA())</f>
        <v>#N/A</v>
      </c>
      <c r="HQ711" t="e">
        <f>IF(AND(10&lt;=$B$23,4&lt;=$B$24),$B$157+$B$156*(IF(10=1,1,IF(10=$B$23,$B$12,5*(10-1)))*$B$13),NA())</f>
        <v>#N/A</v>
      </c>
      <c r="HR711" t="e">
        <f>IF(AND(10&lt;=$B$23,4&lt;=$B$24),$B$158+$B$156*((1*$B$5/2+(4-1)*($B$5/2)/$B$24)),NA())</f>
        <v>#N/A</v>
      </c>
      <c r="HS711" t="e">
        <f>IF(AND(30&lt;=$B$12,$B$51&gt;0),$B$157+$B$156*(((30-0.5)*$B$13)-($B$51*$B$13)/2),NA())</f>
        <v>#N/A</v>
      </c>
      <c r="HT711" t="e">
        <f>IF(AND(30&lt;=$B$12,$B$51&gt;0),$B$158+$B$156*((0*$B$5/2+$B$5/2-0.6*$B$159)),NA())</f>
        <v>#N/A</v>
      </c>
      <c r="KI711" t="e">
        <f>IF(AND($B$21=1,59*$B$67&gt;$B$59,59*$B$67&lt;$B$178-$B$59,OR($B$63=0,ABS(59*$B$67-$B$178/2)&gt;$B$59/2)),$B$182+$B$181*($B$177),NA())</f>
        <v>#N/A</v>
      </c>
      <c r="KJ711" t="e">
        <f>IF(AND($B$21=1,59*$B$67&gt;$B$59,59*$B$67&lt;$B$178-$B$59,OR($B$63=0,ABS(59*$B$67-$B$178/2)&gt;$B$59/2)),$B$183+$B$181*(59*$B$67),NA())</f>
        <v>#N/A</v>
      </c>
    </row>
    <row r="712">
      <c r="K712" t="e">
        <f>NA()</f>
        <v>#N/A</v>
      </c>
      <c r="L712" t="e">
        <f>NA()</f>
        <v>#N/A</v>
      </c>
      <c r="HQ712" t="e">
        <f>NA()</f>
        <v>#N/A</v>
      </c>
      <c r="HR712" t="e">
        <f>NA()</f>
        <v>#N/A</v>
      </c>
      <c r="HS712" t="e">
        <f>NA()</f>
        <v>#N/A</v>
      </c>
      <c r="HT712" t="e">
        <f>NA()</f>
        <v>#N/A</v>
      </c>
      <c r="KI712" t="e">
        <f>NA()</f>
        <v>#N/A</v>
      </c>
      <c r="KJ712" t="e">
        <f>NA()</f>
        <v>#N/A</v>
      </c>
    </row>
    <row r="713">
      <c r="K713" t="e">
        <f>IF(39&lt;=$B$12,$B$133+$B$132*($B$13*39-$B$27/2),NA())</f>
        <v>#N/A</v>
      </c>
      <c r="L713" t="e">
        <f>IF(39&lt;=$B$12,$B$134+$B$132*($B$5-$B$27/2),NA())</f>
        <v>#N/A</v>
      </c>
      <c r="HQ713" t="e">
        <f>IF(AND(10&lt;=$B$23,5&lt;=$B$24),$B$157+$B$156*((IF(10=1,1,IF(10=$B$23,$B$12,5*(10-1)))-1)*$B$13),NA())</f>
        <v>#N/A</v>
      </c>
      <c r="HR713" t="e">
        <f>IF(AND(10&lt;=$B$23,5&lt;=$B$24),$B$158+$B$156*((1*$B$5/2+(5-1)*($B$5/2)/$B$24)),NA())</f>
        <v>#N/A</v>
      </c>
      <c r="HS713" t="e">
        <f>IF(AND(30&lt;=$B$12,$B$51&gt;0),$B$157+$B$156*(((30-0.5)*$B$13)-($B$51*$B$13)/2),NA())</f>
        <v>#N/A</v>
      </c>
      <c r="HT713" t="e">
        <f>IF(AND(30&lt;=$B$12,$B$51&gt;0),$B$158+$B$156*((1*$B$5/2+0.6*$B$159)),NA())</f>
        <v>#N/A</v>
      </c>
      <c r="KI713" t="e">
        <f>IF(AND($B$21=1,60*$B$67&gt;$B$59,60*$B$67&lt;$B$178-$B$59,OR($B$63=0,ABS(60*$B$67-$B$178/2)&gt;$B$59/2)),$B$182+$B$181*(0),NA())</f>
        <v>#N/A</v>
      </c>
      <c r="KJ713" t="e">
        <f>IF(AND($B$21=1,60*$B$67&gt;$B$59,60*$B$67&lt;$B$178-$B$59,OR($B$63=0,ABS(60*$B$67-$B$178/2)&gt;$B$59/2)),$B$183+$B$181*(60*$B$67),NA())</f>
        <v>#N/A</v>
      </c>
    </row>
    <row r="714">
      <c r="K714" t="e">
        <f>IF(39&lt;=$B$12,$B$133+$B$132*($B$13*39+$B$27/2),NA())</f>
        <v>#N/A</v>
      </c>
      <c r="L714" t="e">
        <f>IF(39&lt;=$B$12,$B$134+$B$132*($B$5-$B$27/2),NA())</f>
        <v>#N/A</v>
      </c>
      <c r="HQ714" t="e">
        <f>IF(AND(10&lt;=$B$23,5&lt;=$B$24),$B$157+$B$156*(IF(10=1,1,IF(10=$B$23,$B$12,5*(10-1)))*$B$13),NA())</f>
        <v>#N/A</v>
      </c>
      <c r="HR714" t="e">
        <f>IF(AND(10&lt;=$B$23,5&lt;=$B$24),$B$158+$B$156*((1*$B$5/2+5*($B$5/2)/$B$24)),NA())</f>
        <v>#N/A</v>
      </c>
      <c r="HS714" t="e">
        <f>IF(AND(30&lt;=$B$12,$B$51&gt;0),$B$157+$B$156*(((30-0.5)*$B$13)+($B$51*$B$13)/2),NA())</f>
        <v>#N/A</v>
      </c>
      <c r="HT714" t="e">
        <f>IF(AND(30&lt;=$B$12,$B$51&gt;0),$B$158+$B$156*((1*$B$5/2+0.6*$B$159)),NA())</f>
        <v>#N/A</v>
      </c>
      <c r="KI714" t="e">
        <f>IF(AND($B$21=1,60*$B$67&gt;$B$59,60*$B$67&lt;$B$178-$B$59,OR($B$63=0,ABS(60*$B$67-$B$178/2)&gt;$B$59/2)),$B$182+$B$181*($B$177*1/4-$B$60/2),NA())</f>
        <v>#N/A</v>
      </c>
      <c r="KJ714" t="e">
        <f>IF(AND($B$21=1,60*$B$67&gt;$B$59,60*$B$67&lt;$B$178-$B$59,OR($B$63=0,ABS(60*$B$67-$B$178/2)&gt;$B$59/2)),$B$183+$B$181*(60*$B$67),NA())</f>
        <v>#N/A</v>
      </c>
    </row>
    <row r="715">
      <c r="K715" t="e">
        <f>IF(39&lt;=$B$12,$B$133+$B$132*($B$13*39+$B$27/2),NA())</f>
        <v>#N/A</v>
      </c>
      <c r="L715" t="e">
        <f>IF(39&lt;=$B$12,$B$134+$B$132*($B$5+$B$27/2),NA())</f>
        <v>#N/A</v>
      </c>
      <c r="HQ715" t="e">
        <f>NA()</f>
        <v>#N/A</v>
      </c>
      <c r="HR715" t="e">
        <f>NA()</f>
        <v>#N/A</v>
      </c>
      <c r="HS715" t="e">
        <f>IF(AND(30&lt;=$B$12,$B$51&gt;0),$B$157+$B$156*(((30-0.5)*$B$13)+($B$51*$B$13)/2),NA())</f>
        <v>#N/A</v>
      </c>
      <c r="HT715" t="e">
        <f>IF(AND(30&lt;=$B$12,$B$51&gt;0),$B$158+$B$156*((1*$B$5/2+$B$5/2-0.6*$B$159)),NA())</f>
        <v>#N/A</v>
      </c>
      <c r="KI715" t="e">
        <f>NA()</f>
        <v>#N/A</v>
      </c>
      <c r="KJ715" t="e">
        <f>NA()</f>
        <v>#N/A</v>
      </c>
    </row>
    <row r="716">
      <c r="K716" t="e">
        <f>IF(39&lt;=$B$12,$B$133+$B$132*($B$13*39-$B$27/2),NA())</f>
        <v>#N/A</v>
      </c>
      <c r="L716" t="e">
        <f>IF(39&lt;=$B$12,$B$134+$B$132*($B$5+$B$27/2),NA())</f>
        <v>#N/A</v>
      </c>
      <c r="HQ716" t="e">
        <f>IF(AND(10&lt;=$B$23,5&lt;=$B$24),$B$157+$B$156*((IF(10=1,1,IF(10=$B$23,$B$12,5*(10-1)))-1)*$B$13),NA())</f>
        <v>#N/A</v>
      </c>
      <c r="HR716" t="e">
        <f>IF(AND(10&lt;=$B$23,5&lt;=$B$24),$B$158+$B$156*((1*$B$5/2+5*($B$5/2)/$B$24)),NA())</f>
        <v>#N/A</v>
      </c>
      <c r="HS716" t="e">
        <f>IF(AND(30&lt;=$B$12,$B$51&gt;0),$B$157+$B$156*(((30-0.5)*$B$13)-($B$51*$B$13)/2),NA())</f>
        <v>#N/A</v>
      </c>
      <c r="HT716" t="e">
        <f>IF(AND(30&lt;=$B$12,$B$51&gt;0),$B$158+$B$156*((1*$B$5/2+$B$5/2-0.6*$B$159)),NA())</f>
        <v>#N/A</v>
      </c>
      <c r="KI716" t="e">
        <f>IF(AND($B$21=1,60*$B$67&gt;$B$59,60*$B$67&lt;$B$178-$B$59,OR($B$63=0,ABS(60*$B$67-$B$178/2)&gt;$B$59/2)),$B$182+$B$181*($B$177*1/4+$B$60/2),NA())</f>
        <v>#N/A</v>
      </c>
      <c r="KJ716" t="e">
        <f>IF(AND($B$21=1,60*$B$67&gt;$B$59,60*$B$67&lt;$B$178-$B$59,OR($B$63=0,ABS(60*$B$67-$B$178/2)&gt;$B$59/2)),$B$183+$B$181*(60*$B$67),NA())</f>
        <v>#N/A</v>
      </c>
    </row>
    <row r="717">
      <c r="K717" t="e">
        <f>IF(39&lt;=$B$12,$B$133+$B$132*($B$13*39-$B$27/2),NA())</f>
        <v>#N/A</v>
      </c>
      <c r="L717" t="e">
        <f>IF(39&lt;=$B$12,$B$134+$B$132*($B$5-$B$27/2),NA())</f>
        <v>#N/A</v>
      </c>
      <c r="HQ717" t="e">
        <f>IF(AND(10&lt;=$B$23,5&lt;=$B$24),$B$157+$B$156*(IF(10=1,1,IF(10=$B$23,$B$12,5*(10-1)))*$B$13),NA())</f>
        <v>#N/A</v>
      </c>
      <c r="HR717" t="e">
        <f>IF(AND(10&lt;=$B$23,5&lt;=$B$24),$B$158+$B$156*((1*$B$5/2+(5-1)*($B$5/2)/$B$24)),NA())</f>
        <v>#N/A</v>
      </c>
      <c r="HS717" t="e">
        <f>IF(AND(30&lt;=$B$12,$B$51&gt;0),$B$157+$B$156*(((30-0.5)*$B$13)-($B$51*$B$13)/2),NA())</f>
        <v>#N/A</v>
      </c>
      <c r="HT717" t="e">
        <f>IF(AND(30&lt;=$B$12,$B$51&gt;0),$B$158+$B$156*((1*$B$5/2+0.6*$B$159)),NA())</f>
        <v>#N/A</v>
      </c>
      <c r="KI717" t="e">
        <f>IF(AND($B$21=1,60*$B$67&gt;$B$59,60*$B$67&lt;$B$178-$B$59,OR($B$63=0,ABS(60*$B$67-$B$178/2)&gt;$B$59/2)),$B$182+$B$181*($B$177*2/4-$B$60/2),NA())</f>
        <v>#N/A</v>
      </c>
      <c r="KJ717" t="e">
        <f>IF(AND($B$21=1,60*$B$67&gt;$B$59,60*$B$67&lt;$B$178-$B$59,OR($B$63=0,ABS(60*$B$67-$B$178/2)&gt;$B$59/2)),$B$183+$B$181*(60*$B$67),NA())</f>
        <v>#N/A</v>
      </c>
    </row>
    <row r="718">
      <c r="K718" t="e">
        <f>NA()</f>
        <v>#N/A</v>
      </c>
      <c r="L718" t="e">
        <f>NA()</f>
        <v>#N/A</v>
      </c>
      <c r="HQ718" t="e">
        <f>NA()</f>
        <v>#N/A</v>
      </c>
      <c r="HR718" t="e">
        <f>NA()</f>
        <v>#N/A</v>
      </c>
      <c r="HS718" t="e">
        <f>NA()</f>
        <v>#N/A</v>
      </c>
      <c r="HT718" t="e">
        <f>NA()</f>
        <v>#N/A</v>
      </c>
      <c r="KI718" t="e">
        <f>NA()</f>
        <v>#N/A</v>
      </c>
      <c r="KJ718" t="e">
        <f>NA()</f>
        <v>#N/A</v>
      </c>
    </row>
    <row r="719">
      <c r="K719" t="e">
        <f>IF(AND(39&lt;=$B$12,$B$45=1),$B$133+$B$132*($B$13*39-$B$27/2),NA())</f>
        <v>#N/A</v>
      </c>
      <c r="L719" t="e">
        <f>IF(AND(39&lt;=$B$12,$B$45=1),$B$134+$B$132*($B$5/2-$B$27/2),NA())</f>
        <v>#N/A</v>
      </c>
      <c r="HQ719" t="e">
        <f>IF(AND(10&lt;=$B$23,6&lt;=$B$24),$B$157+$B$156*((IF(10=1,1,IF(10=$B$23,$B$12,5*(10-1)))-1)*$B$13),NA())</f>
        <v>#N/A</v>
      </c>
      <c r="HR719" t="e">
        <f>IF(AND(10&lt;=$B$23,6&lt;=$B$24),$B$158+$B$156*((1*$B$5/2+(6-1)*($B$5/2)/$B$24)),NA())</f>
        <v>#N/A</v>
      </c>
      <c r="HS719" t="e">
        <f>IF(AND(30&lt;=$B$12,$B$51&gt;0),$B$157+$B$156*(((30-0.5)*$B$13)-($B$51*$B$13)/2),NA())</f>
        <v>#N/A</v>
      </c>
      <c r="HT719" t="e">
        <f>IF(AND(30&lt;=$B$12,$B$51&gt;0),$B$158+$B$156*((1*$B$5/2+0.6*$B$159)),NA())</f>
        <v>#N/A</v>
      </c>
      <c r="KI719" t="e">
        <f>IF(AND($B$21=1,60*$B$67&gt;$B$59,60*$B$67&lt;$B$178-$B$59,OR($B$63=0,ABS(60*$B$67-$B$178/2)&gt;$B$59/2)),$B$182+$B$181*($B$177*2/4+$B$60/2),NA())</f>
        <v>#N/A</v>
      </c>
      <c r="KJ719" t="e">
        <f>IF(AND($B$21=1,60*$B$67&gt;$B$59,60*$B$67&lt;$B$178-$B$59,OR($B$63=0,ABS(60*$B$67-$B$178/2)&gt;$B$59/2)),$B$183+$B$181*(60*$B$67),NA())</f>
        <v>#N/A</v>
      </c>
    </row>
    <row r="720">
      <c r="K720" t="e">
        <f>IF(AND(39&lt;=$B$12,$B$45=1),$B$133+$B$132*($B$13*39+$B$27/2),NA())</f>
        <v>#N/A</v>
      </c>
      <c r="L720" t="e">
        <f>IF(AND(39&lt;=$B$12,$B$45=1),$B$134+$B$132*($B$5/2-$B$27/2),NA())</f>
        <v>#N/A</v>
      </c>
      <c r="HQ720" t="e">
        <f>IF(AND(10&lt;=$B$23,6&lt;=$B$24),$B$157+$B$156*(IF(10=1,1,IF(10=$B$23,$B$12,5*(10-1)))*$B$13),NA())</f>
        <v>#N/A</v>
      </c>
      <c r="HR720" t="e">
        <f>IF(AND(10&lt;=$B$23,6&lt;=$B$24),$B$158+$B$156*((1*$B$5/2+6*($B$5/2)/$B$24)),NA())</f>
        <v>#N/A</v>
      </c>
      <c r="HS720" t="e">
        <f>IF(AND(30&lt;=$B$12,$B$51&gt;0),$B$157+$B$156*(((30-0.5)*$B$13)+($B$51*$B$13)/2),NA())</f>
        <v>#N/A</v>
      </c>
      <c r="HT720" t="e">
        <f>IF(AND(30&lt;=$B$12,$B$51&gt;0),$B$158+$B$156*((1*$B$5/2+0.6*$B$159)+(((1*$B$5/2+$B$5/2-0.6*$B$159))-((1*$B$5/2+0.6*$B$159)))/4),NA())</f>
        <v>#N/A</v>
      </c>
      <c r="KI720" t="e">
        <f>IF(AND($B$21=1,60*$B$67&gt;$B$59,60*$B$67&lt;$B$178-$B$59,OR($B$63=0,ABS(60*$B$67-$B$178/2)&gt;$B$59/2)),$B$182+$B$181*($B$177*3/4-$B$60/2),NA())</f>
        <v>#N/A</v>
      </c>
      <c r="KJ720" t="e">
        <f>IF(AND($B$21=1,60*$B$67&gt;$B$59,60*$B$67&lt;$B$178-$B$59,OR($B$63=0,ABS(60*$B$67-$B$178/2)&gt;$B$59/2)),$B$183+$B$181*(60*$B$67),NA())</f>
        <v>#N/A</v>
      </c>
    </row>
    <row r="721">
      <c r="K721" t="e">
        <f>IF(AND(39&lt;=$B$12,$B$45=1),$B$133+$B$132*($B$13*39+$B$27/2),NA())</f>
        <v>#N/A</v>
      </c>
      <c r="L721" t="e">
        <f>IF(AND(39&lt;=$B$12,$B$45=1),$B$134+$B$132*($B$5/2+$B$27/2),NA())</f>
        <v>#N/A</v>
      </c>
      <c r="HQ721" t="e">
        <f>NA()</f>
        <v>#N/A</v>
      </c>
      <c r="HR721" t="e">
        <f>NA()</f>
        <v>#N/A</v>
      </c>
      <c r="HS721" t="e">
        <f>IF(AND(30&lt;=$B$12,$B$51&gt;0),$B$157+$B$156*(((30-0.5)*$B$13)-($B$51*$B$13)/2),NA())</f>
        <v>#N/A</v>
      </c>
      <c r="HT721" t="e">
        <f>IF(AND(30&lt;=$B$12,$B$51&gt;0),$B$158+$B$156*((1*$B$5/2+0.6*$B$159)+(((1*$B$5/2+$B$5/2-0.6*$B$159))-((1*$B$5/2+0.6*$B$159)))/2),NA())</f>
        <v>#N/A</v>
      </c>
      <c r="KI721" t="e">
        <f>NA()</f>
        <v>#N/A</v>
      </c>
      <c r="KJ721" t="e">
        <f>NA()</f>
        <v>#N/A</v>
      </c>
    </row>
    <row r="722">
      <c r="K722" t="e">
        <f>IF(AND(39&lt;=$B$12,$B$45=1),$B$133+$B$132*($B$13*39-$B$27/2),NA())</f>
        <v>#N/A</v>
      </c>
      <c r="L722" t="e">
        <f>IF(AND(39&lt;=$B$12,$B$45=1),$B$134+$B$132*($B$5/2+$B$27/2),NA())</f>
        <v>#N/A</v>
      </c>
      <c r="HQ722" t="e">
        <f>IF(AND(10&lt;=$B$23,6&lt;=$B$24),$B$157+$B$156*((IF(10=1,1,IF(10=$B$23,$B$12,5*(10-1)))-1)*$B$13),NA())</f>
        <v>#N/A</v>
      </c>
      <c r="HR722" t="e">
        <f>IF(AND(10&lt;=$B$23,6&lt;=$B$24),$B$158+$B$156*((1*$B$5/2+6*($B$5/2)/$B$24)),NA())</f>
        <v>#N/A</v>
      </c>
      <c r="HS722" t="e">
        <f>IF(AND(30&lt;=$B$12,$B$51&gt;0),$B$157+$B$156*(((30-0.5)*$B$13)+($B$51*$B$13)/2),NA())</f>
        <v>#N/A</v>
      </c>
      <c r="HT722" t="e">
        <f>IF(AND(30&lt;=$B$12,$B$51&gt;0),$B$158+$B$156*((1*$B$5/2+0.6*$B$159)+3*(((1*$B$5/2+$B$5/2-0.6*$B$159))-((1*$B$5/2+0.6*$B$159)))/4),NA())</f>
        <v>#N/A</v>
      </c>
      <c r="KI722" t="e">
        <f>IF(AND($B$21=1,60*$B$67&gt;$B$59,60*$B$67&lt;$B$178-$B$59,OR($B$63=0,ABS(60*$B$67-$B$178/2)&gt;$B$59/2)),$B$182+$B$181*($B$177*3/4+$B$60/2),NA())</f>
        <v>#N/A</v>
      </c>
      <c r="KJ722" t="e">
        <f>IF(AND($B$21=1,60*$B$67&gt;$B$59,60*$B$67&lt;$B$178-$B$59,OR($B$63=0,ABS(60*$B$67-$B$178/2)&gt;$B$59/2)),$B$183+$B$181*(60*$B$67),NA())</f>
        <v>#N/A</v>
      </c>
    </row>
    <row r="723">
      <c r="K723" t="e">
        <f>IF(AND(39&lt;=$B$12,$B$45=1),$B$133+$B$132*($B$13*39-$B$27/2),NA())</f>
        <v>#N/A</v>
      </c>
      <c r="L723" t="e">
        <f>IF(AND(39&lt;=$B$12,$B$45=1),$B$134+$B$132*($B$5/2-$B$27/2),NA())</f>
        <v>#N/A</v>
      </c>
      <c r="HQ723" t="e">
        <f>IF(AND(10&lt;=$B$23,6&lt;=$B$24),$B$157+$B$156*(IF(10=1,1,IF(10=$B$23,$B$12,5*(10-1)))*$B$13),NA())</f>
        <v>#N/A</v>
      </c>
      <c r="HR723" t="e">
        <f>IF(AND(10&lt;=$B$23,6&lt;=$B$24),$B$158+$B$156*((1*$B$5/2+(6-1)*($B$5/2)/$B$24)),NA())</f>
        <v>#N/A</v>
      </c>
      <c r="HS723" t="e">
        <f>IF(AND(30&lt;=$B$12,$B$51&gt;0),$B$157+$B$156*(((30-0.5)*$B$13)-($B$51*$B$13)/2),NA())</f>
        <v>#N/A</v>
      </c>
      <c r="HT723" t="e">
        <f>IF(AND(30&lt;=$B$12,$B$51&gt;0),$B$158+$B$156*((1*$B$5/2+$B$5/2-0.6*$B$159)),NA())</f>
        <v>#N/A</v>
      </c>
      <c r="KI723" t="e">
        <f>IF(AND($B$21=1,60*$B$67&gt;$B$59,60*$B$67&lt;$B$178-$B$59,OR($B$63=0,ABS(60*$B$67-$B$178/2)&gt;$B$59/2)),$B$182+$B$181*($B$177),NA())</f>
        <v>#N/A</v>
      </c>
      <c r="KJ723" t="e">
        <f>IF(AND($B$21=1,60*$B$67&gt;$B$59,60*$B$67&lt;$B$178-$B$59,OR($B$63=0,ABS(60*$B$67-$B$178/2)&gt;$B$59/2)),$B$183+$B$181*(60*$B$67),NA())</f>
        <v>#N/A</v>
      </c>
    </row>
    <row r="724">
      <c r="K724" t="e">
        <f>NA()</f>
        <v>#N/A</v>
      </c>
      <c r="L724" t="e">
        <f>NA()</f>
        <v>#N/A</v>
      </c>
      <c r="HQ724" t="e">
        <f>NA()</f>
        <v>#N/A</v>
      </c>
      <c r="HR724" t="e">
        <f>NA()</f>
        <v>#N/A</v>
      </c>
      <c r="HS724" t="e">
        <f>NA()</f>
        <v>#N/A</v>
      </c>
      <c r="HT724" t="e">
        <f>NA()</f>
        <v>#N/A</v>
      </c>
      <c r="KI724" t="e">
        <f>NA()</f>
        <v>#N/A</v>
      </c>
      <c r="KJ724" t="e">
        <f>NA()</f>
        <v>#N/A</v>
      </c>
    </row>
    <row r="725">
      <c r="K725" t="e">
        <f>IF(40&lt;=$B$12,$B$133+$B$132*($B$13*40-$B$27/2),NA())</f>
        <v>#N/A</v>
      </c>
      <c r="L725" t="e">
        <f>IF(40&lt;=$B$12,$B$134+$B$132*(0-$B$27/2),NA())</f>
        <v>#N/A</v>
      </c>
      <c r="HS725" t="e">
        <f>IF(AND(31&lt;=$B$12,$B$51&gt;0),$B$157+$B$156*(((31-0.5)*$B$13)-($B$51*$B$13)/2),NA())</f>
        <v>#N/A</v>
      </c>
      <c r="HT725" t="e">
        <f>IF(AND(31&lt;=$B$12,$B$51&gt;0),$B$158+$B$156*((0*$B$5/2+0.6*$B$159)),NA())</f>
        <v>#N/A</v>
      </c>
    </row>
    <row r="726">
      <c r="K726" t="e">
        <f>IF(40&lt;=$B$12,$B$133+$B$132*($B$13*40+$B$27/2),NA())</f>
        <v>#N/A</v>
      </c>
      <c r="L726" t="e">
        <f>IF(40&lt;=$B$12,$B$134+$B$132*(0-$B$27/2),NA())</f>
        <v>#N/A</v>
      </c>
      <c r="HS726" t="e">
        <f>IF(AND(31&lt;=$B$12,$B$51&gt;0),$B$157+$B$156*(((31-0.5)*$B$13)+($B$51*$B$13)/2),NA())</f>
        <v>#N/A</v>
      </c>
      <c r="HT726" t="e">
        <f>IF(AND(31&lt;=$B$12,$B$51&gt;0),$B$158+$B$156*((0*$B$5/2+0.6*$B$159)),NA())</f>
        <v>#N/A</v>
      </c>
    </row>
    <row r="727">
      <c r="K727" t="e">
        <f>IF(40&lt;=$B$12,$B$133+$B$132*($B$13*40+$B$27/2),NA())</f>
        <v>#N/A</v>
      </c>
      <c r="L727" t="e">
        <f>IF(40&lt;=$B$12,$B$134+$B$132*(0+$B$27/2),NA())</f>
        <v>#N/A</v>
      </c>
      <c r="HS727" t="e">
        <f>IF(AND(31&lt;=$B$12,$B$51&gt;0),$B$157+$B$156*(((31-0.5)*$B$13)+($B$51*$B$13)/2),NA())</f>
        <v>#N/A</v>
      </c>
      <c r="HT727" t="e">
        <f>IF(AND(31&lt;=$B$12,$B$51&gt;0),$B$158+$B$156*((0*$B$5/2+$B$5/2-0.6*$B$159)),NA())</f>
        <v>#N/A</v>
      </c>
    </row>
    <row r="728">
      <c r="K728" t="e">
        <f>IF(40&lt;=$B$12,$B$133+$B$132*($B$13*40-$B$27/2),NA())</f>
        <v>#N/A</v>
      </c>
      <c r="L728" t="e">
        <f>IF(40&lt;=$B$12,$B$134+$B$132*(0+$B$27/2),NA())</f>
        <v>#N/A</v>
      </c>
      <c r="HS728" t="e">
        <f>IF(AND(31&lt;=$B$12,$B$51&gt;0),$B$157+$B$156*(((31-0.5)*$B$13)-($B$51*$B$13)/2),NA())</f>
        <v>#N/A</v>
      </c>
      <c r="HT728" t="e">
        <f>IF(AND(31&lt;=$B$12,$B$51&gt;0),$B$158+$B$156*((0*$B$5/2+$B$5/2-0.6*$B$159)),NA())</f>
        <v>#N/A</v>
      </c>
    </row>
    <row r="729">
      <c r="K729" t="e">
        <f>IF(40&lt;=$B$12,$B$133+$B$132*($B$13*40-$B$27/2),NA())</f>
        <v>#N/A</v>
      </c>
      <c r="L729" t="e">
        <f>IF(40&lt;=$B$12,$B$134+$B$132*(0-$B$27/2),NA())</f>
        <v>#N/A</v>
      </c>
      <c r="HS729" t="e">
        <f>IF(AND(31&lt;=$B$12,$B$51&gt;0),$B$157+$B$156*(((31-0.5)*$B$13)-($B$51*$B$13)/2),NA())</f>
        <v>#N/A</v>
      </c>
      <c r="HT729" t="e">
        <f>IF(AND(31&lt;=$B$12,$B$51&gt;0),$B$158+$B$156*((0*$B$5/2+0.6*$B$159)),NA())</f>
        <v>#N/A</v>
      </c>
    </row>
    <row r="730">
      <c r="K730" t="e">
        <f>NA()</f>
        <v>#N/A</v>
      </c>
      <c r="L730" t="e">
        <f>NA()</f>
        <v>#N/A</v>
      </c>
      <c r="HS730" t="e">
        <f>NA()</f>
        <v>#N/A</v>
      </c>
      <c r="HT730" t="e">
        <f>NA()</f>
        <v>#N/A</v>
      </c>
    </row>
    <row r="731">
      <c r="K731" t="e">
        <f>IF(40&lt;=$B$12,$B$133+$B$132*($B$13*40-$B$27/2),NA())</f>
        <v>#N/A</v>
      </c>
      <c r="L731" t="e">
        <f>IF(40&lt;=$B$12,$B$134+$B$132*($B$5-$B$27/2),NA())</f>
        <v>#N/A</v>
      </c>
      <c r="HS731" t="e">
        <f>IF(AND(31&lt;=$B$12,$B$51&gt;0),$B$157+$B$156*(((31-0.5)*$B$13)-($B$51*$B$13)/2),NA())</f>
        <v>#N/A</v>
      </c>
      <c r="HT731" t="e">
        <f>IF(AND(31&lt;=$B$12,$B$51&gt;0),$B$158+$B$156*((0*$B$5/2+0.6*$B$159)),NA())</f>
        <v>#N/A</v>
      </c>
    </row>
    <row r="732">
      <c r="K732" t="e">
        <f>IF(40&lt;=$B$12,$B$133+$B$132*($B$13*40+$B$27/2),NA())</f>
        <v>#N/A</v>
      </c>
      <c r="L732" t="e">
        <f>IF(40&lt;=$B$12,$B$134+$B$132*($B$5-$B$27/2),NA())</f>
        <v>#N/A</v>
      </c>
      <c r="HS732" t="e">
        <f>IF(AND(31&lt;=$B$12,$B$51&gt;0),$B$157+$B$156*(((31-0.5)*$B$13)+($B$51*$B$13)/2),NA())</f>
        <v>#N/A</v>
      </c>
      <c r="HT732" t="e">
        <f>IF(AND(31&lt;=$B$12,$B$51&gt;0),$B$158+$B$156*((0*$B$5/2+0.6*$B$159)+(((0*$B$5/2+$B$5/2-0.6*$B$159))-((0*$B$5/2+0.6*$B$159)))/4),NA())</f>
        <v>#N/A</v>
      </c>
    </row>
    <row r="733">
      <c r="K733" t="e">
        <f>IF(40&lt;=$B$12,$B$133+$B$132*($B$13*40+$B$27/2),NA())</f>
        <v>#N/A</v>
      </c>
      <c r="L733" t="e">
        <f>IF(40&lt;=$B$12,$B$134+$B$132*($B$5+$B$27/2),NA())</f>
        <v>#N/A</v>
      </c>
      <c r="HS733" t="e">
        <f>IF(AND(31&lt;=$B$12,$B$51&gt;0),$B$157+$B$156*(((31-0.5)*$B$13)-($B$51*$B$13)/2),NA())</f>
        <v>#N/A</v>
      </c>
      <c r="HT733" t="e">
        <f>IF(AND(31&lt;=$B$12,$B$51&gt;0),$B$158+$B$156*((0*$B$5/2+0.6*$B$159)+(((0*$B$5/2+$B$5/2-0.6*$B$159))-((0*$B$5/2+0.6*$B$159)))/2),NA())</f>
        <v>#N/A</v>
      </c>
    </row>
    <row r="734">
      <c r="K734" t="e">
        <f>IF(40&lt;=$B$12,$B$133+$B$132*($B$13*40-$B$27/2),NA())</f>
        <v>#N/A</v>
      </c>
      <c r="L734" t="e">
        <f>IF(40&lt;=$B$12,$B$134+$B$132*($B$5+$B$27/2),NA())</f>
        <v>#N/A</v>
      </c>
      <c r="HS734" t="e">
        <f>IF(AND(31&lt;=$B$12,$B$51&gt;0),$B$157+$B$156*(((31-0.5)*$B$13)+($B$51*$B$13)/2),NA())</f>
        <v>#N/A</v>
      </c>
      <c r="HT734" t="e">
        <f>IF(AND(31&lt;=$B$12,$B$51&gt;0),$B$158+$B$156*((0*$B$5/2+0.6*$B$159)+3*(((0*$B$5/2+$B$5/2-0.6*$B$159))-((0*$B$5/2+0.6*$B$159)))/4),NA())</f>
        <v>#N/A</v>
      </c>
    </row>
    <row r="735">
      <c r="K735" t="e">
        <f>IF(40&lt;=$B$12,$B$133+$B$132*($B$13*40-$B$27/2),NA())</f>
        <v>#N/A</v>
      </c>
      <c r="L735" t="e">
        <f>IF(40&lt;=$B$12,$B$134+$B$132*($B$5-$B$27/2),NA())</f>
        <v>#N/A</v>
      </c>
      <c r="HS735" t="e">
        <f>IF(AND(31&lt;=$B$12,$B$51&gt;0),$B$157+$B$156*(((31-0.5)*$B$13)-($B$51*$B$13)/2),NA())</f>
        <v>#N/A</v>
      </c>
      <c r="HT735" t="e">
        <f>IF(AND(31&lt;=$B$12,$B$51&gt;0),$B$158+$B$156*((0*$B$5/2+$B$5/2-0.6*$B$159)),NA())</f>
        <v>#N/A</v>
      </c>
    </row>
    <row r="736">
      <c r="K736" t="e">
        <f>NA()</f>
        <v>#N/A</v>
      </c>
      <c r="L736" t="e">
        <f>NA()</f>
        <v>#N/A</v>
      </c>
      <c r="HS736" t="e">
        <f>NA()</f>
        <v>#N/A</v>
      </c>
      <c r="HT736" t="e">
        <f>NA()</f>
        <v>#N/A</v>
      </c>
    </row>
    <row r="737">
      <c r="K737" t="e">
        <f>IF(AND(40&lt;=$B$12,$B$45=1),$B$133+$B$132*($B$13*40-$B$27/2),NA())</f>
        <v>#N/A</v>
      </c>
      <c r="L737" t="e">
        <f>IF(AND(40&lt;=$B$12,$B$45=1),$B$134+$B$132*($B$5/2-$B$27/2),NA())</f>
        <v>#N/A</v>
      </c>
      <c r="HS737" t="e">
        <f>IF(AND(31&lt;=$B$12,$B$51&gt;0),$B$157+$B$156*(((31-0.5)*$B$13)-($B$51*$B$13)/2),NA())</f>
        <v>#N/A</v>
      </c>
      <c r="HT737" t="e">
        <f>IF(AND(31&lt;=$B$12,$B$51&gt;0),$B$158+$B$156*((1*$B$5/2+0.6*$B$159)),NA())</f>
        <v>#N/A</v>
      </c>
    </row>
    <row r="738">
      <c r="K738" t="e">
        <f>IF(AND(40&lt;=$B$12,$B$45=1),$B$133+$B$132*($B$13*40+$B$27/2),NA())</f>
        <v>#N/A</v>
      </c>
      <c r="L738" t="e">
        <f>IF(AND(40&lt;=$B$12,$B$45=1),$B$134+$B$132*($B$5/2-$B$27/2),NA())</f>
        <v>#N/A</v>
      </c>
      <c r="HS738" t="e">
        <f>IF(AND(31&lt;=$B$12,$B$51&gt;0),$B$157+$B$156*(((31-0.5)*$B$13)+($B$51*$B$13)/2),NA())</f>
        <v>#N/A</v>
      </c>
      <c r="HT738" t="e">
        <f>IF(AND(31&lt;=$B$12,$B$51&gt;0),$B$158+$B$156*((1*$B$5/2+0.6*$B$159)),NA())</f>
        <v>#N/A</v>
      </c>
    </row>
    <row r="739">
      <c r="K739" t="e">
        <f>IF(AND(40&lt;=$B$12,$B$45=1),$B$133+$B$132*($B$13*40+$B$27/2),NA())</f>
        <v>#N/A</v>
      </c>
      <c r="L739" t="e">
        <f>IF(AND(40&lt;=$B$12,$B$45=1),$B$134+$B$132*($B$5/2+$B$27/2),NA())</f>
        <v>#N/A</v>
      </c>
      <c r="HS739" t="e">
        <f>IF(AND(31&lt;=$B$12,$B$51&gt;0),$B$157+$B$156*(((31-0.5)*$B$13)+($B$51*$B$13)/2),NA())</f>
        <v>#N/A</v>
      </c>
      <c r="HT739" t="e">
        <f>IF(AND(31&lt;=$B$12,$B$51&gt;0),$B$158+$B$156*((1*$B$5/2+$B$5/2-0.6*$B$159)),NA())</f>
        <v>#N/A</v>
      </c>
    </row>
    <row r="740">
      <c r="K740" t="e">
        <f>IF(AND(40&lt;=$B$12,$B$45=1),$B$133+$B$132*($B$13*40-$B$27/2),NA())</f>
        <v>#N/A</v>
      </c>
      <c r="L740" t="e">
        <f>IF(AND(40&lt;=$B$12,$B$45=1),$B$134+$B$132*($B$5/2+$B$27/2),NA())</f>
        <v>#N/A</v>
      </c>
      <c r="HS740" t="e">
        <f>IF(AND(31&lt;=$B$12,$B$51&gt;0),$B$157+$B$156*(((31-0.5)*$B$13)-($B$51*$B$13)/2),NA())</f>
        <v>#N/A</v>
      </c>
      <c r="HT740" t="e">
        <f>IF(AND(31&lt;=$B$12,$B$51&gt;0),$B$158+$B$156*((1*$B$5/2+$B$5/2-0.6*$B$159)),NA())</f>
        <v>#N/A</v>
      </c>
    </row>
    <row r="741">
      <c r="K741" t="e">
        <f>IF(AND(40&lt;=$B$12,$B$45=1),$B$133+$B$132*($B$13*40-$B$27/2),NA())</f>
        <v>#N/A</v>
      </c>
      <c r="L741" t="e">
        <f>IF(AND(40&lt;=$B$12,$B$45=1),$B$134+$B$132*($B$5/2-$B$27/2),NA())</f>
        <v>#N/A</v>
      </c>
      <c r="HS741" t="e">
        <f>IF(AND(31&lt;=$B$12,$B$51&gt;0),$B$157+$B$156*(((31-0.5)*$B$13)-($B$51*$B$13)/2),NA())</f>
        <v>#N/A</v>
      </c>
      <c r="HT741" t="e">
        <f>IF(AND(31&lt;=$B$12,$B$51&gt;0),$B$158+$B$156*((1*$B$5/2+0.6*$B$159)),NA())</f>
        <v>#N/A</v>
      </c>
    </row>
    <row r="742">
      <c r="K742" t="e">
        <f>NA()</f>
        <v>#N/A</v>
      </c>
      <c r="L742" t="e">
        <f>NA()</f>
        <v>#N/A</v>
      </c>
      <c r="HS742" t="e">
        <f>NA()</f>
        <v>#N/A</v>
      </c>
      <c r="HT742" t="e">
        <f>NA()</f>
        <v>#N/A</v>
      </c>
    </row>
    <row r="743">
      <c r="K743">
        <f>IF(1&lt;=$B$14-1,$B$133+$B$132*(0-$B$28/2),NA())</f>
        <v>30.231</v>
      </c>
      <c r="L743">
        <f>IF(1&lt;=$B$14-1,$B$134+$B$132*(1*$B$15-$B$28/2),NA())</f>
        <v>31.64</v>
      </c>
      <c r="HS743" t="e">
        <f>IF(AND(31&lt;=$B$12,$B$51&gt;0),$B$157+$B$156*(((31-0.5)*$B$13)-($B$51*$B$13)/2),NA())</f>
        <v>#N/A</v>
      </c>
      <c r="HT743" t="e">
        <f>IF(AND(31&lt;=$B$12,$B$51&gt;0),$B$158+$B$156*((1*$B$5/2+0.6*$B$159)),NA())</f>
        <v>#N/A</v>
      </c>
    </row>
    <row r="744">
      <c r="K744">
        <f>IF(1&lt;=$B$14-1,$B$133+$B$132*(0+$B$28/2),NA())</f>
        <v>32.951</v>
      </c>
      <c r="L744">
        <f>IF(1&lt;=$B$14-1,$B$134+$B$132*(1*$B$15-$B$28/2),NA())</f>
        <v>31.64</v>
      </c>
      <c r="HS744" t="e">
        <f>IF(AND(31&lt;=$B$12,$B$51&gt;0),$B$157+$B$156*(((31-0.5)*$B$13)+($B$51*$B$13)/2),NA())</f>
        <v>#N/A</v>
      </c>
      <c r="HT744" t="e">
        <f>IF(AND(31&lt;=$B$12,$B$51&gt;0),$B$158+$B$156*((1*$B$5/2+0.6*$B$159)+(((1*$B$5/2+$B$5/2-0.6*$B$159))-((1*$B$5/2+0.6*$B$159)))/4),NA())</f>
        <v>#N/A</v>
      </c>
    </row>
    <row r="745">
      <c r="K745">
        <f>IF(1&lt;=$B$14-1,$B$133+$B$132*(0+$B$28/2),NA())</f>
        <v>32.951</v>
      </c>
      <c r="L745">
        <f>IF(1&lt;=$B$14-1,$B$134+$B$132*(1*$B$15+$B$28/2),NA())</f>
        <v>34.36</v>
      </c>
      <c r="HS745" t="e">
        <f>IF(AND(31&lt;=$B$12,$B$51&gt;0),$B$157+$B$156*(((31-0.5)*$B$13)-($B$51*$B$13)/2),NA())</f>
        <v>#N/A</v>
      </c>
      <c r="HT745" t="e">
        <f>IF(AND(31&lt;=$B$12,$B$51&gt;0),$B$158+$B$156*((1*$B$5/2+0.6*$B$159)+(((1*$B$5/2+$B$5/2-0.6*$B$159))-((1*$B$5/2+0.6*$B$159)))/2),NA())</f>
        <v>#N/A</v>
      </c>
    </row>
    <row r="746">
      <c r="K746">
        <f>IF(1&lt;=$B$14-1,$B$133+$B$132*(0-$B$28/2),NA())</f>
        <v>30.231</v>
      </c>
      <c r="L746">
        <f>IF(1&lt;=$B$14-1,$B$134+$B$132*(1*$B$15+$B$28/2),NA())</f>
        <v>34.36</v>
      </c>
      <c r="HS746" t="e">
        <f>IF(AND(31&lt;=$B$12,$B$51&gt;0),$B$157+$B$156*(((31-0.5)*$B$13)+($B$51*$B$13)/2),NA())</f>
        <v>#N/A</v>
      </c>
      <c r="HT746" t="e">
        <f>IF(AND(31&lt;=$B$12,$B$51&gt;0),$B$158+$B$156*((1*$B$5/2+0.6*$B$159)+3*(((1*$B$5/2+$B$5/2-0.6*$B$159))-((1*$B$5/2+0.6*$B$159)))/4),NA())</f>
        <v>#N/A</v>
      </c>
    </row>
    <row r="747">
      <c r="K747">
        <f>IF(1&lt;=$B$14-1,$B$133+$B$132*(0-$B$28/2),NA())</f>
        <v>30.231</v>
      </c>
      <c r="L747">
        <f>IF(1&lt;=$B$14-1,$B$134+$B$132*(1*$B$15-$B$28/2),NA())</f>
        <v>31.64</v>
      </c>
      <c r="HS747" t="e">
        <f>IF(AND(31&lt;=$B$12,$B$51&gt;0),$B$157+$B$156*(((31-0.5)*$B$13)-($B$51*$B$13)/2),NA())</f>
        <v>#N/A</v>
      </c>
      <c r="HT747" t="e">
        <f>IF(AND(31&lt;=$B$12,$B$51&gt;0),$B$158+$B$156*((1*$B$5/2+$B$5/2-0.6*$B$159)),NA())</f>
        <v>#N/A</v>
      </c>
    </row>
    <row r="748">
      <c r="K748" t="e">
        <f>NA()</f>
        <v>#N/A</v>
      </c>
      <c r="L748" t="e">
        <f>NA()</f>
        <v>#N/A</v>
      </c>
      <c r="HS748" t="e">
        <f>NA()</f>
        <v>#N/A</v>
      </c>
      <c r="HT748" t="e">
        <f>NA()</f>
        <v>#N/A</v>
      </c>
    </row>
    <row r="749">
      <c r="K749">
        <f>IF(1&lt;=$B$14-1,$B$133+$B$132*($B$6-$B$28/2),NA())</f>
        <v>166.231</v>
      </c>
      <c r="L749">
        <f>IF(1&lt;=$B$14-1,$B$134+$B$132*(1*$B$15-$B$28/2),NA())</f>
        <v>31.64</v>
      </c>
      <c r="HS749" t="e">
        <f>IF(AND(32&lt;=$B$12,$B$51&gt;0),$B$157+$B$156*(((32-0.5)*$B$13)-($B$51*$B$13)/2),NA())</f>
        <v>#N/A</v>
      </c>
      <c r="HT749" t="e">
        <f>IF(AND(32&lt;=$B$12,$B$51&gt;0),$B$158+$B$156*((0*$B$5/2+0.6*$B$159)),NA())</f>
        <v>#N/A</v>
      </c>
    </row>
    <row r="750">
      <c r="K750">
        <f>IF(1&lt;=$B$14-1,$B$133+$B$132*($B$6+$B$28/2),NA())</f>
        <v>168.951</v>
      </c>
      <c r="L750">
        <f>IF(1&lt;=$B$14-1,$B$134+$B$132*(1*$B$15-$B$28/2),NA())</f>
        <v>31.64</v>
      </c>
      <c r="HS750" t="e">
        <f>IF(AND(32&lt;=$B$12,$B$51&gt;0),$B$157+$B$156*(((32-0.5)*$B$13)+($B$51*$B$13)/2),NA())</f>
        <v>#N/A</v>
      </c>
      <c r="HT750" t="e">
        <f>IF(AND(32&lt;=$B$12,$B$51&gt;0),$B$158+$B$156*((0*$B$5/2+0.6*$B$159)),NA())</f>
        <v>#N/A</v>
      </c>
    </row>
    <row r="751">
      <c r="K751">
        <f>IF(1&lt;=$B$14-1,$B$133+$B$132*($B$6+$B$28/2),NA())</f>
        <v>168.951</v>
      </c>
      <c r="L751">
        <f>IF(1&lt;=$B$14-1,$B$134+$B$132*(1*$B$15+$B$28/2),NA())</f>
        <v>34.36</v>
      </c>
      <c r="HS751" t="e">
        <f>IF(AND(32&lt;=$B$12,$B$51&gt;0),$B$157+$B$156*(((32-0.5)*$B$13)+($B$51*$B$13)/2),NA())</f>
        <v>#N/A</v>
      </c>
      <c r="HT751" t="e">
        <f>IF(AND(32&lt;=$B$12,$B$51&gt;0),$B$158+$B$156*((0*$B$5/2+$B$5/2-0.6*$B$159)),NA())</f>
        <v>#N/A</v>
      </c>
    </row>
    <row r="752">
      <c r="K752">
        <f>IF(1&lt;=$B$14-1,$B$133+$B$132*($B$6-$B$28/2),NA())</f>
        <v>166.231</v>
      </c>
      <c r="L752">
        <f>IF(1&lt;=$B$14-1,$B$134+$B$132*(1*$B$15+$B$28/2),NA())</f>
        <v>34.36</v>
      </c>
      <c r="HS752" t="e">
        <f>IF(AND(32&lt;=$B$12,$B$51&gt;0),$B$157+$B$156*(((32-0.5)*$B$13)-($B$51*$B$13)/2),NA())</f>
        <v>#N/A</v>
      </c>
      <c r="HT752" t="e">
        <f>IF(AND(32&lt;=$B$12,$B$51&gt;0),$B$158+$B$156*((0*$B$5/2+$B$5/2-0.6*$B$159)),NA())</f>
        <v>#N/A</v>
      </c>
    </row>
    <row r="753">
      <c r="K753">
        <f>IF(1&lt;=$B$14-1,$B$133+$B$132*($B$6-$B$28/2),NA())</f>
        <v>166.231</v>
      </c>
      <c r="L753">
        <f>IF(1&lt;=$B$14-1,$B$134+$B$132*(1*$B$15-$B$28/2),NA())</f>
        <v>31.64</v>
      </c>
      <c r="HS753" t="e">
        <f>IF(AND(32&lt;=$B$12,$B$51&gt;0),$B$157+$B$156*(((32-0.5)*$B$13)-($B$51*$B$13)/2),NA())</f>
        <v>#N/A</v>
      </c>
      <c r="HT753" t="e">
        <f>IF(AND(32&lt;=$B$12,$B$51&gt;0),$B$158+$B$156*((0*$B$5/2+0.6*$B$159)),NA())</f>
        <v>#N/A</v>
      </c>
    </row>
    <row r="754">
      <c r="K754" t="e">
        <f>NA()</f>
        <v>#N/A</v>
      </c>
      <c r="L754" t="e">
        <f>NA()</f>
        <v>#N/A</v>
      </c>
      <c r="HS754" t="e">
        <f>NA()</f>
        <v>#N/A</v>
      </c>
      <c r="HT754" t="e">
        <f>NA()</f>
        <v>#N/A</v>
      </c>
    </row>
    <row r="755">
      <c r="K755">
        <f>IF(2&lt;=$B$14-1,$B$133+$B$132*(0-$B$28/2),NA())</f>
        <v>30.231</v>
      </c>
      <c r="L755">
        <f>IF(2&lt;=$B$14-1,$B$134+$B$132*(2*$B$15-$B$28/2),NA())</f>
        <v>48.64</v>
      </c>
      <c r="HS755" t="e">
        <f>IF(AND(32&lt;=$B$12,$B$51&gt;0),$B$157+$B$156*(((32-0.5)*$B$13)-($B$51*$B$13)/2),NA())</f>
        <v>#N/A</v>
      </c>
      <c r="HT755" t="e">
        <f>IF(AND(32&lt;=$B$12,$B$51&gt;0),$B$158+$B$156*((0*$B$5/2+0.6*$B$159)),NA())</f>
        <v>#N/A</v>
      </c>
    </row>
    <row r="756">
      <c r="K756">
        <f>IF(2&lt;=$B$14-1,$B$133+$B$132*(0+$B$28/2),NA())</f>
        <v>32.951</v>
      </c>
      <c r="L756">
        <f>IF(2&lt;=$B$14-1,$B$134+$B$132*(2*$B$15-$B$28/2),NA())</f>
        <v>48.64</v>
      </c>
      <c r="HS756" t="e">
        <f>IF(AND(32&lt;=$B$12,$B$51&gt;0),$B$157+$B$156*(((32-0.5)*$B$13)+($B$51*$B$13)/2),NA())</f>
        <v>#N/A</v>
      </c>
      <c r="HT756" t="e">
        <f>IF(AND(32&lt;=$B$12,$B$51&gt;0),$B$158+$B$156*((0*$B$5/2+0.6*$B$159)+(((0*$B$5/2+$B$5/2-0.6*$B$159))-((0*$B$5/2+0.6*$B$159)))/4),NA())</f>
        <v>#N/A</v>
      </c>
    </row>
    <row r="757">
      <c r="K757">
        <f>IF(2&lt;=$B$14-1,$B$133+$B$132*(0+$B$28/2),NA())</f>
        <v>32.951</v>
      </c>
      <c r="L757">
        <f>IF(2&lt;=$B$14-1,$B$134+$B$132*(2*$B$15+$B$28/2),NA())</f>
        <v>51.36</v>
      </c>
      <c r="HS757" t="e">
        <f>IF(AND(32&lt;=$B$12,$B$51&gt;0),$B$157+$B$156*(((32-0.5)*$B$13)-($B$51*$B$13)/2),NA())</f>
        <v>#N/A</v>
      </c>
      <c r="HT757" t="e">
        <f>IF(AND(32&lt;=$B$12,$B$51&gt;0),$B$158+$B$156*((0*$B$5/2+0.6*$B$159)+(((0*$B$5/2+$B$5/2-0.6*$B$159))-((0*$B$5/2+0.6*$B$159)))/2),NA())</f>
        <v>#N/A</v>
      </c>
    </row>
    <row r="758">
      <c r="K758">
        <f>IF(2&lt;=$B$14-1,$B$133+$B$132*(0-$B$28/2),NA())</f>
        <v>30.231</v>
      </c>
      <c r="L758">
        <f>IF(2&lt;=$B$14-1,$B$134+$B$132*(2*$B$15+$B$28/2),NA())</f>
        <v>51.36</v>
      </c>
      <c r="HS758" t="e">
        <f>IF(AND(32&lt;=$B$12,$B$51&gt;0),$B$157+$B$156*(((32-0.5)*$B$13)+($B$51*$B$13)/2),NA())</f>
        <v>#N/A</v>
      </c>
      <c r="HT758" t="e">
        <f>IF(AND(32&lt;=$B$12,$B$51&gt;0),$B$158+$B$156*((0*$B$5/2+0.6*$B$159)+3*(((0*$B$5/2+$B$5/2-0.6*$B$159))-((0*$B$5/2+0.6*$B$159)))/4),NA())</f>
        <v>#N/A</v>
      </c>
    </row>
    <row r="759">
      <c r="K759">
        <f>IF(2&lt;=$B$14-1,$B$133+$B$132*(0-$B$28/2),NA())</f>
        <v>30.231</v>
      </c>
      <c r="L759">
        <f>IF(2&lt;=$B$14-1,$B$134+$B$132*(2*$B$15-$B$28/2),NA())</f>
        <v>48.64</v>
      </c>
      <c r="HS759" t="e">
        <f>IF(AND(32&lt;=$B$12,$B$51&gt;0),$B$157+$B$156*(((32-0.5)*$B$13)-($B$51*$B$13)/2),NA())</f>
        <v>#N/A</v>
      </c>
      <c r="HT759" t="e">
        <f>IF(AND(32&lt;=$B$12,$B$51&gt;0),$B$158+$B$156*((0*$B$5/2+$B$5/2-0.6*$B$159)),NA())</f>
        <v>#N/A</v>
      </c>
    </row>
    <row r="760">
      <c r="K760" t="e">
        <f>NA()</f>
        <v>#N/A</v>
      </c>
      <c r="L760" t="e">
        <f>NA()</f>
        <v>#N/A</v>
      </c>
      <c r="HS760" t="e">
        <f>NA()</f>
        <v>#N/A</v>
      </c>
      <c r="HT760" t="e">
        <f>NA()</f>
        <v>#N/A</v>
      </c>
    </row>
    <row r="761">
      <c r="K761">
        <f>IF(2&lt;=$B$14-1,$B$133+$B$132*($B$6-$B$28/2),NA())</f>
        <v>166.231</v>
      </c>
      <c r="L761">
        <f>IF(2&lt;=$B$14-1,$B$134+$B$132*(2*$B$15-$B$28/2),NA())</f>
        <v>48.64</v>
      </c>
      <c r="HS761" t="e">
        <f>IF(AND(32&lt;=$B$12,$B$51&gt;0),$B$157+$B$156*(((32-0.5)*$B$13)-($B$51*$B$13)/2),NA())</f>
        <v>#N/A</v>
      </c>
      <c r="HT761" t="e">
        <f>IF(AND(32&lt;=$B$12,$B$51&gt;0),$B$158+$B$156*((1*$B$5/2+0.6*$B$159)),NA())</f>
        <v>#N/A</v>
      </c>
    </row>
    <row r="762">
      <c r="K762">
        <f>IF(2&lt;=$B$14-1,$B$133+$B$132*($B$6+$B$28/2),NA())</f>
        <v>168.951</v>
      </c>
      <c r="L762">
        <f>IF(2&lt;=$B$14-1,$B$134+$B$132*(2*$B$15-$B$28/2),NA())</f>
        <v>48.64</v>
      </c>
      <c r="HS762" t="e">
        <f>IF(AND(32&lt;=$B$12,$B$51&gt;0),$B$157+$B$156*(((32-0.5)*$B$13)+($B$51*$B$13)/2),NA())</f>
        <v>#N/A</v>
      </c>
      <c r="HT762" t="e">
        <f>IF(AND(32&lt;=$B$12,$B$51&gt;0),$B$158+$B$156*((1*$B$5/2+0.6*$B$159)),NA())</f>
        <v>#N/A</v>
      </c>
    </row>
    <row r="763">
      <c r="K763">
        <f>IF(2&lt;=$B$14-1,$B$133+$B$132*($B$6+$B$28/2),NA())</f>
        <v>168.951</v>
      </c>
      <c r="L763">
        <f>IF(2&lt;=$B$14-1,$B$134+$B$132*(2*$B$15+$B$28/2),NA())</f>
        <v>51.36</v>
      </c>
      <c r="HS763" t="e">
        <f>IF(AND(32&lt;=$B$12,$B$51&gt;0),$B$157+$B$156*(((32-0.5)*$B$13)+($B$51*$B$13)/2),NA())</f>
        <v>#N/A</v>
      </c>
      <c r="HT763" t="e">
        <f>IF(AND(32&lt;=$B$12,$B$51&gt;0),$B$158+$B$156*((1*$B$5/2+$B$5/2-0.6*$B$159)),NA())</f>
        <v>#N/A</v>
      </c>
    </row>
    <row r="764">
      <c r="K764">
        <f>IF(2&lt;=$B$14-1,$B$133+$B$132*($B$6-$B$28/2),NA())</f>
        <v>166.231</v>
      </c>
      <c r="L764">
        <f>IF(2&lt;=$B$14-1,$B$134+$B$132*(2*$B$15+$B$28/2),NA())</f>
        <v>51.36</v>
      </c>
      <c r="HS764" t="e">
        <f>IF(AND(32&lt;=$B$12,$B$51&gt;0),$B$157+$B$156*(((32-0.5)*$B$13)-($B$51*$B$13)/2),NA())</f>
        <v>#N/A</v>
      </c>
      <c r="HT764" t="e">
        <f>IF(AND(32&lt;=$B$12,$B$51&gt;0),$B$158+$B$156*((1*$B$5/2+$B$5/2-0.6*$B$159)),NA())</f>
        <v>#N/A</v>
      </c>
    </row>
    <row r="765">
      <c r="K765">
        <f>IF(2&lt;=$B$14-1,$B$133+$B$132*($B$6-$B$28/2),NA())</f>
        <v>166.231</v>
      </c>
      <c r="L765">
        <f>IF(2&lt;=$B$14-1,$B$134+$B$132*(2*$B$15-$B$28/2),NA())</f>
        <v>48.64</v>
      </c>
      <c r="HS765" t="e">
        <f>IF(AND(32&lt;=$B$12,$B$51&gt;0),$B$157+$B$156*(((32-0.5)*$B$13)-($B$51*$B$13)/2),NA())</f>
        <v>#N/A</v>
      </c>
      <c r="HT765" t="e">
        <f>IF(AND(32&lt;=$B$12,$B$51&gt;0),$B$158+$B$156*((1*$B$5/2+0.6*$B$159)),NA())</f>
        <v>#N/A</v>
      </c>
    </row>
    <row r="766">
      <c r="K766" t="e">
        <f>NA()</f>
        <v>#N/A</v>
      </c>
      <c r="L766" t="e">
        <f>NA()</f>
        <v>#N/A</v>
      </c>
      <c r="HS766" t="e">
        <f>NA()</f>
        <v>#N/A</v>
      </c>
      <c r="HT766" t="e">
        <f>NA()</f>
        <v>#N/A</v>
      </c>
    </row>
    <row r="767">
      <c r="K767">
        <f>IF(3&lt;=$B$14-1,$B$133+$B$132*(0-$B$28/2),NA())</f>
        <v>30.231</v>
      </c>
      <c r="L767">
        <f>IF(3&lt;=$B$14-1,$B$134+$B$132*(3*$B$15-$B$28/2),NA())</f>
        <v>65.64</v>
      </c>
      <c r="HS767" t="e">
        <f>IF(AND(32&lt;=$B$12,$B$51&gt;0),$B$157+$B$156*(((32-0.5)*$B$13)-($B$51*$B$13)/2),NA())</f>
        <v>#N/A</v>
      </c>
      <c r="HT767" t="e">
        <f>IF(AND(32&lt;=$B$12,$B$51&gt;0),$B$158+$B$156*((1*$B$5/2+0.6*$B$159)),NA())</f>
        <v>#N/A</v>
      </c>
    </row>
    <row r="768">
      <c r="K768">
        <f>IF(3&lt;=$B$14-1,$B$133+$B$132*(0+$B$28/2),NA())</f>
        <v>32.951</v>
      </c>
      <c r="L768">
        <f>IF(3&lt;=$B$14-1,$B$134+$B$132*(3*$B$15-$B$28/2),NA())</f>
        <v>65.64</v>
      </c>
      <c r="HS768" t="e">
        <f>IF(AND(32&lt;=$B$12,$B$51&gt;0),$B$157+$B$156*(((32-0.5)*$B$13)+($B$51*$B$13)/2),NA())</f>
        <v>#N/A</v>
      </c>
      <c r="HT768" t="e">
        <f>IF(AND(32&lt;=$B$12,$B$51&gt;0),$B$158+$B$156*((1*$B$5/2+0.6*$B$159)+(((1*$B$5/2+$B$5/2-0.6*$B$159))-((1*$B$5/2+0.6*$B$159)))/4),NA())</f>
        <v>#N/A</v>
      </c>
    </row>
    <row r="769">
      <c r="K769">
        <f>IF(3&lt;=$B$14-1,$B$133+$B$132*(0+$B$28/2),NA())</f>
        <v>32.951</v>
      </c>
      <c r="L769">
        <f>IF(3&lt;=$B$14-1,$B$134+$B$132*(3*$B$15+$B$28/2),NA())</f>
        <v>68.36</v>
      </c>
      <c r="HS769" t="e">
        <f>IF(AND(32&lt;=$B$12,$B$51&gt;0),$B$157+$B$156*(((32-0.5)*$B$13)-($B$51*$B$13)/2),NA())</f>
        <v>#N/A</v>
      </c>
      <c r="HT769" t="e">
        <f>IF(AND(32&lt;=$B$12,$B$51&gt;0),$B$158+$B$156*((1*$B$5/2+0.6*$B$159)+(((1*$B$5/2+$B$5/2-0.6*$B$159))-((1*$B$5/2+0.6*$B$159)))/2),NA())</f>
        <v>#N/A</v>
      </c>
    </row>
    <row r="770">
      <c r="K770">
        <f>IF(3&lt;=$B$14-1,$B$133+$B$132*(0-$B$28/2),NA())</f>
        <v>30.231</v>
      </c>
      <c r="L770">
        <f>IF(3&lt;=$B$14-1,$B$134+$B$132*(3*$B$15+$B$28/2),NA())</f>
        <v>68.36</v>
      </c>
      <c r="HS770" t="e">
        <f>IF(AND(32&lt;=$B$12,$B$51&gt;0),$B$157+$B$156*(((32-0.5)*$B$13)+($B$51*$B$13)/2),NA())</f>
        <v>#N/A</v>
      </c>
      <c r="HT770" t="e">
        <f>IF(AND(32&lt;=$B$12,$B$51&gt;0),$B$158+$B$156*((1*$B$5/2+0.6*$B$159)+3*(((1*$B$5/2+$B$5/2-0.6*$B$159))-((1*$B$5/2+0.6*$B$159)))/4),NA())</f>
        <v>#N/A</v>
      </c>
    </row>
    <row r="771">
      <c r="K771">
        <f>IF(3&lt;=$B$14-1,$B$133+$B$132*(0-$B$28/2),NA())</f>
        <v>30.231</v>
      </c>
      <c r="L771">
        <f>IF(3&lt;=$B$14-1,$B$134+$B$132*(3*$B$15-$B$28/2),NA())</f>
        <v>65.64</v>
      </c>
      <c r="HS771" t="e">
        <f>IF(AND(32&lt;=$B$12,$B$51&gt;0),$B$157+$B$156*(((32-0.5)*$B$13)-($B$51*$B$13)/2),NA())</f>
        <v>#N/A</v>
      </c>
      <c r="HT771" t="e">
        <f>IF(AND(32&lt;=$B$12,$B$51&gt;0),$B$158+$B$156*((1*$B$5/2+$B$5/2-0.6*$B$159)),NA())</f>
        <v>#N/A</v>
      </c>
    </row>
    <row r="772">
      <c r="K772" t="e">
        <f>NA()</f>
        <v>#N/A</v>
      </c>
      <c r="L772" t="e">
        <f>NA()</f>
        <v>#N/A</v>
      </c>
      <c r="HS772" t="e">
        <f>NA()</f>
        <v>#N/A</v>
      </c>
      <c r="HT772" t="e">
        <f>NA()</f>
        <v>#N/A</v>
      </c>
    </row>
    <row r="773">
      <c r="K773">
        <f>IF(3&lt;=$B$14-1,$B$133+$B$132*($B$6-$B$28/2),NA())</f>
        <v>166.231</v>
      </c>
      <c r="L773">
        <f>IF(3&lt;=$B$14-1,$B$134+$B$132*(3*$B$15-$B$28/2),NA())</f>
        <v>65.64</v>
      </c>
      <c r="HS773" t="e">
        <f>IF(AND(33&lt;=$B$12,$B$51&gt;0),$B$157+$B$156*(((33-0.5)*$B$13)-($B$51*$B$13)/2),NA())</f>
        <v>#N/A</v>
      </c>
      <c r="HT773" t="e">
        <f>IF(AND(33&lt;=$B$12,$B$51&gt;0),$B$158+$B$156*((0*$B$5/2+0.6*$B$159)),NA())</f>
        <v>#N/A</v>
      </c>
    </row>
    <row r="774">
      <c r="K774">
        <f>IF(3&lt;=$B$14-1,$B$133+$B$132*($B$6+$B$28/2),NA())</f>
        <v>168.951</v>
      </c>
      <c r="L774">
        <f>IF(3&lt;=$B$14-1,$B$134+$B$132*(3*$B$15-$B$28/2),NA())</f>
        <v>65.64</v>
      </c>
      <c r="HS774" t="e">
        <f>IF(AND(33&lt;=$B$12,$B$51&gt;0),$B$157+$B$156*(((33-0.5)*$B$13)+($B$51*$B$13)/2),NA())</f>
        <v>#N/A</v>
      </c>
      <c r="HT774" t="e">
        <f>IF(AND(33&lt;=$B$12,$B$51&gt;0),$B$158+$B$156*((0*$B$5/2+0.6*$B$159)),NA())</f>
        <v>#N/A</v>
      </c>
    </row>
    <row r="775">
      <c r="K775">
        <f>IF(3&lt;=$B$14-1,$B$133+$B$132*($B$6+$B$28/2),NA())</f>
        <v>168.951</v>
      </c>
      <c r="L775">
        <f>IF(3&lt;=$B$14-1,$B$134+$B$132*(3*$B$15+$B$28/2),NA())</f>
        <v>68.36</v>
      </c>
      <c r="HS775" t="e">
        <f>IF(AND(33&lt;=$B$12,$B$51&gt;0),$B$157+$B$156*(((33-0.5)*$B$13)+($B$51*$B$13)/2),NA())</f>
        <v>#N/A</v>
      </c>
      <c r="HT775" t="e">
        <f>IF(AND(33&lt;=$B$12,$B$51&gt;0),$B$158+$B$156*((0*$B$5/2+$B$5/2-0.6*$B$159)),NA())</f>
        <v>#N/A</v>
      </c>
    </row>
    <row r="776">
      <c r="K776">
        <f>IF(3&lt;=$B$14-1,$B$133+$B$132*($B$6-$B$28/2),NA())</f>
        <v>166.231</v>
      </c>
      <c r="L776">
        <f>IF(3&lt;=$B$14-1,$B$134+$B$132*(3*$B$15+$B$28/2),NA())</f>
        <v>68.36</v>
      </c>
      <c r="HS776" t="e">
        <f>IF(AND(33&lt;=$B$12,$B$51&gt;0),$B$157+$B$156*(((33-0.5)*$B$13)-($B$51*$B$13)/2),NA())</f>
        <v>#N/A</v>
      </c>
      <c r="HT776" t="e">
        <f>IF(AND(33&lt;=$B$12,$B$51&gt;0),$B$158+$B$156*((0*$B$5/2+$B$5/2-0.6*$B$159)),NA())</f>
        <v>#N/A</v>
      </c>
    </row>
    <row r="777">
      <c r="K777">
        <f>IF(3&lt;=$B$14-1,$B$133+$B$132*($B$6-$B$28/2),NA())</f>
        <v>166.231</v>
      </c>
      <c r="L777">
        <f>IF(3&lt;=$B$14-1,$B$134+$B$132*(3*$B$15-$B$28/2),NA())</f>
        <v>65.64</v>
      </c>
      <c r="HS777" t="e">
        <f>IF(AND(33&lt;=$B$12,$B$51&gt;0),$B$157+$B$156*(((33-0.5)*$B$13)-($B$51*$B$13)/2),NA())</f>
        <v>#N/A</v>
      </c>
      <c r="HT777" t="e">
        <f>IF(AND(33&lt;=$B$12,$B$51&gt;0),$B$158+$B$156*((0*$B$5/2+0.6*$B$159)),NA())</f>
        <v>#N/A</v>
      </c>
    </row>
    <row r="778">
      <c r="K778" t="e">
        <f>NA()</f>
        <v>#N/A</v>
      </c>
      <c r="L778" t="e">
        <f>NA()</f>
        <v>#N/A</v>
      </c>
      <c r="HS778" t="e">
        <f>NA()</f>
        <v>#N/A</v>
      </c>
      <c r="HT778" t="e">
        <f>NA()</f>
        <v>#N/A</v>
      </c>
    </row>
    <row r="779">
      <c r="K779" t="e">
        <f>IF(4&lt;=$B$14-1,$B$133+$B$132*(0-$B$28/2),NA())</f>
        <v>#N/A</v>
      </c>
      <c r="L779" t="e">
        <f>IF(4&lt;=$B$14-1,$B$134+$B$132*(4*$B$15-$B$28/2),NA())</f>
        <v>#N/A</v>
      </c>
      <c r="HS779" t="e">
        <f>IF(AND(33&lt;=$B$12,$B$51&gt;0),$B$157+$B$156*(((33-0.5)*$B$13)-($B$51*$B$13)/2),NA())</f>
        <v>#N/A</v>
      </c>
      <c r="HT779" t="e">
        <f>IF(AND(33&lt;=$B$12,$B$51&gt;0),$B$158+$B$156*((0*$B$5/2+0.6*$B$159)),NA())</f>
        <v>#N/A</v>
      </c>
    </row>
    <row r="780">
      <c r="K780" t="e">
        <f>IF(4&lt;=$B$14-1,$B$133+$B$132*(0+$B$28/2),NA())</f>
        <v>#N/A</v>
      </c>
      <c r="L780" t="e">
        <f>IF(4&lt;=$B$14-1,$B$134+$B$132*(4*$B$15-$B$28/2),NA())</f>
        <v>#N/A</v>
      </c>
      <c r="HS780" t="e">
        <f>IF(AND(33&lt;=$B$12,$B$51&gt;0),$B$157+$B$156*(((33-0.5)*$B$13)+($B$51*$B$13)/2),NA())</f>
        <v>#N/A</v>
      </c>
      <c r="HT780" t="e">
        <f>IF(AND(33&lt;=$B$12,$B$51&gt;0),$B$158+$B$156*((0*$B$5/2+0.6*$B$159)+(((0*$B$5/2+$B$5/2-0.6*$B$159))-((0*$B$5/2+0.6*$B$159)))/4),NA())</f>
        <v>#N/A</v>
      </c>
    </row>
    <row r="781">
      <c r="K781" t="e">
        <f>IF(4&lt;=$B$14-1,$B$133+$B$132*(0+$B$28/2),NA())</f>
        <v>#N/A</v>
      </c>
      <c r="L781" t="e">
        <f>IF(4&lt;=$B$14-1,$B$134+$B$132*(4*$B$15+$B$28/2),NA())</f>
        <v>#N/A</v>
      </c>
      <c r="HS781" t="e">
        <f>IF(AND(33&lt;=$B$12,$B$51&gt;0),$B$157+$B$156*(((33-0.5)*$B$13)-($B$51*$B$13)/2),NA())</f>
        <v>#N/A</v>
      </c>
      <c r="HT781" t="e">
        <f>IF(AND(33&lt;=$B$12,$B$51&gt;0),$B$158+$B$156*((0*$B$5/2+0.6*$B$159)+(((0*$B$5/2+$B$5/2-0.6*$B$159))-((0*$B$5/2+0.6*$B$159)))/2),NA())</f>
        <v>#N/A</v>
      </c>
    </row>
    <row r="782">
      <c r="K782" t="e">
        <f>IF(4&lt;=$B$14-1,$B$133+$B$132*(0-$B$28/2),NA())</f>
        <v>#N/A</v>
      </c>
      <c r="L782" t="e">
        <f>IF(4&lt;=$B$14-1,$B$134+$B$132*(4*$B$15+$B$28/2),NA())</f>
        <v>#N/A</v>
      </c>
      <c r="HS782" t="e">
        <f>IF(AND(33&lt;=$B$12,$B$51&gt;0),$B$157+$B$156*(((33-0.5)*$B$13)+($B$51*$B$13)/2),NA())</f>
        <v>#N/A</v>
      </c>
      <c r="HT782" t="e">
        <f>IF(AND(33&lt;=$B$12,$B$51&gt;0),$B$158+$B$156*((0*$B$5/2+0.6*$B$159)+3*(((0*$B$5/2+$B$5/2-0.6*$B$159))-((0*$B$5/2+0.6*$B$159)))/4),NA())</f>
        <v>#N/A</v>
      </c>
    </row>
    <row r="783">
      <c r="K783" t="e">
        <f>IF(4&lt;=$B$14-1,$B$133+$B$132*(0-$B$28/2),NA())</f>
        <v>#N/A</v>
      </c>
      <c r="L783" t="e">
        <f>IF(4&lt;=$B$14-1,$B$134+$B$132*(4*$B$15-$B$28/2),NA())</f>
        <v>#N/A</v>
      </c>
      <c r="HS783" t="e">
        <f>IF(AND(33&lt;=$B$12,$B$51&gt;0),$B$157+$B$156*(((33-0.5)*$B$13)-($B$51*$B$13)/2),NA())</f>
        <v>#N/A</v>
      </c>
      <c r="HT783" t="e">
        <f>IF(AND(33&lt;=$B$12,$B$51&gt;0),$B$158+$B$156*((0*$B$5/2+$B$5/2-0.6*$B$159)),NA())</f>
        <v>#N/A</v>
      </c>
    </row>
    <row r="784">
      <c r="K784" t="e">
        <f>NA()</f>
        <v>#N/A</v>
      </c>
      <c r="L784" t="e">
        <f>NA()</f>
        <v>#N/A</v>
      </c>
      <c r="HS784" t="e">
        <f>NA()</f>
        <v>#N/A</v>
      </c>
      <c r="HT784" t="e">
        <f>NA()</f>
        <v>#N/A</v>
      </c>
    </row>
    <row r="785">
      <c r="K785" t="e">
        <f>IF(4&lt;=$B$14-1,$B$133+$B$132*($B$6-$B$28/2),NA())</f>
        <v>#N/A</v>
      </c>
      <c r="L785" t="e">
        <f>IF(4&lt;=$B$14-1,$B$134+$B$132*(4*$B$15-$B$28/2),NA())</f>
        <v>#N/A</v>
      </c>
      <c r="HS785" t="e">
        <f>IF(AND(33&lt;=$B$12,$B$51&gt;0),$B$157+$B$156*(((33-0.5)*$B$13)-($B$51*$B$13)/2),NA())</f>
        <v>#N/A</v>
      </c>
      <c r="HT785" t="e">
        <f>IF(AND(33&lt;=$B$12,$B$51&gt;0),$B$158+$B$156*((1*$B$5/2+0.6*$B$159)),NA())</f>
        <v>#N/A</v>
      </c>
    </row>
    <row r="786">
      <c r="K786" t="e">
        <f>IF(4&lt;=$B$14-1,$B$133+$B$132*($B$6+$B$28/2),NA())</f>
        <v>#N/A</v>
      </c>
      <c r="L786" t="e">
        <f>IF(4&lt;=$B$14-1,$B$134+$B$132*(4*$B$15-$B$28/2),NA())</f>
        <v>#N/A</v>
      </c>
      <c r="HS786" t="e">
        <f>IF(AND(33&lt;=$B$12,$B$51&gt;0),$B$157+$B$156*(((33-0.5)*$B$13)+($B$51*$B$13)/2),NA())</f>
        <v>#N/A</v>
      </c>
      <c r="HT786" t="e">
        <f>IF(AND(33&lt;=$B$12,$B$51&gt;0),$B$158+$B$156*((1*$B$5/2+0.6*$B$159)),NA())</f>
        <v>#N/A</v>
      </c>
    </row>
    <row r="787">
      <c r="K787" t="e">
        <f>IF(4&lt;=$B$14-1,$B$133+$B$132*($B$6+$B$28/2),NA())</f>
        <v>#N/A</v>
      </c>
      <c r="L787" t="e">
        <f>IF(4&lt;=$B$14-1,$B$134+$B$132*(4*$B$15+$B$28/2),NA())</f>
        <v>#N/A</v>
      </c>
      <c r="HS787" t="e">
        <f>IF(AND(33&lt;=$B$12,$B$51&gt;0),$B$157+$B$156*(((33-0.5)*$B$13)+($B$51*$B$13)/2),NA())</f>
        <v>#N/A</v>
      </c>
      <c r="HT787" t="e">
        <f>IF(AND(33&lt;=$B$12,$B$51&gt;0),$B$158+$B$156*((1*$B$5/2+$B$5/2-0.6*$B$159)),NA())</f>
        <v>#N/A</v>
      </c>
    </row>
    <row r="788">
      <c r="K788" t="e">
        <f>IF(4&lt;=$B$14-1,$B$133+$B$132*($B$6-$B$28/2),NA())</f>
        <v>#N/A</v>
      </c>
      <c r="L788" t="e">
        <f>IF(4&lt;=$B$14-1,$B$134+$B$132*(4*$B$15+$B$28/2),NA())</f>
        <v>#N/A</v>
      </c>
      <c r="HS788" t="e">
        <f>IF(AND(33&lt;=$B$12,$B$51&gt;0),$B$157+$B$156*(((33-0.5)*$B$13)-($B$51*$B$13)/2),NA())</f>
        <v>#N/A</v>
      </c>
      <c r="HT788" t="e">
        <f>IF(AND(33&lt;=$B$12,$B$51&gt;0),$B$158+$B$156*((1*$B$5/2+$B$5/2-0.6*$B$159)),NA())</f>
        <v>#N/A</v>
      </c>
    </row>
    <row r="789">
      <c r="K789" t="e">
        <f>IF(4&lt;=$B$14-1,$B$133+$B$132*($B$6-$B$28/2),NA())</f>
        <v>#N/A</v>
      </c>
      <c r="L789" t="e">
        <f>IF(4&lt;=$B$14-1,$B$134+$B$132*(4*$B$15-$B$28/2),NA())</f>
        <v>#N/A</v>
      </c>
      <c r="HS789" t="e">
        <f>IF(AND(33&lt;=$B$12,$B$51&gt;0),$B$157+$B$156*(((33-0.5)*$B$13)-($B$51*$B$13)/2),NA())</f>
        <v>#N/A</v>
      </c>
      <c r="HT789" t="e">
        <f>IF(AND(33&lt;=$B$12,$B$51&gt;0),$B$158+$B$156*((1*$B$5/2+0.6*$B$159)),NA())</f>
        <v>#N/A</v>
      </c>
    </row>
    <row r="790">
      <c r="K790" t="e">
        <f>NA()</f>
        <v>#N/A</v>
      </c>
      <c r="L790" t="e">
        <f>NA()</f>
        <v>#N/A</v>
      </c>
      <c r="HS790" t="e">
        <f>NA()</f>
        <v>#N/A</v>
      </c>
      <c r="HT790" t="e">
        <f>NA()</f>
        <v>#N/A</v>
      </c>
    </row>
    <row r="791">
      <c r="K791" t="e">
        <f>IF(5&lt;=$B$14-1,$B$133+$B$132*(0-$B$28/2),NA())</f>
        <v>#N/A</v>
      </c>
      <c r="L791" t="e">
        <f>IF(5&lt;=$B$14-1,$B$134+$B$132*(5*$B$15-$B$28/2),NA())</f>
        <v>#N/A</v>
      </c>
      <c r="HS791" t="e">
        <f>IF(AND(33&lt;=$B$12,$B$51&gt;0),$B$157+$B$156*(((33-0.5)*$B$13)-($B$51*$B$13)/2),NA())</f>
        <v>#N/A</v>
      </c>
      <c r="HT791" t="e">
        <f>IF(AND(33&lt;=$B$12,$B$51&gt;0),$B$158+$B$156*((1*$B$5/2+0.6*$B$159)),NA())</f>
        <v>#N/A</v>
      </c>
    </row>
    <row r="792">
      <c r="K792" t="e">
        <f>IF(5&lt;=$B$14-1,$B$133+$B$132*(0+$B$28/2),NA())</f>
        <v>#N/A</v>
      </c>
      <c r="L792" t="e">
        <f>IF(5&lt;=$B$14-1,$B$134+$B$132*(5*$B$15-$B$28/2),NA())</f>
        <v>#N/A</v>
      </c>
      <c r="HS792" t="e">
        <f>IF(AND(33&lt;=$B$12,$B$51&gt;0),$B$157+$B$156*(((33-0.5)*$B$13)+($B$51*$B$13)/2),NA())</f>
        <v>#N/A</v>
      </c>
      <c r="HT792" t="e">
        <f>IF(AND(33&lt;=$B$12,$B$51&gt;0),$B$158+$B$156*((1*$B$5/2+0.6*$B$159)+(((1*$B$5/2+$B$5/2-0.6*$B$159))-((1*$B$5/2+0.6*$B$159)))/4),NA())</f>
        <v>#N/A</v>
      </c>
    </row>
    <row r="793">
      <c r="K793" t="e">
        <f>IF(5&lt;=$B$14-1,$B$133+$B$132*(0+$B$28/2),NA())</f>
        <v>#N/A</v>
      </c>
      <c r="L793" t="e">
        <f>IF(5&lt;=$B$14-1,$B$134+$B$132*(5*$B$15+$B$28/2),NA())</f>
        <v>#N/A</v>
      </c>
      <c r="HS793" t="e">
        <f>IF(AND(33&lt;=$B$12,$B$51&gt;0),$B$157+$B$156*(((33-0.5)*$B$13)-($B$51*$B$13)/2),NA())</f>
        <v>#N/A</v>
      </c>
      <c r="HT793" t="e">
        <f>IF(AND(33&lt;=$B$12,$B$51&gt;0),$B$158+$B$156*((1*$B$5/2+0.6*$B$159)+(((1*$B$5/2+$B$5/2-0.6*$B$159))-((1*$B$5/2+0.6*$B$159)))/2),NA())</f>
        <v>#N/A</v>
      </c>
    </row>
    <row r="794">
      <c r="K794" t="e">
        <f>IF(5&lt;=$B$14-1,$B$133+$B$132*(0-$B$28/2),NA())</f>
        <v>#N/A</v>
      </c>
      <c r="L794" t="e">
        <f>IF(5&lt;=$B$14-1,$B$134+$B$132*(5*$B$15+$B$28/2),NA())</f>
        <v>#N/A</v>
      </c>
      <c r="HS794" t="e">
        <f>IF(AND(33&lt;=$B$12,$B$51&gt;0),$B$157+$B$156*(((33-0.5)*$B$13)+($B$51*$B$13)/2),NA())</f>
        <v>#N/A</v>
      </c>
      <c r="HT794" t="e">
        <f>IF(AND(33&lt;=$B$12,$B$51&gt;0),$B$158+$B$156*((1*$B$5/2+0.6*$B$159)+3*(((1*$B$5/2+$B$5/2-0.6*$B$159))-((1*$B$5/2+0.6*$B$159)))/4),NA())</f>
        <v>#N/A</v>
      </c>
    </row>
    <row r="795">
      <c r="K795" t="e">
        <f>IF(5&lt;=$B$14-1,$B$133+$B$132*(0-$B$28/2),NA())</f>
        <v>#N/A</v>
      </c>
      <c r="L795" t="e">
        <f>IF(5&lt;=$B$14-1,$B$134+$B$132*(5*$B$15-$B$28/2),NA())</f>
        <v>#N/A</v>
      </c>
      <c r="HS795" t="e">
        <f>IF(AND(33&lt;=$B$12,$B$51&gt;0),$B$157+$B$156*(((33-0.5)*$B$13)-($B$51*$B$13)/2),NA())</f>
        <v>#N/A</v>
      </c>
      <c r="HT795" t="e">
        <f>IF(AND(33&lt;=$B$12,$B$51&gt;0),$B$158+$B$156*((1*$B$5/2+$B$5/2-0.6*$B$159)),NA())</f>
        <v>#N/A</v>
      </c>
    </row>
    <row r="796">
      <c r="K796" t="e">
        <f>NA()</f>
        <v>#N/A</v>
      </c>
      <c r="L796" t="e">
        <f>NA()</f>
        <v>#N/A</v>
      </c>
      <c r="HS796" t="e">
        <f>NA()</f>
        <v>#N/A</v>
      </c>
      <c r="HT796" t="e">
        <f>NA()</f>
        <v>#N/A</v>
      </c>
    </row>
    <row r="797">
      <c r="K797" t="e">
        <f>IF(5&lt;=$B$14-1,$B$133+$B$132*($B$6-$B$28/2),NA())</f>
        <v>#N/A</v>
      </c>
      <c r="L797" t="e">
        <f>IF(5&lt;=$B$14-1,$B$134+$B$132*(5*$B$15-$B$28/2),NA())</f>
        <v>#N/A</v>
      </c>
      <c r="HS797" t="e">
        <f>IF(AND(34&lt;=$B$12,$B$51&gt;0),$B$157+$B$156*(((34-0.5)*$B$13)-($B$51*$B$13)/2),NA())</f>
        <v>#N/A</v>
      </c>
      <c r="HT797" t="e">
        <f>IF(AND(34&lt;=$B$12,$B$51&gt;0),$B$158+$B$156*((0*$B$5/2+0.6*$B$159)),NA())</f>
        <v>#N/A</v>
      </c>
    </row>
    <row r="798">
      <c r="K798" t="e">
        <f>IF(5&lt;=$B$14-1,$B$133+$B$132*($B$6+$B$28/2),NA())</f>
        <v>#N/A</v>
      </c>
      <c r="L798" t="e">
        <f>IF(5&lt;=$B$14-1,$B$134+$B$132*(5*$B$15-$B$28/2),NA())</f>
        <v>#N/A</v>
      </c>
      <c r="HS798" t="e">
        <f>IF(AND(34&lt;=$B$12,$B$51&gt;0),$B$157+$B$156*(((34-0.5)*$B$13)+($B$51*$B$13)/2),NA())</f>
        <v>#N/A</v>
      </c>
      <c r="HT798" t="e">
        <f>IF(AND(34&lt;=$B$12,$B$51&gt;0),$B$158+$B$156*((0*$B$5/2+0.6*$B$159)),NA())</f>
        <v>#N/A</v>
      </c>
    </row>
    <row r="799">
      <c r="K799" t="e">
        <f>IF(5&lt;=$B$14-1,$B$133+$B$132*($B$6+$B$28/2),NA())</f>
        <v>#N/A</v>
      </c>
      <c r="L799" t="e">
        <f>IF(5&lt;=$B$14-1,$B$134+$B$132*(5*$B$15+$B$28/2),NA())</f>
        <v>#N/A</v>
      </c>
      <c r="HS799" t="e">
        <f>IF(AND(34&lt;=$B$12,$B$51&gt;0),$B$157+$B$156*(((34-0.5)*$B$13)+($B$51*$B$13)/2),NA())</f>
        <v>#N/A</v>
      </c>
      <c r="HT799" t="e">
        <f>IF(AND(34&lt;=$B$12,$B$51&gt;0),$B$158+$B$156*((0*$B$5/2+$B$5/2-0.6*$B$159)),NA())</f>
        <v>#N/A</v>
      </c>
    </row>
    <row r="800">
      <c r="K800" t="e">
        <f>IF(5&lt;=$B$14-1,$B$133+$B$132*($B$6-$B$28/2),NA())</f>
        <v>#N/A</v>
      </c>
      <c r="L800" t="e">
        <f>IF(5&lt;=$B$14-1,$B$134+$B$132*(5*$B$15+$B$28/2),NA())</f>
        <v>#N/A</v>
      </c>
      <c r="HS800" t="e">
        <f>IF(AND(34&lt;=$B$12,$B$51&gt;0),$B$157+$B$156*(((34-0.5)*$B$13)-($B$51*$B$13)/2),NA())</f>
        <v>#N/A</v>
      </c>
      <c r="HT800" t="e">
        <f>IF(AND(34&lt;=$B$12,$B$51&gt;0),$B$158+$B$156*((0*$B$5/2+$B$5/2-0.6*$B$159)),NA())</f>
        <v>#N/A</v>
      </c>
    </row>
    <row r="801">
      <c r="K801" t="e">
        <f>IF(5&lt;=$B$14-1,$B$133+$B$132*($B$6-$B$28/2),NA())</f>
        <v>#N/A</v>
      </c>
      <c r="L801" t="e">
        <f>IF(5&lt;=$B$14-1,$B$134+$B$132*(5*$B$15-$B$28/2),NA())</f>
        <v>#N/A</v>
      </c>
      <c r="HS801" t="e">
        <f>IF(AND(34&lt;=$B$12,$B$51&gt;0),$B$157+$B$156*(((34-0.5)*$B$13)-($B$51*$B$13)/2),NA())</f>
        <v>#N/A</v>
      </c>
      <c r="HT801" t="e">
        <f>IF(AND(34&lt;=$B$12,$B$51&gt;0),$B$158+$B$156*((0*$B$5/2+0.6*$B$159)),NA())</f>
        <v>#N/A</v>
      </c>
    </row>
    <row r="802">
      <c r="K802" t="e">
        <f>NA()</f>
        <v>#N/A</v>
      </c>
      <c r="L802" t="e">
        <f>NA()</f>
        <v>#N/A</v>
      </c>
      <c r="HS802" t="e">
        <f>NA()</f>
        <v>#N/A</v>
      </c>
      <c r="HT802" t="e">
        <f>NA()</f>
        <v>#N/A</v>
      </c>
    </row>
    <row r="803">
      <c r="K803" t="e">
        <f>IF(6&lt;=$B$14-1,$B$133+$B$132*(0-$B$28/2),NA())</f>
        <v>#N/A</v>
      </c>
      <c r="L803" t="e">
        <f>IF(6&lt;=$B$14-1,$B$134+$B$132*(6*$B$15-$B$28/2),NA())</f>
        <v>#N/A</v>
      </c>
      <c r="HS803" t="e">
        <f>IF(AND(34&lt;=$B$12,$B$51&gt;0),$B$157+$B$156*(((34-0.5)*$B$13)-($B$51*$B$13)/2),NA())</f>
        <v>#N/A</v>
      </c>
      <c r="HT803" t="e">
        <f>IF(AND(34&lt;=$B$12,$B$51&gt;0),$B$158+$B$156*((0*$B$5/2+0.6*$B$159)),NA())</f>
        <v>#N/A</v>
      </c>
    </row>
    <row r="804">
      <c r="K804" t="e">
        <f>IF(6&lt;=$B$14-1,$B$133+$B$132*(0+$B$28/2),NA())</f>
        <v>#N/A</v>
      </c>
      <c r="L804" t="e">
        <f>IF(6&lt;=$B$14-1,$B$134+$B$132*(6*$B$15-$B$28/2),NA())</f>
        <v>#N/A</v>
      </c>
      <c r="HS804" t="e">
        <f>IF(AND(34&lt;=$B$12,$B$51&gt;0),$B$157+$B$156*(((34-0.5)*$B$13)+($B$51*$B$13)/2),NA())</f>
        <v>#N/A</v>
      </c>
      <c r="HT804" t="e">
        <f>IF(AND(34&lt;=$B$12,$B$51&gt;0),$B$158+$B$156*((0*$B$5/2+0.6*$B$159)+(((0*$B$5/2+$B$5/2-0.6*$B$159))-((0*$B$5/2+0.6*$B$159)))/4),NA())</f>
        <v>#N/A</v>
      </c>
    </row>
    <row r="805">
      <c r="K805" t="e">
        <f>IF(6&lt;=$B$14-1,$B$133+$B$132*(0+$B$28/2),NA())</f>
        <v>#N/A</v>
      </c>
      <c r="L805" t="e">
        <f>IF(6&lt;=$B$14-1,$B$134+$B$132*(6*$B$15+$B$28/2),NA())</f>
        <v>#N/A</v>
      </c>
      <c r="HS805" t="e">
        <f>IF(AND(34&lt;=$B$12,$B$51&gt;0),$B$157+$B$156*(((34-0.5)*$B$13)-($B$51*$B$13)/2),NA())</f>
        <v>#N/A</v>
      </c>
      <c r="HT805" t="e">
        <f>IF(AND(34&lt;=$B$12,$B$51&gt;0),$B$158+$B$156*((0*$B$5/2+0.6*$B$159)+(((0*$B$5/2+$B$5/2-0.6*$B$159))-((0*$B$5/2+0.6*$B$159)))/2),NA())</f>
        <v>#N/A</v>
      </c>
    </row>
    <row r="806">
      <c r="K806" t="e">
        <f>IF(6&lt;=$B$14-1,$B$133+$B$132*(0-$B$28/2),NA())</f>
        <v>#N/A</v>
      </c>
      <c r="L806" t="e">
        <f>IF(6&lt;=$B$14-1,$B$134+$B$132*(6*$B$15+$B$28/2),NA())</f>
        <v>#N/A</v>
      </c>
      <c r="HS806" t="e">
        <f>IF(AND(34&lt;=$B$12,$B$51&gt;0),$B$157+$B$156*(((34-0.5)*$B$13)+($B$51*$B$13)/2),NA())</f>
        <v>#N/A</v>
      </c>
      <c r="HT806" t="e">
        <f>IF(AND(34&lt;=$B$12,$B$51&gt;0),$B$158+$B$156*((0*$B$5/2+0.6*$B$159)+3*(((0*$B$5/2+$B$5/2-0.6*$B$159))-((0*$B$5/2+0.6*$B$159)))/4),NA())</f>
        <v>#N/A</v>
      </c>
    </row>
    <row r="807">
      <c r="K807" t="e">
        <f>IF(6&lt;=$B$14-1,$B$133+$B$132*(0-$B$28/2),NA())</f>
        <v>#N/A</v>
      </c>
      <c r="L807" t="e">
        <f>IF(6&lt;=$B$14-1,$B$134+$B$132*(6*$B$15-$B$28/2),NA())</f>
        <v>#N/A</v>
      </c>
      <c r="HS807" t="e">
        <f>IF(AND(34&lt;=$B$12,$B$51&gt;0),$B$157+$B$156*(((34-0.5)*$B$13)-($B$51*$B$13)/2),NA())</f>
        <v>#N/A</v>
      </c>
      <c r="HT807" t="e">
        <f>IF(AND(34&lt;=$B$12,$B$51&gt;0),$B$158+$B$156*((0*$B$5/2+$B$5/2-0.6*$B$159)),NA())</f>
        <v>#N/A</v>
      </c>
    </row>
    <row r="808">
      <c r="K808" t="e">
        <f>NA()</f>
        <v>#N/A</v>
      </c>
      <c r="L808" t="e">
        <f>NA()</f>
        <v>#N/A</v>
      </c>
      <c r="HS808" t="e">
        <f>NA()</f>
        <v>#N/A</v>
      </c>
      <c r="HT808" t="e">
        <f>NA()</f>
        <v>#N/A</v>
      </c>
    </row>
    <row r="809">
      <c r="K809" t="e">
        <f>IF(6&lt;=$B$14-1,$B$133+$B$132*($B$6-$B$28/2),NA())</f>
        <v>#N/A</v>
      </c>
      <c r="L809" t="e">
        <f>IF(6&lt;=$B$14-1,$B$134+$B$132*(6*$B$15-$B$28/2),NA())</f>
        <v>#N/A</v>
      </c>
      <c r="HS809" t="e">
        <f>IF(AND(34&lt;=$B$12,$B$51&gt;0),$B$157+$B$156*(((34-0.5)*$B$13)-($B$51*$B$13)/2),NA())</f>
        <v>#N/A</v>
      </c>
      <c r="HT809" t="e">
        <f>IF(AND(34&lt;=$B$12,$B$51&gt;0),$B$158+$B$156*((1*$B$5/2+0.6*$B$159)),NA())</f>
        <v>#N/A</v>
      </c>
    </row>
    <row r="810">
      <c r="K810" t="e">
        <f>IF(6&lt;=$B$14-1,$B$133+$B$132*($B$6+$B$28/2),NA())</f>
        <v>#N/A</v>
      </c>
      <c r="L810" t="e">
        <f>IF(6&lt;=$B$14-1,$B$134+$B$132*(6*$B$15-$B$28/2),NA())</f>
        <v>#N/A</v>
      </c>
      <c r="HS810" t="e">
        <f>IF(AND(34&lt;=$B$12,$B$51&gt;0),$B$157+$B$156*(((34-0.5)*$B$13)+($B$51*$B$13)/2),NA())</f>
        <v>#N/A</v>
      </c>
      <c r="HT810" t="e">
        <f>IF(AND(34&lt;=$B$12,$B$51&gt;0),$B$158+$B$156*((1*$B$5/2+0.6*$B$159)),NA())</f>
        <v>#N/A</v>
      </c>
    </row>
    <row r="811">
      <c r="K811" t="e">
        <f>IF(6&lt;=$B$14-1,$B$133+$B$132*($B$6+$B$28/2),NA())</f>
        <v>#N/A</v>
      </c>
      <c r="L811" t="e">
        <f>IF(6&lt;=$B$14-1,$B$134+$B$132*(6*$B$15+$B$28/2),NA())</f>
        <v>#N/A</v>
      </c>
      <c r="HS811" t="e">
        <f>IF(AND(34&lt;=$B$12,$B$51&gt;0),$B$157+$B$156*(((34-0.5)*$B$13)+($B$51*$B$13)/2),NA())</f>
        <v>#N/A</v>
      </c>
      <c r="HT811" t="e">
        <f>IF(AND(34&lt;=$B$12,$B$51&gt;0),$B$158+$B$156*((1*$B$5/2+$B$5/2-0.6*$B$159)),NA())</f>
        <v>#N/A</v>
      </c>
    </row>
    <row r="812">
      <c r="K812" t="e">
        <f>IF(6&lt;=$B$14-1,$B$133+$B$132*($B$6-$B$28/2),NA())</f>
        <v>#N/A</v>
      </c>
      <c r="L812" t="e">
        <f>IF(6&lt;=$B$14-1,$B$134+$B$132*(6*$B$15+$B$28/2),NA())</f>
        <v>#N/A</v>
      </c>
      <c r="HS812" t="e">
        <f>IF(AND(34&lt;=$B$12,$B$51&gt;0),$B$157+$B$156*(((34-0.5)*$B$13)-($B$51*$B$13)/2),NA())</f>
        <v>#N/A</v>
      </c>
      <c r="HT812" t="e">
        <f>IF(AND(34&lt;=$B$12,$B$51&gt;0),$B$158+$B$156*((1*$B$5/2+$B$5/2-0.6*$B$159)),NA())</f>
        <v>#N/A</v>
      </c>
    </row>
    <row r="813">
      <c r="K813" t="e">
        <f>IF(6&lt;=$B$14-1,$B$133+$B$132*($B$6-$B$28/2),NA())</f>
        <v>#N/A</v>
      </c>
      <c r="L813" t="e">
        <f>IF(6&lt;=$B$14-1,$B$134+$B$132*(6*$B$15-$B$28/2),NA())</f>
        <v>#N/A</v>
      </c>
      <c r="HS813" t="e">
        <f>IF(AND(34&lt;=$B$12,$B$51&gt;0),$B$157+$B$156*(((34-0.5)*$B$13)-($B$51*$B$13)/2),NA())</f>
        <v>#N/A</v>
      </c>
      <c r="HT813" t="e">
        <f>IF(AND(34&lt;=$B$12,$B$51&gt;0),$B$158+$B$156*((1*$B$5/2+0.6*$B$159)),NA())</f>
        <v>#N/A</v>
      </c>
    </row>
    <row r="814">
      <c r="K814" t="e">
        <f>NA()</f>
        <v>#N/A</v>
      </c>
      <c r="L814" t="e">
        <f>NA()</f>
        <v>#N/A</v>
      </c>
      <c r="HS814" t="e">
        <f>NA()</f>
        <v>#N/A</v>
      </c>
      <c r="HT814" t="e">
        <f>NA()</f>
        <v>#N/A</v>
      </c>
    </row>
    <row r="815">
      <c r="K815" t="e">
        <f>IF(7&lt;=$B$14-1,$B$133+$B$132*(0-$B$28/2),NA())</f>
        <v>#N/A</v>
      </c>
      <c r="L815" t="e">
        <f>IF(7&lt;=$B$14-1,$B$134+$B$132*(7*$B$15-$B$28/2),NA())</f>
        <v>#N/A</v>
      </c>
      <c r="HS815" t="e">
        <f>IF(AND(34&lt;=$B$12,$B$51&gt;0),$B$157+$B$156*(((34-0.5)*$B$13)-($B$51*$B$13)/2),NA())</f>
        <v>#N/A</v>
      </c>
      <c r="HT815" t="e">
        <f>IF(AND(34&lt;=$B$12,$B$51&gt;0),$B$158+$B$156*((1*$B$5/2+0.6*$B$159)),NA())</f>
        <v>#N/A</v>
      </c>
    </row>
    <row r="816">
      <c r="K816" t="e">
        <f>IF(7&lt;=$B$14-1,$B$133+$B$132*(0+$B$28/2),NA())</f>
        <v>#N/A</v>
      </c>
      <c r="L816" t="e">
        <f>IF(7&lt;=$B$14-1,$B$134+$B$132*(7*$B$15-$B$28/2),NA())</f>
        <v>#N/A</v>
      </c>
      <c r="HS816" t="e">
        <f>IF(AND(34&lt;=$B$12,$B$51&gt;0),$B$157+$B$156*(((34-0.5)*$B$13)+($B$51*$B$13)/2),NA())</f>
        <v>#N/A</v>
      </c>
      <c r="HT816" t="e">
        <f>IF(AND(34&lt;=$B$12,$B$51&gt;0),$B$158+$B$156*((1*$B$5/2+0.6*$B$159)+(((1*$B$5/2+$B$5/2-0.6*$B$159))-((1*$B$5/2+0.6*$B$159)))/4),NA())</f>
        <v>#N/A</v>
      </c>
    </row>
    <row r="817">
      <c r="K817" t="e">
        <f>IF(7&lt;=$B$14-1,$B$133+$B$132*(0+$B$28/2),NA())</f>
        <v>#N/A</v>
      </c>
      <c r="L817" t="e">
        <f>IF(7&lt;=$B$14-1,$B$134+$B$132*(7*$B$15+$B$28/2),NA())</f>
        <v>#N/A</v>
      </c>
      <c r="HS817" t="e">
        <f>IF(AND(34&lt;=$B$12,$B$51&gt;0),$B$157+$B$156*(((34-0.5)*$B$13)-($B$51*$B$13)/2),NA())</f>
        <v>#N/A</v>
      </c>
      <c r="HT817" t="e">
        <f>IF(AND(34&lt;=$B$12,$B$51&gt;0),$B$158+$B$156*((1*$B$5/2+0.6*$B$159)+(((1*$B$5/2+$B$5/2-0.6*$B$159))-((1*$B$5/2+0.6*$B$159)))/2),NA())</f>
        <v>#N/A</v>
      </c>
    </row>
    <row r="818">
      <c r="K818" t="e">
        <f>IF(7&lt;=$B$14-1,$B$133+$B$132*(0-$B$28/2),NA())</f>
        <v>#N/A</v>
      </c>
      <c r="L818" t="e">
        <f>IF(7&lt;=$B$14-1,$B$134+$B$132*(7*$B$15+$B$28/2),NA())</f>
        <v>#N/A</v>
      </c>
      <c r="HS818" t="e">
        <f>IF(AND(34&lt;=$B$12,$B$51&gt;0),$B$157+$B$156*(((34-0.5)*$B$13)+($B$51*$B$13)/2),NA())</f>
        <v>#N/A</v>
      </c>
      <c r="HT818" t="e">
        <f>IF(AND(34&lt;=$B$12,$B$51&gt;0),$B$158+$B$156*((1*$B$5/2+0.6*$B$159)+3*(((1*$B$5/2+$B$5/2-0.6*$B$159))-((1*$B$5/2+0.6*$B$159)))/4),NA())</f>
        <v>#N/A</v>
      </c>
    </row>
    <row r="819">
      <c r="K819" t="e">
        <f>IF(7&lt;=$B$14-1,$B$133+$B$132*(0-$B$28/2),NA())</f>
        <v>#N/A</v>
      </c>
      <c r="L819" t="e">
        <f>IF(7&lt;=$B$14-1,$B$134+$B$132*(7*$B$15-$B$28/2),NA())</f>
        <v>#N/A</v>
      </c>
      <c r="HS819" t="e">
        <f>IF(AND(34&lt;=$B$12,$B$51&gt;0),$B$157+$B$156*(((34-0.5)*$B$13)-($B$51*$B$13)/2),NA())</f>
        <v>#N/A</v>
      </c>
      <c r="HT819" t="e">
        <f>IF(AND(34&lt;=$B$12,$B$51&gt;0),$B$158+$B$156*((1*$B$5/2+$B$5/2-0.6*$B$159)),NA())</f>
        <v>#N/A</v>
      </c>
    </row>
    <row r="820">
      <c r="K820" t="e">
        <f>NA()</f>
        <v>#N/A</v>
      </c>
      <c r="L820" t="e">
        <f>NA()</f>
        <v>#N/A</v>
      </c>
      <c r="HS820" t="e">
        <f>NA()</f>
        <v>#N/A</v>
      </c>
      <c r="HT820" t="e">
        <f>NA()</f>
        <v>#N/A</v>
      </c>
    </row>
    <row r="821">
      <c r="K821" t="e">
        <f>IF(7&lt;=$B$14-1,$B$133+$B$132*($B$6-$B$28/2),NA())</f>
        <v>#N/A</v>
      </c>
      <c r="L821" t="e">
        <f>IF(7&lt;=$B$14-1,$B$134+$B$132*(7*$B$15-$B$28/2),NA())</f>
        <v>#N/A</v>
      </c>
      <c r="HS821" t="e">
        <f>IF(AND(35&lt;=$B$12,$B$51&gt;0),$B$157+$B$156*(((35-0.5)*$B$13)-($B$51*$B$13)/2),NA())</f>
        <v>#N/A</v>
      </c>
      <c r="HT821" t="e">
        <f>IF(AND(35&lt;=$B$12,$B$51&gt;0),$B$158+$B$156*((0*$B$5/2+0.6*$B$159)),NA())</f>
        <v>#N/A</v>
      </c>
    </row>
    <row r="822">
      <c r="K822" t="e">
        <f>IF(7&lt;=$B$14-1,$B$133+$B$132*($B$6+$B$28/2),NA())</f>
        <v>#N/A</v>
      </c>
      <c r="L822" t="e">
        <f>IF(7&lt;=$B$14-1,$B$134+$B$132*(7*$B$15-$B$28/2),NA())</f>
        <v>#N/A</v>
      </c>
      <c r="HS822" t="e">
        <f>IF(AND(35&lt;=$B$12,$B$51&gt;0),$B$157+$B$156*(((35-0.5)*$B$13)+($B$51*$B$13)/2),NA())</f>
        <v>#N/A</v>
      </c>
      <c r="HT822" t="e">
        <f>IF(AND(35&lt;=$B$12,$B$51&gt;0),$B$158+$B$156*((0*$B$5/2+0.6*$B$159)),NA())</f>
        <v>#N/A</v>
      </c>
    </row>
    <row r="823">
      <c r="K823" t="e">
        <f>IF(7&lt;=$B$14-1,$B$133+$B$132*($B$6+$B$28/2),NA())</f>
        <v>#N/A</v>
      </c>
      <c r="L823" t="e">
        <f>IF(7&lt;=$B$14-1,$B$134+$B$132*(7*$B$15+$B$28/2),NA())</f>
        <v>#N/A</v>
      </c>
      <c r="HS823" t="e">
        <f>IF(AND(35&lt;=$B$12,$B$51&gt;0),$B$157+$B$156*(((35-0.5)*$B$13)+($B$51*$B$13)/2),NA())</f>
        <v>#N/A</v>
      </c>
      <c r="HT823" t="e">
        <f>IF(AND(35&lt;=$B$12,$B$51&gt;0),$B$158+$B$156*((0*$B$5/2+$B$5/2-0.6*$B$159)),NA())</f>
        <v>#N/A</v>
      </c>
    </row>
    <row r="824">
      <c r="K824" t="e">
        <f>IF(7&lt;=$B$14-1,$B$133+$B$132*($B$6-$B$28/2),NA())</f>
        <v>#N/A</v>
      </c>
      <c r="L824" t="e">
        <f>IF(7&lt;=$B$14-1,$B$134+$B$132*(7*$B$15+$B$28/2),NA())</f>
        <v>#N/A</v>
      </c>
      <c r="HS824" t="e">
        <f>IF(AND(35&lt;=$B$12,$B$51&gt;0),$B$157+$B$156*(((35-0.5)*$B$13)-($B$51*$B$13)/2),NA())</f>
        <v>#N/A</v>
      </c>
      <c r="HT824" t="e">
        <f>IF(AND(35&lt;=$B$12,$B$51&gt;0),$B$158+$B$156*((0*$B$5/2+$B$5/2-0.6*$B$159)),NA())</f>
        <v>#N/A</v>
      </c>
    </row>
    <row r="825">
      <c r="K825" t="e">
        <f>IF(7&lt;=$B$14-1,$B$133+$B$132*($B$6-$B$28/2),NA())</f>
        <v>#N/A</v>
      </c>
      <c r="L825" t="e">
        <f>IF(7&lt;=$B$14-1,$B$134+$B$132*(7*$B$15-$B$28/2),NA())</f>
        <v>#N/A</v>
      </c>
      <c r="HS825" t="e">
        <f>IF(AND(35&lt;=$B$12,$B$51&gt;0),$B$157+$B$156*(((35-0.5)*$B$13)-($B$51*$B$13)/2),NA())</f>
        <v>#N/A</v>
      </c>
      <c r="HT825" t="e">
        <f>IF(AND(35&lt;=$B$12,$B$51&gt;0),$B$158+$B$156*((0*$B$5/2+0.6*$B$159)),NA())</f>
        <v>#N/A</v>
      </c>
    </row>
    <row r="826">
      <c r="K826" t="e">
        <f>NA()</f>
        <v>#N/A</v>
      </c>
      <c r="L826" t="e">
        <f>NA()</f>
        <v>#N/A</v>
      </c>
      <c r="HS826" t="e">
        <f>NA()</f>
        <v>#N/A</v>
      </c>
      <c r="HT826" t="e">
        <f>NA()</f>
        <v>#N/A</v>
      </c>
    </row>
    <row r="827">
      <c r="K827" t="e">
        <f>IF(8&lt;=$B$14-1,$B$133+$B$132*(0-$B$28/2),NA())</f>
        <v>#N/A</v>
      </c>
      <c r="L827" t="e">
        <f>IF(8&lt;=$B$14-1,$B$134+$B$132*(8*$B$15-$B$28/2),NA())</f>
        <v>#N/A</v>
      </c>
      <c r="HS827" t="e">
        <f>IF(AND(35&lt;=$B$12,$B$51&gt;0),$B$157+$B$156*(((35-0.5)*$B$13)-($B$51*$B$13)/2),NA())</f>
        <v>#N/A</v>
      </c>
      <c r="HT827" t="e">
        <f>IF(AND(35&lt;=$B$12,$B$51&gt;0),$B$158+$B$156*((0*$B$5/2+0.6*$B$159)),NA())</f>
        <v>#N/A</v>
      </c>
    </row>
    <row r="828">
      <c r="K828" t="e">
        <f>IF(8&lt;=$B$14-1,$B$133+$B$132*(0+$B$28/2),NA())</f>
        <v>#N/A</v>
      </c>
      <c r="L828" t="e">
        <f>IF(8&lt;=$B$14-1,$B$134+$B$132*(8*$B$15-$B$28/2),NA())</f>
        <v>#N/A</v>
      </c>
      <c r="HS828" t="e">
        <f>IF(AND(35&lt;=$B$12,$B$51&gt;0),$B$157+$B$156*(((35-0.5)*$B$13)+($B$51*$B$13)/2),NA())</f>
        <v>#N/A</v>
      </c>
      <c r="HT828" t="e">
        <f>IF(AND(35&lt;=$B$12,$B$51&gt;0),$B$158+$B$156*((0*$B$5/2+0.6*$B$159)+(((0*$B$5/2+$B$5/2-0.6*$B$159))-((0*$B$5/2+0.6*$B$159)))/4),NA())</f>
        <v>#N/A</v>
      </c>
    </row>
    <row r="829">
      <c r="K829" t="e">
        <f>IF(8&lt;=$B$14-1,$B$133+$B$132*(0+$B$28/2),NA())</f>
        <v>#N/A</v>
      </c>
      <c r="L829" t="e">
        <f>IF(8&lt;=$B$14-1,$B$134+$B$132*(8*$B$15+$B$28/2),NA())</f>
        <v>#N/A</v>
      </c>
      <c r="HS829" t="e">
        <f>IF(AND(35&lt;=$B$12,$B$51&gt;0),$B$157+$B$156*(((35-0.5)*$B$13)-($B$51*$B$13)/2),NA())</f>
        <v>#N/A</v>
      </c>
      <c r="HT829" t="e">
        <f>IF(AND(35&lt;=$B$12,$B$51&gt;0),$B$158+$B$156*((0*$B$5/2+0.6*$B$159)+(((0*$B$5/2+$B$5/2-0.6*$B$159))-((0*$B$5/2+0.6*$B$159)))/2),NA())</f>
        <v>#N/A</v>
      </c>
    </row>
    <row r="830">
      <c r="K830" t="e">
        <f>IF(8&lt;=$B$14-1,$B$133+$B$132*(0-$B$28/2),NA())</f>
        <v>#N/A</v>
      </c>
      <c r="L830" t="e">
        <f>IF(8&lt;=$B$14-1,$B$134+$B$132*(8*$B$15+$B$28/2),NA())</f>
        <v>#N/A</v>
      </c>
      <c r="HS830" t="e">
        <f>IF(AND(35&lt;=$B$12,$B$51&gt;0),$B$157+$B$156*(((35-0.5)*$B$13)+($B$51*$B$13)/2),NA())</f>
        <v>#N/A</v>
      </c>
      <c r="HT830" t="e">
        <f>IF(AND(35&lt;=$B$12,$B$51&gt;0),$B$158+$B$156*((0*$B$5/2+0.6*$B$159)+3*(((0*$B$5/2+$B$5/2-0.6*$B$159))-((0*$B$5/2+0.6*$B$159)))/4),NA())</f>
        <v>#N/A</v>
      </c>
    </row>
    <row r="831">
      <c r="K831" t="e">
        <f>IF(8&lt;=$B$14-1,$B$133+$B$132*(0-$B$28/2),NA())</f>
        <v>#N/A</v>
      </c>
      <c r="L831" t="e">
        <f>IF(8&lt;=$B$14-1,$B$134+$B$132*(8*$B$15-$B$28/2),NA())</f>
        <v>#N/A</v>
      </c>
      <c r="HS831" t="e">
        <f>IF(AND(35&lt;=$B$12,$B$51&gt;0),$B$157+$B$156*(((35-0.5)*$B$13)-($B$51*$B$13)/2),NA())</f>
        <v>#N/A</v>
      </c>
      <c r="HT831" t="e">
        <f>IF(AND(35&lt;=$B$12,$B$51&gt;0),$B$158+$B$156*((0*$B$5/2+$B$5/2-0.6*$B$159)),NA())</f>
        <v>#N/A</v>
      </c>
    </row>
    <row r="832">
      <c r="K832" t="e">
        <f>NA()</f>
        <v>#N/A</v>
      </c>
      <c r="L832" t="e">
        <f>NA()</f>
        <v>#N/A</v>
      </c>
      <c r="HS832" t="e">
        <f>NA()</f>
        <v>#N/A</v>
      </c>
      <c r="HT832" t="e">
        <f>NA()</f>
        <v>#N/A</v>
      </c>
    </row>
    <row r="833">
      <c r="K833" t="e">
        <f>IF(8&lt;=$B$14-1,$B$133+$B$132*($B$6-$B$28/2),NA())</f>
        <v>#N/A</v>
      </c>
      <c r="L833" t="e">
        <f>IF(8&lt;=$B$14-1,$B$134+$B$132*(8*$B$15-$B$28/2),NA())</f>
        <v>#N/A</v>
      </c>
      <c r="HS833" t="e">
        <f>IF(AND(35&lt;=$B$12,$B$51&gt;0),$B$157+$B$156*(((35-0.5)*$B$13)-($B$51*$B$13)/2),NA())</f>
        <v>#N/A</v>
      </c>
      <c r="HT833" t="e">
        <f>IF(AND(35&lt;=$B$12,$B$51&gt;0),$B$158+$B$156*((1*$B$5/2+0.6*$B$159)),NA())</f>
        <v>#N/A</v>
      </c>
    </row>
    <row r="834">
      <c r="K834" t="e">
        <f>IF(8&lt;=$B$14-1,$B$133+$B$132*($B$6+$B$28/2),NA())</f>
        <v>#N/A</v>
      </c>
      <c r="L834" t="e">
        <f>IF(8&lt;=$B$14-1,$B$134+$B$132*(8*$B$15-$B$28/2),NA())</f>
        <v>#N/A</v>
      </c>
      <c r="HS834" t="e">
        <f>IF(AND(35&lt;=$B$12,$B$51&gt;0),$B$157+$B$156*(((35-0.5)*$B$13)+($B$51*$B$13)/2),NA())</f>
        <v>#N/A</v>
      </c>
      <c r="HT834" t="e">
        <f>IF(AND(35&lt;=$B$12,$B$51&gt;0),$B$158+$B$156*((1*$B$5/2+0.6*$B$159)),NA())</f>
        <v>#N/A</v>
      </c>
    </row>
    <row r="835">
      <c r="K835" t="e">
        <f>IF(8&lt;=$B$14-1,$B$133+$B$132*($B$6+$B$28/2),NA())</f>
        <v>#N/A</v>
      </c>
      <c r="L835" t="e">
        <f>IF(8&lt;=$B$14-1,$B$134+$B$132*(8*$B$15+$B$28/2),NA())</f>
        <v>#N/A</v>
      </c>
      <c r="HS835" t="e">
        <f>IF(AND(35&lt;=$B$12,$B$51&gt;0),$B$157+$B$156*(((35-0.5)*$B$13)+($B$51*$B$13)/2),NA())</f>
        <v>#N/A</v>
      </c>
      <c r="HT835" t="e">
        <f>IF(AND(35&lt;=$B$12,$B$51&gt;0),$B$158+$B$156*((1*$B$5/2+$B$5/2-0.6*$B$159)),NA())</f>
        <v>#N/A</v>
      </c>
    </row>
    <row r="836">
      <c r="K836" t="e">
        <f>IF(8&lt;=$B$14-1,$B$133+$B$132*($B$6-$B$28/2),NA())</f>
        <v>#N/A</v>
      </c>
      <c r="L836" t="e">
        <f>IF(8&lt;=$B$14-1,$B$134+$B$132*(8*$B$15+$B$28/2),NA())</f>
        <v>#N/A</v>
      </c>
      <c r="HS836" t="e">
        <f>IF(AND(35&lt;=$B$12,$B$51&gt;0),$B$157+$B$156*(((35-0.5)*$B$13)-($B$51*$B$13)/2),NA())</f>
        <v>#N/A</v>
      </c>
      <c r="HT836" t="e">
        <f>IF(AND(35&lt;=$B$12,$B$51&gt;0),$B$158+$B$156*((1*$B$5/2+$B$5/2-0.6*$B$159)),NA())</f>
        <v>#N/A</v>
      </c>
    </row>
    <row r="837">
      <c r="K837" t="e">
        <f>IF(8&lt;=$B$14-1,$B$133+$B$132*($B$6-$B$28/2),NA())</f>
        <v>#N/A</v>
      </c>
      <c r="L837" t="e">
        <f>IF(8&lt;=$B$14-1,$B$134+$B$132*(8*$B$15-$B$28/2),NA())</f>
        <v>#N/A</v>
      </c>
      <c r="HS837" t="e">
        <f>IF(AND(35&lt;=$B$12,$B$51&gt;0),$B$157+$B$156*(((35-0.5)*$B$13)-($B$51*$B$13)/2),NA())</f>
        <v>#N/A</v>
      </c>
      <c r="HT837" t="e">
        <f>IF(AND(35&lt;=$B$12,$B$51&gt;0),$B$158+$B$156*((1*$B$5/2+0.6*$B$159)),NA())</f>
        <v>#N/A</v>
      </c>
    </row>
    <row r="838">
      <c r="K838" t="e">
        <f>NA()</f>
        <v>#N/A</v>
      </c>
      <c r="L838" t="e">
        <f>NA()</f>
        <v>#N/A</v>
      </c>
      <c r="HS838" t="e">
        <f>NA()</f>
        <v>#N/A</v>
      </c>
      <c r="HT838" t="e">
        <f>NA()</f>
        <v>#N/A</v>
      </c>
    </row>
    <row r="839">
      <c r="K839" t="e">
        <f>IF(9&lt;=$B$14-1,$B$133+$B$132*(0-$B$28/2),NA())</f>
        <v>#N/A</v>
      </c>
      <c r="L839" t="e">
        <f>IF(9&lt;=$B$14-1,$B$134+$B$132*(9*$B$15-$B$28/2),NA())</f>
        <v>#N/A</v>
      </c>
      <c r="HS839" t="e">
        <f>IF(AND(35&lt;=$B$12,$B$51&gt;0),$B$157+$B$156*(((35-0.5)*$B$13)-($B$51*$B$13)/2),NA())</f>
        <v>#N/A</v>
      </c>
      <c r="HT839" t="e">
        <f>IF(AND(35&lt;=$B$12,$B$51&gt;0),$B$158+$B$156*((1*$B$5/2+0.6*$B$159)),NA())</f>
        <v>#N/A</v>
      </c>
    </row>
    <row r="840">
      <c r="K840" t="e">
        <f>IF(9&lt;=$B$14-1,$B$133+$B$132*(0+$B$28/2),NA())</f>
        <v>#N/A</v>
      </c>
      <c r="L840" t="e">
        <f>IF(9&lt;=$B$14-1,$B$134+$B$132*(9*$B$15-$B$28/2),NA())</f>
        <v>#N/A</v>
      </c>
      <c r="HS840" t="e">
        <f>IF(AND(35&lt;=$B$12,$B$51&gt;0),$B$157+$B$156*(((35-0.5)*$B$13)+($B$51*$B$13)/2),NA())</f>
        <v>#N/A</v>
      </c>
      <c r="HT840" t="e">
        <f>IF(AND(35&lt;=$B$12,$B$51&gt;0),$B$158+$B$156*((1*$B$5/2+0.6*$B$159)+(((1*$B$5/2+$B$5/2-0.6*$B$159))-((1*$B$5/2+0.6*$B$159)))/4),NA())</f>
        <v>#N/A</v>
      </c>
    </row>
    <row r="841">
      <c r="K841" t="e">
        <f>IF(9&lt;=$B$14-1,$B$133+$B$132*(0+$B$28/2),NA())</f>
        <v>#N/A</v>
      </c>
      <c r="L841" t="e">
        <f>IF(9&lt;=$B$14-1,$B$134+$B$132*(9*$B$15+$B$28/2),NA())</f>
        <v>#N/A</v>
      </c>
      <c r="HS841" t="e">
        <f>IF(AND(35&lt;=$B$12,$B$51&gt;0),$B$157+$B$156*(((35-0.5)*$B$13)-($B$51*$B$13)/2),NA())</f>
        <v>#N/A</v>
      </c>
      <c r="HT841" t="e">
        <f>IF(AND(35&lt;=$B$12,$B$51&gt;0),$B$158+$B$156*((1*$B$5/2+0.6*$B$159)+(((1*$B$5/2+$B$5/2-0.6*$B$159))-((1*$B$5/2+0.6*$B$159)))/2),NA())</f>
        <v>#N/A</v>
      </c>
    </row>
    <row r="842">
      <c r="K842" t="e">
        <f>IF(9&lt;=$B$14-1,$B$133+$B$132*(0-$B$28/2),NA())</f>
        <v>#N/A</v>
      </c>
      <c r="L842" t="e">
        <f>IF(9&lt;=$B$14-1,$B$134+$B$132*(9*$B$15+$B$28/2),NA())</f>
        <v>#N/A</v>
      </c>
      <c r="HS842" t="e">
        <f>IF(AND(35&lt;=$B$12,$B$51&gt;0),$B$157+$B$156*(((35-0.5)*$B$13)+($B$51*$B$13)/2),NA())</f>
        <v>#N/A</v>
      </c>
      <c r="HT842" t="e">
        <f>IF(AND(35&lt;=$B$12,$B$51&gt;0),$B$158+$B$156*((1*$B$5/2+0.6*$B$159)+3*(((1*$B$5/2+$B$5/2-0.6*$B$159))-((1*$B$5/2+0.6*$B$159)))/4),NA())</f>
        <v>#N/A</v>
      </c>
    </row>
    <row r="843">
      <c r="K843" t="e">
        <f>IF(9&lt;=$B$14-1,$B$133+$B$132*(0-$B$28/2),NA())</f>
        <v>#N/A</v>
      </c>
      <c r="L843" t="e">
        <f>IF(9&lt;=$B$14-1,$B$134+$B$132*(9*$B$15-$B$28/2),NA())</f>
        <v>#N/A</v>
      </c>
      <c r="HS843" t="e">
        <f>IF(AND(35&lt;=$B$12,$B$51&gt;0),$B$157+$B$156*(((35-0.5)*$B$13)-($B$51*$B$13)/2),NA())</f>
        <v>#N/A</v>
      </c>
      <c r="HT843" t="e">
        <f>IF(AND(35&lt;=$B$12,$B$51&gt;0),$B$158+$B$156*((1*$B$5/2+$B$5/2-0.6*$B$159)),NA())</f>
        <v>#N/A</v>
      </c>
    </row>
    <row r="844">
      <c r="K844" t="e">
        <f>NA()</f>
        <v>#N/A</v>
      </c>
      <c r="L844" t="e">
        <f>NA()</f>
        <v>#N/A</v>
      </c>
      <c r="HS844" t="e">
        <f>NA()</f>
        <v>#N/A</v>
      </c>
      <c r="HT844" t="e">
        <f>NA()</f>
        <v>#N/A</v>
      </c>
    </row>
    <row r="845">
      <c r="K845" t="e">
        <f>IF(9&lt;=$B$14-1,$B$133+$B$132*($B$6-$B$28/2),NA())</f>
        <v>#N/A</v>
      </c>
      <c r="L845" t="e">
        <f>IF(9&lt;=$B$14-1,$B$134+$B$132*(9*$B$15-$B$28/2),NA())</f>
        <v>#N/A</v>
      </c>
      <c r="HS845" t="e">
        <f>IF(AND(36&lt;=$B$12,$B$51&gt;0),$B$157+$B$156*(((36-0.5)*$B$13)-($B$51*$B$13)/2),NA())</f>
        <v>#N/A</v>
      </c>
      <c r="HT845" t="e">
        <f>IF(AND(36&lt;=$B$12,$B$51&gt;0),$B$158+$B$156*((0*$B$5/2+0.6*$B$159)),NA())</f>
        <v>#N/A</v>
      </c>
    </row>
    <row r="846">
      <c r="K846" t="e">
        <f>IF(9&lt;=$B$14-1,$B$133+$B$132*($B$6+$B$28/2),NA())</f>
        <v>#N/A</v>
      </c>
      <c r="L846" t="e">
        <f>IF(9&lt;=$B$14-1,$B$134+$B$132*(9*$B$15-$B$28/2),NA())</f>
        <v>#N/A</v>
      </c>
      <c r="HS846" t="e">
        <f>IF(AND(36&lt;=$B$12,$B$51&gt;0),$B$157+$B$156*(((36-0.5)*$B$13)+($B$51*$B$13)/2),NA())</f>
        <v>#N/A</v>
      </c>
      <c r="HT846" t="e">
        <f>IF(AND(36&lt;=$B$12,$B$51&gt;0),$B$158+$B$156*((0*$B$5/2+0.6*$B$159)),NA())</f>
        <v>#N/A</v>
      </c>
    </row>
    <row r="847">
      <c r="K847" t="e">
        <f>IF(9&lt;=$B$14-1,$B$133+$B$132*($B$6+$B$28/2),NA())</f>
        <v>#N/A</v>
      </c>
      <c r="L847" t="e">
        <f>IF(9&lt;=$B$14-1,$B$134+$B$132*(9*$B$15+$B$28/2),NA())</f>
        <v>#N/A</v>
      </c>
      <c r="HS847" t="e">
        <f>IF(AND(36&lt;=$B$12,$B$51&gt;0),$B$157+$B$156*(((36-0.5)*$B$13)+($B$51*$B$13)/2),NA())</f>
        <v>#N/A</v>
      </c>
      <c r="HT847" t="e">
        <f>IF(AND(36&lt;=$B$12,$B$51&gt;0),$B$158+$B$156*((0*$B$5/2+$B$5/2-0.6*$B$159)),NA())</f>
        <v>#N/A</v>
      </c>
    </row>
    <row r="848">
      <c r="K848" t="e">
        <f>IF(9&lt;=$B$14-1,$B$133+$B$132*($B$6-$B$28/2),NA())</f>
        <v>#N/A</v>
      </c>
      <c r="L848" t="e">
        <f>IF(9&lt;=$B$14-1,$B$134+$B$132*(9*$B$15+$B$28/2),NA())</f>
        <v>#N/A</v>
      </c>
      <c r="HS848" t="e">
        <f>IF(AND(36&lt;=$B$12,$B$51&gt;0),$B$157+$B$156*(((36-0.5)*$B$13)-($B$51*$B$13)/2),NA())</f>
        <v>#N/A</v>
      </c>
      <c r="HT848" t="e">
        <f>IF(AND(36&lt;=$B$12,$B$51&gt;0),$B$158+$B$156*((0*$B$5/2+$B$5/2-0.6*$B$159)),NA())</f>
        <v>#N/A</v>
      </c>
    </row>
    <row r="849">
      <c r="K849" t="e">
        <f>IF(9&lt;=$B$14-1,$B$133+$B$132*($B$6-$B$28/2),NA())</f>
        <v>#N/A</v>
      </c>
      <c r="L849" t="e">
        <f>IF(9&lt;=$B$14-1,$B$134+$B$132*(9*$B$15-$B$28/2),NA())</f>
        <v>#N/A</v>
      </c>
      <c r="HS849" t="e">
        <f>IF(AND(36&lt;=$B$12,$B$51&gt;0),$B$157+$B$156*(((36-0.5)*$B$13)-($B$51*$B$13)/2),NA())</f>
        <v>#N/A</v>
      </c>
      <c r="HT849" t="e">
        <f>IF(AND(36&lt;=$B$12,$B$51&gt;0),$B$158+$B$156*((0*$B$5/2+0.6*$B$159)),NA())</f>
        <v>#N/A</v>
      </c>
    </row>
    <row r="850">
      <c r="K850" t="e">
        <f>NA()</f>
        <v>#N/A</v>
      </c>
      <c r="L850" t="e">
        <f>NA()</f>
        <v>#N/A</v>
      </c>
      <c r="HS850" t="e">
        <f>NA()</f>
        <v>#N/A</v>
      </c>
      <c r="HT850" t="e">
        <f>NA()</f>
        <v>#N/A</v>
      </c>
    </row>
    <row r="851">
      <c r="K851" t="e">
        <f>IF(10&lt;=$B$14-1,$B$133+$B$132*(0-$B$28/2),NA())</f>
        <v>#N/A</v>
      </c>
      <c r="L851" t="e">
        <f>IF(10&lt;=$B$14-1,$B$134+$B$132*(10*$B$15-$B$28/2),NA())</f>
        <v>#N/A</v>
      </c>
      <c r="HS851" t="e">
        <f>IF(AND(36&lt;=$B$12,$B$51&gt;0),$B$157+$B$156*(((36-0.5)*$B$13)-($B$51*$B$13)/2),NA())</f>
        <v>#N/A</v>
      </c>
      <c r="HT851" t="e">
        <f>IF(AND(36&lt;=$B$12,$B$51&gt;0),$B$158+$B$156*((0*$B$5/2+0.6*$B$159)),NA())</f>
        <v>#N/A</v>
      </c>
    </row>
    <row r="852">
      <c r="K852" t="e">
        <f>IF(10&lt;=$B$14-1,$B$133+$B$132*(0+$B$28/2),NA())</f>
        <v>#N/A</v>
      </c>
      <c r="L852" t="e">
        <f>IF(10&lt;=$B$14-1,$B$134+$B$132*(10*$B$15-$B$28/2),NA())</f>
        <v>#N/A</v>
      </c>
      <c r="HS852" t="e">
        <f>IF(AND(36&lt;=$B$12,$B$51&gt;0),$B$157+$B$156*(((36-0.5)*$B$13)+($B$51*$B$13)/2),NA())</f>
        <v>#N/A</v>
      </c>
      <c r="HT852" t="e">
        <f>IF(AND(36&lt;=$B$12,$B$51&gt;0),$B$158+$B$156*((0*$B$5/2+0.6*$B$159)+(((0*$B$5/2+$B$5/2-0.6*$B$159))-((0*$B$5/2+0.6*$B$159)))/4),NA())</f>
        <v>#N/A</v>
      </c>
    </row>
    <row r="853">
      <c r="K853" t="e">
        <f>IF(10&lt;=$B$14-1,$B$133+$B$132*(0+$B$28/2),NA())</f>
        <v>#N/A</v>
      </c>
      <c r="L853" t="e">
        <f>IF(10&lt;=$B$14-1,$B$134+$B$132*(10*$B$15+$B$28/2),NA())</f>
        <v>#N/A</v>
      </c>
      <c r="HS853" t="e">
        <f>IF(AND(36&lt;=$B$12,$B$51&gt;0),$B$157+$B$156*(((36-0.5)*$B$13)-($B$51*$B$13)/2),NA())</f>
        <v>#N/A</v>
      </c>
      <c r="HT853" t="e">
        <f>IF(AND(36&lt;=$B$12,$B$51&gt;0),$B$158+$B$156*((0*$B$5/2+0.6*$B$159)+(((0*$B$5/2+$B$5/2-0.6*$B$159))-((0*$B$5/2+0.6*$B$159)))/2),NA())</f>
        <v>#N/A</v>
      </c>
    </row>
    <row r="854">
      <c r="K854" t="e">
        <f>IF(10&lt;=$B$14-1,$B$133+$B$132*(0-$B$28/2),NA())</f>
        <v>#N/A</v>
      </c>
      <c r="L854" t="e">
        <f>IF(10&lt;=$B$14-1,$B$134+$B$132*(10*$B$15+$B$28/2),NA())</f>
        <v>#N/A</v>
      </c>
      <c r="HS854" t="e">
        <f>IF(AND(36&lt;=$B$12,$B$51&gt;0),$B$157+$B$156*(((36-0.5)*$B$13)+($B$51*$B$13)/2),NA())</f>
        <v>#N/A</v>
      </c>
      <c r="HT854" t="e">
        <f>IF(AND(36&lt;=$B$12,$B$51&gt;0),$B$158+$B$156*((0*$B$5/2+0.6*$B$159)+3*(((0*$B$5/2+$B$5/2-0.6*$B$159))-((0*$B$5/2+0.6*$B$159)))/4),NA())</f>
        <v>#N/A</v>
      </c>
    </row>
    <row r="855">
      <c r="K855" t="e">
        <f>IF(10&lt;=$B$14-1,$B$133+$B$132*(0-$B$28/2),NA())</f>
        <v>#N/A</v>
      </c>
      <c r="L855" t="e">
        <f>IF(10&lt;=$B$14-1,$B$134+$B$132*(10*$B$15-$B$28/2),NA())</f>
        <v>#N/A</v>
      </c>
      <c r="HS855" t="e">
        <f>IF(AND(36&lt;=$B$12,$B$51&gt;0),$B$157+$B$156*(((36-0.5)*$B$13)-($B$51*$B$13)/2),NA())</f>
        <v>#N/A</v>
      </c>
      <c r="HT855" t="e">
        <f>IF(AND(36&lt;=$B$12,$B$51&gt;0),$B$158+$B$156*((0*$B$5/2+$B$5/2-0.6*$B$159)),NA())</f>
        <v>#N/A</v>
      </c>
    </row>
    <row r="856">
      <c r="K856" t="e">
        <f>NA()</f>
        <v>#N/A</v>
      </c>
      <c r="L856" t="e">
        <f>NA()</f>
        <v>#N/A</v>
      </c>
      <c r="HS856" t="e">
        <f>NA()</f>
        <v>#N/A</v>
      </c>
      <c r="HT856" t="e">
        <f>NA()</f>
        <v>#N/A</v>
      </c>
    </row>
    <row r="857">
      <c r="K857" t="e">
        <f>IF(10&lt;=$B$14-1,$B$133+$B$132*($B$6-$B$28/2),NA())</f>
        <v>#N/A</v>
      </c>
      <c r="L857" t="e">
        <f>IF(10&lt;=$B$14-1,$B$134+$B$132*(10*$B$15-$B$28/2),NA())</f>
        <v>#N/A</v>
      </c>
      <c r="HS857" t="e">
        <f>IF(AND(36&lt;=$B$12,$B$51&gt;0),$B$157+$B$156*(((36-0.5)*$B$13)-($B$51*$B$13)/2),NA())</f>
        <v>#N/A</v>
      </c>
      <c r="HT857" t="e">
        <f>IF(AND(36&lt;=$B$12,$B$51&gt;0),$B$158+$B$156*((1*$B$5/2+0.6*$B$159)),NA())</f>
        <v>#N/A</v>
      </c>
    </row>
    <row r="858">
      <c r="K858" t="e">
        <f>IF(10&lt;=$B$14-1,$B$133+$B$132*($B$6+$B$28/2),NA())</f>
        <v>#N/A</v>
      </c>
      <c r="L858" t="e">
        <f>IF(10&lt;=$B$14-1,$B$134+$B$132*(10*$B$15-$B$28/2),NA())</f>
        <v>#N/A</v>
      </c>
      <c r="HS858" t="e">
        <f>IF(AND(36&lt;=$B$12,$B$51&gt;0),$B$157+$B$156*(((36-0.5)*$B$13)+($B$51*$B$13)/2),NA())</f>
        <v>#N/A</v>
      </c>
      <c r="HT858" t="e">
        <f>IF(AND(36&lt;=$B$12,$B$51&gt;0),$B$158+$B$156*((1*$B$5/2+0.6*$B$159)),NA())</f>
        <v>#N/A</v>
      </c>
    </row>
    <row r="859">
      <c r="K859" t="e">
        <f>IF(10&lt;=$B$14-1,$B$133+$B$132*($B$6+$B$28/2),NA())</f>
        <v>#N/A</v>
      </c>
      <c r="L859" t="e">
        <f>IF(10&lt;=$B$14-1,$B$134+$B$132*(10*$B$15+$B$28/2),NA())</f>
        <v>#N/A</v>
      </c>
      <c r="HS859" t="e">
        <f>IF(AND(36&lt;=$B$12,$B$51&gt;0),$B$157+$B$156*(((36-0.5)*$B$13)+($B$51*$B$13)/2),NA())</f>
        <v>#N/A</v>
      </c>
      <c r="HT859" t="e">
        <f>IF(AND(36&lt;=$B$12,$B$51&gt;0),$B$158+$B$156*((1*$B$5/2+$B$5/2-0.6*$B$159)),NA())</f>
        <v>#N/A</v>
      </c>
    </row>
    <row r="860">
      <c r="K860" t="e">
        <f>IF(10&lt;=$B$14-1,$B$133+$B$132*($B$6-$B$28/2),NA())</f>
        <v>#N/A</v>
      </c>
      <c r="L860" t="e">
        <f>IF(10&lt;=$B$14-1,$B$134+$B$132*(10*$B$15+$B$28/2),NA())</f>
        <v>#N/A</v>
      </c>
      <c r="HS860" t="e">
        <f>IF(AND(36&lt;=$B$12,$B$51&gt;0),$B$157+$B$156*(((36-0.5)*$B$13)-($B$51*$B$13)/2),NA())</f>
        <v>#N/A</v>
      </c>
      <c r="HT860" t="e">
        <f>IF(AND(36&lt;=$B$12,$B$51&gt;0),$B$158+$B$156*((1*$B$5/2+$B$5/2-0.6*$B$159)),NA())</f>
        <v>#N/A</v>
      </c>
    </row>
    <row r="861">
      <c r="K861" t="e">
        <f>IF(10&lt;=$B$14-1,$B$133+$B$132*($B$6-$B$28/2),NA())</f>
        <v>#N/A</v>
      </c>
      <c r="L861" t="e">
        <f>IF(10&lt;=$B$14-1,$B$134+$B$132*(10*$B$15-$B$28/2),NA())</f>
        <v>#N/A</v>
      </c>
      <c r="HS861" t="e">
        <f>IF(AND(36&lt;=$B$12,$B$51&gt;0),$B$157+$B$156*(((36-0.5)*$B$13)-($B$51*$B$13)/2),NA())</f>
        <v>#N/A</v>
      </c>
      <c r="HT861" t="e">
        <f>IF(AND(36&lt;=$B$12,$B$51&gt;0),$B$158+$B$156*((1*$B$5/2+0.6*$B$159)),NA())</f>
        <v>#N/A</v>
      </c>
    </row>
    <row r="862">
      <c r="K862" t="e">
        <f>NA()</f>
        <v>#N/A</v>
      </c>
      <c r="L862" t="e">
        <f>NA()</f>
        <v>#N/A</v>
      </c>
      <c r="HS862" t="e">
        <f>NA()</f>
        <v>#N/A</v>
      </c>
      <c r="HT862" t="e">
        <f>NA()</f>
        <v>#N/A</v>
      </c>
    </row>
    <row r="863">
      <c r="K863" t="e">
        <f>IF(11&lt;=$B$14-1,$B$133+$B$132*(0-$B$28/2),NA())</f>
        <v>#N/A</v>
      </c>
      <c r="L863" t="e">
        <f>IF(11&lt;=$B$14-1,$B$134+$B$132*(11*$B$15-$B$28/2),NA())</f>
        <v>#N/A</v>
      </c>
      <c r="HS863" t="e">
        <f>IF(AND(36&lt;=$B$12,$B$51&gt;0),$B$157+$B$156*(((36-0.5)*$B$13)-($B$51*$B$13)/2),NA())</f>
        <v>#N/A</v>
      </c>
      <c r="HT863" t="e">
        <f>IF(AND(36&lt;=$B$12,$B$51&gt;0),$B$158+$B$156*((1*$B$5/2+0.6*$B$159)),NA())</f>
        <v>#N/A</v>
      </c>
    </row>
    <row r="864">
      <c r="K864" t="e">
        <f>IF(11&lt;=$B$14-1,$B$133+$B$132*(0+$B$28/2),NA())</f>
        <v>#N/A</v>
      </c>
      <c r="L864" t="e">
        <f>IF(11&lt;=$B$14-1,$B$134+$B$132*(11*$B$15-$B$28/2),NA())</f>
        <v>#N/A</v>
      </c>
      <c r="HS864" t="e">
        <f>IF(AND(36&lt;=$B$12,$B$51&gt;0),$B$157+$B$156*(((36-0.5)*$B$13)+($B$51*$B$13)/2),NA())</f>
        <v>#N/A</v>
      </c>
      <c r="HT864" t="e">
        <f>IF(AND(36&lt;=$B$12,$B$51&gt;0),$B$158+$B$156*((1*$B$5/2+0.6*$B$159)+(((1*$B$5/2+$B$5/2-0.6*$B$159))-((1*$B$5/2+0.6*$B$159)))/4),NA())</f>
        <v>#N/A</v>
      </c>
    </row>
    <row r="865">
      <c r="K865" t="e">
        <f>IF(11&lt;=$B$14-1,$B$133+$B$132*(0+$B$28/2),NA())</f>
        <v>#N/A</v>
      </c>
      <c r="L865" t="e">
        <f>IF(11&lt;=$B$14-1,$B$134+$B$132*(11*$B$15+$B$28/2),NA())</f>
        <v>#N/A</v>
      </c>
      <c r="HS865" t="e">
        <f>IF(AND(36&lt;=$B$12,$B$51&gt;0),$B$157+$B$156*(((36-0.5)*$B$13)-($B$51*$B$13)/2),NA())</f>
        <v>#N/A</v>
      </c>
      <c r="HT865" t="e">
        <f>IF(AND(36&lt;=$B$12,$B$51&gt;0),$B$158+$B$156*((1*$B$5/2+0.6*$B$159)+(((1*$B$5/2+$B$5/2-0.6*$B$159))-((1*$B$5/2+0.6*$B$159)))/2),NA())</f>
        <v>#N/A</v>
      </c>
    </row>
    <row r="866">
      <c r="K866" t="e">
        <f>IF(11&lt;=$B$14-1,$B$133+$B$132*(0-$B$28/2),NA())</f>
        <v>#N/A</v>
      </c>
      <c r="L866" t="e">
        <f>IF(11&lt;=$B$14-1,$B$134+$B$132*(11*$B$15+$B$28/2),NA())</f>
        <v>#N/A</v>
      </c>
      <c r="HS866" t="e">
        <f>IF(AND(36&lt;=$B$12,$B$51&gt;0),$B$157+$B$156*(((36-0.5)*$B$13)+($B$51*$B$13)/2),NA())</f>
        <v>#N/A</v>
      </c>
      <c r="HT866" t="e">
        <f>IF(AND(36&lt;=$B$12,$B$51&gt;0),$B$158+$B$156*((1*$B$5/2+0.6*$B$159)+3*(((1*$B$5/2+$B$5/2-0.6*$B$159))-((1*$B$5/2+0.6*$B$159)))/4),NA())</f>
        <v>#N/A</v>
      </c>
    </row>
    <row r="867">
      <c r="K867" t="e">
        <f>IF(11&lt;=$B$14-1,$B$133+$B$132*(0-$B$28/2),NA())</f>
        <v>#N/A</v>
      </c>
      <c r="L867" t="e">
        <f>IF(11&lt;=$B$14-1,$B$134+$B$132*(11*$B$15-$B$28/2),NA())</f>
        <v>#N/A</v>
      </c>
      <c r="HS867" t="e">
        <f>IF(AND(36&lt;=$B$12,$B$51&gt;0),$B$157+$B$156*(((36-0.5)*$B$13)-($B$51*$B$13)/2),NA())</f>
        <v>#N/A</v>
      </c>
      <c r="HT867" t="e">
        <f>IF(AND(36&lt;=$B$12,$B$51&gt;0),$B$158+$B$156*((1*$B$5/2+$B$5/2-0.6*$B$159)),NA())</f>
        <v>#N/A</v>
      </c>
    </row>
    <row r="868">
      <c r="K868" t="e">
        <f>NA()</f>
        <v>#N/A</v>
      </c>
      <c r="L868" t="e">
        <f>NA()</f>
        <v>#N/A</v>
      </c>
      <c r="HS868" t="e">
        <f>NA()</f>
        <v>#N/A</v>
      </c>
      <c r="HT868" t="e">
        <f>NA()</f>
        <v>#N/A</v>
      </c>
    </row>
    <row r="869">
      <c r="K869" t="e">
        <f>IF(11&lt;=$B$14-1,$B$133+$B$132*($B$6-$B$28/2),NA())</f>
        <v>#N/A</v>
      </c>
      <c r="L869" t="e">
        <f>IF(11&lt;=$B$14-1,$B$134+$B$132*(11*$B$15-$B$28/2),NA())</f>
        <v>#N/A</v>
      </c>
      <c r="HS869" t="e">
        <f>IF(AND(37&lt;=$B$12,$B$51&gt;0),$B$157+$B$156*(((37-0.5)*$B$13)-($B$51*$B$13)/2),NA())</f>
        <v>#N/A</v>
      </c>
      <c r="HT869" t="e">
        <f>IF(AND(37&lt;=$B$12,$B$51&gt;0),$B$158+$B$156*((0*$B$5/2+0.6*$B$159)),NA())</f>
        <v>#N/A</v>
      </c>
    </row>
    <row r="870">
      <c r="K870" t="e">
        <f>IF(11&lt;=$B$14-1,$B$133+$B$132*($B$6+$B$28/2),NA())</f>
        <v>#N/A</v>
      </c>
      <c r="L870" t="e">
        <f>IF(11&lt;=$B$14-1,$B$134+$B$132*(11*$B$15-$B$28/2),NA())</f>
        <v>#N/A</v>
      </c>
      <c r="HS870" t="e">
        <f>IF(AND(37&lt;=$B$12,$B$51&gt;0),$B$157+$B$156*(((37-0.5)*$B$13)+($B$51*$B$13)/2),NA())</f>
        <v>#N/A</v>
      </c>
      <c r="HT870" t="e">
        <f>IF(AND(37&lt;=$B$12,$B$51&gt;0),$B$158+$B$156*((0*$B$5/2+0.6*$B$159)),NA())</f>
        <v>#N/A</v>
      </c>
    </row>
    <row r="871">
      <c r="K871" t="e">
        <f>IF(11&lt;=$B$14-1,$B$133+$B$132*($B$6+$B$28/2),NA())</f>
        <v>#N/A</v>
      </c>
      <c r="L871" t="e">
        <f>IF(11&lt;=$B$14-1,$B$134+$B$132*(11*$B$15+$B$28/2),NA())</f>
        <v>#N/A</v>
      </c>
      <c r="HS871" t="e">
        <f>IF(AND(37&lt;=$B$12,$B$51&gt;0),$B$157+$B$156*(((37-0.5)*$B$13)+($B$51*$B$13)/2),NA())</f>
        <v>#N/A</v>
      </c>
      <c r="HT871" t="e">
        <f>IF(AND(37&lt;=$B$12,$B$51&gt;0),$B$158+$B$156*((0*$B$5/2+$B$5/2-0.6*$B$159)),NA())</f>
        <v>#N/A</v>
      </c>
    </row>
    <row r="872">
      <c r="K872" t="e">
        <f>IF(11&lt;=$B$14-1,$B$133+$B$132*($B$6-$B$28/2),NA())</f>
        <v>#N/A</v>
      </c>
      <c r="L872" t="e">
        <f>IF(11&lt;=$B$14-1,$B$134+$B$132*(11*$B$15+$B$28/2),NA())</f>
        <v>#N/A</v>
      </c>
      <c r="HS872" t="e">
        <f>IF(AND(37&lt;=$B$12,$B$51&gt;0),$B$157+$B$156*(((37-0.5)*$B$13)-($B$51*$B$13)/2),NA())</f>
        <v>#N/A</v>
      </c>
      <c r="HT872" t="e">
        <f>IF(AND(37&lt;=$B$12,$B$51&gt;0),$B$158+$B$156*((0*$B$5/2+$B$5/2-0.6*$B$159)),NA())</f>
        <v>#N/A</v>
      </c>
    </row>
    <row r="873">
      <c r="K873" t="e">
        <f>IF(11&lt;=$B$14-1,$B$133+$B$132*($B$6-$B$28/2),NA())</f>
        <v>#N/A</v>
      </c>
      <c r="L873" t="e">
        <f>IF(11&lt;=$B$14-1,$B$134+$B$132*(11*$B$15-$B$28/2),NA())</f>
        <v>#N/A</v>
      </c>
      <c r="HS873" t="e">
        <f>IF(AND(37&lt;=$B$12,$B$51&gt;0),$B$157+$B$156*(((37-0.5)*$B$13)-($B$51*$B$13)/2),NA())</f>
        <v>#N/A</v>
      </c>
      <c r="HT873" t="e">
        <f>IF(AND(37&lt;=$B$12,$B$51&gt;0),$B$158+$B$156*((0*$B$5/2+0.6*$B$159)),NA())</f>
        <v>#N/A</v>
      </c>
    </row>
    <row r="874">
      <c r="K874" t="e">
        <f>NA()</f>
        <v>#N/A</v>
      </c>
      <c r="L874" t="e">
        <f>NA()</f>
        <v>#N/A</v>
      </c>
      <c r="HS874" t="e">
        <f>NA()</f>
        <v>#N/A</v>
      </c>
      <c r="HT874" t="e">
        <f>NA()</f>
        <v>#N/A</v>
      </c>
    </row>
    <row r="875">
      <c r="K875" t="e">
        <f>IF(12&lt;=$B$14-1,$B$133+$B$132*(0-$B$28/2),NA())</f>
        <v>#N/A</v>
      </c>
      <c r="L875" t="e">
        <f>IF(12&lt;=$B$14-1,$B$134+$B$132*(12*$B$15-$B$28/2),NA())</f>
        <v>#N/A</v>
      </c>
      <c r="HS875" t="e">
        <f>IF(AND(37&lt;=$B$12,$B$51&gt;0),$B$157+$B$156*(((37-0.5)*$B$13)-($B$51*$B$13)/2),NA())</f>
        <v>#N/A</v>
      </c>
      <c r="HT875" t="e">
        <f>IF(AND(37&lt;=$B$12,$B$51&gt;0),$B$158+$B$156*((0*$B$5/2+0.6*$B$159)),NA())</f>
        <v>#N/A</v>
      </c>
    </row>
    <row r="876">
      <c r="K876" t="e">
        <f>IF(12&lt;=$B$14-1,$B$133+$B$132*(0+$B$28/2),NA())</f>
        <v>#N/A</v>
      </c>
      <c r="L876" t="e">
        <f>IF(12&lt;=$B$14-1,$B$134+$B$132*(12*$B$15-$B$28/2),NA())</f>
        <v>#N/A</v>
      </c>
      <c r="HS876" t="e">
        <f>IF(AND(37&lt;=$B$12,$B$51&gt;0),$B$157+$B$156*(((37-0.5)*$B$13)+($B$51*$B$13)/2),NA())</f>
        <v>#N/A</v>
      </c>
      <c r="HT876" t="e">
        <f>IF(AND(37&lt;=$B$12,$B$51&gt;0),$B$158+$B$156*((0*$B$5/2+0.6*$B$159)+(((0*$B$5/2+$B$5/2-0.6*$B$159))-((0*$B$5/2+0.6*$B$159)))/4),NA())</f>
        <v>#N/A</v>
      </c>
    </row>
    <row r="877">
      <c r="K877" t="e">
        <f>IF(12&lt;=$B$14-1,$B$133+$B$132*(0+$B$28/2),NA())</f>
        <v>#N/A</v>
      </c>
      <c r="L877" t="e">
        <f>IF(12&lt;=$B$14-1,$B$134+$B$132*(12*$B$15+$B$28/2),NA())</f>
        <v>#N/A</v>
      </c>
      <c r="HS877" t="e">
        <f>IF(AND(37&lt;=$B$12,$B$51&gt;0),$B$157+$B$156*(((37-0.5)*$B$13)-($B$51*$B$13)/2),NA())</f>
        <v>#N/A</v>
      </c>
      <c r="HT877" t="e">
        <f>IF(AND(37&lt;=$B$12,$B$51&gt;0),$B$158+$B$156*((0*$B$5/2+0.6*$B$159)+(((0*$B$5/2+$B$5/2-0.6*$B$159))-((0*$B$5/2+0.6*$B$159)))/2),NA())</f>
        <v>#N/A</v>
      </c>
    </row>
    <row r="878">
      <c r="K878" t="e">
        <f>IF(12&lt;=$B$14-1,$B$133+$B$132*(0-$B$28/2),NA())</f>
        <v>#N/A</v>
      </c>
      <c r="L878" t="e">
        <f>IF(12&lt;=$B$14-1,$B$134+$B$132*(12*$B$15+$B$28/2),NA())</f>
        <v>#N/A</v>
      </c>
      <c r="HS878" t="e">
        <f>IF(AND(37&lt;=$B$12,$B$51&gt;0),$B$157+$B$156*(((37-0.5)*$B$13)+($B$51*$B$13)/2),NA())</f>
        <v>#N/A</v>
      </c>
      <c r="HT878" t="e">
        <f>IF(AND(37&lt;=$B$12,$B$51&gt;0),$B$158+$B$156*((0*$B$5/2+0.6*$B$159)+3*(((0*$B$5/2+$B$5/2-0.6*$B$159))-((0*$B$5/2+0.6*$B$159)))/4),NA())</f>
        <v>#N/A</v>
      </c>
    </row>
    <row r="879">
      <c r="K879" t="e">
        <f>IF(12&lt;=$B$14-1,$B$133+$B$132*(0-$B$28/2),NA())</f>
        <v>#N/A</v>
      </c>
      <c r="L879" t="e">
        <f>IF(12&lt;=$B$14-1,$B$134+$B$132*(12*$B$15-$B$28/2),NA())</f>
        <v>#N/A</v>
      </c>
      <c r="HS879" t="e">
        <f>IF(AND(37&lt;=$B$12,$B$51&gt;0),$B$157+$B$156*(((37-0.5)*$B$13)-($B$51*$B$13)/2),NA())</f>
        <v>#N/A</v>
      </c>
      <c r="HT879" t="e">
        <f>IF(AND(37&lt;=$B$12,$B$51&gt;0),$B$158+$B$156*((0*$B$5/2+$B$5/2-0.6*$B$159)),NA())</f>
        <v>#N/A</v>
      </c>
    </row>
    <row r="880">
      <c r="K880" t="e">
        <f>NA()</f>
        <v>#N/A</v>
      </c>
      <c r="L880" t="e">
        <f>NA()</f>
        <v>#N/A</v>
      </c>
      <c r="HS880" t="e">
        <f>NA()</f>
        <v>#N/A</v>
      </c>
      <c r="HT880" t="e">
        <f>NA()</f>
        <v>#N/A</v>
      </c>
    </row>
    <row r="881">
      <c r="K881" t="e">
        <f>IF(12&lt;=$B$14-1,$B$133+$B$132*($B$6-$B$28/2),NA())</f>
        <v>#N/A</v>
      </c>
      <c r="L881" t="e">
        <f>IF(12&lt;=$B$14-1,$B$134+$B$132*(12*$B$15-$B$28/2),NA())</f>
        <v>#N/A</v>
      </c>
      <c r="HS881" t="e">
        <f>IF(AND(37&lt;=$B$12,$B$51&gt;0),$B$157+$B$156*(((37-0.5)*$B$13)-($B$51*$B$13)/2),NA())</f>
        <v>#N/A</v>
      </c>
      <c r="HT881" t="e">
        <f>IF(AND(37&lt;=$B$12,$B$51&gt;0),$B$158+$B$156*((1*$B$5/2+0.6*$B$159)),NA())</f>
        <v>#N/A</v>
      </c>
    </row>
    <row r="882">
      <c r="K882" t="e">
        <f>IF(12&lt;=$B$14-1,$B$133+$B$132*($B$6+$B$28/2),NA())</f>
        <v>#N/A</v>
      </c>
      <c r="L882" t="e">
        <f>IF(12&lt;=$B$14-1,$B$134+$B$132*(12*$B$15-$B$28/2),NA())</f>
        <v>#N/A</v>
      </c>
      <c r="HS882" t="e">
        <f>IF(AND(37&lt;=$B$12,$B$51&gt;0),$B$157+$B$156*(((37-0.5)*$B$13)+($B$51*$B$13)/2),NA())</f>
        <v>#N/A</v>
      </c>
      <c r="HT882" t="e">
        <f>IF(AND(37&lt;=$B$12,$B$51&gt;0),$B$158+$B$156*((1*$B$5/2+0.6*$B$159)),NA())</f>
        <v>#N/A</v>
      </c>
    </row>
    <row r="883">
      <c r="K883" t="e">
        <f>IF(12&lt;=$B$14-1,$B$133+$B$132*($B$6+$B$28/2),NA())</f>
        <v>#N/A</v>
      </c>
      <c r="L883" t="e">
        <f>IF(12&lt;=$B$14-1,$B$134+$B$132*(12*$B$15+$B$28/2),NA())</f>
        <v>#N/A</v>
      </c>
      <c r="HS883" t="e">
        <f>IF(AND(37&lt;=$B$12,$B$51&gt;0),$B$157+$B$156*(((37-0.5)*$B$13)+($B$51*$B$13)/2),NA())</f>
        <v>#N/A</v>
      </c>
      <c r="HT883" t="e">
        <f>IF(AND(37&lt;=$B$12,$B$51&gt;0),$B$158+$B$156*((1*$B$5/2+$B$5/2-0.6*$B$159)),NA())</f>
        <v>#N/A</v>
      </c>
    </row>
    <row r="884">
      <c r="K884" t="e">
        <f>IF(12&lt;=$B$14-1,$B$133+$B$132*($B$6-$B$28/2),NA())</f>
        <v>#N/A</v>
      </c>
      <c r="L884" t="e">
        <f>IF(12&lt;=$B$14-1,$B$134+$B$132*(12*$B$15+$B$28/2),NA())</f>
        <v>#N/A</v>
      </c>
      <c r="HS884" t="e">
        <f>IF(AND(37&lt;=$B$12,$B$51&gt;0),$B$157+$B$156*(((37-0.5)*$B$13)-($B$51*$B$13)/2),NA())</f>
        <v>#N/A</v>
      </c>
      <c r="HT884" t="e">
        <f>IF(AND(37&lt;=$B$12,$B$51&gt;0),$B$158+$B$156*((1*$B$5/2+$B$5/2-0.6*$B$159)),NA())</f>
        <v>#N/A</v>
      </c>
    </row>
    <row r="885">
      <c r="K885" t="e">
        <f>IF(12&lt;=$B$14-1,$B$133+$B$132*($B$6-$B$28/2),NA())</f>
        <v>#N/A</v>
      </c>
      <c r="L885" t="e">
        <f>IF(12&lt;=$B$14-1,$B$134+$B$132*(12*$B$15-$B$28/2),NA())</f>
        <v>#N/A</v>
      </c>
      <c r="HS885" t="e">
        <f>IF(AND(37&lt;=$B$12,$B$51&gt;0),$B$157+$B$156*(((37-0.5)*$B$13)-($B$51*$B$13)/2),NA())</f>
        <v>#N/A</v>
      </c>
      <c r="HT885" t="e">
        <f>IF(AND(37&lt;=$B$12,$B$51&gt;0),$B$158+$B$156*((1*$B$5/2+0.6*$B$159)),NA())</f>
        <v>#N/A</v>
      </c>
    </row>
    <row r="886">
      <c r="K886" t="e">
        <f>NA()</f>
        <v>#N/A</v>
      </c>
      <c r="L886" t="e">
        <f>NA()</f>
        <v>#N/A</v>
      </c>
      <c r="HS886" t="e">
        <f>NA()</f>
        <v>#N/A</v>
      </c>
      <c r="HT886" t="e">
        <f>NA()</f>
        <v>#N/A</v>
      </c>
    </row>
    <row r="887">
      <c r="HS887" t="e">
        <f>IF(AND(37&lt;=$B$12,$B$51&gt;0),$B$157+$B$156*(((37-0.5)*$B$13)-($B$51*$B$13)/2),NA())</f>
        <v>#N/A</v>
      </c>
      <c r="HT887" t="e">
        <f>IF(AND(37&lt;=$B$12,$B$51&gt;0),$B$158+$B$156*((1*$B$5/2+0.6*$B$159)),NA())</f>
        <v>#N/A</v>
      </c>
    </row>
    <row r="888">
      <c r="HS888" t="e">
        <f>IF(AND(37&lt;=$B$12,$B$51&gt;0),$B$157+$B$156*(((37-0.5)*$B$13)+($B$51*$B$13)/2),NA())</f>
        <v>#N/A</v>
      </c>
      <c r="HT888" t="e">
        <f>IF(AND(37&lt;=$B$12,$B$51&gt;0),$B$158+$B$156*((1*$B$5/2+0.6*$B$159)+(((1*$B$5/2+$B$5/2-0.6*$B$159))-((1*$B$5/2+0.6*$B$159)))/4),NA())</f>
        <v>#N/A</v>
      </c>
    </row>
    <row r="889">
      <c r="HS889" t="e">
        <f>IF(AND(37&lt;=$B$12,$B$51&gt;0),$B$157+$B$156*(((37-0.5)*$B$13)-($B$51*$B$13)/2),NA())</f>
        <v>#N/A</v>
      </c>
      <c r="HT889" t="e">
        <f>IF(AND(37&lt;=$B$12,$B$51&gt;0),$B$158+$B$156*((1*$B$5/2+0.6*$B$159)+(((1*$B$5/2+$B$5/2-0.6*$B$159))-((1*$B$5/2+0.6*$B$159)))/2),NA())</f>
        <v>#N/A</v>
      </c>
    </row>
    <row r="890">
      <c r="HS890" t="e">
        <f>IF(AND(37&lt;=$B$12,$B$51&gt;0),$B$157+$B$156*(((37-0.5)*$B$13)+($B$51*$B$13)/2),NA())</f>
        <v>#N/A</v>
      </c>
      <c r="HT890" t="e">
        <f>IF(AND(37&lt;=$B$12,$B$51&gt;0),$B$158+$B$156*((1*$B$5/2+0.6*$B$159)+3*(((1*$B$5/2+$B$5/2-0.6*$B$159))-((1*$B$5/2+0.6*$B$159)))/4),NA())</f>
        <v>#N/A</v>
      </c>
    </row>
    <row r="891">
      <c r="HS891" t="e">
        <f>IF(AND(37&lt;=$B$12,$B$51&gt;0),$B$157+$B$156*(((37-0.5)*$B$13)-($B$51*$B$13)/2),NA())</f>
        <v>#N/A</v>
      </c>
      <c r="HT891" t="e">
        <f>IF(AND(37&lt;=$B$12,$B$51&gt;0),$B$158+$B$156*((1*$B$5/2+$B$5/2-0.6*$B$159)),NA())</f>
        <v>#N/A</v>
      </c>
    </row>
    <row r="892">
      <c r="HS892" t="e">
        <f>NA()</f>
        <v>#N/A</v>
      </c>
      <c r="HT892" t="e">
        <f>NA()</f>
        <v>#N/A</v>
      </c>
    </row>
    <row r="893">
      <c r="HS893" t="e">
        <f>IF(AND(38&lt;=$B$12,$B$51&gt;0),$B$157+$B$156*(((38-0.5)*$B$13)-($B$51*$B$13)/2),NA())</f>
        <v>#N/A</v>
      </c>
      <c r="HT893" t="e">
        <f>IF(AND(38&lt;=$B$12,$B$51&gt;0),$B$158+$B$156*((0*$B$5/2+0.6*$B$159)),NA())</f>
        <v>#N/A</v>
      </c>
    </row>
    <row r="894">
      <c r="HS894" t="e">
        <f>IF(AND(38&lt;=$B$12,$B$51&gt;0),$B$157+$B$156*(((38-0.5)*$B$13)+($B$51*$B$13)/2),NA())</f>
        <v>#N/A</v>
      </c>
      <c r="HT894" t="e">
        <f>IF(AND(38&lt;=$B$12,$B$51&gt;0),$B$158+$B$156*((0*$B$5/2+0.6*$B$159)),NA())</f>
        <v>#N/A</v>
      </c>
    </row>
    <row r="895">
      <c r="HS895" t="e">
        <f>IF(AND(38&lt;=$B$12,$B$51&gt;0),$B$157+$B$156*(((38-0.5)*$B$13)+($B$51*$B$13)/2),NA())</f>
        <v>#N/A</v>
      </c>
      <c r="HT895" t="e">
        <f>IF(AND(38&lt;=$B$12,$B$51&gt;0),$B$158+$B$156*((0*$B$5/2+$B$5/2-0.6*$B$159)),NA())</f>
        <v>#N/A</v>
      </c>
    </row>
    <row r="896">
      <c r="HS896" t="e">
        <f>IF(AND(38&lt;=$B$12,$B$51&gt;0),$B$157+$B$156*(((38-0.5)*$B$13)-($B$51*$B$13)/2),NA())</f>
        <v>#N/A</v>
      </c>
      <c r="HT896" t="e">
        <f>IF(AND(38&lt;=$B$12,$B$51&gt;0),$B$158+$B$156*((0*$B$5/2+$B$5/2-0.6*$B$159)),NA())</f>
        <v>#N/A</v>
      </c>
    </row>
    <row r="897">
      <c r="HS897" t="e">
        <f>IF(AND(38&lt;=$B$12,$B$51&gt;0),$B$157+$B$156*(((38-0.5)*$B$13)-($B$51*$B$13)/2),NA())</f>
        <v>#N/A</v>
      </c>
      <c r="HT897" t="e">
        <f>IF(AND(38&lt;=$B$12,$B$51&gt;0),$B$158+$B$156*((0*$B$5/2+0.6*$B$159)),NA())</f>
        <v>#N/A</v>
      </c>
    </row>
    <row r="898">
      <c r="HS898" t="e">
        <f>NA()</f>
        <v>#N/A</v>
      </c>
      <c r="HT898" t="e">
        <f>NA()</f>
        <v>#N/A</v>
      </c>
    </row>
    <row r="899">
      <c r="HS899" t="e">
        <f>IF(AND(38&lt;=$B$12,$B$51&gt;0),$B$157+$B$156*(((38-0.5)*$B$13)-($B$51*$B$13)/2),NA())</f>
        <v>#N/A</v>
      </c>
      <c r="HT899" t="e">
        <f>IF(AND(38&lt;=$B$12,$B$51&gt;0),$B$158+$B$156*((0*$B$5/2+0.6*$B$159)),NA())</f>
        <v>#N/A</v>
      </c>
    </row>
    <row r="900">
      <c r="HS900" t="e">
        <f>IF(AND(38&lt;=$B$12,$B$51&gt;0),$B$157+$B$156*(((38-0.5)*$B$13)+($B$51*$B$13)/2),NA())</f>
        <v>#N/A</v>
      </c>
      <c r="HT900" t="e">
        <f>IF(AND(38&lt;=$B$12,$B$51&gt;0),$B$158+$B$156*((0*$B$5/2+0.6*$B$159)+(((0*$B$5/2+$B$5/2-0.6*$B$159))-((0*$B$5/2+0.6*$B$159)))/4),NA())</f>
        <v>#N/A</v>
      </c>
    </row>
    <row r="901">
      <c r="HS901" t="e">
        <f>IF(AND(38&lt;=$B$12,$B$51&gt;0),$B$157+$B$156*(((38-0.5)*$B$13)-($B$51*$B$13)/2),NA())</f>
        <v>#N/A</v>
      </c>
      <c r="HT901" t="e">
        <f>IF(AND(38&lt;=$B$12,$B$51&gt;0),$B$158+$B$156*((0*$B$5/2+0.6*$B$159)+(((0*$B$5/2+$B$5/2-0.6*$B$159))-((0*$B$5/2+0.6*$B$159)))/2),NA())</f>
        <v>#N/A</v>
      </c>
    </row>
    <row r="902">
      <c r="HS902" t="e">
        <f>IF(AND(38&lt;=$B$12,$B$51&gt;0),$B$157+$B$156*(((38-0.5)*$B$13)+($B$51*$B$13)/2),NA())</f>
        <v>#N/A</v>
      </c>
      <c r="HT902" t="e">
        <f>IF(AND(38&lt;=$B$12,$B$51&gt;0),$B$158+$B$156*((0*$B$5/2+0.6*$B$159)+3*(((0*$B$5/2+$B$5/2-0.6*$B$159))-((0*$B$5/2+0.6*$B$159)))/4),NA())</f>
        <v>#N/A</v>
      </c>
    </row>
    <row r="903">
      <c r="HS903" t="e">
        <f>IF(AND(38&lt;=$B$12,$B$51&gt;0),$B$157+$B$156*(((38-0.5)*$B$13)-($B$51*$B$13)/2),NA())</f>
        <v>#N/A</v>
      </c>
      <c r="HT903" t="e">
        <f>IF(AND(38&lt;=$B$12,$B$51&gt;0),$B$158+$B$156*((0*$B$5/2+$B$5/2-0.6*$B$159)),NA())</f>
        <v>#N/A</v>
      </c>
    </row>
    <row r="904">
      <c r="HS904" t="e">
        <f>NA()</f>
        <v>#N/A</v>
      </c>
      <c r="HT904" t="e">
        <f>NA()</f>
        <v>#N/A</v>
      </c>
    </row>
    <row r="905">
      <c r="HS905" t="e">
        <f>IF(AND(38&lt;=$B$12,$B$51&gt;0),$B$157+$B$156*(((38-0.5)*$B$13)-($B$51*$B$13)/2),NA())</f>
        <v>#N/A</v>
      </c>
      <c r="HT905" t="e">
        <f>IF(AND(38&lt;=$B$12,$B$51&gt;0),$B$158+$B$156*((1*$B$5/2+0.6*$B$159)),NA())</f>
        <v>#N/A</v>
      </c>
    </row>
    <row r="906">
      <c r="HS906" t="e">
        <f>IF(AND(38&lt;=$B$12,$B$51&gt;0),$B$157+$B$156*(((38-0.5)*$B$13)+($B$51*$B$13)/2),NA())</f>
        <v>#N/A</v>
      </c>
      <c r="HT906" t="e">
        <f>IF(AND(38&lt;=$B$12,$B$51&gt;0),$B$158+$B$156*((1*$B$5/2+0.6*$B$159)),NA())</f>
        <v>#N/A</v>
      </c>
    </row>
    <row r="907">
      <c r="HS907" t="e">
        <f>IF(AND(38&lt;=$B$12,$B$51&gt;0),$B$157+$B$156*(((38-0.5)*$B$13)+($B$51*$B$13)/2),NA())</f>
        <v>#N/A</v>
      </c>
      <c r="HT907" t="e">
        <f>IF(AND(38&lt;=$B$12,$B$51&gt;0),$B$158+$B$156*((1*$B$5/2+$B$5/2-0.6*$B$159)),NA())</f>
        <v>#N/A</v>
      </c>
    </row>
    <row r="908">
      <c r="HS908" t="e">
        <f>IF(AND(38&lt;=$B$12,$B$51&gt;0),$B$157+$B$156*(((38-0.5)*$B$13)-($B$51*$B$13)/2),NA())</f>
        <v>#N/A</v>
      </c>
      <c r="HT908" t="e">
        <f>IF(AND(38&lt;=$B$12,$B$51&gt;0),$B$158+$B$156*((1*$B$5/2+$B$5/2-0.6*$B$159)),NA())</f>
        <v>#N/A</v>
      </c>
    </row>
    <row r="909">
      <c r="HS909" t="e">
        <f>IF(AND(38&lt;=$B$12,$B$51&gt;0),$B$157+$B$156*(((38-0.5)*$B$13)-($B$51*$B$13)/2),NA())</f>
        <v>#N/A</v>
      </c>
      <c r="HT909" t="e">
        <f>IF(AND(38&lt;=$B$12,$B$51&gt;0),$B$158+$B$156*((1*$B$5/2+0.6*$B$159)),NA())</f>
        <v>#N/A</v>
      </c>
    </row>
    <row r="910">
      <c r="HS910" t="e">
        <f>NA()</f>
        <v>#N/A</v>
      </c>
      <c r="HT910" t="e">
        <f>NA()</f>
        <v>#N/A</v>
      </c>
    </row>
    <row r="911">
      <c r="HS911" t="e">
        <f>IF(AND(38&lt;=$B$12,$B$51&gt;0),$B$157+$B$156*(((38-0.5)*$B$13)-($B$51*$B$13)/2),NA())</f>
        <v>#N/A</v>
      </c>
      <c r="HT911" t="e">
        <f>IF(AND(38&lt;=$B$12,$B$51&gt;0),$B$158+$B$156*((1*$B$5/2+0.6*$B$159)),NA())</f>
        <v>#N/A</v>
      </c>
    </row>
    <row r="912">
      <c r="HS912" t="e">
        <f>IF(AND(38&lt;=$B$12,$B$51&gt;0),$B$157+$B$156*(((38-0.5)*$B$13)+($B$51*$B$13)/2),NA())</f>
        <v>#N/A</v>
      </c>
      <c r="HT912" t="e">
        <f>IF(AND(38&lt;=$B$12,$B$51&gt;0),$B$158+$B$156*((1*$B$5/2+0.6*$B$159)+(((1*$B$5/2+$B$5/2-0.6*$B$159))-((1*$B$5/2+0.6*$B$159)))/4),NA())</f>
        <v>#N/A</v>
      </c>
    </row>
    <row r="913">
      <c r="HS913" t="e">
        <f>IF(AND(38&lt;=$B$12,$B$51&gt;0),$B$157+$B$156*(((38-0.5)*$B$13)-($B$51*$B$13)/2),NA())</f>
        <v>#N/A</v>
      </c>
      <c r="HT913" t="e">
        <f>IF(AND(38&lt;=$B$12,$B$51&gt;0),$B$158+$B$156*((1*$B$5/2+0.6*$B$159)+(((1*$B$5/2+$B$5/2-0.6*$B$159))-((1*$B$5/2+0.6*$B$159)))/2),NA())</f>
        <v>#N/A</v>
      </c>
    </row>
    <row r="914">
      <c r="HS914" t="e">
        <f>IF(AND(38&lt;=$B$12,$B$51&gt;0),$B$157+$B$156*(((38-0.5)*$B$13)+($B$51*$B$13)/2),NA())</f>
        <v>#N/A</v>
      </c>
      <c r="HT914" t="e">
        <f>IF(AND(38&lt;=$B$12,$B$51&gt;0),$B$158+$B$156*((1*$B$5/2+0.6*$B$159)+3*(((1*$B$5/2+$B$5/2-0.6*$B$159))-((1*$B$5/2+0.6*$B$159)))/4),NA())</f>
        <v>#N/A</v>
      </c>
    </row>
    <row r="915">
      <c r="HS915" t="e">
        <f>IF(AND(38&lt;=$B$12,$B$51&gt;0),$B$157+$B$156*(((38-0.5)*$B$13)-($B$51*$B$13)/2),NA())</f>
        <v>#N/A</v>
      </c>
      <c r="HT915" t="e">
        <f>IF(AND(38&lt;=$B$12,$B$51&gt;0),$B$158+$B$156*((1*$B$5/2+$B$5/2-0.6*$B$159)),NA())</f>
        <v>#N/A</v>
      </c>
    </row>
    <row r="916">
      <c r="HS916" t="e">
        <f>NA()</f>
        <v>#N/A</v>
      </c>
      <c r="HT916" t="e">
        <f>NA()</f>
        <v>#N/A</v>
      </c>
    </row>
    <row r="917">
      <c r="HS917" t="e">
        <f>IF(AND(39&lt;=$B$12,$B$51&gt;0),$B$157+$B$156*(((39-0.5)*$B$13)-($B$51*$B$13)/2),NA())</f>
        <v>#N/A</v>
      </c>
      <c r="HT917" t="e">
        <f>IF(AND(39&lt;=$B$12,$B$51&gt;0),$B$158+$B$156*((0*$B$5/2+0.6*$B$159)),NA())</f>
        <v>#N/A</v>
      </c>
    </row>
    <row r="918">
      <c r="HS918" t="e">
        <f>IF(AND(39&lt;=$B$12,$B$51&gt;0),$B$157+$B$156*(((39-0.5)*$B$13)+($B$51*$B$13)/2),NA())</f>
        <v>#N/A</v>
      </c>
      <c r="HT918" t="e">
        <f>IF(AND(39&lt;=$B$12,$B$51&gt;0),$B$158+$B$156*((0*$B$5/2+0.6*$B$159)),NA())</f>
        <v>#N/A</v>
      </c>
    </row>
    <row r="919">
      <c r="HS919" t="e">
        <f>IF(AND(39&lt;=$B$12,$B$51&gt;0),$B$157+$B$156*(((39-0.5)*$B$13)+($B$51*$B$13)/2),NA())</f>
        <v>#N/A</v>
      </c>
      <c r="HT919" t="e">
        <f>IF(AND(39&lt;=$B$12,$B$51&gt;0),$B$158+$B$156*((0*$B$5/2+$B$5/2-0.6*$B$159)),NA())</f>
        <v>#N/A</v>
      </c>
    </row>
    <row r="920">
      <c r="HS920" t="e">
        <f>IF(AND(39&lt;=$B$12,$B$51&gt;0),$B$157+$B$156*(((39-0.5)*$B$13)-($B$51*$B$13)/2),NA())</f>
        <v>#N/A</v>
      </c>
      <c r="HT920" t="e">
        <f>IF(AND(39&lt;=$B$12,$B$51&gt;0),$B$158+$B$156*((0*$B$5/2+$B$5/2-0.6*$B$159)),NA())</f>
        <v>#N/A</v>
      </c>
    </row>
    <row r="921">
      <c r="HS921" t="e">
        <f>IF(AND(39&lt;=$B$12,$B$51&gt;0),$B$157+$B$156*(((39-0.5)*$B$13)-($B$51*$B$13)/2),NA())</f>
        <v>#N/A</v>
      </c>
      <c r="HT921" t="e">
        <f>IF(AND(39&lt;=$B$12,$B$51&gt;0),$B$158+$B$156*((0*$B$5/2+0.6*$B$159)),NA())</f>
        <v>#N/A</v>
      </c>
    </row>
    <row r="922">
      <c r="HS922" t="e">
        <f>NA()</f>
        <v>#N/A</v>
      </c>
      <c r="HT922" t="e">
        <f>NA()</f>
        <v>#N/A</v>
      </c>
    </row>
    <row r="923">
      <c r="HS923" t="e">
        <f>IF(AND(39&lt;=$B$12,$B$51&gt;0),$B$157+$B$156*(((39-0.5)*$B$13)-($B$51*$B$13)/2),NA())</f>
        <v>#N/A</v>
      </c>
      <c r="HT923" t="e">
        <f>IF(AND(39&lt;=$B$12,$B$51&gt;0),$B$158+$B$156*((0*$B$5/2+0.6*$B$159)),NA())</f>
        <v>#N/A</v>
      </c>
    </row>
    <row r="924">
      <c r="HS924" t="e">
        <f>IF(AND(39&lt;=$B$12,$B$51&gt;0),$B$157+$B$156*(((39-0.5)*$B$13)+($B$51*$B$13)/2),NA())</f>
        <v>#N/A</v>
      </c>
      <c r="HT924" t="e">
        <f>IF(AND(39&lt;=$B$12,$B$51&gt;0),$B$158+$B$156*((0*$B$5/2+0.6*$B$159)+(((0*$B$5/2+$B$5/2-0.6*$B$159))-((0*$B$5/2+0.6*$B$159)))/4),NA())</f>
        <v>#N/A</v>
      </c>
    </row>
    <row r="925">
      <c r="HS925" t="e">
        <f>IF(AND(39&lt;=$B$12,$B$51&gt;0),$B$157+$B$156*(((39-0.5)*$B$13)-($B$51*$B$13)/2),NA())</f>
        <v>#N/A</v>
      </c>
      <c r="HT925" t="e">
        <f>IF(AND(39&lt;=$B$12,$B$51&gt;0),$B$158+$B$156*((0*$B$5/2+0.6*$B$159)+(((0*$B$5/2+$B$5/2-0.6*$B$159))-((0*$B$5/2+0.6*$B$159)))/2),NA())</f>
        <v>#N/A</v>
      </c>
    </row>
    <row r="926">
      <c r="HS926" t="e">
        <f>IF(AND(39&lt;=$B$12,$B$51&gt;0),$B$157+$B$156*(((39-0.5)*$B$13)+($B$51*$B$13)/2),NA())</f>
        <v>#N/A</v>
      </c>
      <c r="HT926" t="e">
        <f>IF(AND(39&lt;=$B$12,$B$51&gt;0),$B$158+$B$156*((0*$B$5/2+0.6*$B$159)+3*(((0*$B$5/2+$B$5/2-0.6*$B$159))-((0*$B$5/2+0.6*$B$159)))/4),NA())</f>
        <v>#N/A</v>
      </c>
    </row>
    <row r="927">
      <c r="HS927" t="e">
        <f>IF(AND(39&lt;=$B$12,$B$51&gt;0),$B$157+$B$156*(((39-0.5)*$B$13)-($B$51*$B$13)/2),NA())</f>
        <v>#N/A</v>
      </c>
      <c r="HT927" t="e">
        <f>IF(AND(39&lt;=$B$12,$B$51&gt;0),$B$158+$B$156*((0*$B$5/2+$B$5/2-0.6*$B$159)),NA())</f>
        <v>#N/A</v>
      </c>
    </row>
    <row r="928">
      <c r="HS928" t="e">
        <f>NA()</f>
        <v>#N/A</v>
      </c>
      <c r="HT928" t="e">
        <f>NA()</f>
        <v>#N/A</v>
      </c>
    </row>
    <row r="929">
      <c r="HS929" t="e">
        <f>IF(AND(39&lt;=$B$12,$B$51&gt;0),$B$157+$B$156*(((39-0.5)*$B$13)-($B$51*$B$13)/2),NA())</f>
        <v>#N/A</v>
      </c>
      <c r="HT929" t="e">
        <f>IF(AND(39&lt;=$B$12,$B$51&gt;0),$B$158+$B$156*((1*$B$5/2+0.6*$B$159)),NA())</f>
        <v>#N/A</v>
      </c>
    </row>
    <row r="930">
      <c r="HS930" t="e">
        <f>IF(AND(39&lt;=$B$12,$B$51&gt;0),$B$157+$B$156*(((39-0.5)*$B$13)+($B$51*$B$13)/2),NA())</f>
        <v>#N/A</v>
      </c>
      <c r="HT930" t="e">
        <f>IF(AND(39&lt;=$B$12,$B$51&gt;0),$B$158+$B$156*((1*$B$5/2+0.6*$B$159)),NA())</f>
        <v>#N/A</v>
      </c>
    </row>
    <row r="931">
      <c r="HS931" t="e">
        <f>IF(AND(39&lt;=$B$12,$B$51&gt;0),$B$157+$B$156*(((39-0.5)*$B$13)+($B$51*$B$13)/2),NA())</f>
        <v>#N/A</v>
      </c>
      <c r="HT931" t="e">
        <f>IF(AND(39&lt;=$B$12,$B$51&gt;0),$B$158+$B$156*((1*$B$5/2+$B$5/2-0.6*$B$159)),NA())</f>
        <v>#N/A</v>
      </c>
    </row>
    <row r="932">
      <c r="HS932" t="e">
        <f>IF(AND(39&lt;=$B$12,$B$51&gt;0),$B$157+$B$156*(((39-0.5)*$B$13)-($B$51*$B$13)/2),NA())</f>
        <v>#N/A</v>
      </c>
      <c r="HT932" t="e">
        <f>IF(AND(39&lt;=$B$12,$B$51&gt;0),$B$158+$B$156*((1*$B$5/2+$B$5/2-0.6*$B$159)),NA())</f>
        <v>#N/A</v>
      </c>
    </row>
    <row r="933">
      <c r="HS933" t="e">
        <f>IF(AND(39&lt;=$B$12,$B$51&gt;0),$B$157+$B$156*(((39-0.5)*$B$13)-($B$51*$B$13)/2),NA())</f>
        <v>#N/A</v>
      </c>
      <c r="HT933" t="e">
        <f>IF(AND(39&lt;=$B$12,$B$51&gt;0),$B$158+$B$156*((1*$B$5/2+0.6*$B$159)),NA())</f>
        <v>#N/A</v>
      </c>
    </row>
    <row r="934">
      <c r="HS934" t="e">
        <f>NA()</f>
        <v>#N/A</v>
      </c>
      <c r="HT934" t="e">
        <f>NA()</f>
        <v>#N/A</v>
      </c>
    </row>
    <row r="935">
      <c r="HS935" t="e">
        <f>IF(AND(39&lt;=$B$12,$B$51&gt;0),$B$157+$B$156*(((39-0.5)*$B$13)-($B$51*$B$13)/2),NA())</f>
        <v>#N/A</v>
      </c>
      <c r="HT935" t="e">
        <f>IF(AND(39&lt;=$B$12,$B$51&gt;0),$B$158+$B$156*((1*$B$5/2+0.6*$B$159)),NA())</f>
        <v>#N/A</v>
      </c>
    </row>
    <row r="936">
      <c r="HS936" t="e">
        <f>IF(AND(39&lt;=$B$12,$B$51&gt;0),$B$157+$B$156*(((39-0.5)*$B$13)+($B$51*$B$13)/2),NA())</f>
        <v>#N/A</v>
      </c>
      <c r="HT936" t="e">
        <f>IF(AND(39&lt;=$B$12,$B$51&gt;0),$B$158+$B$156*((1*$B$5/2+0.6*$B$159)+(((1*$B$5/2+$B$5/2-0.6*$B$159))-((1*$B$5/2+0.6*$B$159)))/4),NA())</f>
        <v>#N/A</v>
      </c>
    </row>
    <row r="937">
      <c r="HS937" t="e">
        <f>IF(AND(39&lt;=$B$12,$B$51&gt;0),$B$157+$B$156*(((39-0.5)*$B$13)-($B$51*$B$13)/2),NA())</f>
        <v>#N/A</v>
      </c>
      <c r="HT937" t="e">
        <f>IF(AND(39&lt;=$B$12,$B$51&gt;0),$B$158+$B$156*((1*$B$5/2+0.6*$B$159)+(((1*$B$5/2+$B$5/2-0.6*$B$159))-((1*$B$5/2+0.6*$B$159)))/2),NA())</f>
        <v>#N/A</v>
      </c>
    </row>
    <row r="938">
      <c r="HS938" t="e">
        <f>IF(AND(39&lt;=$B$12,$B$51&gt;0),$B$157+$B$156*(((39-0.5)*$B$13)+($B$51*$B$13)/2),NA())</f>
        <v>#N/A</v>
      </c>
      <c r="HT938" t="e">
        <f>IF(AND(39&lt;=$B$12,$B$51&gt;0),$B$158+$B$156*((1*$B$5/2+0.6*$B$159)+3*(((1*$B$5/2+$B$5/2-0.6*$B$159))-((1*$B$5/2+0.6*$B$159)))/4),NA())</f>
        <v>#N/A</v>
      </c>
    </row>
    <row r="939">
      <c r="HS939" t="e">
        <f>IF(AND(39&lt;=$B$12,$B$51&gt;0),$B$157+$B$156*(((39-0.5)*$B$13)-($B$51*$B$13)/2),NA())</f>
        <v>#N/A</v>
      </c>
      <c r="HT939" t="e">
        <f>IF(AND(39&lt;=$B$12,$B$51&gt;0),$B$158+$B$156*((1*$B$5/2+$B$5/2-0.6*$B$159)),NA())</f>
        <v>#N/A</v>
      </c>
    </row>
    <row r="940">
      <c r="HS940" t="e">
        <f>NA()</f>
        <v>#N/A</v>
      </c>
      <c r="HT940" t="e">
        <f>NA()</f>
        <v>#N/A</v>
      </c>
    </row>
    <row r="941">
      <c r="HS941" t="e">
        <f>IF(AND(40&lt;=$B$12,$B$51&gt;0),$B$157+$B$156*(((40-0.5)*$B$13)-($B$51*$B$13)/2),NA())</f>
        <v>#N/A</v>
      </c>
      <c r="HT941" t="e">
        <f>IF(AND(40&lt;=$B$12,$B$51&gt;0),$B$158+$B$156*((0*$B$5/2+0.6*$B$159)),NA())</f>
        <v>#N/A</v>
      </c>
    </row>
    <row r="942">
      <c r="HS942" t="e">
        <f>IF(AND(40&lt;=$B$12,$B$51&gt;0),$B$157+$B$156*(((40-0.5)*$B$13)+($B$51*$B$13)/2),NA())</f>
        <v>#N/A</v>
      </c>
      <c r="HT942" t="e">
        <f>IF(AND(40&lt;=$B$12,$B$51&gt;0),$B$158+$B$156*((0*$B$5/2+0.6*$B$159)),NA())</f>
        <v>#N/A</v>
      </c>
    </row>
    <row r="943">
      <c r="HS943" t="e">
        <f>IF(AND(40&lt;=$B$12,$B$51&gt;0),$B$157+$B$156*(((40-0.5)*$B$13)+($B$51*$B$13)/2),NA())</f>
        <v>#N/A</v>
      </c>
      <c r="HT943" t="e">
        <f>IF(AND(40&lt;=$B$12,$B$51&gt;0),$B$158+$B$156*((0*$B$5/2+$B$5/2-0.6*$B$159)),NA())</f>
        <v>#N/A</v>
      </c>
    </row>
    <row r="944">
      <c r="HS944" t="e">
        <f>IF(AND(40&lt;=$B$12,$B$51&gt;0),$B$157+$B$156*(((40-0.5)*$B$13)-($B$51*$B$13)/2),NA())</f>
        <v>#N/A</v>
      </c>
      <c r="HT944" t="e">
        <f>IF(AND(40&lt;=$B$12,$B$51&gt;0),$B$158+$B$156*((0*$B$5/2+$B$5/2-0.6*$B$159)),NA())</f>
        <v>#N/A</v>
      </c>
    </row>
    <row r="945">
      <c r="HS945" t="e">
        <f>IF(AND(40&lt;=$B$12,$B$51&gt;0),$B$157+$B$156*(((40-0.5)*$B$13)-($B$51*$B$13)/2),NA())</f>
        <v>#N/A</v>
      </c>
      <c r="HT945" t="e">
        <f>IF(AND(40&lt;=$B$12,$B$51&gt;0),$B$158+$B$156*((0*$B$5/2+0.6*$B$159)),NA())</f>
        <v>#N/A</v>
      </c>
    </row>
    <row r="946">
      <c r="HS946" t="e">
        <f>NA()</f>
        <v>#N/A</v>
      </c>
      <c r="HT946" t="e">
        <f>NA()</f>
        <v>#N/A</v>
      </c>
    </row>
    <row r="947">
      <c r="HS947" t="e">
        <f>IF(AND(40&lt;=$B$12,$B$51&gt;0),$B$157+$B$156*(((40-0.5)*$B$13)-($B$51*$B$13)/2),NA())</f>
        <v>#N/A</v>
      </c>
      <c r="HT947" t="e">
        <f>IF(AND(40&lt;=$B$12,$B$51&gt;0),$B$158+$B$156*((0*$B$5/2+0.6*$B$159)),NA())</f>
        <v>#N/A</v>
      </c>
    </row>
    <row r="948">
      <c r="HS948" t="e">
        <f>IF(AND(40&lt;=$B$12,$B$51&gt;0),$B$157+$B$156*(((40-0.5)*$B$13)+($B$51*$B$13)/2),NA())</f>
        <v>#N/A</v>
      </c>
      <c r="HT948" t="e">
        <f>IF(AND(40&lt;=$B$12,$B$51&gt;0),$B$158+$B$156*((0*$B$5/2+0.6*$B$159)+(((0*$B$5/2+$B$5/2-0.6*$B$159))-((0*$B$5/2+0.6*$B$159)))/4),NA())</f>
        <v>#N/A</v>
      </c>
    </row>
    <row r="949">
      <c r="HS949" t="e">
        <f>IF(AND(40&lt;=$B$12,$B$51&gt;0),$B$157+$B$156*(((40-0.5)*$B$13)-($B$51*$B$13)/2),NA())</f>
        <v>#N/A</v>
      </c>
      <c r="HT949" t="e">
        <f>IF(AND(40&lt;=$B$12,$B$51&gt;0),$B$158+$B$156*((0*$B$5/2+0.6*$B$159)+(((0*$B$5/2+$B$5/2-0.6*$B$159))-((0*$B$5/2+0.6*$B$159)))/2),NA())</f>
        <v>#N/A</v>
      </c>
    </row>
    <row r="950">
      <c r="HS950" t="e">
        <f>IF(AND(40&lt;=$B$12,$B$51&gt;0),$B$157+$B$156*(((40-0.5)*$B$13)+($B$51*$B$13)/2),NA())</f>
        <v>#N/A</v>
      </c>
      <c r="HT950" t="e">
        <f>IF(AND(40&lt;=$B$12,$B$51&gt;0),$B$158+$B$156*((0*$B$5/2+0.6*$B$159)+3*(((0*$B$5/2+$B$5/2-0.6*$B$159))-((0*$B$5/2+0.6*$B$159)))/4),NA())</f>
        <v>#N/A</v>
      </c>
    </row>
    <row r="951">
      <c r="HS951" t="e">
        <f>IF(AND(40&lt;=$B$12,$B$51&gt;0),$B$157+$B$156*(((40-0.5)*$B$13)-($B$51*$B$13)/2),NA())</f>
        <v>#N/A</v>
      </c>
      <c r="HT951" t="e">
        <f>IF(AND(40&lt;=$B$12,$B$51&gt;0),$B$158+$B$156*((0*$B$5/2+$B$5/2-0.6*$B$159)),NA())</f>
        <v>#N/A</v>
      </c>
    </row>
    <row r="952">
      <c r="HS952" t="e">
        <f>NA()</f>
        <v>#N/A</v>
      </c>
      <c r="HT952" t="e">
        <f>NA()</f>
        <v>#N/A</v>
      </c>
    </row>
    <row r="953">
      <c r="HS953" t="e">
        <f>IF(AND(40&lt;=$B$12,$B$51&gt;0),$B$157+$B$156*(((40-0.5)*$B$13)-($B$51*$B$13)/2),NA())</f>
        <v>#N/A</v>
      </c>
      <c r="HT953" t="e">
        <f>IF(AND(40&lt;=$B$12,$B$51&gt;0),$B$158+$B$156*((1*$B$5/2+0.6*$B$159)),NA())</f>
        <v>#N/A</v>
      </c>
    </row>
    <row r="954">
      <c r="HS954" t="e">
        <f>IF(AND(40&lt;=$B$12,$B$51&gt;0),$B$157+$B$156*(((40-0.5)*$B$13)+($B$51*$B$13)/2),NA())</f>
        <v>#N/A</v>
      </c>
      <c r="HT954" t="e">
        <f>IF(AND(40&lt;=$B$12,$B$51&gt;0),$B$158+$B$156*((1*$B$5/2+0.6*$B$159)),NA())</f>
        <v>#N/A</v>
      </c>
    </row>
    <row r="955">
      <c r="HS955" t="e">
        <f>IF(AND(40&lt;=$B$12,$B$51&gt;0),$B$157+$B$156*(((40-0.5)*$B$13)+($B$51*$B$13)/2),NA())</f>
        <v>#N/A</v>
      </c>
      <c r="HT955" t="e">
        <f>IF(AND(40&lt;=$B$12,$B$51&gt;0),$B$158+$B$156*((1*$B$5/2+$B$5/2-0.6*$B$159)),NA())</f>
        <v>#N/A</v>
      </c>
    </row>
    <row r="956">
      <c r="HS956" t="e">
        <f>IF(AND(40&lt;=$B$12,$B$51&gt;0),$B$157+$B$156*(((40-0.5)*$B$13)-($B$51*$B$13)/2),NA())</f>
        <v>#N/A</v>
      </c>
      <c r="HT956" t="e">
        <f>IF(AND(40&lt;=$B$12,$B$51&gt;0),$B$158+$B$156*((1*$B$5/2+$B$5/2-0.6*$B$159)),NA())</f>
        <v>#N/A</v>
      </c>
    </row>
    <row r="957">
      <c r="HS957" t="e">
        <f>IF(AND(40&lt;=$B$12,$B$51&gt;0),$B$157+$B$156*(((40-0.5)*$B$13)-($B$51*$B$13)/2),NA())</f>
        <v>#N/A</v>
      </c>
      <c r="HT957" t="e">
        <f>IF(AND(40&lt;=$B$12,$B$51&gt;0),$B$158+$B$156*((1*$B$5/2+0.6*$B$159)),NA())</f>
        <v>#N/A</v>
      </c>
    </row>
    <row r="958">
      <c r="HS958" t="e">
        <f>NA()</f>
        <v>#N/A</v>
      </c>
      <c r="HT958" t="e">
        <f>NA()</f>
        <v>#N/A</v>
      </c>
    </row>
    <row r="959">
      <c r="HS959" t="e">
        <f>IF(AND(40&lt;=$B$12,$B$51&gt;0),$B$157+$B$156*(((40-0.5)*$B$13)-($B$51*$B$13)/2),NA())</f>
        <v>#N/A</v>
      </c>
      <c r="HT959" t="e">
        <f>IF(AND(40&lt;=$B$12,$B$51&gt;0),$B$158+$B$156*((1*$B$5/2+0.6*$B$159)),NA())</f>
        <v>#N/A</v>
      </c>
    </row>
    <row r="960">
      <c r="HS960" t="e">
        <f>IF(AND(40&lt;=$B$12,$B$51&gt;0),$B$157+$B$156*(((40-0.5)*$B$13)+($B$51*$B$13)/2),NA())</f>
        <v>#N/A</v>
      </c>
      <c r="HT960" t="e">
        <f>IF(AND(40&lt;=$B$12,$B$51&gt;0),$B$158+$B$156*((1*$B$5/2+0.6*$B$159)+(((1*$B$5/2+$B$5/2-0.6*$B$159))-((1*$B$5/2+0.6*$B$159)))/4),NA())</f>
        <v>#N/A</v>
      </c>
    </row>
    <row r="961">
      <c r="HS961" t="e">
        <f>IF(AND(40&lt;=$B$12,$B$51&gt;0),$B$157+$B$156*(((40-0.5)*$B$13)-($B$51*$B$13)/2),NA())</f>
        <v>#N/A</v>
      </c>
      <c r="HT961" t="e">
        <f>IF(AND(40&lt;=$B$12,$B$51&gt;0),$B$158+$B$156*((1*$B$5/2+0.6*$B$159)+(((1*$B$5/2+$B$5/2-0.6*$B$159))-((1*$B$5/2+0.6*$B$159)))/2),NA())</f>
        <v>#N/A</v>
      </c>
    </row>
    <row r="962">
      <c r="HS962" t="e">
        <f>IF(AND(40&lt;=$B$12,$B$51&gt;0),$B$157+$B$156*(((40-0.5)*$B$13)+($B$51*$B$13)/2),NA())</f>
        <v>#N/A</v>
      </c>
      <c r="HT962" t="e">
        <f>IF(AND(40&lt;=$B$12,$B$51&gt;0),$B$158+$B$156*((1*$B$5/2+0.6*$B$159)+3*(((1*$B$5/2+$B$5/2-0.6*$B$159))-((1*$B$5/2+0.6*$B$159)))/4),NA())</f>
        <v>#N/A</v>
      </c>
    </row>
    <row r="963">
      <c r="HS963" t="e">
        <f>IF(AND(40&lt;=$B$12,$B$51&gt;0),$B$157+$B$156*(((40-0.5)*$B$13)-($B$51*$B$13)/2),NA())</f>
        <v>#N/A</v>
      </c>
      <c r="HT963" t="e">
        <f>IF(AND(40&lt;=$B$12,$B$51&gt;0),$B$158+$B$156*((1*$B$5/2+$B$5/2-0.6*$B$159)),NA())</f>
        <v>#N/A</v>
      </c>
    </row>
    <row r="964">
      <c r="HS964" t="e">
        <f>NA()</f>
        <v>#N/A</v>
      </c>
      <c r="HT964" t="e">
        <f>NA()</f>
        <v>#N/A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93"/>
  <sheetViews>
    <sheetView workbookViewId="0">
      <selection activeCell="A1" sqref="A1"/>
    </sheetView>
  </sheetViews>
  <sheetFormatPr baseColWidth="8" defaultRowHeight="15"/>
  <sheetData>
    <row r="1">
      <c r="A1" s="102" t="inlineStr">
        <is>
          <t>MOTEUR DE CALCUL DES 7 GABARITS (feuille masquée) – mêmes règles que les feuilles visibles</t>
        </is>
      </c>
    </row>
    <row r="2">
      <c r="A2" t="inlineStr">
        <is>
          <t>Gabarit</t>
        </is>
      </c>
      <c r="D2" t="inlineStr">
        <is>
          <t>10 × 30</t>
        </is>
      </c>
      <c r="E2" t="inlineStr">
        <is>
          <t>10 × 30</t>
        </is>
      </c>
      <c r="F2" t="inlineStr">
        <is>
          <t>10 × 30</t>
        </is>
      </c>
      <c r="G2" t="inlineStr">
        <is>
          <t>15 × 20</t>
        </is>
      </c>
      <c r="H2" t="inlineStr">
        <is>
          <t>15 × 20</t>
        </is>
      </c>
      <c r="I2" t="inlineStr">
        <is>
          <t>15 × 20</t>
        </is>
      </c>
      <c r="J2" t="inlineStr">
        <is>
          <t>15 × 30</t>
        </is>
      </c>
      <c r="K2" t="inlineStr">
        <is>
          <t>15 × 30</t>
        </is>
      </c>
      <c r="L2" t="inlineStr">
        <is>
          <t>15 × 30</t>
        </is>
      </c>
      <c r="M2" t="inlineStr">
        <is>
          <t>20 × 20</t>
        </is>
      </c>
      <c r="N2" t="inlineStr">
        <is>
          <t>20 × 20</t>
        </is>
      </c>
      <c r="O2" t="inlineStr">
        <is>
          <t>20 × 20</t>
        </is>
      </c>
      <c r="P2" t="inlineStr">
        <is>
          <t>20 × 40</t>
        </is>
      </c>
      <c r="Q2" t="inlineStr">
        <is>
          <t>20 × 40</t>
        </is>
      </c>
      <c r="R2" t="inlineStr">
        <is>
          <t>20 × 40</t>
        </is>
      </c>
      <c r="S2" t="inlineStr">
        <is>
          <t>30 × 40</t>
        </is>
      </c>
      <c r="T2" t="inlineStr">
        <is>
          <t>30 × 40</t>
        </is>
      </c>
      <c r="U2" t="inlineStr">
        <is>
          <t>30 × 40</t>
        </is>
      </c>
      <c r="V2" t="inlineStr">
        <is>
          <t>40 × 40</t>
        </is>
      </c>
      <c r="W2" t="inlineStr">
        <is>
          <t>40 × 40</t>
        </is>
      </c>
      <c r="X2" t="inlineStr">
        <is>
          <t>40 × 40</t>
        </is>
      </c>
    </row>
    <row r="3">
      <c r="A3" t="inlineStr">
        <is>
          <t>Scénario de façade</t>
        </is>
      </c>
      <c r="D3" t="inlineStr">
        <is>
          <t>Façade du paramétrage</t>
        </is>
      </c>
      <c r="E3" t="inlineStr">
        <is>
          <t>Bardage bac acier</t>
        </is>
      </c>
      <c r="F3" t="inlineStr">
        <is>
          <t>Agglos 15 creux</t>
        </is>
      </c>
      <c r="G3" t="inlineStr">
        <is>
          <t>Façade du paramétrage</t>
        </is>
      </c>
      <c r="H3" t="inlineStr">
        <is>
          <t>Bardage bac acier</t>
        </is>
      </c>
      <c r="I3" t="inlineStr">
        <is>
          <t>Agglos 15 creux</t>
        </is>
      </c>
      <c r="J3" t="inlineStr">
        <is>
          <t>Façade du paramétrage</t>
        </is>
      </c>
      <c r="K3" t="inlineStr">
        <is>
          <t>Bardage bac acier</t>
        </is>
      </c>
      <c r="L3" t="inlineStr">
        <is>
          <t>Agglos 15 creux</t>
        </is>
      </c>
      <c r="M3" t="inlineStr">
        <is>
          <t>Façade du paramétrage</t>
        </is>
      </c>
      <c r="N3" t="inlineStr">
        <is>
          <t>Bardage bac acier</t>
        </is>
      </c>
      <c r="O3" t="inlineStr">
        <is>
          <t>Agglos 15 creux</t>
        </is>
      </c>
      <c r="P3" t="inlineStr">
        <is>
          <t>Façade du paramétrage</t>
        </is>
      </c>
      <c r="Q3" t="inlineStr">
        <is>
          <t>Bardage bac acier</t>
        </is>
      </c>
      <c r="R3" t="inlineStr">
        <is>
          <t>Agglos 15 creux</t>
        </is>
      </c>
      <c r="S3" t="inlineStr">
        <is>
          <t>Façade du paramétrage</t>
        </is>
      </c>
      <c r="T3" t="inlineStr">
        <is>
          <t>Bardage bac acier</t>
        </is>
      </c>
      <c r="U3" t="inlineStr">
        <is>
          <t>Agglos 15 creux</t>
        </is>
      </c>
      <c r="V3" t="inlineStr">
        <is>
          <t>Façade du paramétrage</t>
        </is>
      </c>
      <c r="W3" t="inlineStr">
        <is>
          <t>Bardage bac acier</t>
        </is>
      </c>
      <c r="X3" t="inlineStr">
        <is>
          <t>Agglos 15 creux</t>
        </is>
      </c>
    </row>
    <row r="5">
      <c r="A5" t="inlineStr">
        <is>
          <t>gab_actif</t>
        </is>
      </c>
      <c r="B5" t="inlineStr">
        <is>
          <t>PARAMÈTRES!C8</t>
        </is>
      </c>
      <c r="D5" t="str">
        <f>"10 × 30"</f>
        <v>10 × 30</v>
      </c>
      <c r="E5" t="str">
        <f>"10 × 30"</f>
        <v>10 × 30</v>
      </c>
      <c r="F5" t="str">
        <f>"10 × 30"</f>
        <v>10 × 30</v>
      </c>
      <c r="G5" t="str">
        <f>"15 × 20"</f>
        <v>15 × 20</v>
      </c>
      <c r="H5" t="str">
        <f>"15 × 20"</f>
        <v>15 × 20</v>
      </c>
      <c r="I5" t="str">
        <f>"15 × 20"</f>
        <v>15 × 20</v>
      </c>
      <c r="J5" t="str">
        <f>"15 × 30"</f>
        <v>15 × 30</v>
      </c>
      <c r="K5" t="str">
        <f>"15 × 30"</f>
        <v>15 × 30</v>
      </c>
      <c r="L5" t="str">
        <f>"15 × 30"</f>
        <v>15 × 30</v>
      </c>
      <c r="M5" t="str">
        <f>"20 × 20"</f>
        <v>20 × 20</v>
      </c>
      <c r="N5" t="str">
        <f>"20 × 20"</f>
        <v>20 × 20</v>
      </c>
      <c r="O5" t="str">
        <f>"20 × 20"</f>
        <v>20 × 20</v>
      </c>
      <c r="P5" t="str">
        <f>"20 × 40"</f>
        <v>20 × 40</v>
      </c>
      <c r="Q5" t="str">
        <f>"20 × 40"</f>
        <v>20 × 40</v>
      </c>
      <c r="R5" t="str">
        <f>"20 × 40"</f>
        <v>20 × 40</v>
      </c>
      <c r="S5" t="str">
        <f>"30 × 40"</f>
        <v>30 × 40</v>
      </c>
      <c r="T5" t="str">
        <f>"30 × 40"</f>
        <v>30 × 40</v>
      </c>
      <c r="U5" t="str">
        <f>"30 × 40"</f>
        <v>30 × 40</v>
      </c>
      <c r="V5" t="str">
        <f>"40 × 40"</f>
        <v>40 × 40</v>
      </c>
      <c r="W5" t="str">
        <f>"40 × 40"</f>
        <v>40 × 40</v>
      </c>
      <c r="X5" t="str">
        <f>"40 × 40"</f>
        <v>40 × 40</v>
      </c>
    </row>
    <row r="6">
      <c r="A6" t="inlineStr">
        <is>
          <t>portee</t>
        </is>
      </c>
      <c r="B6" t="inlineStr">
        <is>
          <t>PARAMÈTRES!C9</t>
        </is>
      </c>
      <c r="D6">
        <f>'PARAMÈTRES'!$H$5</f>
        <v>10</v>
      </c>
      <c r="E6">
        <f>'PARAMÈTRES'!$H$5</f>
        <v>10</v>
      </c>
      <c r="F6">
        <f>'PARAMÈTRES'!$H$5</f>
        <v>10</v>
      </c>
      <c r="G6">
        <f>'PARAMÈTRES'!$H$6</f>
        <v>15</v>
      </c>
      <c r="H6">
        <f>'PARAMÈTRES'!$H$6</f>
        <v>15</v>
      </c>
      <c r="I6">
        <f>'PARAMÈTRES'!$H$6</f>
        <v>15</v>
      </c>
      <c r="J6">
        <f>'PARAMÈTRES'!$H$7</f>
        <v>15</v>
      </c>
      <c r="K6">
        <f>'PARAMÈTRES'!$H$7</f>
        <v>15</v>
      </c>
      <c r="L6">
        <f>'PARAMÈTRES'!$H$7</f>
        <v>15</v>
      </c>
      <c r="M6">
        <f>'PARAMÈTRES'!$H$8</f>
        <v>20</v>
      </c>
      <c r="N6">
        <f>'PARAMÈTRES'!$H$8</f>
        <v>20</v>
      </c>
      <c r="O6">
        <f>'PARAMÈTRES'!$H$8</f>
        <v>20</v>
      </c>
      <c r="P6">
        <f>'PARAMÈTRES'!$H$9</f>
        <v>20</v>
      </c>
      <c r="Q6">
        <f>'PARAMÈTRES'!$H$9</f>
        <v>20</v>
      </c>
      <c r="R6">
        <f>'PARAMÈTRES'!$H$9</f>
        <v>20</v>
      </c>
      <c r="S6">
        <f>'PARAMÈTRES'!$H$10</f>
        <v>30</v>
      </c>
      <c r="T6">
        <f>'PARAMÈTRES'!$H$10</f>
        <v>30</v>
      </c>
      <c r="U6">
        <f>'PARAMÈTRES'!$H$10</f>
        <v>30</v>
      </c>
      <c r="V6">
        <f>'PARAMÈTRES'!$H$11</f>
        <v>40</v>
      </c>
      <c r="W6">
        <f>'PARAMÈTRES'!$H$11</f>
        <v>40</v>
      </c>
      <c r="X6">
        <f>'PARAMÈTRES'!$H$11</f>
        <v>40</v>
      </c>
    </row>
    <row r="7">
      <c r="A7" t="inlineStr">
        <is>
          <t>longueur</t>
        </is>
      </c>
      <c r="B7" t="inlineStr">
        <is>
          <t>PARAMÈTRES!C10</t>
        </is>
      </c>
      <c r="D7">
        <f>'PARAMÈTRES'!$I$5</f>
        <v>30</v>
      </c>
      <c r="E7">
        <f>'PARAMÈTRES'!$I$5</f>
        <v>30</v>
      </c>
      <c r="F7">
        <f>'PARAMÈTRES'!$I$5</f>
        <v>30</v>
      </c>
      <c r="G7">
        <f>'PARAMÈTRES'!$I$6</f>
        <v>20</v>
      </c>
      <c r="H7">
        <f>'PARAMÈTRES'!$I$6</f>
        <v>20</v>
      </c>
      <c r="I7">
        <f>'PARAMÈTRES'!$I$6</f>
        <v>20</v>
      </c>
      <c r="J7">
        <f>'PARAMÈTRES'!$I$7</f>
        <v>30</v>
      </c>
      <c r="K7">
        <f>'PARAMÈTRES'!$I$7</f>
        <v>30</v>
      </c>
      <c r="L7">
        <f>'PARAMÈTRES'!$I$7</f>
        <v>30</v>
      </c>
      <c r="M7">
        <f>'PARAMÈTRES'!$I$8</f>
        <v>20</v>
      </c>
      <c r="N7">
        <f>'PARAMÈTRES'!$I$8</f>
        <v>20</v>
      </c>
      <c r="O7">
        <f>'PARAMÈTRES'!$I$8</f>
        <v>20</v>
      </c>
      <c r="P7">
        <f>'PARAMÈTRES'!$I$9</f>
        <v>40</v>
      </c>
      <c r="Q7">
        <f>'PARAMÈTRES'!$I$9</f>
        <v>40</v>
      </c>
      <c r="R7">
        <f>'PARAMÈTRES'!$I$9</f>
        <v>40</v>
      </c>
      <c r="S7">
        <f>'PARAMÈTRES'!$I$10</f>
        <v>40</v>
      </c>
      <c r="T7">
        <f>'PARAMÈTRES'!$I$10</f>
        <v>40</v>
      </c>
      <c r="U7">
        <f>'PARAMÈTRES'!$I$10</f>
        <v>40</v>
      </c>
      <c r="V7">
        <f>'PARAMÈTRES'!$I$11</f>
        <v>40</v>
      </c>
      <c r="W7">
        <f>'PARAMÈTRES'!$I$11</f>
        <v>40</v>
      </c>
      <c r="X7">
        <f>'PARAMÈTRES'!$I$11</f>
        <v>40</v>
      </c>
    </row>
    <row r="8">
      <c r="A8" t="inlineStr">
        <is>
          <t>hauteur</t>
        </is>
      </c>
      <c r="B8" t="inlineStr">
        <is>
          <t>PARAMÈTRES!C11</t>
        </is>
      </c>
      <c r="D8">
        <f>'PARAMÈTRES'!$J$5</f>
        <v>6</v>
      </c>
      <c r="E8">
        <f>'PARAMÈTRES'!$J$5</f>
        <v>6</v>
      </c>
      <c r="F8">
        <f>'PARAMÈTRES'!$J$5</f>
        <v>6</v>
      </c>
      <c r="G8">
        <f>'PARAMÈTRES'!$J$6</f>
        <v>6</v>
      </c>
      <c r="H8">
        <f>'PARAMÈTRES'!$J$6</f>
        <v>6</v>
      </c>
      <c r="I8">
        <f>'PARAMÈTRES'!$J$6</f>
        <v>6</v>
      </c>
      <c r="J8">
        <f>'PARAMÈTRES'!$J$7</f>
        <v>6</v>
      </c>
      <c r="K8">
        <f>'PARAMÈTRES'!$J$7</f>
        <v>6</v>
      </c>
      <c r="L8">
        <f>'PARAMÈTRES'!$J$7</f>
        <v>6</v>
      </c>
      <c r="M8">
        <f>'PARAMÈTRES'!$J$8</f>
        <v>6</v>
      </c>
      <c r="N8">
        <f>'PARAMÈTRES'!$J$8</f>
        <v>6</v>
      </c>
      <c r="O8">
        <f>'PARAMÈTRES'!$J$8</f>
        <v>6</v>
      </c>
      <c r="P8">
        <f>'PARAMÈTRES'!$J$9</f>
        <v>6</v>
      </c>
      <c r="Q8">
        <f>'PARAMÈTRES'!$J$9</f>
        <v>6</v>
      </c>
      <c r="R8">
        <f>'PARAMÈTRES'!$J$9</f>
        <v>6</v>
      </c>
      <c r="S8">
        <f>'PARAMÈTRES'!$J$10</f>
        <v>6</v>
      </c>
      <c r="T8">
        <f>'PARAMÈTRES'!$J$10</f>
        <v>6</v>
      </c>
      <c r="U8">
        <f>'PARAMÈTRES'!$J$10</f>
        <v>6</v>
      </c>
      <c r="V8">
        <f>'PARAMÈTRES'!$J$11</f>
        <v>6</v>
      </c>
      <c r="W8">
        <f>'PARAMÈTRES'!$J$11</f>
        <v>6</v>
      </c>
      <c r="X8">
        <f>'PARAMÈTRES'!$J$11</f>
        <v>6</v>
      </c>
    </row>
    <row r="9">
      <c r="A9" t="inlineStr">
        <is>
          <t>pente</t>
        </is>
      </c>
      <c r="B9" t="inlineStr">
        <is>
          <t>PARAMÈTRES!C12</t>
        </is>
      </c>
      <c r="D9">
        <f>'PARAMÈTRES'!$K$5</f>
        <v>0.16</v>
      </c>
      <c r="E9">
        <f>'PARAMÈTRES'!$K$5</f>
        <v>0.16</v>
      </c>
      <c r="F9">
        <f>'PARAMÈTRES'!$K$5</f>
        <v>0.16</v>
      </c>
      <c r="G9">
        <f>'PARAMÈTRES'!$K$6</f>
        <v>0.16</v>
      </c>
      <c r="H9">
        <f>'PARAMÈTRES'!$K$6</f>
        <v>0.16</v>
      </c>
      <c r="I9">
        <f>'PARAMÈTRES'!$K$6</f>
        <v>0.16</v>
      </c>
      <c r="J9">
        <f>'PARAMÈTRES'!$K$7</f>
        <v>0.16</v>
      </c>
      <c r="K9">
        <f>'PARAMÈTRES'!$K$7</f>
        <v>0.16</v>
      </c>
      <c r="L9">
        <f>'PARAMÈTRES'!$K$7</f>
        <v>0.16</v>
      </c>
      <c r="M9">
        <f>'PARAMÈTRES'!$K$8</f>
        <v>0.16</v>
      </c>
      <c r="N9">
        <f>'PARAMÈTRES'!$K$8</f>
        <v>0.16</v>
      </c>
      <c r="O9">
        <f>'PARAMÈTRES'!$K$8</f>
        <v>0.16</v>
      </c>
      <c r="P9">
        <f>'PARAMÈTRES'!$K$9</f>
        <v>0.16</v>
      </c>
      <c r="Q9">
        <f>'PARAMÈTRES'!$K$9</f>
        <v>0.16</v>
      </c>
      <c r="R9">
        <f>'PARAMÈTRES'!$K$9</f>
        <v>0.16</v>
      </c>
      <c r="S9">
        <f>'PARAMÈTRES'!$K$10</f>
        <v>0.16</v>
      </c>
      <c r="T9">
        <f>'PARAMÈTRES'!$K$10</f>
        <v>0.16</v>
      </c>
      <c r="U9">
        <f>'PARAMÈTRES'!$K$10</f>
        <v>0.16</v>
      </c>
      <c r="V9">
        <f>'PARAMÈTRES'!$K$11</f>
        <v>0.16</v>
      </c>
      <c r="W9">
        <f>'PARAMÈTRES'!$K$11</f>
        <v>0.16</v>
      </c>
      <c r="X9">
        <f>'PARAMÈTRES'!$K$11</f>
        <v>0.16</v>
      </c>
    </row>
    <row r="10">
      <c r="A10" t="inlineStr">
        <is>
          <t>idx_regle</t>
        </is>
      </c>
      <c r="B10" t="inlineStr">
        <is>
          <t>PRÉDIMENSIONNEMENT!C25</t>
        </is>
      </c>
      <c r="D10">
        <f>COUNTIF('PRÉDIMENSIONNEMENT'!$B$6:$B$14,"&lt;"&amp;D6)+1</f>
        <v>1</v>
      </c>
      <c r="E10">
        <f>COUNTIF('PRÉDIMENSIONNEMENT'!$B$6:$B$14,"&lt;"&amp;E6)+1</f>
        <v>1</v>
      </c>
      <c r="F10">
        <f>COUNTIF('PRÉDIMENSIONNEMENT'!$B$6:$B$14,"&lt;"&amp;F6)+1</f>
        <v>1</v>
      </c>
      <c r="G10">
        <f>COUNTIF('PRÉDIMENSIONNEMENT'!$B$6:$B$14,"&lt;"&amp;G6)+1</f>
        <v>2</v>
      </c>
      <c r="H10">
        <f>COUNTIF('PRÉDIMENSIONNEMENT'!$B$6:$B$14,"&lt;"&amp;H6)+1</f>
        <v>2</v>
      </c>
      <c r="I10">
        <f>COUNTIF('PRÉDIMENSIONNEMENT'!$B$6:$B$14,"&lt;"&amp;I6)+1</f>
        <v>2</v>
      </c>
      <c r="J10">
        <f>COUNTIF('PRÉDIMENSIONNEMENT'!$B$6:$B$14,"&lt;"&amp;J6)+1</f>
        <v>2</v>
      </c>
      <c r="K10">
        <f>COUNTIF('PRÉDIMENSIONNEMENT'!$B$6:$B$14,"&lt;"&amp;K6)+1</f>
        <v>2</v>
      </c>
      <c r="L10">
        <f>COUNTIF('PRÉDIMENSIONNEMENT'!$B$6:$B$14,"&lt;"&amp;L6)+1</f>
        <v>2</v>
      </c>
      <c r="M10">
        <f>COUNTIF('PRÉDIMENSIONNEMENT'!$B$6:$B$14,"&lt;"&amp;M6)+1</f>
        <v>3</v>
      </c>
      <c r="N10">
        <f>COUNTIF('PRÉDIMENSIONNEMENT'!$B$6:$B$14,"&lt;"&amp;N6)+1</f>
        <v>3</v>
      </c>
      <c r="O10">
        <f>COUNTIF('PRÉDIMENSIONNEMENT'!$B$6:$B$14,"&lt;"&amp;O6)+1</f>
        <v>3</v>
      </c>
      <c r="P10">
        <f>COUNTIF('PRÉDIMENSIONNEMENT'!$B$6:$B$14,"&lt;"&amp;P6)+1</f>
        <v>3</v>
      </c>
      <c r="Q10">
        <f>COUNTIF('PRÉDIMENSIONNEMENT'!$B$6:$B$14,"&lt;"&amp;Q6)+1</f>
        <v>3</v>
      </c>
      <c r="R10">
        <f>COUNTIF('PRÉDIMENSIONNEMENT'!$B$6:$B$14,"&lt;"&amp;R6)+1</f>
        <v>3</v>
      </c>
      <c r="S10">
        <f>COUNTIF('PRÉDIMENSIONNEMENT'!$B$6:$B$14,"&lt;"&amp;S6)+1</f>
        <v>5</v>
      </c>
      <c r="T10">
        <f>COUNTIF('PRÉDIMENSIONNEMENT'!$B$6:$B$14,"&lt;"&amp;T6)+1</f>
        <v>5</v>
      </c>
      <c r="U10">
        <f>COUNTIF('PRÉDIMENSIONNEMENT'!$B$6:$B$14,"&lt;"&amp;U6)+1</f>
        <v>5</v>
      </c>
      <c r="V10">
        <f>COUNTIF('PRÉDIMENSIONNEMENT'!$B$6:$B$14,"&lt;"&amp;V6)+1</f>
        <v>7</v>
      </c>
      <c r="W10">
        <f>COUNTIF('PRÉDIMENSIONNEMENT'!$B$6:$B$14,"&lt;"&amp;W6)+1</f>
        <v>7</v>
      </c>
      <c r="X10">
        <f>COUNTIF('PRÉDIMENSIONNEMENT'!$B$6:$B$14,"&lt;"&amp;X6)+1</f>
        <v>7</v>
      </c>
    </row>
    <row r="11">
      <c r="A11" t="inlineStr">
        <is>
          <t>systeme</t>
        </is>
      </c>
      <c r="B11" t="inlineStr">
        <is>
          <t>PRÉDIMENSIONNEMENT!C26</t>
        </is>
      </c>
      <c r="D11" t="str">
        <f>IF(D6&lt;=20,"Portique IPE avec jarrets",IF(D6&lt;=30,IF('PARAMÈTRES'!$C$20="Ferme treillis","Ferme treillis","Portique IPE renforcé"),"Ferme treillis"))</f>
        <v>Portique IPE avec jarrets</v>
      </c>
      <c r="E11" t="str">
        <f>IF(E6&lt;=20,"Portique IPE avec jarrets",IF(E6&lt;=30,IF('PARAMÈTRES'!$C$20="Ferme treillis","Ferme treillis","Portique IPE renforcé"),"Ferme treillis"))</f>
        <v>Portique IPE avec jarrets</v>
      </c>
      <c r="F11" t="str">
        <f>IF(F6&lt;=20,"Portique IPE avec jarrets",IF(F6&lt;=30,IF('PARAMÈTRES'!$C$20="Ferme treillis","Ferme treillis","Portique IPE renforcé"),"Ferme treillis"))</f>
        <v>Portique IPE avec jarrets</v>
      </c>
      <c r="G11" t="str">
        <f>IF(G6&lt;=20,"Portique IPE avec jarrets",IF(G6&lt;=30,IF('PARAMÈTRES'!$C$20="Ferme treillis","Ferme treillis","Portique IPE renforcé"),"Ferme treillis"))</f>
        <v>Portique IPE avec jarrets</v>
      </c>
      <c r="H11" t="str">
        <f>IF(H6&lt;=20,"Portique IPE avec jarrets",IF(H6&lt;=30,IF('PARAMÈTRES'!$C$20="Ferme treillis","Ferme treillis","Portique IPE renforcé"),"Ferme treillis"))</f>
        <v>Portique IPE avec jarrets</v>
      </c>
      <c r="I11" t="str">
        <f>IF(I6&lt;=20,"Portique IPE avec jarrets",IF(I6&lt;=30,IF('PARAMÈTRES'!$C$20="Ferme treillis","Ferme treillis","Portique IPE renforcé"),"Ferme treillis"))</f>
        <v>Portique IPE avec jarrets</v>
      </c>
      <c r="J11" t="str">
        <f>IF(J6&lt;=20,"Portique IPE avec jarrets",IF(J6&lt;=30,IF('PARAMÈTRES'!$C$20="Ferme treillis","Ferme treillis","Portique IPE renforcé"),"Ferme treillis"))</f>
        <v>Portique IPE avec jarrets</v>
      </c>
      <c r="K11" t="str">
        <f>IF(K6&lt;=20,"Portique IPE avec jarrets",IF(K6&lt;=30,IF('PARAMÈTRES'!$C$20="Ferme treillis","Ferme treillis","Portique IPE renforcé"),"Ferme treillis"))</f>
        <v>Portique IPE avec jarrets</v>
      </c>
      <c r="L11" t="str">
        <f>IF(L6&lt;=20,"Portique IPE avec jarrets",IF(L6&lt;=30,IF('PARAMÈTRES'!$C$20="Ferme treillis","Ferme treillis","Portique IPE renforcé"),"Ferme treillis"))</f>
        <v>Portique IPE avec jarrets</v>
      </c>
      <c r="M11" t="str">
        <f>IF(M6&lt;=20,"Portique IPE avec jarrets",IF(M6&lt;=30,IF('PARAMÈTRES'!$C$20="Ferme treillis","Ferme treillis","Portique IPE renforcé"),"Ferme treillis"))</f>
        <v>Portique IPE avec jarrets</v>
      </c>
      <c r="N11" t="str">
        <f>IF(N6&lt;=20,"Portique IPE avec jarrets",IF(N6&lt;=30,IF('PARAMÈTRES'!$C$20="Ferme treillis","Ferme treillis","Portique IPE renforcé"),"Ferme treillis"))</f>
        <v>Portique IPE avec jarrets</v>
      </c>
      <c r="O11" t="str">
        <f>IF(O6&lt;=20,"Portique IPE avec jarrets",IF(O6&lt;=30,IF('PARAMÈTRES'!$C$20="Ferme treillis","Ferme treillis","Portique IPE renforcé"),"Ferme treillis"))</f>
        <v>Portique IPE avec jarrets</v>
      </c>
      <c r="P11" t="str">
        <f>IF(P6&lt;=20,"Portique IPE avec jarrets",IF(P6&lt;=30,IF('PARAMÈTRES'!$C$20="Ferme treillis","Ferme treillis","Portique IPE renforcé"),"Ferme treillis"))</f>
        <v>Portique IPE avec jarrets</v>
      </c>
      <c r="Q11" t="str">
        <f>IF(Q6&lt;=20,"Portique IPE avec jarrets",IF(Q6&lt;=30,IF('PARAMÈTRES'!$C$20="Ferme treillis","Ferme treillis","Portique IPE renforcé"),"Ferme treillis"))</f>
        <v>Portique IPE avec jarrets</v>
      </c>
      <c r="R11" t="str">
        <f>IF(R6&lt;=20,"Portique IPE avec jarrets",IF(R6&lt;=30,IF('PARAMÈTRES'!$C$20="Ferme treillis","Ferme treillis","Portique IPE renforcé"),"Ferme treillis"))</f>
        <v>Portique IPE avec jarrets</v>
      </c>
      <c r="S11" t="str">
        <f>IF(S6&lt;=20,"Portique IPE avec jarrets",IF(S6&lt;=30,IF('PARAMÈTRES'!$C$20="Ferme treillis","Ferme treillis","Portique IPE renforcé"),"Ferme treillis"))</f>
        <v>Portique IPE renforcé</v>
      </c>
      <c r="T11" t="str">
        <f>IF(T6&lt;=20,"Portique IPE avec jarrets",IF(T6&lt;=30,IF('PARAMÈTRES'!$C$20="Ferme treillis","Ferme treillis","Portique IPE renforcé"),"Ferme treillis"))</f>
        <v>Portique IPE renforcé</v>
      </c>
      <c r="U11" t="str">
        <f>IF(U6&lt;=20,"Portique IPE avec jarrets",IF(U6&lt;=30,IF('PARAMÈTRES'!$C$20="Ferme treillis","Ferme treillis","Portique IPE renforcé"),"Ferme treillis"))</f>
        <v>Portique IPE renforcé</v>
      </c>
      <c r="V11" t="str">
        <f>IF(V6&lt;=20,"Portique IPE avec jarrets",IF(V6&lt;=30,IF('PARAMÈTRES'!$C$20="Ferme treillis","Ferme treillis","Portique IPE renforcé"),"Ferme treillis"))</f>
        <v>Ferme treillis</v>
      </c>
      <c r="W11" t="str">
        <f>IF(W6&lt;=20,"Portique IPE avec jarrets",IF(W6&lt;=30,IF('PARAMÈTRES'!$C$20="Ferme treillis","Ferme treillis","Portique IPE renforcé"),"Ferme treillis"))</f>
        <v>Ferme treillis</v>
      </c>
      <c r="X11" t="str">
        <f>IF(X6&lt;=20,"Portique IPE avec jarrets",IF(X6&lt;=30,IF('PARAMÈTRES'!$C$20="Ferme treillis","Ferme treillis","Portique IPE renforcé"),"Ferme treillis"))</f>
        <v>Ferme treillis</v>
      </c>
    </row>
    <row r="12">
      <c r="A12" t="inlineStr">
        <is>
          <t>treil</t>
        </is>
      </c>
      <c r="B12" t="inlineStr">
        <is>
          <t>PRÉDIMENSIONNEMENT!C27</t>
        </is>
      </c>
      <c r="D12">
        <f>IF(D11="Ferme treillis",1,0)</f>
        <v>0</v>
      </c>
      <c r="E12">
        <f>IF(E11="Ferme treillis",1,0)</f>
        <v>0</v>
      </c>
      <c r="F12">
        <f>IF(F11="Ferme treillis",1,0)</f>
        <v>0</v>
      </c>
      <c r="G12">
        <f>IF(G11="Ferme treillis",1,0)</f>
        <v>0</v>
      </c>
      <c r="H12">
        <f>IF(H11="Ferme treillis",1,0)</f>
        <v>0</v>
      </c>
      <c r="I12">
        <f>IF(I11="Ferme treillis",1,0)</f>
        <v>0</v>
      </c>
      <c r="J12">
        <f>IF(J11="Ferme treillis",1,0)</f>
        <v>0</v>
      </c>
      <c r="K12">
        <f>IF(K11="Ferme treillis",1,0)</f>
        <v>0</v>
      </c>
      <c r="L12">
        <f>IF(L11="Ferme treillis",1,0)</f>
        <v>0</v>
      </c>
      <c r="M12">
        <f>IF(M11="Ferme treillis",1,0)</f>
        <v>0</v>
      </c>
      <c r="N12">
        <f>IF(N11="Ferme treillis",1,0)</f>
        <v>0</v>
      </c>
      <c r="O12">
        <f>IF(O11="Ferme treillis",1,0)</f>
        <v>0</v>
      </c>
      <c r="P12">
        <f>IF(P11="Ferme treillis",1,0)</f>
        <v>0</v>
      </c>
      <c r="Q12">
        <f>IF(Q11="Ferme treillis",1,0)</f>
        <v>0</v>
      </c>
      <c r="R12">
        <f>IF(R11="Ferme treillis",1,0)</f>
        <v>0</v>
      </c>
      <c r="S12">
        <f>IF(S11="Ferme treillis",1,0)</f>
        <v>0</v>
      </c>
      <c r="T12">
        <f>IF(T11="Ferme treillis",1,0)</f>
        <v>0</v>
      </c>
      <c r="U12">
        <f>IF(U11="Ferme treillis",1,0)</f>
        <v>0</v>
      </c>
      <c r="V12">
        <f>IF(V11="Ferme treillis",1,0)</f>
        <v>1</v>
      </c>
      <c r="W12">
        <f>IF(W11="Ferme treillis",1,0)</f>
        <v>1</v>
      </c>
      <c r="X12">
        <f>IF(X11="Ferme treillis",1,0)</f>
        <v>1</v>
      </c>
    </row>
    <row r="13">
      <c r="A13" t="inlineStr">
        <is>
          <t>nt</t>
        </is>
      </c>
      <c r="B13" t="inlineStr">
        <is>
          <t>PRÉDIMENSIONNEMENT!C28</t>
        </is>
      </c>
      <c r="D13">
        <f>MAX(1,ROUNDUP(D7/'PARAMÈTRES'!$C$15,0))</f>
        <v>5</v>
      </c>
      <c r="E13">
        <f>MAX(1,ROUNDUP(E7/'PARAMÈTRES'!$C$15,0))</f>
        <v>5</v>
      </c>
      <c r="F13">
        <f>MAX(1,ROUNDUP(F7/'PARAMÈTRES'!$C$15,0))</f>
        <v>5</v>
      </c>
      <c r="G13">
        <f>MAX(1,ROUNDUP(G7/'PARAMÈTRES'!$C$15,0))</f>
        <v>4</v>
      </c>
      <c r="H13">
        <f>MAX(1,ROUNDUP(H7/'PARAMÈTRES'!$C$15,0))</f>
        <v>4</v>
      </c>
      <c r="I13">
        <f>MAX(1,ROUNDUP(I7/'PARAMÈTRES'!$C$15,0))</f>
        <v>4</v>
      </c>
      <c r="J13">
        <f>MAX(1,ROUNDUP(J7/'PARAMÈTRES'!$C$15,0))</f>
        <v>5</v>
      </c>
      <c r="K13">
        <f>MAX(1,ROUNDUP(K7/'PARAMÈTRES'!$C$15,0))</f>
        <v>5</v>
      </c>
      <c r="L13">
        <f>MAX(1,ROUNDUP(L7/'PARAMÈTRES'!$C$15,0))</f>
        <v>5</v>
      </c>
      <c r="M13">
        <f>MAX(1,ROUNDUP(M7/'PARAMÈTRES'!$C$15,0))</f>
        <v>4</v>
      </c>
      <c r="N13">
        <f>MAX(1,ROUNDUP(N7/'PARAMÈTRES'!$C$15,0))</f>
        <v>4</v>
      </c>
      <c r="O13">
        <f>MAX(1,ROUNDUP(O7/'PARAMÈTRES'!$C$15,0))</f>
        <v>4</v>
      </c>
      <c r="P13">
        <f>MAX(1,ROUNDUP(P7/'PARAMÈTRES'!$C$15,0))</f>
        <v>7</v>
      </c>
      <c r="Q13">
        <f>MAX(1,ROUNDUP(Q7/'PARAMÈTRES'!$C$15,0))</f>
        <v>7</v>
      </c>
      <c r="R13">
        <f>MAX(1,ROUNDUP(R7/'PARAMÈTRES'!$C$15,0))</f>
        <v>7</v>
      </c>
      <c r="S13">
        <f>MAX(1,ROUNDUP(S7/'PARAMÈTRES'!$C$15,0))</f>
        <v>7</v>
      </c>
      <c r="T13">
        <f>MAX(1,ROUNDUP(T7/'PARAMÈTRES'!$C$15,0))</f>
        <v>7</v>
      </c>
      <c r="U13">
        <f>MAX(1,ROUNDUP(U7/'PARAMÈTRES'!$C$15,0))</f>
        <v>7</v>
      </c>
      <c r="V13">
        <f>MAX(1,ROUNDUP(V7/'PARAMÈTRES'!$C$15,0))</f>
        <v>7</v>
      </c>
      <c r="W13">
        <f>MAX(1,ROUNDUP(W7/'PARAMÈTRES'!$C$15,0))</f>
        <v>7</v>
      </c>
      <c r="X13">
        <f>MAX(1,ROUNDUP(X7/'PARAMÈTRES'!$C$15,0))</f>
        <v>7</v>
      </c>
    </row>
    <row r="14">
      <c r="A14" t="inlineStr">
        <is>
          <t>N</t>
        </is>
      </c>
      <c r="B14" t="inlineStr">
        <is>
          <t>PRÉDIMENSIONNEMENT!C29</t>
        </is>
      </c>
      <c r="D14">
        <f>D13+1</f>
        <v>6</v>
      </c>
      <c r="E14">
        <f>E13+1</f>
        <v>6</v>
      </c>
      <c r="F14">
        <f>F13+1</f>
        <v>6</v>
      </c>
      <c r="G14">
        <f>G13+1</f>
        <v>5</v>
      </c>
      <c r="H14">
        <f>H13+1</f>
        <v>5</v>
      </c>
      <c r="I14">
        <f>I13+1</f>
        <v>5</v>
      </c>
      <c r="J14">
        <f>J13+1</f>
        <v>6</v>
      </c>
      <c r="K14">
        <f>K13+1</f>
        <v>6</v>
      </c>
      <c r="L14">
        <f>L13+1</f>
        <v>6</v>
      </c>
      <c r="M14">
        <f>M13+1</f>
        <v>5</v>
      </c>
      <c r="N14">
        <f>N13+1</f>
        <v>5</v>
      </c>
      <c r="O14">
        <f>O13+1</f>
        <v>5</v>
      </c>
      <c r="P14">
        <f>P13+1</f>
        <v>8</v>
      </c>
      <c r="Q14">
        <f>Q13+1</f>
        <v>8</v>
      </c>
      <c r="R14">
        <f>R13+1</f>
        <v>8</v>
      </c>
      <c r="S14">
        <f>S13+1</f>
        <v>8</v>
      </c>
      <c r="T14">
        <f>T13+1</f>
        <v>8</v>
      </c>
      <c r="U14">
        <f>U13+1</f>
        <v>8</v>
      </c>
      <c r="V14">
        <f>V13+1</f>
        <v>8</v>
      </c>
      <c r="W14">
        <f>W13+1</f>
        <v>8</v>
      </c>
      <c r="X14">
        <f>X13+1</f>
        <v>8</v>
      </c>
    </row>
    <row r="15">
      <c r="A15" t="inlineStr">
        <is>
          <t>er</t>
        </is>
      </c>
      <c r="B15" t="inlineStr">
        <is>
          <t>PRÉDIMENSIONNEMENT!C30</t>
        </is>
      </c>
      <c r="D15">
        <f>D7/D13</f>
        <v>6</v>
      </c>
      <c r="E15">
        <f>E7/E13</f>
        <v>6</v>
      </c>
      <c r="F15">
        <f>F7/F13</f>
        <v>6</v>
      </c>
      <c r="G15">
        <f>G7/G13</f>
        <v>5</v>
      </c>
      <c r="H15">
        <f>H7/H13</f>
        <v>5</v>
      </c>
      <c r="I15">
        <f>I7/I13</f>
        <v>5</v>
      </c>
      <c r="J15">
        <f>J7/J13</f>
        <v>6</v>
      </c>
      <c r="K15">
        <f>K7/K13</f>
        <v>6</v>
      </c>
      <c r="L15">
        <f>L7/L13</f>
        <v>6</v>
      </c>
      <c r="M15">
        <f>M7/M13</f>
        <v>5</v>
      </c>
      <c r="N15">
        <f>N7/N13</f>
        <v>5</v>
      </c>
      <c r="O15">
        <f>O7/O13</f>
        <v>5</v>
      </c>
      <c r="P15">
        <f>P7/P13</f>
        <v>5.71428571428571</v>
      </c>
      <c r="Q15">
        <f>Q7/Q13</f>
        <v>5.71428571428571</v>
      </c>
      <c r="R15">
        <f>R7/R13</f>
        <v>5.71428571428571</v>
      </c>
      <c r="S15">
        <f>S7/S13</f>
        <v>5.71428571428571</v>
      </c>
      <c r="T15">
        <f>T7/T13</f>
        <v>5.71428571428571</v>
      </c>
      <c r="U15">
        <f>U7/U13</f>
        <v>5.71428571428571</v>
      </c>
      <c r="V15">
        <f>V7/V13</f>
        <v>5.71428571428571</v>
      </c>
      <c r="W15">
        <f>W7/W13</f>
        <v>5.71428571428571</v>
      </c>
      <c r="X15">
        <f>X7/X13</f>
        <v>5.71428571428571</v>
      </c>
    </row>
    <row r="16">
      <c r="A16" t="inlineStr">
        <is>
          <t>R1</t>
        </is>
      </c>
      <c r="B16" t="inlineStr">
        <is>
          <t>PRÉDIMENSIONNEMENT!C31</t>
        </is>
      </c>
      <c r="D16">
        <f>(D6/2)/COS(ATAN(D9))</f>
        <v>5.06359556046886</v>
      </c>
      <c r="E16">
        <f>(E6/2)/COS(ATAN(E9))</f>
        <v>5.06359556046886</v>
      </c>
      <c r="F16">
        <f>(F6/2)/COS(ATAN(F9))</f>
        <v>5.06359556046886</v>
      </c>
      <c r="G16">
        <f>(G6/2)/COS(ATAN(G9))</f>
        <v>7.5953933407033</v>
      </c>
      <c r="H16">
        <f>(H6/2)/COS(ATAN(H9))</f>
        <v>7.5953933407033</v>
      </c>
      <c r="I16">
        <f>(I6/2)/COS(ATAN(I9))</f>
        <v>7.5953933407033</v>
      </c>
      <c r="J16">
        <f>(J6/2)/COS(ATAN(J9))</f>
        <v>7.5953933407033</v>
      </c>
      <c r="K16">
        <f>(K6/2)/COS(ATAN(K9))</f>
        <v>7.5953933407033</v>
      </c>
      <c r="L16">
        <f>(L6/2)/COS(ATAN(L9))</f>
        <v>7.5953933407033</v>
      </c>
      <c r="M16">
        <f>(M6/2)/COS(ATAN(M9))</f>
        <v>10.1271911209377</v>
      </c>
      <c r="N16">
        <f>(N6/2)/COS(ATAN(N9))</f>
        <v>10.1271911209377</v>
      </c>
      <c r="O16">
        <f>(O6/2)/COS(ATAN(O9))</f>
        <v>10.1271911209377</v>
      </c>
      <c r="P16">
        <f>(P6/2)/COS(ATAN(P9))</f>
        <v>10.1271911209377</v>
      </c>
      <c r="Q16">
        <f>(Q6/2)/COS(ATAN(Q9))</f>
        <v>10.1271911209377</v>
      </c>
      <c r="R16">
        <f>(R6/2)/COS(ATAN(R9))</f>
        <v>10.1271911209377</v>
      </c>
      <c r="S16">
        <f>(S6/2)/COS(ATAN(S9))</f>
        <v>15.1907866814066</v>
      </c>
      <c r="T16">
        <f>(T6/2)/COS(ATAN(T9))</f>
        <v>15.1907866814066</v>
      </c>
      <c r="U16">
        <f>(U6/2)/COS(ATAN(U9))</f>
        <v>15.1907866814066</v>
      </c>
      <c r="V16">
        <f>(V6/2)/COS(ATAN(V9))</f>
        <v>20.2543822418755</v>
      </c>
      <c r="W16">
        <f>(W6/2)/COS(ATAN(W9))</f>
        <v>20.2543822418755</v>
      </c>
      <c r="X16">
        <f>(X6/2)/COS(ATAN(X9))</f>
        <v>20.2543822418755</v>
      </c>
    </row>
    <row r="17">
      <c r="A17" t="inlineStr">
        <is>
          <t>h0</t>
        </is>
      </c>
      <c r="B17" t="inlineStr">
        <is>
          <t>PRÉDIMENSIONNEMENT!C32</t>
        </is>
      </c>
      <c r="D17">
        <f>D12*D6/'PARAMÈTRES'!$C$22</f>
        <v>0</v>
      </c>
      <c r="E17">
        <f>E12*E6/'PARAMÈTRES'!$C$22</f>
        <v>0</v>
      </c>
      <c r="F17">
        <f>F12*F6/'PARAMÈTRES'!$C$22</f>
        <v>0</v>
      </c>
      <c r="G17">
        <f>G12*G6/'PARAMÈTRES'!$C$22</f>
        <v>0</v>
      </c>
      <c r="H17">
        <f>H12*H6/'PARAMÈTRES'!$C$22</f>
        <v>0</v>
      </c>
      <c r="I17">
        <f>I12*I6/'PARAMÈTRES'!$C$22</f>
        <v>0</v>
      </c>
      <c r="J17">
        <f>J12*J6/'PARAMÈTRES'!$C$22</f>
        <v>0</v>
      </c>
      <c r="K17">
        <f>K12*K6/'PARAMÈTRES'!$C$22</f>
        <v>0</v>
      </c>
      <c r="L17">
        <f>L12*L6/'PARAMÈTRES'!$C$22</f>
        <v>0</v>
      </c>
      <c r="M17">
        <f>M12*M6/'PARAMÈTRES'!$C$22</f>
        <v>0</v>
      </c>
      <c r="N17">
        <f>N12*N6/'PARAMÈTRES'!$C$22</f>
        <v>0</v>
      </c>
      <c r="O17">
        <f>O12*O6/'PARAMÈTRES'!$C$22</f>
        <v>0</v>
      </c>
      <c r="P17">
        <f>P12*P6/'PARAMÈTRES'!$C$22</f>
        <v>0</v>
      </c>
      <c r="Q17">
        <f>Q12*Q6/'PARAMÈTRES'!$C$22</f>
        <v>0</v>
      </c>
      <c r="R17">
        <f>R12*R6/'PARAMÈTRES'!$C$22</f>
        <v>0</v>
      </c>
      <c r="S17">
        <f>S12*S6/'PARAMÈTRES'!$C$22</f>
        <v>0</v>
      </c>
      <c r="T17">
        <f>T12*T6/'PARAMÈTRES'!$C$22</f>
        <v>0</v>
      </c>
      <c r="U17">
        <f>U12*U6/'PARAMÈTRES'!$C$22</f>
        <v>0</v>
      </c>
      <c r="V17">
        <f>V12*V6/'PARAMÈTRES'!$C$22</f>
        <v>1.33333333333333</v>
      </c>
      <c r="W17">
        <f>W12*W6/'PARAMÈTRES'!$C$22</f>
        <v>1.33333333333333</v>
      </c>
      <c r="X17">
        <f>X12*X6/'PARAMÈTRES'!$C$22</f>
        <v>1.33333333333333</v>
      </c>
    </row>
    <row r="18">
      <c r="A18" t="inlineStr">
        <is>
          <t>Hm</t>
        </is>
      </c>
      <c r="B18" t="inlineStr">
        <is>
          <t>PRÉDIMENSIONNEMENT!C33</t>
        </is>
      </c>
      <c r="D18">
        <f>D8+D17</f>
        <v>6</v>
      </c>
      <c r="E18">
        <f>E8+E17</f>
        <v>6</v>
      </c>
      <c r="F18">
        <f>F8+F17</f>
        <v>6</v>
      </c>
      <c r="G18">
        <f>G8+G17</f>
        <v>6</v>
      </c>
      <c r="H18">
        <f>H8+H17</f>
        <v>6</v>
      </c>
      <c r="I18">
        <f>I8+I17</f>
        <v>6</v>
      </c>
      <c r="J18">
        <f>J8+J17</f>
        <v>6</v>
      </c>
      <c r="K18">
        <f>K8+K17</f>
        <v>6</v>
      </c>
      <c r="L18">
        <f>L8+L17</f>
        <v>6</v>
      </c>
      <c r="M18">
        <f>M8+M17</f>
        <v>6</v>
      </c>
      <c r="N18">
        <f>N8+N17</f>
        <v>6</v>
      </c>
      <c r="O18">
        <f>O8+O17</f>
        <v>6</v>
      </c>
      <c r="P18">
        <f>P8+P17</f>
        <v>6</v>
      </c>
      <c r="Q18">
        <f>Q8+Q17</f>
        <v>6</v>
      </c>
      <c r="R18">
        <f>R8+R17</f>
        <v>6</v>
      </c>
      <c r="S18">
        <f>S8+S17</f>
        <v>6</v>
      </c>
      <c r="T18">
        <f>T8+T17</f>
        <v>6</v>
      </c>
      <c r="U18">
        <f>U8+U17</f>
        <v>6</v>
      </c>
      <c r="V18">
        <f>V8+V17</f>
        <v>7.33333333333333</v>
      </c>
      <c r="W18">
        <f>W8+W17</f>
        <v>7.33333333333333</v>
      </c>
      <c r="X18">
        <f>X8+X17</f>
        <v>7.33333333333333</v>
      </c>
    </row>
    <row r="19">
      <c r="A19" t="inlineStr">
        <is>
          <t>Hf</t>
        </is>
      </c>
      <c r="B19" t="inlineStr">
        <is>
          <t>PRÉDIMENSIONNEMENT!C34</t>
        </is>
      </c>
      <c r="D19">
        <f>D18+D9*D6/2</f>
        <v>6.8</v>
      </c>
      <c r="E19">
        <f>E18+E9*E6/2</f>
        <v>6.8</v>
      </c>
      <c r="F19">
        <f>F18+F9*F6/2</f>
        <v>6.8</v>
      </c>
      <c r="G19">
        <f>G18+G9*G6/2</f>
        <v>7.2</v>
      </c>
      <c r="H19">
        <f>H18+H9*H6/2</f>
        <v>7.2</v>
      </c>
      <c r="I19">
        <f>I18+I9*I6/2</f>
        <v>7.2</v>
      </c>
      <c r="J19">
        <f>J18+J9*J6/2</f>
        <v>7.2</v>
      </c>
      <c r="K19">
        <f>K18+K9*K6/2</f>
        <v>7.2</v>
      </c>
      <c r="L19">
        <f>L18+L9*L6/2</f>
        <v>7.2</v>
      </c>
      <c r="M19">
        <f>M18+M9*M6/2</f>
        <v>7.6</v>
      </c>
      <c r="N19">
        <f>N18+N9*N6/2</f>
        <v>7.6</v>
      </c>
      <c r="O19">
        <f>O18+O9*O6/2</f>
        <v>7.6</v>
      </c>
      <c r="P19">
        <f>P18+P9*P6/2</f>
        <v>7.6</v>
      </c>
      <c r="Q19">
        <f>Q18+Q9*Q6/2</f>
        <v>7.6</v>
      </c>
      <c r="R19">
        <f>R18+R9*R6/2</f>
        <v>7.6</v>
      </c>
      <c r="S19">
        <f>S18+S9*S6/2</f>
        <v>8.4</v>
      </c>
      <c r="T19">
        <f>T18+T9*T6/2</f>
        <v>8.4</v>
      </c>
      <c r="U19">
        <f>U18+U9*U6/2</f>
        <v>8.4</v>
      </c>
      <c r="V19">
        <f>V18+V9*V6/2</f>
        <v>10.5333333333333</v>
      </c>
      <c r="W19">
        <f>W18+W9*W6/2</f>
        <v>10.5333333333333</v>
      </c>
      <c r="X19">
        <f>X18+X9*X6/2</f>
        <v>10.5333333333333</v>
      </c>
    </row>
    <row r="20">
      <c r="A20" t="inlineStr">
        <is>
          <t>n_ip</t>
        </is>
      </c>
      <c r="B20" t="inlineStr">
        <is>
          <t>PRÉDIMENSIONNEMENT!C35</t>
        </is>
      </c>
      <c r="D20">
        <f>MAX(1,ROUNDUP(D6/'PARAMÈTRES'!$C$18,0))</f>
        <v>2</v>
      </c>
      <c r="E20">
        <f>MAX(1,ROUNDUP(E6/'PARAMÈTRES'!$C$18,0))</f>
        <v>2</v>
      </c>
      <c r="F20">
        <f>MAX(1,ROUNDUP(F6/'PARAMÈTRES'!$C$18,0))</f>
        <v>2</v>
      </c>
      <c r="G20">
        <f>MAX(1,ROUNDUP(G6/'PARAMÈTRES'!$C$18,0))</f>
        <v>3</v>
      </c>
      <c r="H20">
        <f>MAX(1,ROUNDUP(H6/'PARAMÈTRES'!$C$18,0))</f>
        <v>3</v>
      </c>
      <c r="I20">
        <f>MAX(1,ROUNDUP(I6/'PARAMÈTRES'!$C$18,0))</f>
        <v>3</v>
      </c>
      <c r="J20">
        <f>MAX(1,ROUNDUP(J6/'PARAMÈTRES'!$C$18,0))</f>
        <v>3</v>
      </c>
      <c r="K20">
        <f>MAX(1,ROUNDUP(K6/'PARAMÈTRES'!$C$18,0))</f>
        <v>3</v>
      </c>
      <c r="L20">
        <f>MAX(1,ROUNDUP(L6/'PARAMÈTRES'!$C$18,0))</f>
        <v>3</v>
      </c>
      <c r="M20">
        <f>MAX(1,ROUNDUP(M6/'PARAMÈTRES'!$C$18,0))</f>
        <v>4</v>
      </c>
      <c r="N20">
        <f>MAX(1,ROUNDUP(N6/'PARAMÈTRES'!$C$18,0))</f>
        <v>4</v>
      </c>
      <c r="O20">
        <f>MAX(1,ROUNDUP(O6/'PARAMÈTRES'!$C$18,0))</f>
        <v>4</v>
      </c>
      <c r="P20">
        <f>MAX(1,ROUNDUP(P6/'PARAMÈTRES'!$C$18,0))</f>
        <v>4</v>
      </c>
      <c r="Q20">
        <f>MAX(1,ROUNDUP(Q6/'PARAMÈTRES'!$C$18,0))</f>
        <v>4</v>
      </c>
      <c r="R20">
        <f>MAX(1,ROUNDUP(R6/'PARAMÈTRES'!$C$18,0))</f>
        <v>4</v>
      </c>
      <c r="S20">
        <f>MAX(1,ROUNDUP(S6/'PARAMÈTRES'!$C$18,0))</f>
        <v>5</v>
      </c>
      <c r="T20">
        <f>MAX(1,ROUNDUP(T6/'PARAMÈTRES'!$C$18,0))</f>
        <v>5</v>
      </c>
      <c r="U20">
        <f>MAX(1,ROUNDUP(U6/'PARAMÈTRES'!$C$18,0))</f>
        <v>5</v>
      </c>
      <c r="V20">
        <f>MAX(1,ROUNDUP(V6/'PARAMÈTRES'!$C$18,0))</f>
        <v>7</v>
      </c>
      <c r="W20">
        <f>MAX(1,ROUNDUP(W6/'PARAMÈTRES'!$C$18,0))</f>
        <v>7</v>
      </c>
      <c r="X20">
        <f>MAX(1,ROUNDUP(X6/'PARAMÈTRES'!$C$18,0))</f>
        <v>7</v>
      </c>
    </row>
    <row r="21">
      <c r="A21" t="inlineStr">
        <is>
          <t>e_ppr</t>
        </is>
      </c>
      <c r="B21" t="inlineStr">
        <is>
          <t>PRÉDIMENSIONNEMENT!C36</t>
        </is>
      </c>
      <c r="D21">
        <f>D6/D20</f>
        <v>5</v>
      </c>
      <c r="E21">
        <f>E6/E20</f>
        <v>5</v>
      </c>
      <c r="F21">
        <f>F6/F20</f>
        <v>5</v>
      </c>
      <c r="G21">
        <f>G6/G20</f>
        <v>5</v>
      </c>
      <c r="H21">
        <f>H6/H20</f>
        <v>5</v>
      </c>
      <c r="I21">
        <f>I6/I20</f>
        <v>5</v>
      </c>
      <c r="J21">
        <f>J6/J20</f>
        <v>5</v>
      </c>
      <c r="K21">
        <f>K6/K20</f>
        <v>5</v>
      </c>
      <c r="L21">
        <f>L6/L20</f>
        <v>5</v>
      </c>
      <c r="M21">
        <f>M6/M20</f>
        <v>5</v>
      </c>
      <c r="N21">
        <f>N6/N20</f>
        <v>5</v>
      </c>
      <c r="O21">
        <f>O6/O20</f>
        <v>5</v>
      </c>
      <c r="P21">
        <f>P6/P20</f>
        <v>5</v>
      </c>
      <c r="Q21">
        <f>Q6/Q20</f>
        <v>5</v>
      </c>
      <c r="R21">
        <f>R6/R20</f>
        <v>5</v>
      </c>
      <c r="S21">
        <f>S6/S20</f>
        <v>6</v>
      </c>
      <c r="T21">
        <f>T6/T20</f>
        <v>6</v>
      </c>
      <c r="U21">
        <f>U6/U20</f>
        <v>6</v>
      </c>
      <c r="V21">
        <f>V6/V20</f>
        <v>5.71428571428571</v>
      </c>
      <c r="W21">
        <f>W6/W20</f>
        <v>5.71428571428571</v>
      </c>
      <c r="X21">
        <f>X6/X20</f>
        <v>5.71428571428571</v>
      </c>
    </row>
    <row r="22">
      <c r="A22" t="inlineStr">
        <is>
          <t>n_pp</t>
        </is>
      </c>
      <c r="B22" t="inlineStr">
        <is>
          <t>PRÉDIMENSIONNEMENT!C37</t>
        </is>
      </c>
      <c r="D22">
        <f>2*(D20-1)</f>
        <v>2</v>
      </c>
      <c r="E22">
        <f>2*(E20-1)</f>
        <v>2</v>
      </c>
      <c r="F22">
        <f>2*(F20-1)</f>
        <v>2</v>
      </c>
      <c r="G22">
        <f>2*(G20-1)</f>
        <v>4</v>
      </c>
      <c r="H22">
        <f>2*(H20-1)</f>
        <v>4</v>
      </c>
      <c r="I22">
        <f>2*(I20-1)</f>
        <v>4</v>
      </c>
      <c r="J22">
        <f>2*(J20-1)</f>
        <v>4</v>
      </c>
      <c r="K22">
        <f>2*(K20-1)</f>
        <v>4</v>
      </c>
      <c r="L22">
        <f>2*(L20-1)</f>
        <v>4</v>
      </c>
      <c r="M22">
        <f>2*(M20-1)</f>
        <v>6</v>
      </c>
      <c r="N22">
        <f>2*(N20-1)</f>
        <v>6</v>
      </c>
      <c r="O22">
        <f>2*(O20-1)</f>
        <v>6</v>
      </c>
      <c r="P22">
        <f>2*(P20-1)</f>
        <v>6</v>
      </c>
      <c r="Q22">
        <f>2*(Q20-1)</f>
        <v>6</v>
      </c>
      <c r="R22">
        <f>2*(R20-1)</f>
        <v>6</v>
      </c>
      <c r="S22">
        <f>2*(S20-1)</f>
        <v>8</v>
      </c>
      <c r="T22">
        <f>2*(T20-1)</f>
        <v>8</v>
      </c>
      <c r="U22">
        <f>2*(U20-1)</f>
        <v>8</v>
      </c>
      <c r="V22">
        <f>2*(V20-1)</f>
        <v>12</v>
      </c>
      <c r="W22">
        <f>2*(W20-1)</f>
        <v>12</v>
      </c>
      <c r="X22">
        <f>2*(X20-1)</f>
        <v>12</v>
      </c>
    </row>
    <row r="23">
      <c r="A23" t="inlineStr">
        <is>
          <t>n_int</t>
        </is>
      </c>
      <c r="B23" t="inlineStr">
        <is>
          <t>PRÉDIMENSIONNEMENT!C38</t>
        </is>
      </c>
      <c r="D23">
        <f>IF('PARAMÈTRES'!$C$21="Oui",D14,0)</f>
        <v>0</v>
      </c>
      <c r="E23">
        <f>IF('PARAMÈTRES'!$C$21="Oui",E14,0)</f>
        <v>0</v>
      </c>
      <c r="F23">
        <f>IF('PARAMÈTRES'!$C$21="Oui",F14,0)</f>
        <v>0</v>
      </c>
      <c r="G23">
        <f>IF('PARAMÈTRES'!$C$21="Oui",G14,0)</f>
        <v>0</v>
      </c>
      <c r="H23">
        <f>IF('PARAMÈTRES'!$C$21="Oui",H14,0)</f>
        <v>0</v>
      </c>
      <c r="I23">
        <f>IF('PARAMÈTRES'!$C$21="Oui",I14,0)</f>
        <v>0</v>
      </c>
      <c r="J23">
        <f>IF('PARAMÈTRES'!$C$21="Oui",J14,0)</f>
        <v>0</v>
      </c>
      <c r="K23">
        <f>IF('PARAMÈTRES'!$C$21="Oui",K14,0)</f>
        <v>0</v>
      </c>
      <c r="L23">
        <f>IF('PARAMÈTRES'!$C$21="Oui",L14,0)</f>
        <v>0</v>
      </c>
      <c r="M23">
        <f>IF('PARAMÈTRES'!$C$21="Oui",M14,0)</f>
        <v>0</v>
      </c>
      <c r="N23">
        <f>IF('PARAMÈTRES'!$C$21="Oui",N14,0)</f>
        <v>0</v>
      </c>
      <c r="O23">
        <f>IF('PARAMÈTRES'!$C$21="Oui",O14,0)</f>
        <v>0</v>
      </c>
      <c r="P23">
        <f>IF('PARAMÈTRES'!$C$21="Oui",P14,0)</f>
        <v>0</v>
      </c>
      <c r="Q23">
        <f>IF('PARAMÈTRES'!$C$21="Oui",Q14,0)</f>
        <v>0</v>
      </c>
      <c r="R23">
        <f>IF('PARAMÈTRES'!$C$21="Oui",R14,0)</f>
        <v>0</v>
      </c>
      <c r="S23">
        <f>IF('PARAMÈTRES'!$C$21="Oui",S14,0)</f>
        <v>0</v>
      </c>
      <c r="T23">
        <f>IF('PARAMÈTRES'!$C$21="Oui",T14,0)</f>
        <v>0</v>
      </c>
      <c r="U23">
        <f>IF('PARAMÈTRES'!$C$21="Oui",U14,0)</f>
        <v>0</v>
      </c>
      <c r="V23">
        <f>IF('PARAMÈTRES'!$C$21="Oui",V14,0)</f>
        <v>0</v>
      </c>
      <c r="W23">
        <f>IF('PARAMÈTRES'!$C$21="Oui",W14,0)</f>
        <v>0</v>
      </c>
      <c r="X23">
        <f>IF('PARAMÈTRES'!$C$21="Oui",X14,0)</f>
        <v>0</v>
      </c>
    </row>
    <row r="24">
      <c r="A24" t="inlineStr">
        <is>
          <t>n_pan</t>
        </is>
      </c>
      <c r="B24" t="inlineStr">
        <is>
          <t>PRÉDIMENSIONNEMENT!C39</t>
        </is>
      </c>
      <c r="D24">
        <f>D12*2*ROUNDUP(D6/2/'PARAMÈTRES'!$C$23,0)</f>
        <v>0</v>
      </c>
      <c r="E24">
        <f>E12*2*ROUNDUP(E6/2/'PARAMÈTRES'!$C$23,0)</f>
        <v>0</v>
      </c>
      <c r="F24">
        <f>F12*2*ROUNDUP(F6/2/'PARAMÈTRES'!$C$23,0)</f>
        <v>0</v>
      </c>
      <c r="G24">
        <f>G12*2*ROUNDUP(G6/2/'PARAMÈTRES'!$C$23,0)</f>
        <v>0</v>
      </c>
      <c r="H24">
        <f>H12*2*ROUNDUP(H6/2/'PARAMÈTRES'!$C$23,0)</f>
        <v>0</v>
      </c>
      <c r="I24">
        <f>I12*2*ROUNDUP(I6/2/'PARAMÈTRES'!$C$23,0)</f>
        <v>0</v>
      </c>
      <c r="J24">
        <f>J12*2*ROUNDUP(J6/2/'PARAMÈTRES'!$C$23,0)</f>
        <v>0</v>
      </c>
      <c r="K24">
        <f>K12*2*ROUNDUP(K6/2/'PARAMÈTRES'!$C$23,0)</f>
        <v>0</v>
      </c>
      <c r="L24">
        <f>L12*2*ROUNDUP(L6/2/'PARAMÈTRES'!$C$23,0)</f>
        <v>0</v>
      </c>
      <c r="M24">
        <f>M12*2*ROUNDUP(M6/2/'PARAMÈTRES'!$C$23,0)</f>
        <v>0</v>
      </c>
      <c r="N24">
        <f>N12*2*ROUNDUP(N6/2/'PARAMÈTRES'!$C$23,0)</f>
        <v>0</v>
      </c>
      <c r="O24">
        <f>O12*2*ROUNDUP(O6/2/'PARAMÈTRES'!$C$23,0)</f>
        <v>0</v>
      </c>
      <c r="P24">
        <f>P12*2*ROUNDUP(P6/2/'PARAMÈTRES'!$C$23,0)</f>
        <v>0</v>
      </c>
      <c r="Q24">
        <f>Q12*2*ROUNDUP(Q6/2/'PARAMÈTRES'!$C$23,0)</f>
        <v>0</v>
      </c>
      <c r="R24">
        <f>R12*2*ROUNDUP(R6/2/'PARAMÈTRES'!$C$23,0)</f>
        <v>0</v>
      </c>
      <c r="S24">
        <f>S12*2*ROUNDUP(S6/2/'PARAMÈTRES'!$C$23,0)</f>
        <v>0</v>
      </c>
      <c r="T24">
        <f>T12*2*ROUNDUP(T6/2/'PARAMÈTRES'!$C$23,0)</f>
        <v>0</v>
      </c>
      <c r="U24">
        <f>U12*2*ROUNDUP(U6/2/'PARAMÈTRES'!$C$23,0)</f>
        <v>0</v>
      </c>
      <c r="V24">
        <f>V12*2*ROUNDUP(V6/2/'PARAMÈTRES'!$C$23,0)</f>
        <v>20</v>
      </c>
      <c r="W24">
        <f>W12*2*ROUNDUP(W6/2/'PARAMÈTRES'!$C$23,0)</f>
        <v>20</v>
      </c>
      <c r="X24">
        <f>X12*2*ROUNDUP(X6/2/'PARAMÈTRES'!$C$23,0)</f>
        <v>20</v>
      </c>
    </row>
    <row r="25">
      <c r="A25" t="inlineStr">
        <is>
          <t>np</t>
        </is>
      </c>
      <c r="B25" t="inlineStr">
        <is>
          <t>PRÉDIMENSIONNEMENT!C40</t>
        </is>
      </c>
      <c r="D25">
        <f>ROUNDUP(D16/'PARAMÈTRES'!$C$16,0)+1</f>
        <v>5</v>
      </c>
      <c r="E25">
        <f>ROUNDUP(E16/'PARAMÈTRES'!$C$16,0)+1</f>
        <v>5</v>
      </c>
      <c r="F25">
        <f>ROUNDUP(F16/'PARAMÈTRES'!$C$16,0)+1</f>
        <v>5</v>
      </c>
      <c r="G25">
        <f>ROUNDUP(G16/'PARAMÈTRES'!$C$16,0)+1</f>
        <v>7</v>
      </c>
      <c r="H25">
        <f>ROUNDUP(H16/'PARAMÈTRES'!$C$16,0)+1</f>
        <v>7</v>
      </c>
      <c r="I25">
        <f>ROUNDUP(I16/'PARAMÈTRES'!$C$16,0)+1</f>
        <v>7</v>
      </c>
      <c r="J25">
        <f>ROUNDUP(J16/'PARAMÈTRES'!$C$16,0)+1</f>
        <v>7</v>
      </c>
      <c r="K25">
        <f>ROUNDUP(K16/'PARAMÈTRES'!$C$16,0)+1</f>
        <v>7</v>
      </c>
      <c r="L25">
        <f>ROUNDUP(L16/'PARAMÈTRES'!$C$16,0)+1</f>
        <v>7</v>
      </c>
      <c r="M25">
        <f>ROUNDUP(M16/'PARAMÈTRES'!$C$16,0)+1</f>
        <v>9</v>
      </c>
      <c r="N25">
        <f>ROUNDUP(N16/'PARAMÈTRES'!$C$16,0)+1</f>
        <v>9</v>
      </c>
      <c r="O25">
        <f>ROUNDUP(O16/'PARAMÈTRES'!$C$16,0)+1</f>
        <v>9</v>
      </c>
      <c r="P25">
        <f>ROUNDUP(P16/'PARAMÈTRES'!$C$16,0)+1</f>
        <v>9</v>
      </c>
      <c r="Q25">
        <f>ROUNDUP(Q16/'PARAMÈTRES'!$C$16,0)+1</f>
        <v>9</v>
      </c>
      <c r="R25">
        <f>ROUNDUP(R16/'PARAMÈTRES'!$C$16,0)+1</f>
        <v>9</v>
      </c>
      <c r="S25">
        <f>ROUNDUP(S16/'PARAMÈTRES'!$C$16,0)+1</f>
        <v>13</v>
      </c>
      <c r="T25">
        <f>ROUNDUP(T16/'PARAMÈTRES'!$C$16,0)+1</f>
        <v>13</v>
      </c>
      <c r="U25">
        <f>ROUNDUP(U16/'PARAMÈTRES'!$C$16,0)+1</f>
        <v>13</v>
      </c>
      <c r="V25">
        <f>ROUNDUP(V16/'PARAMÈTRES'!$C$16,0)+1</f>
        <v>17</v>
      </c>
      <c r="W25">
        <f>ROUNDUP(W16/'PARAMÈTRES'!$C$16,0)+1</f>
        <v>17</v>
      </c>
      <c r="X25">
        <f>ROUNDUP(X16/'PARAMÈTRES'!$C$16,0)+1</f>
        <v>17</v>
      </c>
    </row>
    <row r="26">
      <c r="A26" t="inlineStr">
        <is>
          <t>e_panr</t>
        </is>
      </c>
      <c r="B26" t="inlineStr">
        <is>
          <t>PRÉDIMENSIONNEMENT!C41</t>
        </is>
      </c>
      <c r="D26">
        <f>D16/(D25-1)</f>
        <v>1.26589889011722</v>
      </c>
      <c r="E26">
        <f>E16/(E25-1)</f>
        <v>1.26589889011722</v>
      </c>
      <c r="F26">
        <f>F16/(F25-1)</f>
        <v>1.26589889011722</v>
      </c>
      <c r="G26">
        <f>G16/(G25-1)</f>
        <v>1.26589889011722</v>
      </c>
      <c r="H26">
        <f>H16/(H25-1)</f>
        <v>1.26589889011722</v>
      </c>
      <c r="I26">
        <f>I16/(I25-1)</f>
        <v>1.26589889011722</v>
      </c>
      <c r="J26">
        <f>J16/(J25-1)</f>
        <v>1.26589889011722</v>
      </c>
      <c r="K26">
        <f>K16/(K25-1)</f>
        <v>1.26589889011722</v>
      </c>
      <c r="L26">
        <f>L16/(L25-1)</f>
        <v>1.26589889011722</v>
      </c>
      <c r="M26">
        <f>M16/(M25-1)</f>
        <v>1.26589889011722</v>
      </c>
      <c r="N26">
        <f>N16/(N25-1)</f>
        <v>1.26589889011722</v>
      </c>
      <c r="O26">
        <f>O16/(O25-1)</f>
        <v>1.26589889011722</v>
      </c>
      <c r="P26">
        <f>P16/(P25-1)</f>
        <v>1.26589889011722</v>
      </c>
      <c r="Q26">
        <f>Q16/(Q25-1)</f>
        <v>1.26589889011722</v>
      </c>
      <c r="R26">
        <f>R16/(R25-1)</f>
        <v>1.26589889011722</v>
      </c>
      <c r="S26">
        <f>S16/(S25-1)</f>
        <v>1.26589889011722</v>
      </c>
      <c r="T26">
        <f>T16/(T25-1)</f>
        <v>1.26589889011722</v>
      </c>
      <c r="U26">
        <f>U16/(U25-1)</f>
        <v>1.26589889011722</v>
      </c>
      <c r="V26">
        <f>V16/(V25-1)</f>
        <v>1.26589889011722</v>
      </c>
      <c r="W26">
        <f>W16/(W25-1)</f>
        <v>1.26589889011722</v>
      </c>
      <c r="X26">
        <f>X16/(X25-1)</f>
        <v>1.26589889011722</v>
      </c>
    </row>
    <row r="27">
      <c r="A27" t="inlineStr">
        <is>
          <t>Lp</t>
        </is>
      </c>
      <c r="B27" t="inlineStr">
        <is>
          <t>PRÉDIMENSIONNEMENT!C42</t>
        </is>
      </c>
      <c r="D27">
        <f>D7+2*'PARAMÈTRES'!$C$19</f>
        <v>30.6</v>
      </c>
      <c r="E27">
        <f>E7+2*'PARAMÈTRES'!$C$19</f>
        <v>30.6</v>
      </c>
      <c r="F27">
        <f>F7+2*'PARAMÈTRES'!$C$19</f>
        <v>30.6</v>
      </c>
      <c r="G27">
        <f>G7+2*'PARAMÈTRES'!$C$19</f>
        <v>20.6</v>
      </c>
      <c r="H27">
        <f>H7+2*'PARAMÈTRES'!$C$19</f>
        <v>20.6</v>
      </c>
      <c r="I27">
        <f>I7+2*'PARAMÈTRES'!$C$19</f>
        <v>20.6</v>
      </c>
      <c r="J27">
        <f>J7+2*'PARAMÈTRES'!$C$19</f>
        <v>30.6</v>
      </c>
      <c r="K27">
        <f>K7+2*'PARAMÈTRES'!$C$19</f>
        <v>30.6</v>
      </c>
      <c r="L27">
        <f>L7+2*'PARAMÈTRES'!$C$19</f>
        <v>30.6</v>
      </c>
      <c r="M27">
        <f>M7+2*'PARAMÈTRES'!$C$19</f>
        <v>20.6</v>
      </c>
      <c r="N27">
        <f>N7+2*'PARAMÈTRES'!$C$19</f>
        <v>20.6</v>
      </c>
      <c r="O27">
        <f>O7+2*'PARAMÈTRES'!$C$19</f>
        <v>20.6</v>
      </c>
      <c r="P27">
        <f>P7+2*'PARAMÈTRES'!$C$19</f>
        <v>40.6</v>
      </c>
      <c r="Q27">
        <f>Q7+2*'PARAMÈTRES'!$C$19</f>
        <v>40.6</v>
      </c>
      <c r="R27">
        <f>R7+2*'PARAMÈTRES'!$C$19</f>
        <v>40.6</v>
      </c>
      <c r="S27">
        <f>S7+2*'PARAMÈTRES'!$C$19</f>
        <v>40.6</v>
      </c>
      <c r="T27">
        <f>T7+2*'PARAMÈTRES'!$C$19</f>
        <v>40.6</v>
      </c>
      <c r="U27">
        <f>U7+2*'PARAMÈTRES'!$C$19</f>
        <v>40.6</v>
      </c>
      <c r="V27">
        <f>V7+2*'PARAMÈTRES'!$C$19</f>
        <v>40.6</v>
      </c>
      <c r="W27">
        <f>W7+2*'PARAMÈTRES'!$C$19</f>
        <v>40.6</v>
      </c>
      <c r="X27">
        <f>X7+2*'PARAMÈTRES'!$C$19</f>
        <v>40.6</v>
      </c>
    </row>
    <row r="28">
      <c r="A28" t="inlineStr">
        <is>
          <t>n_l</t>
        </is>
      </c>
      <c r="B28" t="inlineStr">
        <is>
          <t>PRÉDIMENSIONNEMENT!C43</t>
        </is>
      </c>
      <c r="D28">
        <f>IF(D15&gt;6,2,1)</f>
        <v>1</v>
      </c>
      <c r="E28">
        <f>IF(E15&gt;6,2,1)</f>
        <v>1</v>
      </c>
      <c r="F28">
        <f>IF(F15&gt;6,2,1)</f>
        <v>1</v>
      </c>
      <c r="G28">
        <f>IF(G15&gt;6,2,1)</f>
        <v>1</v>
      </c>
      <c r="H28">
        <f>IF(H15&gt;6,2,1)</f>
        <v>1</v>
      </c>
      <c r="I28">
        <f>IF(I15&gt;6,2,1)</f>
        <v>1</v>
      </c>
      <c r="J28">
        <f>IF(J15&gt;6,2,1)</f>
        <v>1</v>
      </c>
      <c r="K28">
        <f>IF(K15&gt;6,2,1)</f>
        <v>1</v>
      </c>
      <c r="L28">
        <f>IF(L15&gt;6,2,1)</f>
        <v>1</v>
      </c>
      <c r="M28">
        <f>IF(M15&gt;6,2,1)</f>
        <v>1</v>
      </c>
      <c r="N28">
        <f>IF(N15&gt;6,2,1)</f>
        <v>1</v>
      </c>
      <c r="O28">
        <f>IF(O15&gt;6,2,1)</f>
        <v>1</v>
      </c>
      <c r="P28">
        <f>IF(P15&gt;6,2,1)</f>
        <v>1</v>
      </c>
      <c r="Q28">
        <f>IF(Q15&gt;6,2,1)</f>
        <v>1</v>
      </c>
      <c r="R28">
        <f>IF(R15&gt;6,2,1)</f>
        <v>1</v>
      </c>
      <c r="S28">
        <f>IF(S15&gt;6,2,1)</f>
        <v>1</v>
      </c>
      <c r="T28">
        <f>IF(T15&gt;6,2,1)</f>
        <v>1</v>
      </c>
      <c r="U28">
        <f>IF(U15&gt;6,2,1)</f>
        <v>1</v>
      </c>
      <c r="V28">
        <f>IF(V15&gt;6,2,1)</f>
        <v>1</v>
      </c>
      <c r="W28">
        <f>IF(W15&gt;6,2,1)</f>
        <v>1</v>
      </c>
      <c r="X28">
        <f>IF(X15&gt;6,2,1)</f>
        <v>1</v>
      </c>
    </row>
    <row r="29">
      <c r="A29" t="inlineStr">
        <is>
          <t>nb_cv</t>
        </is>
      </c>
      <c r="B29" t="inlineStr">
        <is>
          <t>PRÉDIMENSIONNEMENT!C44</t>
        </is>
      </c>
      <c r="D29">
        <f>IF(D13&lt;=2,D13,2+INT((D13-1)/5))</f>
        <v>2</v>
      </c>
      <c r="E29">
        <f>IF(E13&lt;=2,E13,2+INT((E13-1)/5))</f>
        <v>2</v>
      </c>
      <c r="F29">
        <f>IF(F13&lt;=2,F13,2+INT((F13-1)/5))</f>
        <v>2</v>
      </c>
      <c r="G29">
        <f>IF(G13&lt;=2,G13,2+INT((G13-1)/5))</f>
        <v>2</v>
      </c>
      <c r="H29">
        <f>IF(H13&lt;=2,H13,2+INT((H13-1)/5))</f>
        <v>2</v>
      </c>
      <c r="I29">
        <f>IF(I13&lt;=2,I13,2+INT((I13-1)/5))</f>
        <v>2</v>
      </c>
      <c r="J29">
        <f>IF(J13&lt;=2,J13,2+INT((J13-1)/5))</f>
        <v>2</v>
      </c>
      <c r="K29">
        <f>IF(K13&lt;=2,K13,2+INT((K13-1)/5))</f>
        <v>2</v>
      </c>
      <c r="L29">
        <f>IF(L13&lt;=2,L13,2+INT((L13-1)/5))</f>
        <v>2</v>
      </c>
      <c r="M29">
        <f>IF(M13&lt;=2,M13,2+INT((M13-1)/5))</f>
        <v>2</v>
      </c>
      <c r="N29">
        <f>IF(N13&lt;=2,N13,2+INT((N13-1)/5))</f>
        <v>2</v>
      </c>
      <c r="O29">
        <f>IF(O13&lt;=2,O13,2+INT((O13-1)/5))</f>
        <v>2</v>
      </c>
      <c r="P29">
        <f>IF(P13&lt;=2,P13,2+INT((P13-1)/5))</f>
        <v>3</v>
      </c>
      <c r="Q29">
        <f>IF(Q13&lt;=2,Q13,2+INT((Q13-1)/5))</f>
        <v>3</v>
      </c>
      <c r="R29">
        <f>IF(R13&lt;=2,R13,2+INT((R13-1)/5))</f>
        <v>3</v>
      </c>
      <c r="S29">
        <f>IF(S13&lt;=2,S13,2+INT((S13-1)/5))</f>
        <v>3</v>
      </c>
      <c r="T29">
        <f>IF(T13&lt;=2,T13,2+INT((T13-1)/5))</f>
        <v>3</v>
      </c>
      <c r="U29">
        <f>IF(U13&lt;=2,U13,2+INT((U13-1)/5))</f>
        <v>3</v>
      </c>
      <c r="V29">
        <f>IF(V13&lt;=2,V13,2+INT((V13-1)/5))</f>
        <v>3</v>
      </c>
      <c r="W29">
        <f>IF(W13&lt;=2,W13,2+INT((W13-1)/5))</f>
        <v>3</v>
      </c>
      <c r="X29">
        <f>IF(X13&lt;=2,X13,2+INT((X13-1)/5))</f>
        <v>3</v>
      </c>
    </row>
    <row r="30">
      <c r="A30" t="inlineStr">
        <is>
          <t>n_pv</t>
        </is>
      </c>
      <c r="B30" t="inlineStr">
        <is>
          <t>PRÉDIMENSIONNEMENT!C45</t>
        </is>
      </c>
      <c r="D30">
        <f>MAX(1,ROUND(D16/D15,0))</f>
        <v>1</v>
      </c>
      <c r="E30">
        <f>MAX(1,ROUND(E16/E15,0))</f>
        <v>1</v>
      </c>
      <c r="F30">
        <f>MAX(1,ROUND(F16/F15,0))</f>
        <v>1</v>
      </c>
      <c r="G30">
        <f>MAX(1,ROUND(G16/G15,0))</f>
        <v>2</v>
      </c>
      <c r="H30">
        <f>MAX(1,ROUND(H16/H15,0))</f>
        <v>2</v>
      </c>
      <c r="I30">
        <f>MAX(1,ROUND(I16/I15,0))</f>
        <v>2</v>
      </c>
      <c r="J30">
        <f>MAX(1,ROUND(J16/J15,0))</f>
        <v>1</v>
      </c>
      <c r="K30">
        <f>MAX(1,ROUND(K16/K15,0))</f>
        <v>1</v>
      </c>
      <c r="L30">
        <f>MAX(1,ROUND(L16/L15,0))</f>
        <v>1</v>
      </c>
      <c r="M30">
        <f>MAX(1,ROUND(M16/M15,0))</f>
        <v>2</v>
      </c>
      <c r="N30">
        <f>MAX(1,ROUND(N16/N15,0))</f>
        <v>2</v>
      </c>
      <c r="O30">
        <f>MAX(1,ROUND(O16/O15,0))</f>
        <v>2</v>
      </c>
      <c r="P30">
        <f>MAX(1,ROUND(P16/P15,0))</f>
        <v>2</v>
      </c>
      <c r="Q30">
        <f>MAX(1,ROUND(Q16/Q15,0))</f>
        <v>2</v>
      </c>
      <c r="R30">
        <f>MAX(1,ROUND(R16/R15,0))</f>
        <v>2</v>
      </c>
      <c r="S30">
        <f>MAX(1,ROUND(S16/S15,0))</f>
        <v>3</v>
      </c>
      <c r="T30">
        <f>MAX(1,ROUND(T16/T15,0))</f>
        <v>3</v>
      </c>
      <c r="U30">
        <f>MAX(1,ROUND(U16/U15,0))</f>
        <v>3</v>
      </c>
      <c r="V30">
        <f>MAX(1,ROUND(V16/V15,0))</f>
        <v>4</v>
      </c>
      <c r="W30">
        <f>MAX(1,ROUND(W16/W15,0))</f>
        <v>4</v>
      </c>
      <c r="X30">
        <f>MAX(1,ROUND(X16/X15,0))</f>
        <v>4</v>
      </c>
    </row>
    <row r="31">
      <c r="A31" t="inlineStr">
        <is>
          <t>S_bat</t>
        </is>
      </c>
      <c r="B31" t="inlineStr">
        <is>
          <t>PRÉDIMENSIONNEMENT!C46</t>
        </is>
      </c>
      <c r="D31">
        <f>D6*D7</f>
        <v>300</v>
      </c>
      <c r="E31">
        <f>E6*E7</f>
        <v>300</v>
      </c>
      <c r="F31">
        <f>F6*F7</f>
        <v>300</v>
      </c>
      <c r="G31">
        <f>G6*G7</f>
        <v>300</v>
      </c>
      <c r="H31">
        <f>H6*H7</f>
        <v>300</v>
      </c>
      <c r="I31">
        <f>I6*I7</f>
        <v>300</v>
      </c>
      <c r="J31">
        <f>J6*J7</f>
        <v>450</v>
      </c>
      <c r="K31">
        <f>K6*K7</f>
        <v>450</v>
      </c>
      <c r="L31">
        <f>L6*L7</f>
        <v>450</v>
      </c>
      <c r="M31">
        <f>M6*M7</f>
        <v>400</v>
      </c>
      <c r="N31">
        <f>N6*N7</f>
        <v>400</v>
      </c>
      <c r="O31">
        <f>O6*O7</f>
        <v>400</v>
      </c>
      <c r="P31">
        <f>P6*P7</f>
        <v>800</v>
      </c>
      <c r="Q31">
        <f>Q6*Q7</f>
        <v>800</v>
      </c>
      <c r="R31">
        <f>R6*R7</f>
        <v>800</v>
      </c>
      <c r="S31">
        <f>S6*S7</f>
        <v>1200</v>
      </c>
      <c r="T31">
        <f>T6*T7</f>
        <v>1200</v>
      </c>
      <c r="U31">
        <f>U6*U7</f>
        <v>1200</v>
      </c>
      <c r="V31">
        <f>V6*V7</f>
        <v>1600</v>
      </c>
      <c r="W31">
        <f>W6*W7</f>
        <v>1600</v>
      </c>
      <c r="X31">
        <f>X6*X7</f>
        <v>1600</v>
      </c>
    </row>
    <row r="32">
      <c r="A32" t="inlineStr">
        <is>
          <t>P</t>
        </is>
      </c>
      <c r="B32" t="inlineStr">
        <is>
          <t>PRÉDIMENSIONNEMENT!C47</t>
        </is>
      </c>
      <c r="D32">
        <f>2*(D6+D7)</f>
        <v>80</v>
      </c>
      <c r="E32">
        <f>2*(E6+E7)</f>
        <v>80</v>
      </c>
      <c r="F32">
        <f>2*(F6+F7)</f>
        <v>80</v>
      </c>
      <c r="G32">
        <f>2*(G6+G7)</f>
        <v>70</v>
      </c>
      <c r="H32">
        <f>2*(H6+H7)</f>
        <v>70</v>
      </c>
      <c r="I32">
        <f>2*(I6+I7)</f>
        <v>70</v>
      </c>
      <c r="J32">
        <f>2*(J6+J7)</f>
        <v>90</v>
      </c>
      <c r="K32">
        <f>2*(K6+K7)</f>
        <v>90</v>
      </c>
      <c r="L32">
        <f>2*(L6+L7)</f>
        <v>90</v>
      </c>
      <c r="M32">
        <f>2*(M6+M7)</f>
        <v>80</v>
      </c>
      <c r="N32">
        <f>2*(N6+N7)</f>
        <v>80</v>
      </c>
      <c r="O32">
        <f>2*(O6+O7)</f>
        <v>80</v>
      </c>
      <c r="P32">
        <f>2*(P6+P7)</f>
        <v>120</v>
      </c>
      <c r="Q32">
        <f>2*(Q6+Q7)</f>
        <v>120</v>
      </c>
      <c r="R32">
        <f>2*(R6+R7)</f>
        <v>120</v>
      </c>
      <c r="S32">
        <f>2*(S6+S7)</f>
        <v>140</v>
      </c>
      <c r="T32">
        <f>2*(T6+T7)</f>
        <v>140</v>
      </c>
      <c r="U32">
        <f>2*(U6+U7)</f>
        <v>140</v>
      </c>
      <c r="V32">
        <f>2*(V6+V7)</f>
        <v>160</v>
      </c>
      <c r="W32">
        <f>2*(W6+W7)</f>
        <v>160</v>
      </c>
      <c r="X32">
        <f>2*(X6+X7)</f>
        <v>160</v>
      </c>
    </row>
    <row r="33">
      <c r="A33" t="inlineStr">
        <is>
          <t>fac</t>
        </is>
      </c>
      <c r="B33" t="inlineStr">
        <is>
          <t>PRÉDIMENSIONNEMENT!C48</t>
        </is>
      </c>
      <c r="D33" t="str">
        <f>'PARAMÈTRES'!$C$51</f>
        <v>Bardage bac acier</v>
      </c>
      <c r="E33" t="str">
        <f>"Bardage bac acier"</f>
        <v>Bardage bac acier</v>
      </c>
      <c r="F33" t="str">
        <f>"Agglos 15 creux"</f>
        <v>Agglos 15 creux</v>
      </c>
      <c r="G33" t="str">
        <f>'PARAMÈTRES'!$C$51</f>
        <v>Bardage bac acier</v>
      </c>
      <c r="H33" t="str">
        <f>"Bardage bac acier"</f>
        <v>Bardage bac acier</v>
      </c>
      <c r="I33" t="str">
        <f>"Agglos 15 creux"</f>
        <v>Agglos 15 creux</v>
      </c>
      <c r="J33" t="str">
        <f>'PARAMÈTRES'!$C$51</f>
        <v>Bardage bac acier</v>
      </c>
      <c r="K33" t="str">
        <f>"Bardage bac acier"</f>
        <v>Bardage bac acier</v>
      </c>
      <c r="L33" t="str">
        <f>"Agglos 15 creux"</f>
        <v>Agglos 15 creux</v>
      </c>
      <c r="M33" t="str">
        <f>'PARAMÈTRES'!$C$51</f>
        <v>Bardage bac acier</v>
      </c>
      <c r="N33" t="str">
        <f>"Bardage bac acier"</f>
        <v>Bardage bac acier</v>
      </c>
      <c r="O33" t="str">
        <f>"Agglos 15 creux"</f>
        <v>Agglos 15 creux</v>
      </c>
      <c r="P33" t="str">
        <f>'PARAMÈTRES'!$C$51</f>
        <v>Bardage bac acier</v>
      </c>
      <c r="Q33" t="str">
        <f>"Bardage bac acier"</f>
        <v>Bardage bac acier</v>
      </c>
      <c r="R33" t="str">
        <f>"Agglos 15 creux"</f>
        <v>Agglos 15 creux</v>
      </c>
      <c r="S33" t="str">
        <f>'PARAMÈTRES'!$C$51</f>
        <v>Bardage bac acier</v>
      </c>
      <c r="T33" t="str">
        <f>"Bardage bac acier"</f>
        <v>Bardage bac acier</v>
      </c>
      <c r="U33" t="str">
        <f>"Agglos 15 creux"</f>
        <v>Agglos 15 creux</v>
      </c>
      <c r="V33" t="str">
        <f>'PARAMÈTRES'!$C$51</f>
        <v>Bardage bac acier</v>
      </c>
      <c r="W33" t="str">
        <f>"Bardage bac acier"</f>
        <v>Bardage bac acier</v>
      </c>
      <c r="X33" t="str">
        <f>"Agglos 15 creux"</f>
        <v>Agglos 15 creux</v>
      </c>
    </row>
    <row r="34">
      <c r="A34" t="inlineStr">
        <is>
          <t>z0</t>
        </is>
      </c>
      <c r="B34" t="inlineStr">
        <is>
          <t>PRÉDIMENSIONNEMENT!C49</t>
        </is>
      </c>
      <c r="D34">
        <f>IF(D33="Agglos 15 creux",D18,IF(D33="Mixte",MIN('PARAMÈTRES'!$C$52,D18),0))</f>
        <v>0</v>
      </c>
      <c r="E34">
        <f>IF(E33="Agglos 15 creux",E18,IF(E33="Mixte",MIN('PARAMÈTRES'!$C$52,E18),0))</f>
        <v>0</v>
      </c>
      <c r="F34">
        <f>IF(F33="Agglos 15 creux",F18,IF(F33="Mixte",MIN('PARAMÈTRES'!$C$52,F18),0))</f>
        <v>6</v>
      </c>
      <c r="G34">
        <f>IF(G33="Agglos 15 creux",G18,IF(G33="Mixte",MIN('PARAMÈTRES'!$C$52,G18),0))</f>
        <v>0</v>
      </c>
      <c r="H34">
        <f>IF(H33="Agglos 15 creux",H18,IF(H33="Mixte",MIN('PARAMÈTRES'!$C$52,H18),0))</f>
        <v>0</v>
      </c>
      <c r="I34">
        <f>IF(I33="Agglos 15 creux",I18,IF(I33="Mixte",MIN('PARAMÈTRES'!$C$52,I18),0))</f>
        <v>6</v>
      </c>
      <c r="J34">
        <f>IF(J33="Agglos 15 creux",J18,IF(J33="Mixte",MIN('PARAMÈTRES'!$C$52,J18),0))</f>
        <v>0</v>
      </c>
      <c r="K34">
        <f>IF(K33="Agglos 15 creux",K18,IF(K33="Mixte",MIN('PARAMÈTRES'!$C$52,K18),0))</f>
        <v>0</v>
      </c>
      <c r="L34">
        <f>IF(L33="Agglos 15 creux",L18,IF(L33="Mixte",MIN('PARAMÈTRES'!$C$52,L18),0))</f>
        <v>6</v>
      </c>
      <c r="M34">
        <f>IF(M33="Agglos 15 creux",M18,IF(M33="Mixte",MIN('PARAMÈTRES'!$C$52,M18),0))</f>
        <v>0</v>
      </c>
      <c r="N34">
        <f>IF(N33="Agglos 15 creux",N18,IF(N33="Mixte",MIN('PARAMÈTRES'!$C$52,N18),0))</f>
        <v>0</v>
      </c>
      <c r="O34">
        <f>IF(O33="Agglos 15 creux",O18,IF(O33="Mixte",MIN('PARAMÈTRES'!$C$52,O18),0))</f>
        <v>6</v>
      </c>
      <c r="P34">
        <f>IF(P33="Agglos 15 creux",P18,IF(P33="Mixte",MIN('PARAMÈTRES'!$C$52,P18),0))</f>
        <v>0</v>
      </c>
      <c r="Q34">
        <f>IF(Q33="Agglos 15 creux",Q18,IF(Q33="Mixte",MIN('PARAMÈTRES'!$C$52,Q18),0))</f>
        <v>0</v>
      </c>
      <c r="R34">
        <f>IF(R33="Agglos 15 creux",R18,IF(R33="Mixte",MIN('PARAMÈTRES'!$C$52,R18),0))</f>
        <v>6</v>
      </c>
      <c r="S34">
        <f>IF(S33="Agglos 15 creux",S18,IF(S33="Mixte",MIN('PARAMÈTRES'!$C$52,S18),0))</f>
        <v>0</v>
      </c>
      <c r="T34">
        <f>IF(T33="Agglos 15 creux",T18,IF(T33="Mixte",MIN('PARAMÈTRES'!$C$52,T18),0))</f>
        <v>0</v>
      </c>
      <c r="U34">
        <f>IF(U33="Agglos 15 creux",U18,IF(U33="Mixte",MIN('PARAMÈTRES'!$C$52,U18),0))</f>
        <v>6</v>
      </c>
      <c r="V34">
        <f>IF(V33="Agglos 15 creux",V18,IF(V33="Mixte",MIN('PARAMÈTRES'!$C$52,V18),0))</f>
        <v>0</v>
      </c>
      <c r="W34">
        <f>IF(W33="Agglos 15 creux",W18,IF(W33="Mixte",MIN('PARAMÈTRES'!$C$52,W18),0))</f>
        <v>0</v>
      </c>
      <c r="X34">
        <f>IF(X33="Agglos 15 creux",X18,IF(X33="Mixte",MIN('PARAMÈTRES'!$C$52,X18),0))</f>
        <v>7.33333333333333</v>
      </c>
    </row>
    <row r="35">
      <c r="A35" t="inlineStr">
        <is>
          <t>kbard</t>
        </is>
      </c>
      <c r="B35" t="inlineStr">
        <is>
          <t>PRÉDIMENSIONNEMENT!C50</t>
        </is>
      </c>
      <c r="D35">
        <f>IF(D33="Agglos 15 creux",0,1)</f>
        <v>1</v>
      </c>
      <c r="E35">
        <f>IF(E33="Agglos 15 creux",0,1)</f>
        <v>1</v>
      </c>
      <c r="F35">
        <f>IF(F33="Agglos 15 creux",0,1)</f>
        <v>0</v>
      </c>
      <c r="G35">
        <f>IF(G33="Agglos 15 creux",0,1)</f>
        <v>1</v>
      </c>
      <c r="H35">
        <f>IF(H33="Agglos 15 creux",0,1)</f>
        <v>1</v>
      </c>
      <c r="I35">
        <f>IF(I33="Agglos 15 creux",0,1)</f>
        <v>0</v>
      </c>
      <c r="J35">
        <f>IF(J33="Agglos 15 creux",0,1)</f>
        <v>1</v>
      </c>
      <c r="K35">
        <f>IF(K33="Agglos 15 creux",0,1)</f>
        <v>1</v>
      </c>
      <c r="L35">
        <f>IF(L33="Agglos 15 creux",0,1)</f>
        <v>0</v>
      </c>
      <c r="M35">
        <f>IF(M33="Agglos 15 creux",0,1)</f>
        <v>1</v>
      </c>
      <c r="N35">
        <f>IF(N33="Agglos 15 creux",0,1)</f>
        <v>1</v>
      </c>
      <c r="O35">
        <f>IF(O33="Agglos 15 creux",0,1)</f>
        <v>0</v>
      </c>
      <c r="P35">
        <f>IF(P33="Agglos 15 creux",0,1)</f>
        <v>1</v>
      </c>
      <c r="Q35">
        <f>IF(Q33="Agglos 15 creux",0,1)</f>
        <v>1</v>
      </c>
      <c r="R35">
        <f>IF(R33="Agglos 15 creux",0,1)</f>
        <v>0</v>
      </c>
      <c r="S35">
        <f>IF(S33="Agglos 15 creux",0,1)</f>
        <v>1</v>
      </c>
      <c r="T35">
        <f>IF(T33="Agglos 15 creux",0,1)</f>
        <v>1</v>
      </c>
      <c r="U35">
        <f>IF(U33="Agglos 15 creux",0,1)</f>
        <v>0</v>
      </c>
      <c r="V35">
        <f>IF(V33="Agglos 15 creux",0,1)</f>
        <v>1</v>
      </c>
      <c r="W35">
        <f>IF(W33="Agglos 15 creux",0,1)</f>
        <v>1</v>
      </c>
      <c r="X35">
        <f>IF(X33="Agglos 15 creux",0,1)</f>
        <v>0</v>
      </c>
    </row>
    <row r="36">
      <c r="A36" t="inlineStr">
        <is>
          <t>kag</t>
        </is>
      </c>
      <c r="B36" t="inlineStr">
        <is>
          <t>PRÉDIMENSIONNEMENT!C51</t>
        </is>
      </c>
      <c r="D36">
        <f>IF(D33="Bardage bac acier",0,1)</f>
        <v>0</v>
      </c>
      <c r="E36">
        <f>IF(E33="Bardage bac acier",0,1)</f>
        <v>0</v>
      </c>
      <c r="F36">
        <f>IF(F33="Bardage bac acier",0,1)</f>
        <v>1</v>
      </c>
      <c r="G36">
        <f>IF(G33="Bardage bac acier",0,1)</f>
        <v>0</v>
      </c>
      <c r="H36">
        <f>IF(H33="Bardage bac acier",0,1)</f>
        <v>0</v>
      </c>
      <c r="I36">
        <f>IF(I33="Bardage bac acier",0,1)</f>
        <v>1</v>
      </c>
      <c r="J36">
        <f>IF(J33="Bardage bac acier",0,1)</f>
        <v>0</v>
      </c>
      <c r="K36">
        <f>IF(K33="Bardage bac acier",0,1)</f>
        <v>0</v>
      </c>
      <c r="L36">
        <f>IF(L33="Bardage bac acier",0,1)</f>
        <v>1</v>
      </c>
      <c r="M36">
        <f>IF(M33="Bardage bac acier",0,1)</f>
        <v>0</v>
      </c>
      <c r="N36">
        <f>IF(N33="Bardage bac acier",0,1)</f>
        <v>0</v>
      </c>
      <c r="O36">
        <f>IF(O33="Bardage bac acier",0,1)</f>
        <v>1</v>
      </c>
      <c r="P36">
        <f>IF(P33="Bardage bac acier",0,1)</f>
        <v>0</v>
      </c>
      <c r="Q36">
        <f>IF(Q33="Bardage bac acier",0,1)</f>
        <v>0</v>
      </c>
      <c r="R36">
        <f>IF(R33="Bardage bac acier",0,1)</f>
        <v>1</v>
      </c>
      <c r="S36">
        <f>IF(S33="Bardage bac acier",0,1)</f>
        <v>0</v>
      </c>
      <c r="T36">
        <f>IF(T33="Bardage bac acier",0,1)</f>
        <v>0</v>
      </c>
      <c r="U36">
        <f>IF(U33="Bardage bac acier",0,1)</f>
        <v>1</v>
      </c>
      <c r="V36">
        <f>IF(V33="Bardage bac acier",0,1)</f>
        <v>0</v>
      </c>
      <c r="W36">
        <f>IF(W33="Bardage bac acier",0,1)</f>
        <v>0</v>
      </c>
      <c r="X36">
        <f>IF(X33="Bardage bac acier",0,1)</f>
        <v>1</v>
      </c>
    </row>
    <row r="37">
      <c r="A37" t="inlineStr">
        <is>
          <t>ktreil_pv</t>
        </is>
      </c>
      <c r="B37" t="inlineStr">
        <is>
          <t>PRÉDIMENSIONNEMENT!C52</t>
        </is>
      </c>
      <c r="D37">
        <f>MAX(1,D24)</f>
        <v>1</v>
      </c>
      <c r="E37">
        <f>MAX(1,E24)</f>
        <v>1</v>
      </c>
      <c r="F37">
        <f>MAX(1,F24)</f>
        <v>1</v>
      </c>
      <c r="G37">
        <f>MAX(1,G24)</f>
        <v>1</v>
      </c>
      <c r="H37">
        <f>MAX(1,H24)</f>
        <v>1</v>
      </c>
      <c r="I37">
        <f>MAX(1,I24)</f>
        <v>1</v>
      </c>
      <c r="J37">
        <f>MAX(1,J24)</f>
        <v>1</v>
      </c>
      <c r="K37">
        <f>MAX(1,K24)</f>
        <v>1</v>
      </c>
      <c r="L37">
        <f>MAX(1,L24)</f>
        <v>1</v>
      </c>
      <c r="M37">
        <f>MAX(1,M24)</f>
        <v>1</v>
      </c>
      <c r="N37">
        <f>MAX(1,N24)</f>
        <v>1</v>
      </c>
      <c r="O37">
        <f>MAX(1,O24)</f>
        <v>1</v>
      </c>
      <c r="P37">
        <f>MAX(1,P24)</f>
        <v>1</v>
      </c>
      <c r="Q37">
        <f>MAX(1,Q24)</f>
        <v>1</v>
      </c>
      <c r="R37">
        <f>MAX(1,R24)</f>
        <v>1</v>
      </c>
      <c r="S37">
        <f>MAX(1,S24)</f>
        <v>1</v>
      </c>
      <c r="T37">
        <f>MAX(1,T24)</f>
        <v>1</v>
      </c>
      <c r="U37">
        <f>MAX(1,U24)</f>
        <v>1</v>
      </c>
      <c r="V37">
        <f>MAX(1,V24)</f>
        <v>20</v>
      </c>
      <c r="W37">
        <f>MAX(1,W24)</f>
        <v>20</v>
      </c>
      <c r="X37">
        <f>MAX(1,X24)</f>
        <v>20</v>
      </c>
    </row>
    <row r="38">
      <c r="A38" t="inlineStr">
        <is>
          <t>n_lp_pc</t>
        </is>
      </c>
      <c r="B38" t="inlineStr">
        <is>
          <t>PRÉDIMENSIONNEMENT!C53</t>
        </is>
      </c>
      <c r="D38">
        <f>IF('PARAMÈTRES'!$C$31="Long-pan",'PARAMÈTRES'!$C$28,0)</f>
        <v>0</v>
      </c>
      <c r="E38">
        <f>IF('PARAMÈTRES'!$C$31="Long-pan",'PARAMÈTRES'!$C$28,0)</f>
        <v>0</v>
      </c>
      <c r="F38">
        <f>IF('PARAMÈTRES'!$C$31="Long-pan",'PARAMÈTRES'!$C$28,0)</f>
        <v>0</v>
      </c>
      <c r="G38">
        <f>IF('PARAMÈTRES'!$C$31="Long-pan",'PARAMÈTRES'!$C$28,0)</f>
        <v>0</v>
      </c>
      <c r="H38">
        <f>IF('PARAMÈTRES'!$C$31="Long-pan",'PARAMÈTRES'!$C$28,0)</f>
        <v>0</v>
      </c>
      <c r="I38">
        <f>IF('PARAMÈTRES'!$C$31="Long-pan",'PARAMÈTRES'!$C$28,0)</f>
        <v>0</v>
      </c>
      <c r="J38">
        <f>IF('PARAMÈTRES'!$C$31="Long-pan",'PARAMÈTRES'!$C$28,0)</f>
        <v>0</v>
      </c>
      <c r="K38">
        <f>IF('PARAMÈTRES'!$C$31="Long-pan",'PARAMÈTRES'!$C$28,0)</f>
        <v>0</v>
      </c>
      <c r="L38">
        <f>IF('PARAMÈTRES'!$C$31="Long-pan",'PARAMÈTRES'!$C$28,0)</f>
        <v>0</v>
      </c>
      <c r="M38">
        <f>IF('PARAMÈTRES'!$C$31="Long-pan",'PARAMÈTRES'!$C$28,0)</f>
        <v>0</v>
      </c>
      <c r="N38">
        <f>IF('PARAMÈTRES'!$C$31="Long-pan",'PARAMÈTRES'!$C$28,0)</f>
        <v>0</v>
      </c>
      <c r="O38">
        <f>IF('PARAMÈTRES'!$C$31="Long-pan",'PARAMÈTRES'!$C$28,0)</f>
        <v>0</v>
      </c>
      <c r="P38">
        <f>IF('PARAMÈTRES'!$C$31="Long-pan",'PARAMÈTRES'!$C$28,0)</f>
        <v>0</v>
      </c>
      <c r="Q38">
        <f>IF('PARAMÈTRES'!$C$31="Long-pan",'PARAMÈTRES'!$C$28,0)</f>
        <v>0</v>
      </c>
      <c r="R38">
        <f>IF('PARAMÈTRES'!$C$31="Long-pan",'PARAMÈTRES'!$C$28,0)</f>
        <v>0</v>
      </c>
      <c r="S38">
        <f>IF('PARAMÈTRES'!$C$31="Long-pan",'PARAMÈTRES'!$C$28,0)</f>
        <v>0</v>
      </c>
      <c r="T38">
        <f>IF('PARAMÈTRES'!$C$31="Long-pan",'PARAMÈTRES'!$C$28,0)</f>
        <v>0</v>
      </c>
      <c r="U38">
        <f>IF('PARAMÈTRES'!$C$31="Long-pan",'PARAMÈTRES'!$C$28,0)</f>
        <v>0</v>
      </c>
      <c r="V38">
        <f>IF('PARAMÈTRES'!$C$31="Long-pan",'PARAMÈTRES'!$C$28,0)</f>
        <v>0</v>
      </c>
      <c r="W38">
        <f>IF('PARAMÈTRES'!$C$31="Long-pan",'PARAMÈTRES'!$C$28,0)</f>
        <v>0</v>
      </c>
      <c r="X38">
        <f>IF('PARAMÈTRES'!$C$31="Long-pan",'PARAMÈTRES'!$C$28,0)</f>
        <v>0</v>
      </c>
    </row>
    <row r="39">
      <c r="A39" t="inlineStr">
        <is>
          <t>n_lp_pt</t>
        </is>
      </c>
      <c r="B39" t="inlineStr">
        <is>
          <t>PRÉDIMENSIONNEMENT!C54</t>
        </is>
      </c>
      <c r="D39">
        <f>IF('PARAMÈTRES'!$C$35="Long-pan",'PARAMÈTRES'!$C$32,0)</f>
        <v>1</v>
      </c>
      <c r="E39">
        <f>IF('PARAMÈTRES'!$C$35="Long-pan",'PARAMÈTRES'!$C$32,0)</f>
        <v>1</v>
      </c>
      <c r="F39">
        <f>IF('PARAMÈTRES'!$C$35="Long-pan",'PARAMÈTRES'!$C$32,0)</f>
        <v>1</v>
      </c>
      <c r="G39">
        <f>IF('PARAMÈTRES'!$C$35="Long-pan",'PARAMÈTRES'!$C$32,0)</f>
        <v>1</v>
      </c>
      <c r="H39">
        <f>IF('PARAMÈTRES'!$C$35="Long-pan",'PARAMÈTRES'!$C$32,0)</f>
        <v>1</v>
      </c>
      <c r="I39">
        <f>IF('PARAMÈTRES'!$C$35="Long-pan",'PARAMÈTRES'!$C$32,0)</f>
        <v>1</v>
      </c>
      <c r="J39">
        <f>IF('PARAMÈTRES'!$C$35="Long-pan",'PARAMÈTRES'!$C$32,0)</f>
        <v>1</v>
      </c>
      <c r="K39">
        <f>IF('PARAMÈTRES'!$C$35="Long-pan",'PARAMÈTRES'!$C$32,0)</f>
        <v>1</v>
      </c>
      <c r="L39">
        <f>IF('PARAMÈTRES'!$C$35="Long-pan",'PARAMÈTRES'!$C$32,0)</f>
        <v>1</v>
      </c>
      <c r="M39">
        <f>IF('PARAMÈTRES'!$C$35="Long-pan",'PARAMÈTRES'!$C$32,0)</f>
        <v>1</v>
      </c>
      <c r="N39">
        <f>IF('PARAMÈTRES'!$C$35="Long-pan",'PARAMÈTRES'!$C$32,0)</f>
        <v>1</v>
      </c>
      <c r="O39">
        <f>IF('PARAMÈTRES'!$C$35="Long-pan",'PARAMÈTRES'!$C$32,0)</f>
        <v>1</v>
      </c>
      <c r="P39">
        <f>IF('PARAMÈTRES'!$C$35="Long-pan",'PARAMÈTRES'!$C$32,0)</f>
        <v>1</v>
      </c>
      <c r="Q39">
        <f>IF('PARAMÈTRES'!$C$35="Long-pan",'PARAMÈTRES'!$C$32,0)</f>
        <v>1</v>
      </c>
      <c r="R39">
        <f>IF('PARAMÈTRES'!$C$35="Long-pan",'PARAMÈTRES'!$C$32,0)</f>
        <v>1</v>
      </c>
      <c r="S39">
        <f>IF('PARAMÈTRES'!$C$35="Long-pan",'PARAMÈTRES'!$C$32,0)</f>
        <v>1</v>
      </c>
      <c r="T39">
        <f>IF('PARAMÈTRES'!$C$35="Long-pan",'PARAMÈTRES'!$C$32,0)</f>
        <v>1</v>
      </c>
      <c r="U39">
        <f>IF('PARAMÈTRES'!$C$35="Long-pan",'PARAMÈTRES'!$C$32,0)</f>
        <v>1</v>
      </c>
      <c r="V39">
        <f>IF('PARAMÈTRES'!$C$35="Long-pan",'PARAMÈTRES'!$C$32,0)</f>
        <v>1</v>
      </c>
      <c r="W39">
        <f>IF('PARAMÈTRES'!$C$35="Long-pan",'PARAMÈTRES'!$C$32,0)</f>
        <v>1</v>
      </c>
      <c r="X39">
        <f>IF('PARAMÈTRES'!$C$35="Long-pan",'PARAMÈTRES'!$C$32,0)</f>
        <v>1</v>
      </c>
    </row>
    <row r="40">
      <c r="A40" t="inlineStr">
        <is>
          <t>S_ouv</t>
        </is>
      </c>
      <c r="B40" t="inlineStr">
        <is>
          <t>PRÉDIMENSIONNEMENT!C55</t>
        </is>
      </c>
      <c r="D40">
        <f>'PARAMÈTRES'!$C$28*'PARAMÈTRES'!$C$29*'PARAMÈTRES'!$C$30+'PARAMÈTRES'!$C$32*'PARAMÈTRES'!$C$33*'PARAMÈTRES'!$C$34</f>
        <v>40</v>
      </c>
      <c r="E40">
        <f>'PARAMÈTRES'!$C$28*'PARAMÈTRES'!$C$29*'PARAMÈTRES'!$C$30+'PARAMÈTRES'!$C$32*'PARAMÈTRES'!$C$33*'PARAMÈTRES'!$C$34</f>
        <v>40</v>
      </c>
      <c r="F40">
        <f>'PARAMÈTRES'!$C$28*'PARAMÈTRES'!$C$29*'PARAMÈTRES'!$C$30+'PARAMÈTRES'!$C$32*'PARAMÈTRES'!$C$33*'PARAMÈTRES'!$C$34</f>
        <v>40</v>
      </c>
      <c r="G40">
        <f>'PARAMÈTRES'!$C$28*'PARAMÈTRES'!$C$29*'PARAMÈTRES'!$C$30+'PARAMÈTRES'!$C$32*'PARAMÈTRES'!$C$33*'PARAMÈTRES'!$C$34</f>
        <v>40</v>
      </c>
      <c r="H40">
        <f>'PARAMÈTRES'!$C$28*'PARAMÈTRES'!$C$29*'PARAMÈTRES'!$C$30+'PARAMÈTRES'!$C$32*'PARAMÈTRES'!$C$33*'PARAMÈTRES'!$C$34</f>
        <v>40</v>
      </c>
      <c r="I40">
        <f>'PARAMÈTRES'!$C$28*'PARAMÈTRES'!$C$29*'PARAMÈTRES'!$C$30+'PARAMÈTRES'!$C$32*'PARAMÈTRES'!$C$33*'PARAMÈTRES'!$C$34</f>
        <v>40</v>
      </c>
      <c r="J40">
        <f>'PARAMÈTRES'!$C$28*'PARAMÈTRES'!$C$29*'PARAMÈTRES'!$C$30+'PARAMÈTRES'!$C$32*'PARAMÈTRES'!$C$33*'PARAMÈTRES'!$C$34</f>
        <v>40</v>
      </c>
      <c r="K40">
        <f>'PARAMÈTRES'!$C$28*'PARAMÈTRES'!$C$29*'PARAMÈTRES'!$C$30+'PARAMÈTRES'!$C$32*'PARAMÈTRES'!$C$33*'PARAMÈTRES'!$C$34</f>
        <v>40</v>
      </c>
      <c r="L40">
        <f>'PARAMÈTRES'!$C$28*'PARAMÈTRES'!$C$29*'PARAMÈTRES'!$C$30+'PARAMÈTRES'!$C$32*'PARAMÈTRES'!$C$33*'PARAMÈTRES'!$C$34</f>
        <v>40</v>
      </c>
      <c r="M40">
        <f>'PARAMÈTRES'!$C$28*'PARAMÈTRES'!$C$29*'PARAMÈTRES'!$C$30+'PARAMÈTRES'!$C$32*'PARAMÈTRES'!$C$33*'PARAMÈTRES'!$C$34</f>
        <v>40</v>
      </c>
      <c r="N40">
        <f>'PARAMÈTRES'!$C$28*'PARAMÈTRES'!$C$29*'PARAMÈTRES'!$C$30+'PARAMÈTRES'!$C$32*'PARAMÈTRES'!$C$33*'PARAMÈTRES'!$C$34</f>
        <v>40</v>
      </c>
      <c r="O40">
        <f>'PARAMÈTRES'!$C$28*'PARAMÈTRES'!$C$29*'PARAMÈTRES'!$C$30+'PARAMÈTRES'!$C$32*'PARAMÈTRES'!$C$33*'PARAMÈTRES'!$C$34</f>
        <v>40</v>
      </c>
      <c r="P40">
        <f>'PARAMÈTRES'!$C$28*'PARAMÈTRES'!$C$29*'PARAMÈTRES'!$C$30+'PARAMÈTRES'!$C$32*'PARAMÈTRES'!$C$33*'PARAMÈTRES'!$C$34</f>
        <v>40</v>
      </c>
      <c r="Q40">
        <f>'PARAMÈTRES'!$C$28*'PARAMÈTRES'!$C$29*'PARAMÈTRES'!$C$30+'PARAMÈTRES'!$C$32*'PARAMÈTRES'!$C$33*'PARAMÈTRES'!$C$34</f>
        <v>40</v>
      </c>
      <c r="R40">
        <f>'PARAMÈTRES'!$C$28*'PARAMÈTRES'!$C$29*'PARAMÈTRES'!$C$30+'PARAMÈTRES'!$C$32*'PARAMÈTRES'!$C$33*'PARAMÈTRES'!$C$34</f>
        <v>40</v>
      </c>
      <c r="S40">
        <f>'PARAMÈTRES'!$C$28*'PARAMÈTRES'!$C$29*'PARAMÈTRES'!$C$30+'PARAMÈTRES'!$C$32*'PARAMÈTRES'!$C$33*'PARAMÈTRES'!$C$34</f>
        <v>40</v>
      </c>
      <c r="T40">
        <f>'PARAMÈTRES'!$C$28*'PARAMÈTRES'!$C$29*'PARAMÈTRES'!$C$30+'PARAMÈTRES'!$C$32*'PARAMÈTRES'!$C$33*'PARAMÈTRES'!$C$34</f>
        <v>40</v>
      </c>
      <c r="U40">
        <f>'PARAMÈTRES'!$C$28*'PARAMÈTRES'!$C$29*'PARAMÈTRES'!$C$30+'PARAMÈTRES'!$C$32*'PARAMÈTRES'!$C$33*'PARAMÈTRES'!$C$34</f>
        <v>40</v>
      </c>
      <c r="V40">
        <f>'PARAMÈTRES'!$C$28*'PARAMÈTRES'!$C$29*'PARAMÈTRES'!$C$30+'PARAMÈTRES'!$C$32*'PARAMÈTRES'!$C$33*'PARAMÈTRES'!$C$34</f>
        <v>40</v>
      </c>
      <c r="W40">
        <f>'PARAMÈTRES'!$C$28*'PARAMÈTRES'!$C$29*'PARAMÈTRES'!$C$30+'PARAMÈTRES'!$C$32*'PARAMÈTRES'!$C$33*'PARAMÈTRES'!$C$34</f>
        <v>40</v>
      </c>
      <c r="X40">
        <f>'PARAMÈTRES'!$C$28*'PARAMÈTRES'!$C$29*'PARAMÈTRES'!$C$30+'PARAMÈTRES'!$C$32*'PARAMÈTRES'!$C$33*'PARAMÈTRES'!$C$34</f>
        <v>40</v>
      </c>
    </row>
    <row r="41">
      <c r="A41" t="inlineStr">
        <is>
          <t>L_ouv</t>
        </is>
      </c>
      <c r="B41" t="inlineStr">
        <is>
          <t>PRÉDIMENSIONNEMENT!C56</t>
        </is>
      </c>
      <c r="D41">
        <f>'PARAMÈTRES'!$C$28*'PARAMÈTRES'!$C$29+'PARAMÈTRES'!$C$32*'PARAMÈTRES'!$C$33</f>
        <v>9.5</v>
      </c>
      <c r="E41">
        <f>'PARAMÈTRES'!$C$28*'PARAMÈTRES'!$C$29+'PARAMÈTRES'!$C$32*'PARAMÈTRES'!$C$33</f>
        <v>9.5</v>
      </c>
      <c r="F41">
        <f>'PARAMÈTRES'!$C$28*'PARAMÈTRES'!$C$29+'PARAMÈTRES'!$C$32*'PARAMÈTRES'!$C$33</f>
        <v>9.5</v>
      </c>
      <c r="G41">
        <f>'PARAMÈTRES'!$C$28*'PARAMÈTRES'!$C$29+'PARAMÈTRES'!$C$32*'PARAMÈTRES'!$C$33</f>
        <v>9.5</v>
      </c>
      <c r="H41">
        <f>'PARAMÈTRES'!$C$28*'PARAMÈTRES'!$C$29+'PARAMÈTRES'!$C$32*'PARAMÈTRES'!$C$33</f>
        <v>9.5</v>
      </c>
      <c r="I41">
        <f>'PARAMÈTRES'!$C$28*'PARAMÈTRES'!$C$29+'PARAMÈTRES'!$C$32*'PARAMÈTRES'!$C$33</f>
        <v>9.5</v>
      </c>
      <c r="J41">
        <f>'PARAMÈTRES'!$C$28*'PARAMÈTRES'!$C$29+'PARAMÈTRES'!$C$32*'PARAMÈTRES'!$C$33</f>
        <v>9.5</v>
      </c>
      <c r="K41">
        <f>'PARAMÈTRES'!$C$28*'PARAMÈTRES'!$C$29+'PARAMÈTRES'!$C$32*'PARAMÈTRES'!$C$33</f>
        <v>9.5</v>
      </c>
      <c r="L41">
        <f>'PARAMÈTRES'!$C$28*'PARAMÈTRES'!$C$29+'PARAMÈTRES'!$C$32*'PARAMÈTRES'!$C$33</f>
        <v>9.5</v>
      </c>
      <c r="M41">
        <f>'PARAMÈTRES'!$C$28*'PARAMÈTRES'!$C$29+'PARAMÈTRES'!$C$32*'PARAMÈTRES'!$C$33</f>
        <v>9.5</v>
      </c>
      <c r="N41">
        <f>'PARAMÈTRES'!$C$28*'PARAMÈTRES'!$C$29+'PARAMÈTRES'!$C$32*'PARAMÈTRES'!$C$33</f>
        <v>9.5</v>
      </c>
      <c r="O41">
        <f>'PARAMÈTRES'!$C$28*'PARAMÈTRES'!$C$29+'PARAMÈTRES'!$C$32*'PARAMÈTRES'!$C$33</f>
        <v>9.5</v>
      </c>
      <c r="P41">
        <f>'PARAMÈTRES'!$C$28*'PARAMÈTRES'!$C$29+'PARAMÈTRES'!$C$32*'PARAMÈTRES'!$C$33</f>
        <v>9.5</v>
      </c>
      <c r="Q41">
        <f>'PARAMÈTRES'!$C$28*'PARAMÈTRES'!$C$29+'PARAMÈTRES'!$C$32*'PARAMÈTRES'!$C$33</f>
        <v>9.5</v>
      </c>
      <c r="R41">
        <f>'PARAMÈTRES'!$C$28*'PARAMÈTRES'!$C$29+'PARAMÈTRES'!$C$32*'PARAMÈTRES'!$C$33</f>
        <v>9.5</v>
      </c>
      <c r="S41">
        <f>'PARAMÈTRES'!$C$28*'PARAMÈTRES'!$C$29+'PARAMÈTRES'!$C$32*'PARAMÈTRES'!$C$33</f>
        <v>9.5</v>
      </c>
      <c r="T41">
        <f>'PARAMÈTRES'!$C$28*'PARAMÈTRES'!$C$29+'PARAMÈTRES'!$C$32*'PARAMÈTRES'!$C$33</f>
        <v>9.5</v>
      </c>
      <c r="U41">
        <f>'PARAMÈTRES'!$C$28*'PARAMÈTRES'!$C$29+'PARAMÈTRES'!$C$32*'PARAMÈTRES'!$C$33</f>
        <v>9.5</v>
      </c>
      <c r="V41">
        <f>'PARAMÈTRES'!$C$28*'PARAMÈTRES'!$C$29+'PARAMÈTRES'!$C$32*'PARAMÈTRES'!$C$33</f>
        <v>9.5</v>
      </c>
      <c r="W41">
        <f>'PARAMÈTRES'!$C$28*'PARAMÈTRES'!$C$29+'PARAMÈTRES'!$C$32*'PARAMÈTRES'!$C$33</f>
        <v>9.5</v>
      </c>
      <c r="X41">
        <f>'PARAMÈTRES'!$C$28*'PARAMÈTRES'!$C$29+'PARAMÈTRES'!$C$32*'PARAMÈTRES'!$C$33</f>
        <v>9.5</v>
      </c>
    </row>
    <row r="42">
      <c r="A42" t="inlineStr">
        <is>
          <t>S_ouv_b</t>
        </is>
      </c>
      <c r="B42" t="inlineStr">
        <is>
          <t>PRÉDIMENSIONNEMENT!C57</t>
        </is>
      </c>
      <c r="D42">
        <f>D35*('PARAMÈTRES'!$C$28*'PARAMÈTRES'!$C$29*MAX(0,'PARAMÈTRES'!$C$30-D34)+'PARAMÈTRES'!$C$32*'PARAMÈTRES'!$C$33*MAX(0,'PARAMÈTRES'!$C$34-D34))</f>
        <v>40</v>
      </c>
      <c r="E42">
        <f>E35*('PARAMÈTRES'!$C$28*'PARAMÈTRES'!$C$29*MAX(0,'PARAMÈTRES'!$C$30-E34)+'PARAMÈTRES'!$C$32*'PARAMÈTRES'!$C$33*MAX(0,'PARAMÈTRES'!$C$34-E34))</f>
        <v>40</v>
      </c>
      <c r="F42">
        <f>F35*('PARAMÈTRES'!$C$28*'PARAMÈTRES'!$C$29*MAX(0,'PARAMÈTRES'!$C$30-F34)+'PARAMÈTRES'!$C$32*'PARAMÈTRES'!$C$33*MAX(0,'PARAMÈTRES'!$C$34-F34))</f>
        <v>0</v>
      </c>
      <c r="G42">
        <f>G35*('PARAMÈTRES'!$C$28*'PARAMÈTRES'!$C$29*MAX(0,'PARAMÈTRES'!$C$30-G34)+'PARAMÈTRES'!$C$32*'PARAMÈTRES'!$C$33*MAX(0,'PARAMÈTRES'!$C$34-G34))</f>
        <v>40</v>
      </c>
      <c r="H42">
        <f>H35*('PARAMÈTRES'!$C$28*'PARAMÈTRES'!$C$29*MAX(0,'PARAMÈTRES'!$C$30-H34)+'PARAMÈTRES'!$C$32*'PARAMÈTRES'!$C$33*MAX(0,'PARAMÈTRES'!$C$34-H34))</f>
        <v>40</v>
      </c>
      <c r="I42">
        <f>I35*('PARAMÈTRES'!$C$28*'PARAMÈTRES'!$C$29*MAX(0,'PARAMÈTRES'!$C$30-I34)+'PARAMÈTRES'!$C$32*'PARAMÈTRES'!$C$33*MAX(0,'PARAMÈTRES'!$C$34-I34))</f>
        <v>0</v>
      </c>
      <c r="J42">
        <f>J35*('PARAMÈTRES'!$C$28*'PARAMÈTRES'!$C$29*MAX(0,'PARAMÈTRES'!$C$30-J34)+'PARAMÈTRES'!$C$32*'PARAMÈTRES'!$C$33*MAX(0,'PARAMÈTRES'!$C$34-J34))</f>
        <v>40</v>
      </c>
      <c r="K42">
        <f>K35*('PARAMÈTRES'!$C$28*'PARAMÈTRES'!$C$29*MAX(0,'PARAMÈTRES'!$C$30-K34)+'PARAMÈTRES'!$C$32*'PARAMÈTRES'!$C$33*MAX(0,'PARAMÈTRES'!$C$34-K34))</f>
        <v>40</v>
      </c>
      <c r="L42">
        <f>L35*('PARAMÈTRES'!$C$28*'PARAMÈTRES'!$C$29*MAX(0,'PARAMÈTRES'!$C$30-L34)+'PARAMÈTRES'!$C$32*'PARAMÈTRES'!$C$33*MAX(0,'PARAMÈTRES'!$C$34-L34))</f>
        <v>0</v>
      </c>
      <c r="M42">
        <f>M35*('PARAMÈTRES'!$C$28*'PARAMÈTRES'!$C$29*MAX(0,'PARAMÈTRES'!$C$30-M34)+'PARAMÈTRES'!$C$32*'PARAMÈTRES'!$C$33*MAX(0,'PARAMÈTRES'!$C$34-M34))</f>
        <v>40</v>
      </c>
      <c r="N42">
        <f>N35*('PARAMÈTRES'!$C$28*'PARAMÈTRES'!$C$29*MAX(0,'PARAMÈTRES'!$C$30-N34)+'PARAMÈTRES'!$C$32*'PARAMÈTRES'!$C$33*MAX(0,'PARAMÈTRES'!$C$34-N34))</f>
        <v>40</v>
      </c>
      <c r="O42">
        <f>O35*('PARAMÈTRES'!$C$28*'PARAMÈTRES'!$C$29*MAX(0,'PARAMÈTRES'!$C$30-O34)+'PARAMÈTRES'!$C$32*'PARAMÈTRES'!$C$33*MAX(0,'PARAMÈTRES'!$C$34-O34))</f>
        <v>0</v>
      </c>
      <c r="P42">
        <f>P35*('PARAMÈTRES'!$C$28*'PARAMÈTRES'!$C$29*MAX(0,'PARAMÈTRES'!$C$30-P34)+'PARAMÈTRES'!$C$32*'PARAMÈTRES'!$C$33*MAX(0,'PARAMÈTRES'!$C$34-P34))</f>
        <v>40</v>
      </c>
      <c r="Q42">
        <f>Q35*('PARAMÈTRES'!$C$28*'PARAMÈTRES'!$C$29*MAX(0,'PARAMÈTRES'!$C$30-Q34)+'PARAMÈTRES'!$C$32*'PARAMÈTRES'!$C$33*MAX(0,'PARAMÈTRES'!$C$34-Q34))</f>
        <v>40</v>
      </c>
      <c r="R42">
        <f>R35*('PARAMÈTRES'!$C$28*'PARAMÈTRES'!$C$29*MAX(0,'PARAMÈTRES'!$C$30-R34)+'PARAMÈTRES'!$C$32*'PARAMÈTRES'!$C$33*MAX(0,'PARAMÈTRES'!$C$34-R34))</f>
        <v>0</v>
      </c>
      <c r="S42">
        <f>S35*('PARAMÈTRES'!$C$28*'PARAMÈTRES'!$C$29*MAX(0,'PARAMÈTRES'!$C$30-S34)+'PARAMÈTRES'!$C$32*'PARAMÈTRES'!$C$33*MAX(0,'PARAMÈTRES'!$C$34-S34))</f>
        <v>40</v>
      </c>
      <c r="T42">
        <f>T35*('PARAMÈTRES'!$C$28*'PARAMÈTRES'!$C$29*MAX(0,'PARAMÈTRES'!$C$30-T34)+'PARAMÈTRES'!$C$32*'PARAMÈTRES'!$C$33*MAX(0,'PARAMÈTRES'!$C$34-T34))</f>
        <v>40</v>
      </c>
      <c r="U42">
        <f>U35*('PARAMÈTRES'!$C$28*'PARAMÈTRES'!$C$29*MAX(0,'PARAMÈTRES'!$C$30-U34)+'PARAMÈTRES'!$C$32*'PARAMÈTRES'!$C$33*MAX(0,'PARAMÈTRES'!$C$34-U34))</f>
        <v>0</v>
      </c>
      <c r="V42">
        <f>V35*('PARAMÈTRES'!$C$28*'PARAMÈTRES'!$C$29*MAX(0,'PARAMÈTRES'!$C$30-V34)+'PARAMÈTRES'!$C$32*'PARAMÈTRES'!$C$33*MAX(0,'PARAMÈTRES'!$C$34-V34))</f>
        <v>40</v>
      </c>
      <c r="W42">
        <f>W35*('PARAMÈTRES'!$C$28*'PARAMÈTRES'!$C$29*MAX(0,'PARAMÈTRES'!$C$30-W34)+'PARAMÈTRES'!$C$32*'PARAMÈTRES'!$C$33*MAX(0,'PARAMÈTRES'!$C$34-W34))</f>
        <v>40</v>
      </c>
      <c r="X42">
        <f>X35*('PARAMÈTRES'!$C$28*'PARAMÈTRES'!$C$29*MAX(0,'PARAMÈTRES'!$C$30-X34)+'PARAMÈTRES'!$C$32*'PARAMÈTRES'!$C$33*MAX(0,'PARAMÈTRES'!$C$34-X34))</f>
        <v>0</v>
      </c>
    </row>
    <row r="43">
      <c r="A43" t="inlineStr">
        <is>
          <t>S_ouv_ag</t>
        </is>
      </c>
      <c r="B43" t="inlineStr">
        <is>
          <t>PRÉDIMENSIONNEMENT!C58</t>
        </is>
      </c>
      <c r="D43">
        <f>D36*('PARAMÈTRES'!$C$28*'PARAMÈTRES'!$C$29*MIN('PARAMÈTRES'!$C$30,D34)+'PARAMÈTRES'!$C$32*'PARAMÈTRES'!$C$33*MIN('PARAMÈTRES'!$C$34,D34))</f>
        <v>0</v>
      </c>
      <c r="E43">
        <f>E36*('PARAMÈTRES'!$C$28*'PARAMÈTRES'!$C$29*MIN('PARAMÈTRES'!$C$30,E34)+'PARAMÈTRES'!$C$32*'PARAMÈTRES'!$C$33*MIN('PARAMÈTRES'!$C$34,E34))</f>
        <v>0</v>
      </c>
      <c r="F43">
        <f>F36*('PARAMÈTRES'!$C$28*'PARAMÈTRES'!$C$29*MIN('PARAMÈTRES'!$C$30,F34)+'PARAMÈTRES'!$C$32*'PARAMÈTRES'!$C$33*MIN('PARAMÈTRES'!$C$34,F34))</f>
        <v>40</v>
      </c>
      <c r="G43">
        <f>G36*('PARAMÈTRES'!$C$28*'PARAMÈTRES'!$C$29*MIN('PARAMÈTRES'!$C$30,G34)+'PARAMÈTRES'!$C$32*'PARAMÈTRES'!$C$33*MIN('PARAMÈTRES'!$C$34,G34))</f>
        <v>0</v>
      </c>
      <c r="H43">
        <f>H36*('PARAMÈTRES'!$C$28*'PARAMÈTRES'!$C$29*MIN('PARAMÈTRES'!$C$30,H34)+'PARAMÈTRES'!$C$32*'PARAMÈTRES'!$C$33*MIN('PARAMÈTRES'!$C$34,H34))</f>
        <v>0</v>
      </c>
      <c r="I43">
        <f>I36*('PARAMÈTRES'!$C$28*'PARAMÈTRES'!$C$29*MIN('PARAMÈTRES'!$C$30,I34)+'PARAMÈTRES'!$C$32*'PARAMÈTRES'!$C$33*MIN('PARAMÈTRES'!$C$34,I34))</f>
        <v>40</v>
      </c>
      <c r="J43">
        <f>J36*('PARAMÈTRES'!$C$28*'PARAMÈTRES'!$C$29*MIN('PARAMÈTRES'!$C$30,J34)+'PARAMÈTRES'!$C$32*'PARAMÈTRES'!$C$33*MIN('PARAMÈTRES'!$C$34,J34))</f>
        <v>0</v>
      </c>
      <c r="K43">
        <f>K36*('PARAMÈTRES'!$C$28*'PARAMÈTRES'!$C$29*MIN('PARAMÈTRES'!$C$30,K34)+'PARAMÈTRES'!$C$32*'PARAMÈTRES'!$C$33*MIN('PARAMÈTRES'!$C$34,K34))</f>
        <v>0</v>
      </c>
      <c r="L43">
        <f>L36*('PARAMÈTRES'!$C$28*'PARAMÈTRES'!$C$29*MIN('PARAMÈTRES'!$C$30,L34)+'PARAMÈTRES'!$C$32*'PARAMÈTRES'!$C$33*MIN('PARAMÈTRES'!$C$34,L34))</f>
        <v>40</v>
      </c>
      <c r="M43">
        <f>M36*('PARAMÈTRES'!$C$28*'PARAMÈTRES'!$C$29*MIN('PARAMÈTRES'!$C$30,M34)+'PARAMÈTRES'!$C$32*'PARAMÈTRES'!$C$33*MIN('PARAMÈTRES'!$C$34,M34))</f>
        <v>0</v>
      </c>
      <c r="N43">
        <f>N36*('PARAMÈTRES'!$C$28*'PARAMÈTRES'!$C$29*MIN('PARAMÈTRES'!$C$30,N34)+'PARAMÈTRES'!$C$32*'PARAMÈTRES'!$C$33*MIN('PARAMÈTRES'!$C$34,N34))</f>
        <v>0</v>
      </c>
      <c r="O43">
        <f>O36*('PARAMÈTRES'!$C$28*'PARAMÈTRES'!$C$29*MIN('PARAMÈTRES'!$C$30,O34)+'PARAMÈTRES'!$C$32*'PARAMÈTRES'!$C$33*MIN('PARAMÈTRES'!$C$34,O34))</f>
        <v>40</v>
      </c>
      <c r="P43">
        <f>P36*('PARAMÈTRES'!$C$28*'PARAMÈTRES'!$C$29*MIN('PARAMÈTRES'!$C$30,P34)+'PARAMÈTRES'!$C$32*'PARAMÈTRES'!$C$33*MIN('PARAMÈTRES'!$C$34,P34))</f>
        <v>0</v>
      </c>
      <c r="Q43">
        <f>Q36*('PARAMÈTRES'!$C$28*'PARAMÈTRES'!$C$29*MIN('PARAMÈTRES'!$C$30,Q34)+'PARAMÈTRES'!$C$32*'PARAMÈTRES'!$C$33*MIN('PARAMÈTRES'!$C$34,Q34))</f>
        <v>0</v>
      </c>
      <c r="R43">
        <f>R36*('PARAMÈTRES'!$C$28*'PARAMÈTRES'!$C$29*MIN('PARAMÈTRES'!$C$30,R34)+'PARAMÈTRES'!$C$32*'PARAMÈTRES'!$C$33*MIN('PARAMÈTRES'!$C$34,R34))</f>
        <v>40</v>
      </c>
      <c r="S43">
        <f>S36*('PARAMÈTRES'!$C$28*'PARAMÈTRES'!$C$29*MIN('PARAMÈTRES'!$C$30,S34)+'PARAMÈTRES'!$C$32*'PARAMÈTRES'!$C$33*MIN('PARAMÈTRES'!$C$34,S34))</f>
        <v>0</v>
      </c>
      <c r="T43">
        <f>T36*('PARAMÈTRES'!$C$28*'PARAMÈTRES'!$C$29*MIN('PARAMÈTRES'!$C$30,T34)+'PARAMÈTRES'!$C$32*'PARAMÈTRES'!$C$33*MIN('PARAMÈTRES'!$C$34,T34))</f>
        <v>0</v>
      </c>
      <c r="U43">
        <f>U36*('PARAMÈTRES'!$C$28*'PARAMÈTRES'!$C$29*MIN('PARAMÈTRES'!$C$30,U34)+'PARAMÈTRES'!$C$32*'PARAMÈTRES'!$C$33*MIN('PARAMÈTRES'!$C$34,U34))</f>
        <v>40</v>
      </c>
      <c r="V43">
        <f>V36*('PARAMÈTRES'!$C$28*'PARAMÈTRES'!$C$29*MIN('PARAMÈTRES'!$C$30,V34)+'PARAMÈTRES'!$C$32*'PARAMÈTRES'!$C$33*MIN('PARAMÈTRES'!$C$34,V34))</f>
        <v>0</v>
      </c>
      <c r="W43">
        <f>W36*('PARAMÈTRES'!$C$28*'PARAMÈTRES'!$C$29*MIN('PARAMÈTRES'!$C$30,W34)+'PARAMÈTRES'!$C$32*'PARAMÈTRES'!$C$33*MIN('PARAMÈTRES'!$C$34,W34))</f>
        <v>0</v>
      </c>
      <c r="X43">
        <f>X36*('PARAMÈTRES'!$C$28*'PARAMÈTRES'!$C$29*MIN('PARAMÈTRES'!$C$30,X34)+'PARAMÈTRES'!$C$32*'PARAMÈTRES'!$C$33*MIN('PARAMÈTRES'!$C$34,X34))</f>
        <v>40</v>
      </c>
    </row>
    <row r="44">
      <c r="A44" t="inlineStr">
        <is>
          <t>n_rows</t>
        </is>
      </c>
      <c r="B44" t="inlineStr">
        <is>
          <t>PRÉDIMENSIONNEMENT!C59</t>
        </is>
      </c>
      <c r="D44">
        <f>D35*ROUNDUP((D18-D34)/'PARAMÈTRES'!$C$17,0)</f>
        <v>4</v>
      </c>
      <c r="E44">
        <f>E35*ROUNDUP((E18-E34)/'PARAMÈTRES'!$C$17,0)</f>
        <v>4</v>
      </c>
      <c r="F44">
        <f>F35*ROUNDUP((F18-F34)/'PARAMÈTRES'!$C$17,0)</f>
        <v>0</v>
      </c>
      <c r="G44">
        <f>G35*ROUNDUP((G18-G34)/'PARAMÈTRES'!$C$17,0)</f>
        <v>4</v>
      </c>
      <c r="H44">
        <f>H35*ROUNDUP((H18-H34)/'PARAMÈTRES'!$C$17,0)</f>
        <v>4</v>
      </c>
      <c r="I44">
        <f>I35*ROUNDUP((I18-I34)/'PARAMÈTRES'!$C$17,0)</f>
        <v>0</v>
      </c>
      <c r="J44">
        <f>J35*ROUNDUP((J18-J34)/'PARAMÈTRES'!$C$17,0)</f>
        <v>4</v>
      </c>
      <c r="K44">
        <f>K35*ROUNDUP((K18-K34)/'PARAMÈTRES'!$C$17,0)</f>
        <v>4</v>
      </c>
      <c r="L44">
        <f>L35*ROUNDUP((L18-L34)/'PARAMÈTRES'!$C$17,0)</f>
        <v>0</v>
      </c>
      <c r="M44">
        <f>M35*ROUNDUP((M18-M34)/'PARAMÈTRES'!$C$17,0)</f>
        <v>4</v>
      </c>
      <c r="N44">
        <f>N35*ROUNDUP((N18-N34)/'PARAMÈTRES'!$C$17,0)</f>
        <v>4</v>
      </c>
      <c r="O44">
        <f>O35*ROUNDUP((O18-O34)/'PARAMÈTRES'!$C$17,0)</f>
        <v>0</v>
      </c>
      <c r="P44">
        <f>P35*ROUNDUP((P18-P34)/'PARAMÈTRES'!$C$17,0)</f>
        <v>4</v>
      </c>
      <c r="Q44">
        <f>Q35*ROUNDUP((Q18-Q34)/'PARAMÈTRES'!$C$17,0)</f>
        <v>4</v>
      </c>
      <c r="R44">
        <f>R35*ROUNDUP((R18-R34)/'PARAMÈTRES'!$C$17,0)</f>
        <v>0</v>
      </c>
      <c r="S44">
        <f>S35*ROUNDUP((S18-S34)/'PARAMÈTRES'!$C$17,0)</f>
        <v>4</v>
      </c>
      <c r="T44">
        <f>T35*ROUNDUP((T18-T34)/'PARAMÈTRES'!$C$17,0)</f>
        <v>4</v>
      </c>
      <c r="U44">
        <f>U35*ROUNDUP((U18-U34)/'PARAMÈTRES'!$C$17,0)</f>
        <v>0</v>
      </c>
      <c r="V44">
        <f>V35*ROUNDUP((V18-V34)/'PARAMÈTRES'!$C$17,0)</f>
        <v>5</v>
      </c>
      <c r="W44">
        <f>W35*ROUNDUP((W18-W34)/'PARAMÈTRES'!$C$17,0)</f>
        <v>5</v>
      </c>
      <c r="X44">
        <f>X35*ROUNDUP((X18-X34)/'PARAMÈTRES'!$C$17,0)</f>
        <v>0</v>
      </c>
    </row>
    <row r="45">
      <c r="A45" t="inlineStr">
        <is>
          <t>rc_pc</t>
        </is>
      </c>
      <c r="B45" t="inlineStr">
        <is>
          <t>PRÉDIMENSIONNEMENT!C60</t>
        </is>
      </c>
      <c r="D45">
        <f>MIN(D44,MAX(0,ROUNDUP(('PARAMÈTRES'!$C$30-D34)/'PARAMÈTRES'!$C$17,0)))</f>
        <v>3</v>
      </c>
      <c r="E45">
        <f>MIN(E44,MAX(0,ROUNDUP(('PARAMÈTRES'!$C$30-E34)/'PARAMÈTRES'!$C$17,0)))</f>
        <v>3</v>
      </c>
      <c r="F45">
        <f>MIN(F44,MAX(0,ROUNDUP(('PARAMÈTRES'!$C$30-F34)/'PARAMÈTRES'!$C$17,0)))</f>
        <v>0</v>
      </c>
      <c r="G45">
        <f>MIN(G44,MAX(0,ROUNDUP(('PARAMÈTRES'!$C$30-G34)/'PARAMÈTRES'!$C$17,0)))</f>
        <v>3</v>
      </c>
      <c r="H45">
        <f>MIN(H44,MAX(0,ROUNDUP(('PARAMÈTRES'!$C$30-H34)/'PARAMÈTRES'!$C$17,0)))</f>
        <v>3</v>
      </c>
      <c r="I45">
        <f>MIN(I44,MAX(0,ROUNDUP(('PARAMÈTRES'!$C$30-I34)/'PARAMÈTRES'!$C$17,0)))</f>
        <v>0</v>
      </c>
      <c r="J45">
        <f>MIN(J44,MAX(0,ROUNDUP(('PARAMÈTRES'!$C$30-J34)/'PARAMÈTRES'!$C$17,0)))</f>
        <v>3</v>
      </c>
      <c r="K45">
        <f>MIN(K44,MAX(0,ROUNDUP(('PARAMÈTRES'!$C$30-K34)/'PARAMÈTRES'!$C$17,0)))</f>
        <v>3</v>
      </c>
      <c r="L45">
        <f>MIN(L44,MAX(0,ROUNDUP(('PARAMÈTRES'!$C$30-L34)/'PARAMÈTRES'!$C$17,0)))</f>
        <v>0</v>
      </c>
      <c r="M45">
        <f>MIN(M44,MAX(0,ROUNDUP(('PARAMÈTRES'!$C$30-M34)/'PARAMÈTRES'!$C$17,0)))</f>
        <v>3</v>
      </c>
      <c r="N45">
        <f>MIN(N44,MAX(0,ROUNDUP(('PARAMÈTRES'!$C$30-N34)/'PARAMÈTRES'!$C$17,0)))</f>
        <v>3</v>
      </c>
      <c r="O45">
        <f>MIN(O44,MAX(0,ROUNDUP(('PARAMÈTRES'!$C$30-O34)/'PARAMÈTRES'!$C$17,0)))</f>
        <v>0</v>
      </c>
      <c r="P45">
        <f>MIN(P44,MAX(0,ROUNDUP(('PARAMÈTRES'!$C$30-P34)/'PARAMÈTRES'!$C$17,0)))</f>
        <v>3</v>
      </c>
      <c r="Q45">
        <f>MIN(Q44,MAX(0,ROUNDUP(('PARAMÈTRES'!$C$30-Q34)/'PARAMÈTRES'!$C$17,0)))</f>
        <v>3</v>
      </c>
      <c r="R45">
        <f>MIN(R44,MAX(0,ROUNDUP(('PARAMÈTRES'!$C$30-R34)/'PARAMÈTRES'!$C$17,0)))</f>
        <v>0</v>
      </c>
      <c r="S45">
        <f>MIN(S44,MAX(0,ROUNDUP(('PARAMÈTRES'!$C$30-S34)/'PARAMÈTRES'!$C$17,0)))</f>
        <v>3</v>
      </c>
      <c r="T45">
        <f>MIN(T44,MAX(0,ROUNDUP(('PARAMÈTRES'!$C$30-T34)/'PARAMÈTRES'!$C$17,0)))</f>
        <v>3</v>
      </c>
      <c r="U45">
        <f>MIN(U44,MAX(0,ROUNDUP(('PARAMÈTRES'!$C$30-U34)/'PARAMÈTRES'!$C$17,0)))</f>
        <v>0</v>
      </c>
      <c r="V45">
        <f>MIN(V44,MAX(0,ROUNDUP(('PARAMÈTRES'!$C$30-V34)/'PARAMÈTRES'!$C$17,0)))</f>
        <v>3</v>
      </c>
      <c r="W45">
        <f>MIN(W44,MAX(0,ROUNDUP(('PARAMÈTRES'!$C$30-W34)/'PARAMÈTRES'!$C$17,0)))</f>
        <v>3</v>
      </c>
      <c r="X45">
        <f>MIN(X44,MAX(0,ROUNDUP(('PARAMÈTRES'!$C$30-X34)/'PARAMÈTRES'!$C$17,0)))</f>
        <v>0</v>
      </c>
    </row>
    <row r="46">
      <c r="A46" t="inlineStr">
        <is>
          <t>rc_pt</t>
        </is>
      </c>
      <c r="B46" t="inlineStr">
        <is>
          <t>PRÉDIMENSIONNEMENT!C61</t>
        </is>
      </c>
      <c r="D46">
        <f>MIN(D44,MAX(0,ROUNDUP(('PARAMÈTRES'!$C$34-D34)/'PARAMÈTRES'!$C$17,0)))</f>
        <v>3</v>
      </c>
      <c r="E46">
        <f>MIN(E44,MAX(0,ROUNDUP(('PARAMÈTRES'!$C$34-E34)/'PARAMÈTRES'!$C$17,0)))</f>
        <v>3</v>
      </c>
      <c r="F46">
        <f>MIN(F44,MAX(0,ROUNDUP(('PARAMÈTRES'!$C$34-F34)/'PARAMÈTRES'!$C$17,0)))</f>
        <v>0</v>
      </c>
      <c r="G46">
        <f>MIN(G44,MAX(0,ROUNDUP(('PARAMÈTRES'!$C$34-G34)/'PARAMÈTRES'!$C$17,0)))</f>
        <v>3</v>
      </c>
      <c r="H46">
        <f>MIN(H44,MAX(0,ROUNDUP(('PARAMÈTRES'!$C$34-H34)/'PARAMÈTRES'!$C$17,0)))</f>
        <v>3</v>
      </c>
      <c r="I46">
        <f>MIN(I44,MAX(0,ROUNDUP(('PARAMÈTRES'!$C$34-I34)/'PARAMÈTRES'!$C$17,0)))</f>
        <v>0</v>
      </c>
      <c r="J46">
        <f>MIN(J44,MAX(0,ROUNDUP(('PARAMÈTRES'!$C$34-J34)/'PARAMÈTRES'!$C$17,0)))</f>
        <v>3</v>
      </c>
      <c r="K46">
        <f>MIN(K44,MAX(0,ROUNDUP(('PARAMÈTRES'!$C$34-K34)/'PARAMÈTRES'!$C$17,0)))</f>
        <v>3</v>
      </c>
      <c r="L46">
        <f>MIN(L44,MAX(0,ROUNDUP(('PARAMÈTRES'!$C$34-L34)/'PARAMÈTRES'!$C$17,0)))</f>
        <v>0</v>
      </c>
      <c r="M46">
        <f>MIN(M44,MAX(0,ROUNDUP(('PARAMÈTRES'!$C$34-M34)/'PARAMÈTRES'!$C$17,0)))</f>
        <v>3</v>
      </c>
      <c r="N46">
        <f>MIN(N44,MAX(0,ROUNDUP(('PARAMÈTRES'!$C$34-N34)/'PARAMÈTRES'!$C$17,0)))</f>
        <v>3</v>
      </c>
      <c r="O46">
        <f>MIN(O44,MAX(0,ROUNDUP(('PARAMÈTRES'!$C$34-O34)/'PARAMÈTRES'!$C$17,0)))</f>
        <v>0</v>
      </c>
      <c r="P46">
        <f>MIN(P44,MAX(0,ROUNDUP(('PARAMÈTRES'!$C$34-P34)/'PARAMÈTRES'!$C$17,0)))</f>
        <v>3</v>
      </c>
      <c r="Q46">
        <f>MIN(Q44,MAX(0,ROUNDUP(('PARAMÈTRES'!$C$34-Q34)/'PARAMÈTRES'!$C$17,0)))</f>
        <v>3</v>
      </c>
      <c r="R46">
        <f>MIN(R44,MAX(0,ROUNDUP(('PARAMÈTRES'!$C$34-R34)/'PARAMÈTRES'!$C$17,0)))</f>
        <v>0</v>
      </c>
      <c r="S46">
        <f>MIN(S44,MAX(0,ROUNDUP(('PARAMÈTRES'!$C$34-S34)/'PARAMÈTRES'!$C$17,0)))</f>
        <v>3</v>
      </c>
      <c r="T46">
        <f>MIN(T44,MAX(0,ROUNDUP(('PARAMÈTRES'!$C$34-T34)/'PARAMÈTRES'!$C$17,0)))</f>
        <v>3</v>
      </c>
      <c r="U46">
        <f>MIN(U44,MAX(0,ROUNDUP(('PARAMÈTRES'!$C$34-U34)/'PARAMÈTRES'!$C$17,0)))</f>
        <v>0</v>
      </c>
      <c r="V46">
        <f>MIN(V44,MAX(0,ROUNDUP(('PARAMÈTRES'!$C$34-V34)/'PARAMÈTRES'!$C$17,0)))</f>
        <v>3</v>
      </c>
      <c r="W46">
        <f>MIN(W44,MAX(0,ROUNDUP(('PARAMÈTRES'!$C$34-W34)/'PARAMÈTRES'!$C$17,0)))</f>
        <v>3</v>
      </c>
      <c r="X46">
        <f>MIN(X44,MAX(0,ROUNDUP(('PARAMÈTRES'!$C$34-X34)/'PARAMÈTRES'!$C$17,0)))</f>
        <v>0</v>
      </c>
    </row>
    <row r="47">
      <c r="A47" t="inlineStr">
        <is>
          <t>S_pig_b</t>
        </is>
      </c>
      <c r="B47" t="inlineStr">
        <is>
          <t>PRÉDIMENSIONNEMENT!C62</t>
        </is>
      </c>
      <c r="D47">
        <f>D35*2*(D6*(D18-D34)+D9*D6^2/4)</f>
        <v>128</v>
      </c>
      <c r="E47">
        <f>E35*2*(E6*(E18-E34)+E9*E6^2/4)</f>
        <v>128</v>
      </c>
      <c r="F47">
        <f>F35*2*(F6*(F18-F34)+F9*F6^2/4)</f>
        <v>0</v>
      </c>
      <c r="G47">
        <f>G35*2*(G6*(G18-G34)+G9*G6^2/4)</f>
        <v>198</v>
      </c>
      <c r="H47">
        <f>H35*2*(H6*(H18-H34)+H9*H6^2/4)</f>
        <v>198</v>
      </c>
      <c r="I47">
        <f>I35*2*(I6*(I18-I34)+I9*I6^2/4)</f>
        <v>0</v>
      </c>
      <c r="J47">
        <f>J35*2*(J6*(J18-J34)+J9*J6^2/4)</f>
        <v>198</v>
      </c>
      <c r="K47">
        <f>K35*2*(K6*(K18-K34)+K9*K6^2/4)</f>
        <v>198</v>
      </c>
      <c r="L47">
        <f>L35*2*(L6*(L18-L34)+L9*L6^2/4)</f>
        <v>0</v>
      </c>
      <c r="M47">
        <f>M35*2*(M6*(M18-M34)+M9*M6^2/4)</f>
        <v>272</v>
      </c>
      <c r="N47">
        <f>N35*2*(N6*(N18-N34)+N9*N6^2/4)</f>
        <v>272</v>
      </c>
      <c r="O47">
        <f>O35*2*(O6*(O18-O34)+O9*O6^2/4)</f>
        <v>0</v>
      </c>
      <c r="P47">
        <f>P35*2*(P6*(P18-P34)+P9*P6^2/4)</f>
        <v>272</v>
      </c>
      <c r="Q47">
        <f>Q35*2*(Q6*(Q18-Q34)+Q9*Q6^2/4)</f>
        <v>272</v>
      </c>
      <c r="R47">
        <f>R35*2*(R6*(R18-R34)+R9*R6^2/4)</f>
        <v>0</v>
      </c>
      <c r="S47">
        <f>S35*2*(S6*(S18-S34)+S9*S6^2/4)</f>
        <v>432</v>
      </c>
      <c r="T47">
        <f>T35*2*(T6*(T18-T34)+T9*T6^2/4)</f>
        <v>432</v>
      </c>
      <c r="U47">
        <f>U35*2*(U6*(U18-U34)+U9*U6^2/4)</f>
        <v>0</v>
      </c>
      <c r="V47">
        <f>V35*2*(V6*(V18-V34)+V9*V6^2/4)</f>
        <v>714.666666666667</v>
      </c>
      <c r="W47">
        <f>W35*2*(W6*(W18-W34)+W9*W6^2/4)</f>
        <v>714.666666666667</v>
      </c>
      <c r="X47">
        <f>X35*2*(X6*(X18-X34)+X9*X6^2/4)</f>
        <v>0</v>
      </c>
    </row>
    <row r="48">
      <c r="A48" t="inlineStr">
        <is>
          <t>S_couv</t>
        </is>
      </c>
      <c r="B48" t="inlineStr">
        <is>
          <t>PRÉDIMENSIONNEMENT!C63</t>
        </is>
      </c>
      <c r="D48">
        <f>2*D16*D27</f>
        <v>309.892048300695</v>
      </c>
      <c r="E48">
        <f>2*E16*E27</f>
        <v>309.892048300695</v>
      </c>
      <c r="F48">
        <f>2*F16*F27</f>
        <v>309.892048300695</v>
      </c>
      <c r="G48">
        <f>2*G16*G27</f>
        <v>312.930205636976</v>
      </c>
      <c r="H48">
        <f>2*H16*H27</f>
        <v>312.930205636976</v>
      </c>
      <c r="I48">
        <f>2*I16*I27</f>
        <v>312.930205636976</v>
      </c>
      <c r="J48">
        <f>2*J16*J27</f>
        <v>464.838072451042</v>
      </c>
      <c r="K48">
        <f>2*K16*K27</f>
        <v>464.838072451042</v>
      </c>
      <c r="L48">
        <f>2*L16*L27</f>
        <v>464.838072451042</v>
      </c>
      <c r="M48">
        <f>2*M16*M27</f>
        <v>417.240274182634</v>
      </c>
      <c r="N48">
        <f>2*N16*N27</f>
        <v>417.240274182634</v>
      </c>
      <c r="O48">
        <f>2*O16*O27</f>
        <v>417.240274182634</v>
      </c>
      <c r="P48">
        <f>2*P16*P27</f>
        <v>822.327919020144</v>
      </c>
      <c r="Q48">
        <f>2*Q16*Q27</f>
        <v>822.327919020144</v>
      </c>
      <c r="R48">
        <f>2*R16*R27</f>
        <v>822.327919020144</v>
      </c>
      <c r="S48">
        <f>2*S16*S27</f>
        <v>1233.49187853022</v>
      </c>
      <c r="T48">
        <f>2*T16*T27</f>
        <v>1233.49187853022</v>
      </c>
      <c r="U48">
        <f>2*U16*U27</f>
        <v>1233.49187853022</v>
      </c>
      <c r="V48">
        <f>2*V16*V27</f>
        <v>1644.65583804029</v>
      </c>
      <c r="W48">
        <f>2*W16*W27</f>
        <v>1644.65583804029</v>
      </c>
      <c r="X48">
        <f>2*X16*X27</f>
        <v>1644.65583804029</v>
      </c>
    </row>
    <row r="49">
      <c r="A49" t="inlineStr">
        <is>
          <t>nb_desc</t>
        </is>
      </c>
      <c r="B49" t="inlineStr">
        <is>
          <t>PRÉDIMENSIONNEMENT!C64</t>
        </is>
      </c>
      <c r="D49">
        <f>MAX(2,2*ROUNDUP(D31/(2*'PARAMÈTRES'!$C$48),0))</f>
        <v>2</v>
      </c>
      <c r="E49">
        <f>MAX(2,2*ROUNDUP(E31/(2*'PARAMÈTRES'!$C$48),0))</f>
        <v>2</v>
      </c>
      <c r="F49">
        <f>MAX(2,2*ROUNDUP(F31/(2*'PARAMÈTRES'!$C$48),0))</f>
        <v>2</v>
      </c>
      <c r="G49">
        <f>MAX(2,2*ROUNDUP(G31/(2*'PARAMÈTRES'!$C$48),0))</f>
        <v>2</v>
      </c>
      <c r="H49">
        <f>MAX(2,2*ROUNDUP(H31/(2*'PARAMÈTRES'!$C$48),0))</f>
        <v>2</v>
      </c>
      <c r="I49">
        <f>MAX(2,2*ROUNDUP(I31/(2*'PARAMÈTRES'!$C$48),0))</f>
        <v>2</v>
      </c>
      <c r="J49">
        <f>MAX(2,2*ROUNDUP(J31/(2*'PARAMÈTRES'!$C$48),0))</f>
        <v>4</v>
      </c>
      <c r="K49">
        <f>MAX(2,2*ROUNDUP(K31/(2*'PARAMÈTRES'!$C$48),0))</f>
        <v>4</v>
      </c>
      <c r="L49">
        <f>MAX(2,2*ROUNDUP(L31/(2*'PARAMÈTRES'!$C$48),0))</f>
        <v>4</v>
      </c>
      <c r="M49">
        <f>MAX(2,2*ROUNDUP(M31/(2*'PARAMÈTRES'!$C$48),0))</f>
        <v>4</v>
      </c>
      <c r="N49">
        <f>MAX(2,2*ROUNDUP(N31/(2*'PARAMÈTRES'!$C$48),0))</f>
        <v>4</v>
      </c>
      <c r="O49">
        <f>MAX(2,2*ROUNDUP(O31/(2*'PARAMÈTRES'!$C$48),0))</f>
        <v>4</v>
      </c>
      <c r="P49">
        <f>MAX(2,2*ROUNDUP(P31/(2*'PARAMÈTRES'!$C$48),0))</f>
        <v>6</v>
      </c>
      <c r="Q49">
        <f>MAX(2,2*ROUNDUP(Q31/(2*'PARAMÈTRES'!$C$48),0))</f>
        <v>6</v>
      </c>
      <c r="R49">
        <f>MAX(2,2*ROUNDUP(R31/(2*'PARAMÈTRES'!$C$48),0))</f>
        <v>6</v>
      </c>
      <c r="S49">
        <f>MAX(2,2*ROUNDUP(S31/(2*'PARAMÈTRES'!$C$48),0))</f>
        <v>8</v>
      </c>
      <c r="T49">
        <f>MAX(2,2*ROUNDUP(T31/(2*'PARAMÈTRES'!$C$48),0))</f>
        <v>8</v>
      </c>
      <c r="U49">
        <f>MAX(2,2*ROUNDUP(U31/(2*'PARAMÈTRES'!$C$48),0))</f>
        <v>8</v>
      </c>
      <c r="V49">
        <f>MAX(2,2*ROUNDUP(V31/(2*'PARAMÈTRES'!$C$48),0))</f>
        <v>10</v>
      </c>
      <c r="W49">
        <f>MAX(2,2*ROUNDUP(W31/(2*'PARAMÈTRES'!$C$48),0))</f>
        <v>10</v>
      </c>
      <c r="X49">
        <f>MAX(2,2*ROUNDUP(X31/(2*'PARAMÈTRES'!$C$48),0))</f>
        <v>10</v>
      </c>
    </row>
    <row r="50">
      <c r="A50" t="inlineStr">
        <is>
          <t>pu_prot_kg</t>
        </is>
      </c>
      <c r="B50" t="inlineStr">
        <is>
          <t>PRÉDIMENSIONNEMENT!C65</t>
        </is>
      </c>
      <c r="D50">
        <f>'PARAMÈTRES'!$C$160*IF('PARAMÈTRES'!$C$59="Galvanisation à chaud",1,0)+'PARAMÈTRES'!$C$161*'PARAMÈTRES'!$C$60/1000*IF('PARAMÈTRES'!$C$59="Galvanisation à chaud",0,1)</f>
        <v>450</v>
      </c>
      <c r="E50">
        <f>'PARAMÈTRES'!$C$160*IF('PARAMÈTRES'!$C$59="Galvanisation à chaud",1,0)+'PARAMÈTRES'!$C$161*'PARAMÈTRES'!$C$60/1000*IF('PARAMÈTRES'!$C$59="Galvanisation à chaud",0,1)</f>
        <v>450</v>
      </c>
      <c r="F50">
        <f>'PARAMÈTRES'!$C$160*IF('PARAMÈTRES'!$C$59="Galvanisation à chaud",1,0)+'PARAMÈTRES'!$C$161*'PARAMÈTRES'!$C$60/1000*IF('PARAMÈTRES'!$C$59="Galvanisation à chaud",0,1)</f>
        <v>450</v>
      </c>
      <c r="G50">
        <f>'PARAMÈTRES'!$C$160*IF('PARAMÈTRES'!$C$59="Galvanisation à chaud",1,0)+'PARAMÈTRES'!$C$161*'PARAMÈTRES'!$C$60/1000*IF('PARAMÈTRES'!$C$59="Galvanisation à chaud",0,1)</f>
        <v>450</v>
      </c>
      <c r="H50">
        <f>'PARAMÈTRES'!$C$160*IF('PARAMÈTRES'!$C$59="Galvanisation à chaud",1,0)+'PARAMÈTRES'!$C$161*'PARAMÈTRES'!$C$60/1000*IF('PARAMÈTRES'!$C$59="Galvanisation à chaud",0,1)</f>
        <v>450</v>
      </c>
      <c r="I50">
        <f>'PARAMÈTRES'!$C$160*IF('PARAMÈTRES'!$C$59="Galvanisation à chaud",1,0)+'PARAMÈTRES'!$C$161*'PARAMÈTRES'!$C$60/1000*IF('PARAMÈTRES'!$C$59="Galvanisation à chaud",0,1)</f>
        <v>450</v>
      </c>
      <c r="J50">
        <f>'PARAMÈTRES'!$C$160*IF('PARAMÈTRES'!$C$59="Galvanisation à chaud",1,0)+'PARAMÈTRES'!$C$161*'PARAMÈTRES'!$C$60/1000*IF('PARAMÈTRES'!$C$59="Galvanisation à chaud",0,1)</f>
        <v>450</v>
      </c>
      <c r="K50">
        <f>'PARAMÈTRES'!$C$160*IF('PARAMÈTRES'!$C$59="Galvanisation à chaud",1,0)+'PARAMÈTRES'!$C$161*'PARAMÈTRES'!$C$60/1000*IF('PARAMÈTRES'!$C$59="Galvanisation à chaud",0,1)</f>
        <v>450</v>
      </c>
      <c r="L50">
        <f>'PARAMÈTRES'!$C$160*IF('PARAMÈTRES'!$C$59="Galvanisation à chaud",1,0)+'PARAMÈTRES'!$C$161*'PARAMÈTRES'!$C$60/1000*IF('PARAMÈTRES'!$C$59="Galvanisation à chaud",0,1)</f>
        <v>450</v>
      </c>
      <c r="M50">
        <f>'PARAMÈTRES'!$C$160*IF('PARAMÈTRES'!$C$59="Galvanisation à chaud",1,0)+'PARAMÈTRES'!$C$161*'PARAMÈTRES'!$C$60/1000*IF('PARAMÈTRES'!$C$59="Galvanisation à chaud",0,1)</f>
        <v>450</v>
      </c>
      <c r="N50">
        <f>'PARAMÈTRES'!$C$160*IF('PARAMÈTRES'!$C$59="Galvanisation à chaud",1,0)+'PARAMÈTRES'!$C$161*'PARAMÈTRES'!$C$60/1000*IF('PARAMÈTRES'!$C$59="Galvanisation à chaud",0,1)</f>
        <v>450</v>
      </c>
      <c r="O50">
        <f>'PARAMÈTRES'!$C$160*IF('PARAMÈTRES'!$C$59="Galvanisation à chaud",1,0)+'PARAMÈTRES'!$C$161*'PARAMÈTRES'!$C$60/1000*IF('PARAMÈTRES'!$C$59="Galvanisation à chaud",0,1)</f>
        <v>450</v>
      </c>
      <c r="P50">
        <f>'PARAMÈTRES'!$C$160*IF('PARAMÈTRES'!$C$59="Galvanisation à chaud",1,0)+'PARAMÈTRES'!$C$161*'PARAMÈTRES'!$C$60/1000*IF('PARAMÈTRES'!$C$59="Galvanisation à chaud",0,1)</f>
        <v>450</v>
      </c>
      <c r="Q50">
        <f>'PARAMÈTRES'!$C$160*IF('PARAMÈTRES'!$C$59="Galvanisation à chaud",1,0)+'PARAMÈTRES'!$C$161*'PARAMÈTRES'!$C$60/1000*IF('PARAMÈTRES'!$C$59="Galvanisation à chaud",0,1)</f>
        <v>450</v>
      </c>
      <c r="R50">
        <f>'PARAMÈTRES'!$C$160*IF('PARAMÈTRES'!$C$59="Galvanisation à chaud",1,0)+'PARAMÈTRES'!$C$161*'PARAMÈTRES'!$C$60/1000*IF('PARAMÈTRES'!$C$59="Galvanisation à chaud",0,1)</f>
        <v>450</v>
      </c>
      <c r="S50">
        <f>'PARAMÈTRES'!$C$160*IF('PARAMÈTRES'!$C$59="Galvanisation à chaud",1,0)+'PARAMÈTRES'!$C$161*'PARAMÈTRES'!$C$60/1000*IF('PARAMÈTRES'!$C$59="Galvanisation à chaud",0,1)</f>
        <v>450</v>
      </c>
      <c r="T50">
        <f>'PARAMÈTRES'!$C$160*IF('PARAMÈTRES'!$C$59="Galvanisation à chaud",1,0)+'PARAMÈTRES'!$C$161*'PARAMÈTRES'!$C$60/1000*IF('PARAMÈTRES'!$C$59="Galvanisation à chaud",0,1)</f>
        <v>450</v>
      </c>
      <c r="U50">
        <f>'PARAMÈTRES'!$C$160*IF('PARAMÈTRES'!$C$59="Galvanisation à chaud",1,0)+'PARAMÈTRES'!$C$161*'PARAMÈTRES'!$C$60/1000*IF('PARAMÈTRES'!$C$59="Galvanisation à chaud",0,1)</f>
        <v>450</v>
      </c>
      <c r="V50">
        <f>'PARAMÈTRES'!$C$160*IF('PARAMÈTRES'!$C$59="Galvanisation à chaud",1,0)+'PARAMÈTRES'!$C$161*'PARAMÈTRES'!$C$60/1000*IF('PARAMÈTRES'!$C$59="Galvanisation à chaud",0,1)</f>
        <v>450</v>
      </c>
      <c r="W50">
        <f>'PARAMÈTRES'!$C$160*IF('PARAMÈTRES'!$C$59="Galvanisation à chaud",1,0)+'PARAMÈTRES'!$C$161*'PARAMÈTRES'!$C$60/1000*IF('PARAMÈTRES'!$C$59="Galvanisation à chaud",0,1)</f>
        <v>450</v>
      </c>
      <c r="X50">
        <f>'PARAMÈTRES'!$C$160*IF('PARAMÈTRES'!$C$59="Galvanisation à chaud",1,0)+'PARAMÈTRES'!$C$161*'PARAMÈTRES'!$C$60/1000*IF('PARAMÈTRES'!$C$59="Galvanisation à chaud",0,1)</f>
        <v>450</v>
      </c>
    </row>
    <row r="51">
      <c r="A51" t="inlineStr">
        <is>
          <t>auto_pot</t>
        </is>
      </c>
      <c r="B51" t="inlineStr">
        <is>
          <t>PRÉDIMENSIONNEMENT!C69</t>
        </is>
      </c>
      <c r="D51" t="str">
        <f>IF(D12=1,INDEX('PRÉDIMENSIONNEMENT'!$F$6:$F$14,D10),INDEX('PRÉDIMENSIONNEMENT'!$D$6:$D$14,D10))</f>
        <v>IPE 220</v>
      </c>
      <c r="E51" t="str">
        <f>IF(E12=1,INDEX('PRÉDIMENSIONNEMENT'!$F$6:$F$14,E10),INDEX('PRÉDIMENSIONNEMENT'!$D$6:$D$14,E10))</f>
        <v>IPE 220</v>
      </c>
      <c r="F51" t="str">
        <f>IF(F12=1,INDEX('PRÉDIMENSIONNEMENT'!$F$6:$F$14,F10),INDEX('PRÉDIMENSIONNEMENT'!$D$6:$D$14,F10))</f>
        <v>IPE 220</v>
      </c>
      <c r="G51" t="str">
        <f>IF(G12=1,INDEX('PRÉDIMENSIONNEMENT'!$F$6:$F$14,G10),INDEX('PRÉDIMENSIONNEMENT'!$D$6:$D$14,G10))</f>
        <v>IPE 270</v>
      </c>
      <c r="H51" t="str">
        <f>IF(H12=1,INDEX('PRÉDIMENSIONNEMENT'!$F$6:$F$14,H10),INDEX('PRÉDIMENSIONNEMENT'!$D$6:$D$14,H10))</f>
        <v>IPE 270</v>
      </c>
      <c r="I51" t="str">
        <f>IF(I12=1,INDEX('PRÉDIMENSIONNEMENT'!$F$6:$F$14,I10),INDEX('PRÉDIMENSIONNEMENT'!$D$6:$D$14,I10))</f>
        <v>IPE 270</v>
      </c>
      <c r="J51" t="str">
        <f>IF(J12=1,INDEX('PRÉDIMENSIONNEMENT'!$F$6:$F$14,J10),INDEX('PRÉDIMENSIONNEMENT'!$D$6:$D$14,J10))</f>
        <v>IPE 270</v>
      </c>
      <c r="K51" t="str">
        <f>IF(K12=1,INDEX('PRÉDIMENSIONNEMENT'!$F$6:$F$14,K10),INDEX('PRÉDIMENSIONNEMENT'!$D$6:$D$14,K10))</f>
        <v>IPE 270</v>
      </c>
      <c r="L51" t="str">
        <f>IF(L12=1,INDEX('PRÉDIMENSIONNEMENT'!$F$6:$F$14,L10),INDEX('PRÉDIMENSIONNEMENT'!$D$6:$D$14,L10))</f>
        <v>IPE 270</v>
      </c>
      <c r="M51" t="str">
        <f>IF(M12=1,INDEX('PRÉDIMENSIONNEMENT'!$F$6:$F$14,M10),INDEX('PRÉDIMENSIONNEMENT'!$D$6:$D$14,M10))</f>
        <v>IPE 330</v>
      </c>
      <c r="N51" t="str">
        <f>IF(N12=1,INDEX('PRÉDIMENSIONNEMENT'!$F$6:$F$14,N10),INDEX('PRÉDIMENSIONNEMENT'!$D$6:$D$14,N10))</f>
        <v>IPE 330</v>
      </c>
      <c r="O51" t="str">
        <f>IF(O12=1,INDEX('PRÉDIMENSIONNEMENT'!$F$6:$F$14,O10),INDEX('PRÉDIMENSIONNEMENT'!$D$6:$D$14,O10))</f>
        <v>IPE 330</v>
      </c>
      <c r="P51" t="str">
        <f>IF(P12=1,INDEX('PRÉDIMENSIONNEMENT'!$F$6:$F$14,P10),INDEX('PRÉDIMENSIONNEMENT'!$D$6:$D$14,P10))</f>
        <v>IPE 330</v>
      </c>
      <c r="Q51" t="str">
        <f>IF(Q12=1,INDEX('PRÉDIMENSIONNEMENT'!$F$6:$F$14,Q10),INDEX('PRÉDIMENSIONNEMENT'!$D$6:$D$14,Q10))</f>
        <v>IPE 330</v>
      </c>
      <c r="R51" t="str">
        <f>IF(R12=1,INDEX('PRÉDIMENSIONNEMENT'!$F$6:$F$14,R10),INDEX('PRÉDIMENSIONNEMENT'!$D$6:$D$14,R10))</f>
        <v>IPE 330</v>
      </c>
      <c r="S51" t="str">
        <f>IF(S12=1,INDEX('PRÉDIMENSIONNEMENT'!$F$6:$F$14,S10),INDEX('PRÉDIMENSIONNEMENT'!$D$6:$D$14,S10))</f>
        <v>IPE 450</v>
      </c>
      <c r="T51" t="str">
        <f>IF(T12=1,INDEX('PRÉDIMENSIONNEMENT'!$F$6:$F$14,T10),INDEX('PRÉDIMENSIONNEMENT'!$D$6:$D$14,T10))</f>
        <v>IPE 450</v>
      </c>
      <c r="U51" t="str">
        <f>IF(U12=1,INDEX('PRÉDIMENSIONNEMENT'!$F$6:$F$14,U10),INDEX('PRÉDIMENSIONNEMENT'!$D$6:$D$14,U10))</f>
        <v>IPE 450</v>
      </c>
      <c r="V51" t="str">
        <f>IF(V12=1,INDEX('PRÉDIMENSIONNEMENT'!$F$6:$F$14,V10),INDEX('PRÉDIMENSIONNEMENT'!$D$6:$D$14,V10))</f>
        <v>HEA 300</v>
      </c>
      <c r="W51" t="str">
        <f>IF(W12=1,INDEX('PRÉDIMENSIONNEMENT'!$F$6:$F$14,W10),INDEX('PRÉDIMENSIONNEMENT'!$D$6:$D$14,W10))</f>
        <v>HEA 300</v>
      </c>
      <c r="X51" t="str">
        <f>IF(X12=1,INDEX('PRÉDIMENSIONNEMENT'!$F$6:$F$14,X10),INDEX('PRÉDIMENSIONNEMENT'!$D$6:$D$14,X10))</f>
        <v>HEA 300</v>
      </c>
    </row>
    <row r="52">
      <c r="A52" t="inlineStr">
        <is>
          <t>prof_pot</t>
        </is>
      </c>
      <c r="B52" t="inlineStr">
        <is>
          <t>PRÉDIMENSIONNEMENT!E69</t>
        </is>
      </c>
      <c r="D52" t="str">
        <f>D51</f>
        <v>IPE 220</v>
      </c>
      <c r="E52" t="str">
        <f>E51</f>
        <v>IPE 220</v>
      </c>
      <c r="F52" t="str">
        <f>F51</f>
        <v>IPE 220</v>
      </c>
      <c r="G52" t="str">
        <f>G51</f>
        <v>IPE 270</v>
      </c>
      <c r="H52" t="str">
        <f>H51</f>
        <v>IPE 270</v>
      </c>
      <c r="I52" t="str">
        <f>I51</f>
        <v>IPE 270</v>
      </c>
      <c r="J52" t="str">
        <f>J51</f>
        <v>IPE 270</v>
      </c>
      <c r="K52" t="str">
        <f>K51</f>
        <v>IPE 270</v>
      </c>
      <c r="L52" t="str">
        <f>L51</f>
        <v>IPE 270</v>
      </c>
      <c r="M52" t="str">
        <f>M51</f>
        <v>IPE 330</v>
      </c>
      <c r="N52" t="str">
        <f>N51</f>
        <v>IPE 330</v>
      </c>
      <c r="O52" t="str">
        <f>O51</f>
        <v>IPE 330</v>
      </c>
      <c r="P52" t="str">
        <f>P51</f>
        <v>IPE 330</v>
      </c>
      <c r="Q52" t="str">
        <f>Q51</f>
        <v>IPE 330</v>
      </c>
      <c r="R52" t="str">
        <f>R51</f>
        <v>IPE 330</v>
      </c>
      <c r="S52" t="str">
        <f>S51</f>
        <v>IPE 450</v>
      </c>
      <c r="T52" t="str">
        <f>T51</f>
        <v>IPE 450</v>
      </c>
      <c r="U52" t="str">
        <f>U51</f>
        <v>IPE 450</v>
      </c>
      <c r="V52" t="str">
        <f>V51</f>
        <v>HEA 300</v>
      </c>
      <c r="W52" t="str">
        <f>W51</f>
        <v>HEA 300</v>
      </c>
      <c r="X52" t="str">
        <f>X51</f>
        <v>HEA 300</v>
      </c>
    </row>
    <row r="53">
      <c r="A53" t="inlineStr">
        <is>
          <t>kg_pot</t>
        </is>
      </c>
      <c r="B53" t="inlineStr">
        <is>
          <t>PRÉDIMENSIONNEMENT!F69</t>
        </is>
      </c>
      <c r="D53">
        <f>IFERROR(_xlfn.XLOOKUP(D52,'BASE_PROFILÉS'!$B$5:$B$200,'BASE_PROFILÉS'!$D$5:$D$200),IFERROR(INDEX('BASE_PROFILÉS'!$D$5:$D$200,MATCH(D52,'BASE_PROFILÉS'!$B$5:$B$200,0)),0))</f>
        <v>26.2</v>
      </c>
      <c r="E53">
        <f>IFERROR(_xlfn.XLOOKUP(E52,'BASE_PROFILÉS'!$B$5:$B$200,'BASE_PROFILÉS'!$D$5:$D$200),IFERROR(INDEX('BASE_PROFILÉS'!$D$5:$D$200,MATCH(E52,'BASE_PROFILÉS'!$B$5:$B$200,0)),0))</f>
        <v>26.2</v>
      </c>
      <c r="F53">
        <f>IFERROR(_xlfn.XLOOKUP(F52,'BASE_PROFILÉS'!$B$5:$B$200,'BASE_PROFILÉS'!$D$5:$D$200),IFERROR(INDEX('BASE_PROFILÉS'!$D$5:$D$200,MATCH(F52,'BASE_PROFILÉS'!$B$5:$B$200,0)),0))</f>
        <v>26.2</v>
      </c>
      <c r="G53">
        <f>IFERROR(_xlfn.XLOOKUP(G52,'BASE_PROFILÉS'!$B$5:$B$200,'BASE_PROFILÉS'!$D$5:$D$200),IFERROR(INDEX('BASE_PROFILÉS'!$D$5:$D$200,MATCH(G52,'BASE_PROFILÉS'!$B$5:$B$200,0)),0))</f>
        <v>36.1</v>
      </c>
      <c r="H53">
        <f>IFERROR(_xlfn.XLOOKUP(H52,'BASE_PROFILÉS'!$B$5:$B$200,'BASE_PROFILÉS'!$D$5:$D$200),IFERROR(INDEX('BASE_PROFILÉS'!$D$5:$D$200,MATCH(H52,'BASE_PROFILÉS'!$B$5:$B$200,0)),0))</f>
        <v>36.1</v>
      </c>
      <c r="I53">
        <f>IFERROR(_xlfn.XLOOKUP(I52,'BASE_PROFILÉS'!$B$5:$B$200,'BASE_PROFILÉS'!$D$5:$D$200),IFERROR(INDEX('BASE_PROFILÉS'!$D$5:$D$200,MATCH(I52,'BASE_PROFILÉS'!$B$5:$B$200,0)),0))</f>
        <v>36.1</v>
      </c>
      <c r="J53">
        <f>IFERROR(_xlfn.XLOOKUP(J52,'BASE_PROFILÉS'!$B$5:$B$200,'BASE_PROFILÉS'!$D$5:$D$200),IFERROR(INDEX('BASE_PROFILÉS'!$D$5:$D$200,MATCH(J52,'BASE_PROFILÉS'!$B$5:$B$200,0)),0))</f>
        <v>36.1</v>
      </c>
      <c r="K53">
        <f>IFERROR(_xlfn.XLOOKUP(K52,'BASE_PROFILÉS'!$B$5:$B$200,'BASE_PROFILÉS'!$D$5:$D$200),IFERROR(INDEX('BASE_PROFILÉS'!$D$5:$D$200,MATCH(K52,'BASE_PROFILÉS'!$B$5:$B$200,0)),0))</f>
        <v>36.1</v>
      </c>
      <c r="L53">
        <f>IFERROR(_xlfn.XLOOKUP(L52,'BASE_PROFILÉS'!$B$5:$B$200,'BASE_PROFILÉS'!$D$5:$D$200),IFERROR(INDEX('BASE_PROFILÉS'!$D$5:$D$200,MATCH(L52,'BASE_PROFILÉS'!$B$5:$B$200,0)),0))</f>
        <v>36.1</v>
      </c>
      <c r="M53">
        <f>IFERROR(_xlfn.XLOOKUP(M52,'BASE_PROFILÉS'!$B$5:$B$200,'BASE_PROFILÉS'!$D$5:$D$200),IFERROR(INDEX('BASE_PROFILÉS'!$D$5:$D$200,MATCH(M52,'BASE_PROFILÉS'!$B$5:$B$200,0)),0))</f>
        <v>49.1</v>
      </c>
      <c r="N53">
        <f>IFERROR(_xlfn.XLOOKUP(N52,'BASE_PROFILÉS'!$B$5:$B$200,'BASE_PROFILÉS'!$D$5:$D$200),IFERROR(INDEX('BASE_PROFILÉS'!$D$5:$D$200,MATCH(N52,'BASE_PROFILÉS'!$B$5:$B$200,0)),0))</f>
        <v>49.1</v>
      </c>
      <c r="O53">
        <f>IFERROR(_xlfn.XLOOKUP(O52,'BASE_PROFILÉS'!$B$5:$B$200,'BASE_PROFILÉS'!$D$5:$D$200),IFERROR(INDEX('BASE_PROFILÉS'!$D$5:$D$200,MATCH(O52,'BASE_PROFILÉS'!$B$5:$B$200,0)),0))</f>
        <v>49.1</v>
      </c>
      <c r="P53">
        <f>IFERROR(_xlfn.XLOOKUP(P52,'BASE_PROFILÉS'!$B$5:$B$200,'BASE_PROFILÉS'!$D$5:$D$200),IFERROR(INDEX('BASE_PROFILÉS'!$D$5:$D$200,MATCH(P52,'BASE_PROFILÉS'!$B$5:$B$200,0)),0))</f>
        <v>49.1</v>
      </c>
      <c r="Q53">
        <f>IFERROR(_xlfn.XLOOKUP(Q52,'BASE_PROFILÉS'!$B$5:$B$200,'BASE_PROFILÉS'!$D$5:$D$200),IFERROR(INDEX('BASE_PROFILÉS'!$D$5:$D$200,MATCH(Q52,'BASE_PROFILÉS'!$B$5:$B$200,0)),0))</f>
        <v>49.1</v>
      </c>
      <c r="R53">
        <f>IFERROR(_xlfn.XLOOKUP(R52,'BASE_PROFILÉS'!$B$5:$B$200,'BASE_PROFILÉS'!$D$5:$D$200),IFERROR(INDEX('BASE_PROFILÉS'!$D$5:$D$200,MATCH(R52,'BASE_PROFILÉS'!$B$5:$B$200,0)),0))</f>
        <v>49.1</v>
      </c>
      <c r="S53">
        <f>IFERROR(_xlfn.XLOOKUP(S52,'BASE_PROFILÉS'!$B$5:$B$200,'BASE_PROFILÉS'!$D$5:$D$200),IFERROR(INDEX('BASE_PROFILÉS'!$D$5:$D$200,MATCH(S52,'BASE_PROFILÉS'!$B$5:$B$200,0)),0))</f>
        <v>77.6</v>
      </c>
      <c r="T53">
        <f>IFERROR(_xlfn.XLOOKUP(T52,'BASE_PROFILÉS'!$B$5:$B$200,'BASE_PROFILÉS'!$D$5:$D$200),IFERROR(INDEX('BASE_PROFILÉS'!$D$5:$D$200,MATCH(T52,'BASE_PROFILÉS'!$B$5:$B$200,0)),0))</f>
        <v>77.6</v>
      </c>
      <c r="U53">
        <f>IFERROR(_xlfn.XLOOKUP(U52,'BASE_PROFILÉS'!$B$5:$B$200,'BASE_PROFILÉS'!$D$5:$D$200),IFERROR(INDEX('BASE_PROFILÉS'!$D$5:$D$200,MATCH(U52,'BASE_PROFILÉS'!$B$5:$B$200,0)),0))</f>
        <v>77.6</v>
      </c>
      <c r="V53">
        <f>IFERROR(_xlfn.XLOOKUP(V52,'BASE_PROFILÉS'!$B$5:$B$200,'BASE_PROFILÉS'!$D$5:$D$200),IFERROR(INDEX('BASE_PROFILÉS'!$D$5:$D$200,MATCH(V52,'BASE_PROFILÉS'!$B$5:$B$200,0)),0))</f>
        <v>88.3</v>
      </c>
      <c r="W53">
        <f>IFERROR(_xlfn.XLOOKUP(W52,'BASE_PROFILÉS'!$B$5:$B$200,'BASE_PROFILÉS'!$D$5:$D$200),IFERROR(INDEX('BASE_PROFILÉS'!$D$5:$D$200,MATCH(W52,'BASE_PROFILÉS'!$B$5:$B$200,0)),0))</f>
        <v>88.3</v>
      </c>
      <c r="X53">
        <f>IFERROR(_xlfn.XLOOKUP(X52,'BASE_PROFILÉS'!$B$5:$B$200,'BASE_PROFILÉS'!$D$5:$D$200),IFERROR(INDEX('BASE_PROFILÉS'!$D$5:$D$200,MATCH(X52,'BASE_PROFILÉS'!$B$5:$B$200,0)),0))</f>
        <v>88.3</v>
      </c>
    </row>
    <row r="54">
      <c r="A54" t="inlineStr">
        <is>
          <t>h_pot</t>
        </is>
      </c>
      <c r="B54" t="inlineStr">
        <is>
          <t>PRÉDIMENSIONNEMENT!G69</t>
        </is>
      </c>
      <c r="D54">
        <f>IFERROR(_xlfn.XLOOKUP(D52,'BASE_PROFILÉS'!$B$5:$B$200,'BASE_PROFILÉS'!$E$5:$E$200),IFERROR(INDEX('BASE_PROFILÉS'!$E$5:$E$200,MATCH(D52,'BASE_PROFILÉS'!$B$5:$B$200,0)),0))</f>
        <v>220</v>
      </c>
      <c r="E54">
        <f>IFERROR(_xlfn.XLOOKUP(E52,'BASE_PROFILÉS'!$B$5:$B$200,'BASE_PROFILÉS'!$E$5:$E$200),IFERROR(INDEX('BASE_PROFILÉS'!$E$5:$E$200,MATCH(E52,'BASE_PROFILÉS'!$B$5:$B$200,0)),0))</f>
        <v>220</v>
      </c>
      <c r="F54">
        <f>IFERROR(_xlfn.XLOOKUP(F52,'BASE_PROFILÉS'!$B$5:$B$200,'BASE_PROFILÉS'!$E$5:$E$200),IFERROR(INDEX('BASE_PROFILÉS'!$E$5:$E$200,MATCH(F52,'BASE_PROFILÉS'!$B$5:$B$200,0)),0))</f>
        <v>220</v>
      </c>
      <c r="G54">
        <f>IFERROR(_xlfn.XLOOKUP(G52,'BASE_PROFILÉS'!$B$5:$B$200,'BASE_PROFILÉS'!$E$5:$E$200),IFERROR(INDEX('BASE_PROFILÉS'!$E$5:$E$200,MATCH(G52,'BASE_PROFILÉS'!$B$5:$B$200,0)),0))</f>
        <v>270</v>
      </c>
      <c r="H54">
        <f>IFERROR(_xlfn.XLOOKUP(H52,'BASE_PROFILÉS'!$B$5:$B$200,'BASE_PROFILÉS'!$E$5:$E$200),IFERROR(INDEX('BASE_PROFILÉS'!$E$5:$E$200,MATCH(H52,'BASE_PROFILÉS'!$B$5:$B$200,0)),0))</f>
        <v>270</v>
      </c>
      <c r="I54">
        <f>IFERROR(_xlfn.XLOOKUP(I52,'BASE_PROFILÉS'!$B$5:$B$200,'BASE_PROFILÉS'!$E$5:$E$200),IFERROR(INDEX('BASE_PROFILÉS'!$E$5:$E$200,MATCH(I52,'BASE_PROFILÉS'!$B$5:$B$200,0)),0))</f>
        <v>270</v>
      </c>
      <c r="J54">
        <f>IFERROR(_xlfn.XLOOKUP(J52,'BASE_PROFILÉS'!$B$5:$B$200,'BASE_PROFILÉS'!$E$5:$E$200),IFERROR(INDEX('BASE_PROFILÉS'!$E$5:$E$200,MATCH(J52,'BASE_PROFILÉS'!$B$5:$B$200,0)),0))</f>
        <v>270</v>
      </c>
      <c r="K54">
        <f>IFERROR(_xlfn.XLOOKUP(K52,'BASE_PROFILÉS'!$B$5:$B$200,'BASE_PROFILÉS'!$E$5:$E$200),IFERROR(INDEX('BASE_PROFILÉS'!$E$5:$E$200,MATCH(K52,'BASE_PROFILÉS'!$B$5:$B$200,0)),0))</f>
        <v>270</v>
      </c>
      <c r="L54">
        <f>IFERROR(_xlfn.XLOOKUP(L52,'BASE_PROFILÉS'!$B$5:$B$200,'BASE_PROFILÉS'!$E$5:$E$200),IFERROR(INDEX('BASE_PROFILÉS'!$E$5:$E$200,MATCH(L52,'BASE_PROFILÉS'!$B$5:$B$200,0)),0))</f>
        <v>270</v>
      </c>
      <c r="M54">
        <f>IFERROR(_xlfn.XLOOKUP(M52,'BASE_PROFILÉS'!$B$5:$B$200,'BASE_PROFILÉS'!$E$5:$E$200),IFERROR(INDEX('BASE_PROFILÉS'!$E$5:$E$200,MATCH(M52,'BASE_PROFILÉS'!$B$5:$B$200,0)),0))</f>
        <v>330</v>
      </c>
      <c r="N54">
        <f>IFERROR(_xlfn.XLOOKUP(N52,'BASE_PROFILÉS'!$B$5:$B$200,'BASE_PROFILÉS'!$E$5:$E$200),IFERROR(INDEX('BASE_PROFILÉS'!$E$5:$E$200,MATCH(N52,'BASE_PROFILÉS'!$B$5:$B$200,0)),0))</f>
        <v>330</v>
      </c>
      <c r="O54">
        <f>IFERROR(_xlfn.XLOOKUP(O52,'BASE_PROFILÉS'!$B$5:$B$200,'BASE_PROFILÉS'!$E$5:$E$200),IFERROR(INDEX('BASE_PROFILÉS'!$E$5:$E$200,MATCH(O52,'BASE_PROFILÉS'!$B$5:$B$200,0)),0))</f>
        <v>330</v>
      </c>
      <c r="P54">
        <f>IFERROR(_xlfn.XLOOKUP(P52,'BASE_PROFILÉS'!$B$5:$B$200,'BASE_PROFILÉS'!$E$5:$E$200),IFERROR(INDEX('BASE_PROFILÉS'!$E$5:$E$200,MATCH(P52,'BASE_PROFILÉS'!$B$5:$B$200,0)),0))</f>
        <v>330</v>
      </c>
      <c r="Q54">
        <f>IFERROR(_xlfn.XLOOKUP(Q52,'BASE_PROFILÉS'!$B$5:$B$200,'BASE_PROFILÉS'!$E$5:$E$200),IFERROR(INDEX('BASE_PROFILÉS'!$E$5:$E$200,MATCH(Q52,'BASE_PROFILÉS'!$B$5:$B$200,0)),0))</f>
        <v>330</v>
      </c>
      <c r="R54">
        <f>IFERROR(_xlfn.XLOOKUP(R52,'BASE_PROFILÉS'!$B$5:$B$200,'BASE_PROFILÉS'!$E$5:$E$200),IFERROR(INDEX('BASE_PROFILÉS'!$E$5:$E$200,MATCH(R52,'BASE_PROFILÉS'!$B$5:$B$200,0)),0))</f>
        <v>330</v>
      </c>
      <c r="S54">
        <f>IFERROR(_xlfn.XLOOKUP(S52,'BASE_PROFILÉS'!$B$5:$B$200,'BASE_PROFILÉS'!$E$5:$E$200),IFERROR(INDEX('BASE_PROFILÉS'!$E$5:$E$200,MATCH(S52,'BASE_PROFILÉS'!$B$5:$B$200,0)),0))</f>
        <v>450</v>
      </c>
      <c r="T54">
        <f>IFERROR(_xlfn.XLOOKUP(T52,'BASE_PROFILÉS'!$B$5:$B$200,'BASE_PROFILÉS'!$E$5:$E$200),IFERROR(INDEX('BASE_PROFILÉS'!$E$5:$E$200,MATCH(T52,'BASE_PROFILÉS'!$B$5:$B$200,0)),0))</f>
        <v>450</v>
      </c>
      <c r="U54">
        <f>IFERROR(_xlfn.XLOOKUP(U52,'BASE_PROFILÉS'!$B$5:$B$200,'BASE_PROFILÉS'!$E$5:$E$200),IFERROR(INDEX('BASE_PROFILÉS'!$E$5:$E$200,MATCH(U52,'BASE_PROFILÉS'!$B$5:$B$200,0)),0))</f>
        <v>450</v>
      </c>
      <c r="V54">
        <f>IFERROR(_xlfn.XLOOKUP(V52,'BASE_PROFILÉS'!$B$5:$B$200,'BASE_PROFILÉS'!$E$5:$E$200),IFERROR(INDEX('BASE_PROFILÉS'!$E$5:$E$200,MATCH(V52,'BASE_PROFILÉS'!$B$5:$B$200,0)),0))</f>
        <v>290</v>
      </c>
      <c r="W54">
        <f>IFERROR(_xlfn.XLOOKUP(W52,'BASE_PROFILÉS'!$B$5:$B$200,'BASE_PROFILÉS'!$E$5:$E$200),IFERROR(INDEX('BASE_PROFILÉS'!$E$5:$E$200,MATCH(W52,'BASE_PROFILÉS'!$B$5:$B$200,0)),0))</f>
        <v>290</v>
      </c>
      <c r="X54">
        <f>IFERROR(_xlfn.XLOOKUP(X52,'BASE_PROFILÉS'!$B$5:$B$200,'BASE_PROFILÉS'!$E$5:$E$200),IFERROR(INDEX('BASE_PROFILÉS'!$E$5:$E$200,MATCH(X52,'BASE_PROFILÉS'!$B$5:$B$200,0)),0))</f>
        <v>290</v>
      </c>
    </row>
    <row r="55">
      <c r="A55" t="inlineStr">
        <is>
          <t>auto_trav</t>
        </is>
      </c>
      <c r="B55" t="inlineStr">
        <is>
          <t>PRÉDIMENSIONNEMENT!C70</t>
        </is>
      </c>
      <c r="D55" t="str">
        <f>INDEX('PRÉDIMENSIONNEMENT'!$E$6:$E$14,D10)</f>
        <v>IPE 200</v>
      </c>
      <c r="E55" t="str">
        <f>INDEX('PRÉDIMENSIONNEMENT'!$E$6:$E$14,E10)</f>
        <v>IPE 200</v>
      </c>
      <c r="F55" t="str">
        <f>INDEX('PRÉDIMENSIONNEMENT'!$E$6:$E$14,F10)</f>
        <v>IPE 200</v>
      </c>
      <c r="G55" t="str">
        <f>INDEX('PRÉDIMENSIONNEMENT'!$E$6:$E$14,G10)</f>
        <v>IPE 240</v>
      </c>
      <c r="H55" t="str">
        <f>INDEX('PRÉDIMENSIONNEMENT'!$E$6:$E$14,H10)</f>
        <v>IPE 240</v>
      </c>
      <c r="I55" t="str">
        <f>INDEX('PRÉDIMENSIONNEMENT'!$E$6:$E$14,I10)</f>
        <v>IPE 240</v>
      </c>
      <c r="J55" t="str">
        <f>INDEX('PRÉDIMENSIONNEMENT'!$E$6:$E$14,J10)</f>
        <v>IPE 240</v>
      </c>
      <c r="K55" t="str">
        <f>INDEX('PRÉDIMENSIONNEMENT'!$E$6:$E$14,K10)</f>
        <v>IPE 240</v>
      </c>
      <c r="L55" t="str">
        <f>INDEX('PRÉDIMENSIONNEMENT'!$E$6:$E$14,L10)</f>
        <v>IPE 240</v>
      </c>
      <c r="M55" t="str">
        <f>INDEX('PRÉDIMENSIONNEMENT'!$E$6:$E$14,M10)</f>
        <v>IPE 300</v>
      </c>
      <c r="N55" t="str">
        <f>INDEX('PRÉDIMENSIONNEMENT'!$E$6:$E$14,N10)</f>
        <v>IPE 300</v>
      </c>
      <c r="O55" t="str">
        <f>INDEX('PRÉDIMENSIONNEMENT'!$E$6:$E$14,O10)</f>
        <v>IPE 300</v>
      </c>
      <c r="P55" t="str">
        <f>INDEX('PRÉDIMENSIONNEMENT'!$E$6:$E$14,P10)</f>
        <v>IPE 300</v>
      </c>
      <c r="Q55" t="str">
        <f>INDEX('PRÉDIMENSIONNEMENT'!$E$6:$E$14,Q10)</f>
        <v>IPE 300</v>
      </c>
      <c r="R55" t="str">
        <f>INDEX('PRÉDIMENSIONNEMENT'!$E$6:$E$14,R10)</f>
        <v>IPE 300</v>
      </c>
      <c r="S55" t="str">
        <f>INDEX('PRÉDIMENSIONNEMENT'!$E$6:$E$14,S10)</f>
        <v>IPE 400</v>
      </c>
      <c r="T55" t="str">
        <f>INDEX('PRÉDIMENSIONNEMENT'!$E$6:$E$14,T10)</f>
        <v>IPE 400</v>
      </c>
      <c r="U55" t="str">
        <f>INDEX('PRÉDIMENSIONNEMENT'!$E$6:$E$14,U10)</f>
        <v>IPE 400</v>
      </c>
      <c r="V55" t="str">
        <f>INDEX('PRÉDIMENSIONNEMENT'!$E$6:$E$14,V10)</f>
        <v>IPE 500</v>
      </c>
      <c r="W55" t="str">
        <f>INDEX('PRÉDIMENSIONNEMENT'!$E$6:$E$14,W10)</f>
        <v>IPE 500</v>
      </c>
      <c r="X55" t="str">
        <f>INDEX('PRÉDIMENSIONNEMENT'!$E$6:$E$14,X10)</f>
        <v>IPE 500</v>
      </c>
    </row>
    <row r="56">
      <c r="A56" t="inlineStr">
        <is>
          <t>prof_trav</t>
        </is>
      </c>
      <c r="B56" t="inlineStr">
        <is>
          <t>PRÉDIMENSIONNEMENT!E70</t>
        </is>
      </c>
      <c r="D56" t="str">
        <f>D55</f>
        <v>IPE 200</v>
      </c>
      <c r="E56" t="str">
        <f>E55</f>
        <v>IPE 200</v>
      </c>
      <c r="F56" t="str">
        <f>F55</f>
        <v>IPE 200</v>
      </c>
      <c r="G56" t="str">
        <f>G55</f>
        <v>IPE 240</v>
      </c>
      <c r="H56" t="str">
        <f>H55</f>
        <v>IPE 240</v>
      </c>
      <c r="I56" t="str">
        <f>I55</f>
        <v>IPE 240</v>
      </c>
      <c r="J56" t="str">
        <f>J55</f>
        <v>IPE 240</v>
      </c>
      <c r="K56" t="str">
        <f>K55</f>
        <v>IPE 240</v>
      </c>
      <c r="L56" t="str">
        <f>L55</f>
        <v>IPE 240</v>
      </c>
      <c r="M56" t="str">
        <f>M55</f>
        <v>IPE 300</v>
      </c>
      <c r="N56" t="str">
        <f>N55</f>
        <v>IPE 300</v>
      </c>
      <c r="O56" t="str">
        <f>O55</f>
        <v>IPE 300</v>
      </c>
      <c r="P56" t="str">
        <f>P55</f>
        <v>IPE 300</v>
      </c>
      <c r="Q56" t="str">
        <f>Q55</f>
        <v>IPE 300</v>
      </c>
      <c r="R56" t="str">
        <f>R55</f>
        <v>IPE 300</v>
      </c>
      <c r="S56" t="str">
        <f>S55</f>
        <v>IPE 400</v>
      </c>
      <c r="T56" t="str">
        <f>T55</f>
        <v>IPE 400</v>
      </c>
      <c r="U56" t="str">
        <f>U55</f>
        <v>IPE 400</v>
      </c>
      <c r="V56" t="str">
        <f>V55</f>
        <v>IPE 500</v>
      </c>
      <c r="W56" t="str">
        <f>W55</f>
        <v>IPE 500</v>
      </c>
      <c r="X56" t="str">
        <f>X55</f>
        <v>IPE 500</v>
      </c>
    </row>
    <row r="57">
      <c r="A57" t="inlineStr">
        <is>
          <t>kg_trav</t>
        </is>
      </c>
      <c r="B57" t="inlineStr">
        <is>
          <t>PRÉDIMENSIONNEMENT!F70</t>
        </is>
      </c>
      <c r="D57">
        <f>IFERROR(_xlfn.XLOOKUP(D56,'BASE_PROFILÉS'!$B$5:$B$200,'BASE_PROFILÉS'!$D$5:$D$200),IFERROR(INDEX('BASE_PROFILÉS'!$D$5:$D$200,MATCH(D56,'BASE_PROFILÉS'!$B$5:$B$200,0)),0))</f>
        <v>22.4</v>
      </c>
      <c r="E57">
        <f>IFERROR(_xlfn.XLOOKUP(E56,'BASE_PROFILÉS'!$B$5:$B$200,'BASE_PROFILÉS'!$D$5:$D$200),IFERROR(INDEX('BASE_PROFILÉS'!$D$5:$D$200,MATCH(E56,'BASE_PROFILÉS'!$B$5:$B$200,0)),0))</f>
        <v>22.4</v>
      </c>
      <c r="F57">
        <f>IFERROR(_xlfn.XLOOKUP(F56,'BASE_PROFILÉS'!$B$5:$B$200,'BASE_PROFILÉS'!$D$5:$D$200),IFERROR(INDEX('BASE_PROFILÉS'!$D$5:$D$200,MATCH(F56,'BASE_PROFILÉS'!$B$5:$B$200,0)),0))</f>
        <v>22.4</v>
      </c>
      <c r="G57">
        <f>IFERROR(_xlfn.XLOOKUP(G56,'BASE_PROFILÉS'!$B$5:$B$200,'BASE_PROFILÉS'!$D$5:$D$200),IFERROR(INDEX('BASE_PROFILÉS'!$D$5:$D$200,MATCH(G56,'BASE_PROFILÉS'!$B$5:$B$200,0)),0))</f>
        <v>30.7</v>
      </c>
      <c r="H57">
        <f>IFERROR(_xlfn.XLOOKUP(H56,'BASE_PROFILÉS'!$B$5:$B$200,'BASE_PROFILÉS'!$D$5:$D$200),IFERROR(INDEX('BASE_PROFILÉS'!$D$5:$D$200,MATCH(H56,'BASE_PROFILÉS'!$B$5:$B$200,0)),0))</f>
        <v>30.7</v>
      </c>
      <c r="I57">
        <f>IFERROR(_xlfn.XLOOKUP(I56,'BASE_PROFILÉS'!$B$5:$B$200,'BASE_PROFILÉS'!$D$5:$D$200),IFERROR(INDEX('BASE_PROFILÉS'!$D$5:$D$200,MATCH(I56,'BASE_PROFILÉS'!$B$5:$B$200,0)),0))</f>
        <v>30.7</v>
      </c>
      <c r="J57">
        <f>IFERROR(_xlfn.XLOOKUP(J56,'BASE_PROFILÉS'!$B$5:$B$200,'BASE_PROFILÉS'!$D$5:$D$200),IFERROR(INDEX('BASE_PROFILÉS'!$D$5:$D$200,MATCH(J56,'BASE_PROFILÉS'!$B$5:$B$200,0)),0))</f>
        <v>30.7</v>
      </c>
      <c r="K57">
        <f>IFERROR(_xlfn.XLOOKUP(K56,'BASE_PROFILÉS'!$B$5:$B$200,'BASE_PROFILÉS'!$D$5:$D$200),IFERROR(INDEX('BASE_PROFILÉS'!$D$5:$D$200,MATCH(K56,'BASE_PROFILÉS'!$B$5:$B$200,0)),0))</f>
        <v>30.7</v>
      </c>
      <c r="L57">
        <f>IFERROR(_xlfn.XLOOKUP(L56,'BASE_PROFILÉS'!$B$5:$B$200,'BASE_PROFILÉS'!$D$5:$D$200),IFERROR(INDEX('BASE_PROFILÉS'!$D$5:$D$200,MATCH(L56,'BASE_PROFILÉS'!$B$5:$B$200,0)),0))</f>
        <v>30.7</v>
      </c>
      <c r="M57">
        <f>IFERROR(_xlfn.XLOOKUP(M56,'BASE_PROFILÉS'!$B$5:$B$200,'BASE_PROFILÉS'!$D$5:$D$200),IFERROR(INDEX('BASE_PROFILÉS'!$D$5:$D$200,MATCH(M56,'BASE_PROFILÉS'!$B$5:$B$200,0)),0))</f>
        <v>42.2</v>
      </c>
      <c r="N57">
        <f>IFERROR(_xlfn.XLOOKUP(N56,'BASE_PROFILÉS'!$B$5:$B$200,'BASE_PROFILÉS'!$D$5:$D$200),IFERROR(INDEX('BASE_PROFILÉS'!$D$5:$D$200,MATCH(N56,'BASE_PROFILÉS'!$B$5:$B$200,0)),0))</f>
        <v>42.2</v>
      </c>
      <c r="O57">
        <f>IFERROR(_xlfn.XLOOKUP(O56,'BASE_PROFILÉS'!$B$5:$B$200,'BASE_PROFILÉS'!$D$5:$D$200),IFERROR(INDEX('BASE_PROFILÉS'!$D$5:$D$200,MATCH(O56,'BASE_PROFILÉS'!$B$5:$B$200,0)),0))</f>
        <v>42.2</v>
      </c>
      <c r="P57">
        <f>IFERROR(_xlfn.XLOOKUP(P56,'BASE_PROFILÉS'!$B$5:$B$200,'BASE_PROFILÉS'!$D$5:$D$200),IFERROR(INDEX('BASE_PROFILÉS'!$D$5:$D$200,MATCH(P56,'BASE_PROFILÉS'!$B$5:$B$200,0)),0))</f>
        <v>42.2</v>
      </c>
      <c r="Q57">
        <f>IFERROR(_xlfn.XLOOKUP(Q56,'BASE_PROFILÉS'!$B$5:$B$200,'BASE_PROFILÉS'!$D$5:$D$200),IFERROR(INDEX('BASE_PROFILÉS'!$D$5:$D$200,MATCH(Q56,'BASE_PROFILÉS'!$B$5:$B$200,0)),0))</f>
        <v>42.2</v>
      </c>
      <c r="R57">
        <f>IFERROR(_xlfn.XLOOKUP(R56,'BASE_PROFILÉS'!$B$5:$B$200,'BASE_PROFILÉS'!$D$5:$D$200),IFERROR(INDEX('BASE_PROFILÉS'!$D$5:$D$200,MATCH(R56,'BASE_PROFILÉS'!$B$5:$B$200,0)),0))</f>
        <v>42.2</v>
      </c>
      <c r="S57">
        <f>IFERROR(_xlfn.XLOOKUP(S56,'BASE_PROFILÉS'!$B$5:$B$200,'BASE_PROFILÉS'!$D$5:$D$200),IFERROR(INDEX('BASE_PROFILÉS'!$D$5:$D$200,MATCH(S56,'BASE_PROFILÉS'!$B$5:$B$200,0)),0))</f>
        <v>66.3</v>
      </c>
      <c r="T57">
        <f>IFERROR(_xlfn.XLOOKUP(T56,'BASE_PROFILÉS'!$B$5:$B$200,'BASE_PROFILÉS'!$D$5:$D$200),IFERROR(INDEX('BASE_PROFILÉS'!$D$5:$D$200,MATCH(T56,'BASE_PROFILÉS'!$B$5:$B$200,0)),0))</f>
        <v>66.3</v>
      </c>
      <c r="U57">
        <f>IFERROR(_xlfn.XLOOKUP(U56,'BASE_PROFILÉS'!$B$5:$B$200,'BASE_PROFILÉS'!$D$5:$D$200),IFERROR(INDEX('BASE_PROFILÉS'!$D$5:$D$200,MATCH(U56,'BASE_PROFILÉS'!$B$5:$B$200,0)),0))</f>
        <v>66.3</v>
      </c>
      <c r="V57">
        <f>IFERROR(_xlfn.XLOOKUP(V56,'BASE_PROFILÉS'!$B$5:$B$200,'BASE_PROFILÉS'!$D$5:$D$200),IFERROR(INDEX('BASE_PROFILÉS'!$D$5:$D$200,MATCH(V56,'BASE_PROFILÉS'!$B$5:$B$200,0)),0))</f>
        <v>90.7</v>
      </c>
      <c r="W57">
        <f>IFERROR(_xlfn.XLOOKUP(W56,'BASE_PROFILÉS'!$B$5:$B$200,'BASE_PROFILÉS'!$D$5:$D$200),IFERROR(INDEX('BASE_PROFILÉS'!$D$5:$D$200,MATCH(W56,'BASE_PROFILÉS'!$B$5:$B$200,0)),0))</f>
        <v>90.7</v>
      </c>
      <c r="X57">
        <f>IFERROR(_xlfn.XLOOKUP(X56,'BASE_PROFILÉS'!$B$5:$B$200,'BASE_PROFILÉS'!$D$5:$D$200),IFERROR(INDEX('BASE_PROFILÉS'!$D$5:$D$200,MATCH(X56,'BASE_PROFILÉS'!$B$5:$B$200,0)),0))</f>
        <v>90.7</v>
      </c>
    </row>
    <row r="58">
      <c r="A58" t="inlineStr">
        <is>
          <t>h_trav</t>
        </is>
      </c>
      <c r="B58" t="inlineStr">
        <is>
          <t>PRÉDIMENSIONNEMENT!G70</t>
        </is>
      </c>
      <c r="D58">
        <f>IFERROR(_xlfn.XLOOKUP(D56,'BASE_PROFILÉS'!$B$5:$B$200,'BASE_PROFILÉS'!$E$5:$E$200),IFERROR(INDEX('BASE_PROFILÉS'!$E$5:$E$200,MATCH(D56,'BASE_PROFILÉS'!$B$5:$B$200,0)),0))</f>
        <v>200</v>
      </c>
      <c r="E58">
        <f>IFERROR(_xlfn.XLOOKUP(E56,'BASE_PROFILÉS'!$B$5:$B$200,'BASE_PROFILÉS'!$E$5:$E$200),IFERROR(INDEX('BASE_PROFILÉS'!$E$5:$E$200,MATCH(E56,'BASE_PROFILÉS'!$B$5:$B$200,0)),0))</f>
        <v>200</v>
      </c>
      <c r="F58">
        <f>IFERROR(_xlfn.XLOOKUP(F56,'BASE_PROFILÉS'!$B$5:$B$200,'BASE_PROFILÉS'!$E$5:$E$200),IFERROR(INDEX('BASE_PROFILÉS'!$E$5:$E$200,MATCH(F56,'BASE_PROFILÉS'!$B$5:$B$200,0)),0))</f>
        <v>200</v>
      </c>
      <c r="G58">
        <f>IFERROR(_xlfn.XLOOKUP(G56,'BASE_PROFILÉS'!$B$5:$B$200,'BASE_PROFILÉS'!$E$5:$E$200),IFERROR(INDEX('BASE_PROFILÉS'!$E$5:$E$200,MATCH(G56,'BASE_PROFILÉS'!$B$5:$B$200,0)),0))</f>
        <v>240</v>
      </c>
      <c r="H58">
        <f>IFERROR(_xlfn.XLOOKUP(H56,'BASE_PROFILÉS'!$B$5:$B$200,'BASE_PROFILÉS'!$E$5:$E$200),IFERROR(INDEX('BASE_PROFILÉS'!$E$5:$E$200,MATCH(H56,'BASE_PROFILÉS'!$B$5:$B$200,0)),0))</f>
        <v>240</v>
      </c>
      <c r="I58">
        <f>IFERROR(_xlfn.XLOOKUP(I56,'BASE_PROFILÉS'!$B$5:$B$200,'BASE_PROFILÉS'!$E$5:$E$200),IFERROR(INDEX('BASE_PROFILÉS'!$E$5:$E$200,MATCH(I56,'BASE_PROFILÉS'!$B$5:$B$200,0)),0))</f>
        <v>240</v>
      </c>
      <c r="J58">
        <f>IFERROR(_xlfn.XLOOKUP(J56,'BASE_PROFILÉS'!$B$5:$B$200,'BASE_PROFILÉS'!$E$5:$E$200),IFERROR(INDEX('BASE_PROFILÉS'!$E$5:$E$200,MATCH(J56,'BASE_PROFILÉS'!$B$5:$B$200,0)),0))</f>
        <v>240</v>
      </c>
      <c r="K58">
        <f>IFERROR(_xlfn.XLOOKUP(K56,'BASE_PROFILÉS'!$B$5:$B$200,'BASE_PROFILÉS'!$E$5:$E$200),IFERROR(INDEX('BASE_PROFILÉS'!$E$5:$E$200,MATCH(K56,'BASE_PROFILÉS'!$B$5:$B$200,0)),0))</f>
        <v>240</v>
      </c>
      <c r="L58">
        <f>IFERROR(_xlfn.XLOOKUP(L56,'BASE_PROFILÉS'!$B$5:$B$200,'BASE_PROFILÉS'!$E$5:$E$200),IFERROR(INDEX('BASE_PROFILÉS'!$E$5:$E$200,MATCH(L56,'BASE_PROFILÉS'!$B$5:$B$200,0)),0))</f>
        <v>240</v>
      </c>
      <c r="M58">
        <f>IFERROR(_xlfn.XLOOKUP(M56,'BASE_PROFILÉS'!$B$5:$B$200,'BASE_PROFILÉS'!$E$5:$E$200),IFERROR(INDEX('BASE_PROFILÉS'!$E$5:$E$200,MATCH(M56,'BASE_PROFILÉS'!$B$5:$B$200,0)),0))</f>
        <v>300</v>
      </c>
      <c r="N58">
        <f>IFERROR(_xlfn.XLOOKUP(N56,'BASE_PROFILÉS'!$B$5:$B$200,'BASE_PROFILÉS'!$E$5:$E$200),IFERROR(INDEX('BASE_PROFILÉS'!$E$5:$E$200,MATCH(N56,'BASE_PROFILÉS'!$B$5:$B$200,0)),0))</f>
        <v>300</v>
      </c>
      <c r="O58">
        <f>IFERROR(_xlfn.XLOOKUP(O56,'BASE_PROFILÉS'!$B$5:$B$200,'BASE_PROFILÉS'!$E$5:$E$200),IFERROR(INDEX('BASE_PROFILÉS'!$E$5:$E$200,MATCH(O56,'BASE_PROFILÉS'!$B$5:$B$200,0)),0))</f>
        <v>300</v>
      </c>
      <c r="P58">
        <f>IFERROR(_xlfn.XLOOKUP(P56,'BASE_PROFILÉS'!$B$5:$B$200,'BASE_PROFILÉS'!$E$5:$E$200),IFERROR(INDEX('BASE_PROFILÉS'!$E$5:$E$200,MATCH(P56,'BASE_PROFILÉS'!$B$5:$B$200,0)),0))</f>
        <v>300</v>
      </c>
      <c r="Q58">
        <f>IFERROR(_xlfn.XLOOKUP(Q56,'BASE_PROFILÉS'!$B$5:$B$200,'BASE_PROFILÉS'!$E$5:$E$200),IFERROR(INDEX('BASE_PROFILÉS'!$E$5:$E$200,MATCH(Q56,'BASE_PROFILÉS'!$B$5:$B$200,0)),0))</f>
        <v>300</v>
      </c>
      <c r="R58">
        <f>IFERROR(_xlfn.XLOOKUP(R56,'BASE_PROFILÉS'!$B$5:$B$200,'BASE_PROFILÉS'!$E$5:$E$200),IFERROR(INDEX('BASE_PROFILÉS'!$E$5:$E$200,MATCH(R56,'BASE_PROFILÉS'!$B$5:$B$200,0)),0))</f>
        <v>300</v>
      </c>
      <c r="S58">
        <f>IFERROR(_xlfn.XLOOKUP(S56,'BASE_PROFILÉS'!$B$5:$B$200,'BASE_PROFILÉS'!$E$5:$E$200),IFERROR(INDEX('BASE_PROFILÉS'!$E$5:$E$200,MATCH(S56,'BASE_PROFILÉS'!$B$5:$B$200,0)),0))</f>
        <v>400</v>
      </c>
      <c r="T58">
        <f>IFERROR(_xlfn.XLOOKUP(T56,'BASE_PROFILÉS'!$B$5:$B$200,'BASE_PROFILÉS'!$E$5:$E$200),IFERROR(INDEX('BASE_PROFILÉS'!$E$5:$E$200,MATCH(T56,'BASE_PROFILÉS'!$B$5:$B$200,0)),0))</f>
        <v>400</v>
      </c>
      <c r="U58">
        <f>IFERROR(_xlfn.XLOOKUP(U56,'BASE_PROFILÉS'!$B$5:$B$200,'BASE_PROFILÉS'!$E$5:$E$200),IFERROR(INDEX('BASE_PROFILÉS'!$E$5:$E$200,MATCH(U56,'BASE_PROFILÉS'!$B$5:$B$200,0)),0))</f>
        <v>400</v>
      </c>
      <c r="V58">
        <f>IFERROR(_xlfn.XLOOKUP(V56,'BASE_PROFILÉS'!$B$5:$B$200,'BASE_PROFILÉS'!$E$5:$E$200),IFERROR(INDEX('BASE_PROFILÉS'!$E$5:$E$200,MATCH(V56,'BASE_PROFILÉS'!$B$5:$B$200,0)),0))</f>
        <v>500</v>
      </c>
      <c r="W58">
        <f>IFERROR(_xlfn.XLOOKUP(W56,'BASE_PROFILÉS'!$B$5:$B$200,'BASE_PROFILÉS'!$E$5:$E$200),IFERROR(INDEX('BASE_PROFILÉS'!$E$5:$E$200,MATCH(W56,'BASE_PROFILÉS'!$B$5:$B$200,0)),0))</f>
        <v>500</v>
      </c>
      <c r="X58">
        <f>IFERROR(_xlfn.XLOOKUP(X56,'BASE_PROFILÉS'!$B$5:$B$200,'BASE_PROFILÉS'!$E$5:$E$200),IFERROR(INDEX('BASE_PROFILÉS'!$E$5:$E$200,MATCH(X56,'BASE_PROFILÉS'!$B$5:$B$200,0)),0))</f>
        <v>500</v>
      </c>
    </row>
    <row r="59">
      <c r="A59" t="inlineStr">
        <is>
          <t>auto_msup</t>
        </is>
      </c>
      <c r="B59" t="inlineStr">
        <is>
          <t>PRÉDIMENSIONNEMENT!C71</t>
        </is>
      </c>
      <c r="D59" t="str">
        <f>INDEX('PRÉDIMENSIONNEMENT'!$G$6:$G$14,D10)</f>
        <v>L 50x5</v>
      </c>
      <c r="E59" t="str">
        <f>INDEX('PRÉDIMENSIONNEMENT'!$G$6:$G$14,E10)</f>
        <v>L 50x5</v>
      </c>
      <c r="F59" t="str">
        <f>INDEX('PRÉDIMENSIONNEMENT'!$G$6:$G$14,F10)</f>
        <v>L 50x5</v>
      </c>
      <c r="G59" t="str">
        <f>INDEX('PRÉDIMENSIONNEMENT'!$G$6:$G$14,G10)</f>
        <v>L 60x6</v>
      </c>
      <c r="H59" t="str">
        <f>INDEX('PRÉDIMENSIONNEMENT'!$G$6:$G$14,H10)</f>
        <v>L 60x6</v>
      </c>
      <c r="I59" t="str">
        <f>INDEX('PRÉDIMENSIONNEMENT'!$G$6:$G$14,I10)</f>
        <v>L 60x6</v>
      </c>
      <c r="J59" t="str">
        <f>INDEX('PRÉDIMENSIONNEMENT'!$G$6:$G$14,J10)</f>
        <v>L 60x6</v>
      </c>
      <c r="K59" t="str">
        <f>INDEX('PRÉDIMENSIONNEMENT'!$G$6:$G$14,K10)</f>
        <v>L 60x6</v>
      </c>
      <c r="L59" t="str">
        <f>INDEX('PRÉDIMENSIONNEMENT'!$G$6:$G$14,L10)</f>
        <v>L 60x6</v>
      </c>
      <c r="M59" t="str">
        <f>INDEX('PRÉDIMENSIONNEMENT'!$G$6:$G$14,M10)</f>
        <v>L 70x7</v>
      </c>
      <c r="N59" t="str">
        <f>INDEX('PRÉDIMENSIONNEMENT'!$G$6:$G$14,N10)</f>
        <v>L 70x7</v>
      </c>
      <c r="O59" t="str">
        <f>INDEX('PRÉDIMENSIONNEMENT'!$G$6:$G$14,O10)</f>
        <v>L 70x7</v>
      </c>
      <c r="P59" t="str">
        <f>INDEX('PRÉDIMENSIONNEMENT'!$G$6:$G$14,P10)</f>
        <v>L 70x7</v>
      </c>
      <c r="Q59" t="str">
        <f>INDEX('PRÉDIMENSIONNEMENT'!$G$6:$G$14,Q10)</f>
        <v>L 70x7</v>
      </c>
      <c r="R59" t="str">
        <f>INDEX('PRÉDIMENSIONNEMENT'!$G$6:$G$14,R10)</f>
        <v>L 70x7</v>
      </c>
      <c r="S59" t="str">
        <f>INDEX('PRÉDIMENSIONNEMENT'!$G$6:$G$14,S10)</f>
        <v>L 80x8</v>
      </c>
      <c r="T59" t="str">
        <f>INDEX('PRÉDIMENSIONNEMENT'!$G$6:$G$14,T10)</f>
        <v>L 80x8</v>
      </c>
      <c r="U59" t="str">
        <f>INDEX('PRÉDIMENSIONNEMENT'!$G$6:$G$14,U10)</f>
        <v>L 80x8</v>
      </c>
      <c r="V59" t="str">
        <f>INDEX('PRÉDIMENSIONNEMENT'!$G$6:$G$14,V10)</f>
        <v>L 100x10</v>
      </c>
      <c r="W59" t="str">
        <f>INDEX('PRÉDIMENSIONNEMENT'!$G$6:$G$14,W10)</f>
        <v>L 100x10</v>
      </c>
      <c r="X59" t="str">
        <f>INDEX('PRÉDIMENSIONNEMENT'!$G$6:$G$14,X10)</f>
        <v>L 100x10</v>
      </c>
    </row>
    <row r="60">
      <c r="A60" t="inlineStr">
        <is>
          <t>prof_msup</t>
        </is>
      </c>
      <c r="B60" t="inlineStr">
        <is>
          <t>PRÉDIMENSIONNEMENT!E71</t>
        </is>
      </c>
      <c r="D60" t="str">
        <f>D59</f>
        <v>L 50x5</v>
      </c>
      <c r="E60" t="str">
        <f>E59</f>
        <v>L 50x5</v>
      </c>
      <c r="F60" t="str">
        <f>F59</f>
        <v>L 50x5</v>
      </c>
      <c r="G60" t="str">
        <f>G59</f>
        <v>L 60x6</v>
      </c>
      <c r="H60" t="str">
        <f>H59</f>
        <v>L 60x6</v>
      </c>
      <c r="I60" t="str">
        <f>I59</f>
        <v>L 60x6</v>
      </c>
      <c r="J60" t="str">
        <f>J59</f>
        <v>L 60x6</v>
      </c>
      <c r="K60" t="str">
        <f>K59</f>
        <v>L 60x6</v>
      </c>
      <c r="L60" t="str">
        <f>L59</f>
        <v>L 60x6</v>
      </c>
      <c r="M60" t="str">
        <f>M59</f>
        <v>L 70x7</v>
      </c>
      <c r="N60" t="str">
        <f>N59</f>
        <v>L 70x7</v>
      </c>
      <c r="O60" t="str">
        <f>O59</f>
        <v>L 70x7</v>
      </c>
      <c r="P60" t="str">
        <f>P59</f>
        <v>L 70x7</v>
      </c>
      <c r="Q60" t="str">
        <f>Q59</f>
        <v>L 70x7</v>
      </c>
      <c r="R60" t="str">
        <f>R59</f>
        <v>L 70x7</v>
      </c>
      <c r="S60" t="str">
        <f>S59</f>
        <v>L 80x8</v>
      </c>
      <c r="T60" t="str">
        <f>T59</f>
        <v>L 80x8</v>
      </c>
      <c r="U60" t="str">
        <f>U59</f>
        <v>L 80x8</v>
      </c>
      <c r="V60" t="str">
        <f>V59</f>
        <v>L 100x10</v>
      </c>
      <c r="W60" t="str">
        <f>W59</f>
        <v>L 100x10</v>
      </c>
      <c r="X60" t="str">
        <f>X59</f>
        <v>L 100x10</v>
      </c>
    </row>
    <row r="61">
      <c r="A61" t="inlineStr">
        <is>
          <t>kg_msup</t>
        </is>
      </c>
      <c r="B61" t="inlineStr">
        <is>
          <t>PRÉDIMENSIONNEMENT!F71</t>
        </is>
      </c>
      <c r="D61">
        <f>IFERROR(_xlfn.XLOOKUP(D60,'BASE_PROFILÉS'!$B$5:$B$200,'BASE_PROFILÉS'!$D$5:$D$200),IFERROR(INDEX('BASE_PROFILÉS'!$D$5:$D$200,MATCH(D60,'BASE_PROFILÉS'!$B$5:$B$200,0)),0))*'PARAMÈTRES'!$C$25</f>
        <v>7.54</v>
      </c>
      <c r="E61">
        <f>IFERROR(_xlfn.XLOOKUP(E60,'BASE_PROFILÉS'!$B$5:$B$200,'BASE_PROFILÉS'!$D$5:$D$200),IFERROR(INDEX('BASE_PROFILÉS'!$D$5:$D$200,MATCH(E60,'BASE_PROFILÉS'!$B$5:$B$200,0)),0))*'PARAMÈTRES'!$C$25</f>
        <v>7.54</v>
      </c>
      <c r="F61">
        <f>IFERROR(_xlfn.XLOOKUP(F60,'BASE_PROFILÉS'!$B$5:$B$200,'BASE_PROFILÉS'!$D$5:$D$200),IFERROR(INDEX('BASE_PROFILÉS'!$D$5:$D$200,MATCH(F60,'BASE_PROFILÉS'!$B$5:$B$200,0)),0))*'PARAMÈTRES'!$C$25</f>
        <v>7.54</v>
      </c>
      <c r="G61">
        <f>IFERROR(_xlfn.XLOOKUP(G60,'BASE_PROFILÉS'!$B$5:$B$200,'BASE_PROFILÉS'!$D$5:$D$200),IFERROR(INDEX('BASE_PROFILÉS'!$D$5:$D$200,MATCH(G60,'BASE_PROFILÉS'!$B$5:$B$200,0)),0))*'PARAMÈTRES'!$C$25</f>
        <v>10.84</v>
      </c>
      <c r="H61">
        <f>IFERROR(_xlfn.XLOOKUP(H60,'BASE_PROFILÉS'!$B$5:$B$200,'BASE_PROFILÉS'!$D$5:$D$200),IFERROR(INDEX('BASE_PROFILÉS'!$D$5:$D$200,MATCH(H60,'BASE_PROFILÉS'!$B$5:$B$200,0)),0))*'PARAMÈTRES'!$C$25</f>
        <v>10.84</v>
      </c>
      <c r="I61">
        <f>IFERROR(_xlfn.XLOOKUP(I60,'BASE_PROFILÉS'!$B$5:$B$200,'BASE_PROFILÉS'!$D$5:$D$200),IFERROR(INDEX('BASE_PROFILÉS'!$D$5:$D$200,MATCH(I60,'BASE_PROFILÉS'!$B$5:$B$200,0)),0))*'PARAMÈTRES'!$C$25</f>
        <v>10.84</v>
      </c>
      <c r="J61">
        <f>IFERROR(_xlfn.XLOOKUP(J60,'BASE_PROFILÉS'!$B$5:$B$200,'BASE_PROFILÉS'!$D$5:$D$200),IFERROR(INDEX('BASE_PROFILÉS'!$D$5:$D$200,MATCH(J60,'BASE_PROFILÉS'!$B$5:$B$200,0)),0))*'PARAMÈTRES'!$C$25</f>
        <v>10.84</v>
      </c>
      <c r="K61">
        <f>IFERROR(_xlfn.XLOOKUP(K60,'BASE_PROFILÉS'!$B$5:$B$200,'BASE_PROFILÉS'!$D$5:$D$200),IFERROR(INDEX('BASE_PROFILÉS'!$D$5:$D$200,MATCH(K60,'BASE_PROFILÉS'!$B$5:$B$200,0)),0))*'PARAMÈTRES'!$C$25</f>
        <v>10.84</v>
      </c>
      <c r="L61">
        <f>IFERROR(_xlfn.XLOOKUP(L60,'BASE_PROFILÉS'!$B$5:$B$200,'BASE_PROFILÉS'!$D$5:$D$200),IFERROR(INDEX('BASE_PROFILÉS'!$D$5:$D$200,MATCH(L60,'BASE_PROFILÉS'!$B$5:$B$200,0)),0))*'PARAMÈTRES'!$C$25</f>
        <v>10.84</v>
      </c>
      <c r="M61">
        <f>IFERROR(_xlfn.XLOOKUP(M60,'BASE_PROFILÉS'!$B$5:$B$200,'BASE_PROFILÉS'!$D$5:$D$200),IFERROR(INDEX('BASE_PROFILÉS'!$D$5:$D$200,MATCH(M60,'BASE_PROFILÉS'!$B$5:$B$200,0)),0))*'PARAMÈTRES'!$C$25</f>
        <v>14.76</v>
      </c>
      <c r="N61">
        <f>IFERROR(_xlfn.XLOOKUP(N60,'BASE_PROFILÉS'!$B$5:$B$200,'BASE_PROFILÉS'!$D$5:$D$200),IFERROR(INDEX('BASE_PROFILÉS'!$D$5:$D$200,MATCH(N60,'BASE_PROFILÉS'!$B$5:$B$200,0)),0))*'PARAMÈTRES'!$C$25</f>
        <v>14.76</v>
      </c>
      <c r="O61">
        <f>IFERROR(_xlfn.XLOOKUP(O60,'BASE_PROFILÉS'!$B$5:$B$200,'BASE_PROFILÉS'!$D$5:$D$200),IFERROR(INDEX('BASE_PROFILÉS'!$D$5:$D$200,MATCH(O60,'BASE_PROFILÉS'!$B$5:$B$200,0)),0))*'PARAMÈTRES'!$C$25</f>
        <v>14.76</v>
      </c>
      <c r="P61">
        <f>IFERROR(_xlfn.XLOOKUP(P60,'BASE_PROFILÉS'!$B$5:$B$200,'BASE_PROFILÉS'!$D$5:$D$200),IFERROR(INDEX('BASE_PROFILÉS'!$D$5:$D$200,MATCH(P60,'BASE_PROFILÉS'!$B$5:$B$200,0)),0))*'PARAMÈTRES'!$C$25</f>
        <v>14.76</v>
      </c>
      <c r="Q61">
        <f>IFERROR(_xlfn.XLOOKUP(Q60,'BASE_PROFILÉS'!$B$5:$B$200,'BASE_PROFILÉS'!$D$5:$D$200),IFERROR(INDEX('BASE_PROFILÉS'!$D$5:$D$200,MATCH(Q60,'BASE_PROFILÉS'!$B$5:$B$200,0)),0))*'PARAMÈTRES'!$C$25</f>
        <v>14.76</v>
      </c>
      <c r="R61">
        <f>IFERROR(_xlfn.XLOOKUP(R60,'BASE_PROFILÉS'!$B$5:$B$200,'BASE_PROFILÉS'!$D$5:$D$200),IFERROR(INDEX('BASE_PROFILÉS'!$D$5:$D$200,MATCH(R60,'BASE_PROFILÉS'!$B$5:$B$200,0)),0))*'PARAMÈTRES'!$C$25</f>
        <v>14.76</v>
      </c>
      <c r="S61">
        <f>IFERROR(_xlfn.XLOOKUP(S60,'BASE_PROFILÉS'!$B$5:$B$200,'BASE_PROFILÉS'!$D$5:$D$200),IFERROR(INDEX('BASE_PROFILÉS'!$D$5:$D$200,MATCH(S60,'BASE_PROFILÉS'!$B$5:$B$200,0)),0))*'PARAMÈTRES'!$C$25</f>
        <v>19.26</v>
      </c>
      <c r="T61">
        <f>IFERROR(_xlfn.XLOOKUP(T60,'BASE_PROFILÉS'!$B$5:$B$200,'BASE_PROFILÉS'!$D$5:$D$200),IFERROR(INDEX('BASE_PROFILÉS'!$D$5:$D$200,MATCH(T60,'BASE_PROFILÉS'!$B$5:$B$200,0)),0))*'PARAMÈTRES'!$C$25</f>
        <v>19.26</v>
      </c>
      <c r="U61">
        <f>IFERROR(_xlfn.XLOOKUP(U60,'BASE_PROFILÉS'!$B$5:$B$200,'BASE_PROFILÉS'!$D$5:$D$200),IFERROR(INDEX('BASE_PROFILÉS'!$D$5:$D$200,MATCH(U60,'BASE_PROFILÉS'!$B$5:$B$200,0)),0))*'PARAMÈTRES'!$C$25</f>
        <v>19.26</v>
      </c>
      <c r="V61">
        <f>IFERROR(_xlfn.XLOOKUP(V60,'BASE_PROFILÉS'!$B$5:$B$200,'BASE_PROFILÉS'!$D$5:$D$200),IFERROR(INDEX('BASE_PROFILÉS'!$D$5:$D$200,MATCH(V60,'BASE_PROFILÉS'!$B$5:$B$200,0)),0))*'PARAMÈTRES'!$C$25</f>
        <v>30</v>
      </c>
      <c r="W61">
        <f>IFERROR(_xlfn.XLOOKUP(W60,'BASE_PROFILÉS'!$B$5:$B$200,'BASE_PROFILÉS'!$D$5:$D$200),IFERROR(INDEX('BASE_PROFILÉS'!$D$5:$D$200,MATCH(W60,'BASE_PROFILÉS'!$B$5:$B$200,0)),0))*'PARAMÈTRES'!$C$25</f>
        <v>30</v>
      </c>
      <c r="X61">
        <f>IFERROR(_xlfn.XLOOKUP(X60,'BASE_PROFILÉS'!$B$5:$B$200,'BASE_PROFILÉS'!$D$5:$D$200),IFERROR(INDEX('BASE_PROFILÉS'!$D$5:$D$200,MATCH(X60,'BASE_PROFILÉS'!$B$5:$B$200,0)),0))*'PARAMÈTRES'!$C$25</f>
        <v>30</v>
      </c>
    </row>
    <row r="62">
      <c r="A62" t="inlineStr">
        <is>
          <t>h_msup</t>
        </is>
      </c>
      <c r="B62" t="inlineStr">
        <is>
          <t>PRÉDIMENSIONNEMENT!G71</t>
        </is>
      </c>
      <c r="D62">
        <f>IFERROR(_xlfn.XLOOKUP(D60,'BASE_PROFILÉS'!$B$5:$B$200,'BASE_PROFILÉS'!$E$5:$E$200),IFERROR(INDEX('BASE_PROFILÉS'!$E$5:$E$200,MATCH(D60,'BASE_PROFILÉS'!$B$5:$B$200,0)),0))</f>
        <v>50</v>
      </c>
      <c r="E62">
        <f>IFERROR(_xlfn.XLOOKUP(E60,'BASE_PROFILÉS'!$B$5:$B$200,'BASE_PROFILÉS'!$E$5:$E$200),IFERROR(INDEX('BASE_PROFILÉS'!$E$5:$E$200,MATCH(E60,'BASE_PROFILÉS'!$B$5:$B$200,0)),0))</f>
        <v>50</v>
      </c>
      <c r="F62">
        <f>IFERROR(_xlfn.XLOOKUP(F60,'BASE_PROFILÉS'!$B$5:$B$200,'BASE_PROFILÉS'!$E$5:$E$200),IFERROR(INDEX('BASE_PROFILÉS'!$E$5:$E$200,MATCH(F60,'BASE_PROFILÉS'!$B$5:$B$200,0)),0))</f>
        <v>50</v>
      </c>
      <c r="G62">
        <f>IFERROR(_xlfn.XLOOKUP(G60,'BASE_PROFILÉS'!$B$5:$B$200,'BASE_PROFILÉS'!$E$5:$E$200),IFERROR(INDEX('BASE_PROFILÉS'!$E$5:$E$200,MATCH(G60,'BASE_PROFILÉS'!$B$5:$B$200,0)),0))</f>
        <v>60</v>
      </c>
      <c r="H62">
        <f>IFERROR(_xlfn.XLOOKUP(H60,'BASE_PROFILÉS'!$B$5:$B$200,'BASE_PROFILÉS'!$E$5:$E$200),IFERROR(INDEX('BASE_PROFILÉS'!$E$5:$E$200,MATCH(H60,'BASE_PROFILÉS'!$B$5:$B$200,0)),0))</f>
        <v>60</v>
      </c>
      <c r="I62">
        <f>IFERROR(_xlfn.XLOOKUP(I60,'BASE_PROFILÉS'!$B$5:$B$200,'BASE_PROFILÉS'!$E$5:$E$200),IFERROR(INDEX('BASE_PROFILÉS'!$E$5:$E$200,MATCH(I60,'BASE_PROFILÉS'!$B$5:$B$200,0)),0))</f>
        <v>60</v>
      </c>
      <c r="J62">
        <f>IFERROR(_xlfn.XLOOKUP(J60,'BASE_PROFILÉS'!$B$5:$B$200,'BASE_PROFILÉS'!$E$5:$E$200),IFERROR(INDEX('BASE_PROFILÉS'!$E$5:$E$200,MATCH(J60,'BASE_PROFILÉS'!$B$5:$B$200,0)),0))</f>
        <v>60</v>
      </c>
      <c r="K62">
        <f>IFERROR(_xlfn.XLOOKUP(K60,'BASE_PROFILÉS'!$B$5:$B$200,'BASE_PROFILÉS'!$E$5:$E$200),IFERROR(INDEX('BASE_PROFILÉS'!$E$5:$E$200,MATCH(K60,'BASE_PROFILÉS'!$B$5:$B$200,0)),0))</f>
        <v>60</v>
      </c>
      <c r="L62">
        <f>IFERROR(_xlfn.XLOOKUP(L60,'BASE_PROFILÉS'!$B$5:$B$200,'BASE_PROFILÉS'!$E$5:$E$200),IFERROR(INDEX('BASE_PROFILÉS'!$E$5:$E$200,MATCH(L60,'BASE_PROFILÉS'!$B$5:$B$200,0)),0))</f>
        <v>60</v>
      </c>
      <c r="M62">
        <f>IFERROR(_xlfn.XLOOKUP(M60,'BASE_PROFILÉS'!$B$5:$B$200,'BASE_PROFILÉS'!$E$5:$E$200),IFERROR(INDEX('BASE_PROFILÉS'!$E$5:$E$200,MATCH(M60,'BASE_PROFILÉS'!$B$5:$B$200,0)),0))</f>
        <v>70</v>
      </c>
      <c r="N62">
        <f>IFERROR(_xlfn.XLOOKUP(N60,'BASE_PROFILÉS'!$B$5:$B$200,'BASE_PROFILÉS'!$E$5:$E$200),IFERROR(INDEX('BASE_PROFILÉS'!$E$5:$E$200,MATCH(N60,'BASE_PROFILÉS'!$B$5:$B$200,0)),0))</f>
        <v>70</v>
      </c>
      <c r="O62">
        <f>IFERROR(_xlfn.XLOOKUP(O60,'BASE_PROFILÉS'!$B$5:$B$200,'BASE_PROFILÉS'!$E$5:$E$200),IFERROR(INDEX('BASE_PROFILÉS'!$E$5:$E$200,MATCH(O60,'BASE_PROFILÉS'!$B$5:$B$200,0)),0))</f>
        <v>70</v>
      </c>
      <c r="P62">
        <f>IFERROR(_xlfn.XLOOKUP(P60,'BASE_PROFILÉS'!$B$5:$B$200,'BASE_PROFILÉS'!$E$5:$E$200),IFERROR(INDEX('BASE_PROFILÉS'!$E$5:$E$200,MATCH(P60,'BASE_PROFILÉS'!$B$5:$B$200,0)),0))</f>
        <v>70</v>
      </c>
      <c r="Q62">
        <f>IFERROR(_xlfn.XLOOKUP(Q60,'BASE_PROFILÉS'!$B$5:$B$200,'BASE_PROFILÉS'!$E$5:$E$200),IFERROR(INDEX('BASE_PROFILÉS'!$E$5:$E$200,MATCH(Q60,'BASE_PROFILÉS'!$B$5:$B$200,0)),0))</f>
        <v>70</v>
      </c>
      <c r="R62">
        <f>IFERROR(_xlfn.XLOOKUP(R60,'BASE_PROFILÉS'!$B$5:$B$200,'BASE_PROFILÉS'!$E$5:$E$200),IFERROR(INDEX('BASE_PROFILÉS'!$E$5:$E$200,MATCH(R60,'BASE_PROFILÉS'!$B$5:$B$200,0)),0))</f>
        <v>70</v>
      </c>
      <c r="S62">
        <f>IFERROR(_xlfn.XLOOKUP(S60,'BASE_PROFILÉS'!$B$5:$B$200,'BASE_PROFILÉS'!$E$5:$E$200),IFERROR(INDEX('BASE_PROFILÉS'!$E$5:$E$200,MATCH(S60,'BASE_PROFILÉS'!$B$5:$B$200,0)),0))</f>
        <v>80</v>
      </c>
      <c r="T62">
        <f>IFERROR(_xlfn.XLOOKUP(T60,'BASE_PROFILÉS'!$B$5:$B$200,'BASE_PROFILÉS'!$E$5:$E$200),IFERROR(INDEX('BASE_PROFILÉS'!$E$5:$E$200,MATCH(T60,'BASE_PROFILÉS'!$B$5:$B$200,0)),0))</f>
        <v>80</v>
      </c>
      <c r="U62">
        <f>IFERROR(_xlfn.XLOOKUP(U60,'BASE_PROFILÉS'!$B$5:$B$200,'BASE_PROFILÉS'!$E$5:$E$200),IFERROR(INDEX('BASE_PROFILÉS'!$E$5:$E$200,MATCH(U60,'BASE_PROFILÉS'!$B$5:$B$200,0)),0))</f>
        <v>80</v>
      </c>
      <c r="V62">
        <f>IFERROR(_xlfn.XLOOKUP(V60,'BASE_PROFILÉS'!$B$5:$B$200,'BASE_PROFILÉS'!$E$5:$E$200),IFERROR(INDEX('BASE_PROFILÉS'!$E$5:$E$200,MATCH(V60,'BASE_PROFILÉS'!$B$5:$B$200,0)),0))</f>
        <v>100</v>
      </c>
      <c r="W62">
        <f>IFERROR(_xlfn.XLOOKUP(W60,'BASE_PROFILÉS'!$B$5:$B$200,'BASE_PROFILÉS'!$E$5:$E$200),IFERROR(INDEX('BASE_PROFILÉS'!$E$5:$E$200,MATCH(W60,'BASE_PROFILÉS'!$B$5:$B$200,0)),0))</f>
        <v>100</v>
      </c>
      <c r="X62">
        <f>IFERROR(_xlfn.XLOOKUP(X60,'BASE_PROFILÉS'!$B$5:$B$200,'BASE_PROFILÉS'!$E$5:$E$200),IFERROR(INDEX('BASE_PROFILÉS'!$E$5:$E$200,MATCH(X60,'BASE_PROFILÉS'!$B$5:$B$200,0)),0))</f>
        <v>100</v>
      </c>
    </row>
    <row r="63">
      <c r="A63" t="inlineStr">
        <is>
          <t>auto_minf</t>
        </is>
      </c>
      <c r="B63" t="inlineStr">
        <is>
          <t>PRÉDIMENSIONNEMENT!C72</t>
        </is>
      </c>
      <c r="D63" t="str">
        <f>INDEX('PRÉDIMENSIONNEMENT'!$H$6:$H$14,D10)</f>
        <v>L 45x4.5</v>
      </c>
      <c r="E63" t="str">
        <f>INDEX('PRÉDIMENSIONNEMENT'!$H$6:$H$14,E10)</f>
        <v>L 45x4.5</v>
      </c>
      <c r="F63" t="str">
        <f>INDEX('PRÉDIMENSIONNEMENT'!$H$6:$H$14,F10)</f>
        <v>L 45x4.5</v>
      </c>
      <c r="G63" t="str">
        <f>INDEX('PRÉDIMENSIONNEMENT'!$H$6:$H$14,G10)</f>
        <v>L 50x5</v>
      </c>
      <c r="H63" t="str">
        <f>INDEX('PRÉDIMENSIONNEMENT'!$H$6:$H$14,H10)</f>
        <v>L 50x5</v>
      </c>
      <c r="I63" t="str">
        <f>INDEX('PRÉDIMENSIONNEMENT'!$H$6:$H$14,I10)</f>
        <v>L 50x5</v>
      </c>
      <c r="J63" t="str">
        <f>INDEX('PRÉDIMENSIONNEMENT'!$H$6:$H$14,J10)</f>
        <v>L 50x5</v>
      </c>
      <c r="K63" t="str">
        <f>INDEX('PRÉDIMENSIONNEMENT'!$H$6:$H$14,K10)</f>
        <v>L 50x5</v>
      </c>
      <c r="L63" t="str">
        <f>INDEX('PRÉDIMENSIONNEMENT'!$H$6:$H$14,L10)</f>
        <v>L 50x5</v>
      </c>
      <c r="M63" t="str">
        <f>INDEX('PRÉDIMENSIONNEMENT'!$H$6:$H$14,M10)</f>
        <v>L 60x6</v>
      </c>
      <c r="N63" t="str">
        <f>INDEX('PRÉDIMENSIONNEMENT'!$H$6:$H$14,N10)</f>
        <v>L 60x6</v>
      </c>
      <c r="O63" t="str">
        <f>INDEX('PRÉDIMENSIONNEMENT'!$H$6:$H$14,O10)</f>
        <v>L 60x6</v>
      </c>
      <c r="P63" t="str">
        <f>INDEX('PRÉDIMENSIONNEMENT'!$H$6:$H$14,P10)</f>
        <v>L 60x6</v>
      </c>
      <c r="Q63" t="str">
        <f>INDEX('PRÉDIMENSIONNEMENT'!$H$6:$H$14,Q10)</f>
        <v>L 60x6</v>
      </c>
      <c r="R63" t="str">
        <f>INDEX('PRÉDIMENSIONNEMENT'!$H$6:$H$14,R10)</f>
        <v>L 60x6</v>
      </c>
      <c r="S63" t="str">
        <f>INDEX('PRÉDIMENSIONNEMENT'!$H$6:$H$14,S10)</f>
        <v>L 70x7</v>
      </c>
      <c r="T63" t="str">
        <f>INDEX('PRÉDIMENSIONNEMENT'!$H$6:$H$14,T10)</f>
        <v>L 70x7</v>
      </c>
      <c r="U63" t="str">
        <f>INDEX('PRÉDIMENSIONNEMENT'!$H$6:$H$14,U10)</f>
        <v>L 70x7</v>
      </c>
      <c r="V63" t="str">
        <f>INDEX('PRÉDIMENSIONNEMENT'!$H$6:$H$14,V10)</f>
        <v>L 90x9</v>
      </c>
      <c r="W63" t="str">
        <f>INDEX('PRÉDIMENSIONNEMENT'!$H$6:$H$14,W10)</f>
        <v>L 90x9</v>
      </c>
      <c r="X63" t="str">
        <f>INDEX('PRÉDIMENSIONNEMENT'!$H$6:$H$14,X10)</f>
        <v>L 90x9</v>
      </c>
    </row>
    <row r="64">
      <c r="A64" t="inlineStr">
        <is>
          <t>prof_minf</t>
        </is>
      </c>
      <c r="B64" t="inlineStr">
        <is>
          <t>PRÉDIMENSIONNEMENT!E72</t>
        </is>
      </c>
      <c r="D64" t="str">
        <f>D63</f>
        <v>L 45x4.5</v>
      </c>
      <c r="E64" t="str">
        <f>E63</f>
        <v>L 45x4.5</v>
      </c>
      <c r="F64" t="str">
        <f>F63</f>
        <v>L 45x4.5</v>
      </c>
      <c r="G64" t="str">
        <f>G63</f>
        <v>L 50x5</v>
      </c>
      <c r="H64" t="str">
        <f>H63</f>
        <v>L 50x5</v>
      </c>
      <c r="I64" t="str">
        <f>I63</f>
        <v>L 50x5</v>
      </c>
      <c r="J64" t="str">
        <f>J63</f>
        <v>L 50x5</v>
      </c>
      <c r="K64" t="str">
        <f>K63</f>
        <v>L 50x5</v>
      </c>
      <c r="L64" t="str">
        <f>L63</f>
        <v>L 50x5</v>
      </c>
      <c r="M64" t="str">
        <f>M63</f>
        <v>L 60x6</v>
      </c>
      <c r="N64" t="str">
        <f>N63</f>
        <v>L 60x6</v>
      </c>
      <c r="O64" t="str">
        <f>O63</f>
        <v>L 60x6</v>
      </c>
      <c r="P64" t="str">
        <f>P63</f>
        <v>L 60x6</v>
      </c>
      <c r="Q64" t="str">
        <f>Q63</f>
        <v>L 60x6</v>
      </c>
      <c r="R64" t="str">
        <f>R63</f>
        <v>L 60x6</v>
      </c>
      <c r="S64" t="str">
        <f>S63</f>
        <v>L 70x7</v>
      </c>
      <c r="T64" t="str">
        <f>T63</f>
        <v>L 70x7</v>
      </c>
      <c r="U64" t="str">
        <f>U63</f>
        <v>L 70x7</v>
      </c>
      <c r="V64" t="str">
        <f>V63</f>
        <v>L 90x9</v>
      </c>
      <c r="W64" t="str">
        <f>W63</f>
        <v>L 90x9</v>
      </c>
      <c r="X64" t="str">
        <f>X63</f>
        <v>L 90x9</v>
      </c>
    </row>
    <row r="65">
      <c r="A65" t="inlineStr">
        <is>
          <t>kg_minf</t>
        </is>
      </c>
      <c r="B65" t="inlineStr">
        <is>
          <t>PRÉDIMENSIONNEMENT!F72</t>
        </is>
      </c>
      <c r="D65">
        <f>IFERROR(_xlfn.XLOOKUP(D64,'BASE_PROFILÉS'!$B$5:$B$200,'BASE_PROFILÉS'!$D$5:$D$200),IFERROR(INDEX('BASE_PROFILÉS'!$D$5:$D$200,MATCH(D64,'BASE_PROFILÉS'!$B$5:$B$200,0)),0))*'PARAMÈTRES'!$C$25</f>
        <v>6.12</v>
      </c>
      <c r="E65">
        <f>IFERROR(_xlfn.XLOOKUP(E64,'BASE_PROFILÉS'!$B$5:$B$200,'BASE_PROFILÉS'!$D$5:$D$200),IFERROR(INDEX('BASE_PROFILÉS'!$D$5:$D$200,MATCH(E64,'BASE_PROFILÉS'!$B$5:$B$200,0)),0))*'PARAMÈTRES'!$C$25</f>
        <v>6.12</v>
      </c>
      <c r="F65">
        <f>IFERROR(_xlfn.XLOOKUP(F64,'BASE_PROFILÉS'!$B$5:$B$200,'BASE_PROFILÉS'!$D$5:$D$200),IFERROR(INDEX('BASE_PROFILÉS'!$D$5:$D$200,MATCH(F64,'BASE_PROFILÉS'!$B$5:$B$200,0)),0))*'PARAMÈTRES'!$C$25</f>
        <v>6.12</v>
      </c>
      <c r="G65">
        <f>IFERROR(_xlfn.XLOOKUP(G64,'BASE_PROFILÉS'!$B$5:$B$200,'BASE_PROFILÉS'!$D$5:$D$200),IFERROR(INDEX('BASE_PROFILÉS'!$D$5:$D$200,MATCH(G64,'BASE_PROFILÉS'!$B$5:$B$200,0)),0))*'PARAMÈTRES'!$C$25</f>
        <v>7.54</v>
      </c>
      <c r="H65">
        <f>IFERROR(_xlfn.XLOOKUP(H64,'BASE_PROFILÉS'!$B$5:$B$200,'BASE_PROFILÉS'!$D$5:$D$200),IFERROR(INDEX('BASE_PROFILÉS'!$D$5:$D$200,MATCH(H64,'BASE_PROFILÉS'!$B$5:$B$200,0)),0))*'PARAMÈTRES'!$C$25</f>
        <v>7.54</v>
      </c>
      <c r="I65">
        <f>IFERROR(_xlfn.XLOOKUP(I64,'BASE_PROFILÉS'!$B$5:$B$200,'BASE_PROFILÉS'!$D$5:$D$200),IFERROR(INDEX('BASE_PROFILÉS'!$D$5:$D$200,MATCH(I64,'BASE_PROFILÉS'!$B$5:$B$200,0)),0))*'PARAMÈTRES'!$C$25</f>
        <v>7.54</v>
      </c>
      <c r="J65">
        <f>IFERROR(_xlfn.XLOOKUP(J64,'BASE_PROFILÉS'!$B$5:$B$200,'BASE_PROFILÉS'!$D$5:$D$200),IFERROR(INDEX('BASE_PROFILÉS'!$D$5:$D$200,MATCH(J64,'BASE_PROFILÉS'!$B$5:$B$200,0)),0))*'PARAMÈTRES'!$C$25</f>
        <v>7.54</v>
      </c>
      <c r="K65">
        <f>IFERROR(_xlfn.XLOOKUP(K64,'BASE_PROFILÉS'!$B$5:$B$200,'BASE_PROFILÉS'!$D$5:$D$200),IFERROR(INDEX('BASE_PROFILÉS'!$D$5:$D$200,MATCH(K64,'BASE_PROFILÉS'!$B$5:$B$200,0)),0))*'PARAMÈTRES'!$C$25</f>
        <v>7.54</v>
      </c>
      <c r="L65">
        <f>IFERROR(_xlfn.XLOOKUP(L64,'BASE_PROFILÉS'!$B$5:$B$200,'BASE_PROFILÉS'!$D$5:$D$200),IFERROR(INDEX('BASE_PROFILÉS'!$D$5:$D$200,MATCH(L64,'BASE_PROFILÉS'!$B$5:$B$200,0)),0))*'PARAMÈTRES'!$C$25</f>
        <v>7.54</v>
      </c>
      <c r="M65">
        <f>IFERROR(_xlfn.XLOOKUP(M64,'BASE_PROFILÉS'!$B$5:$B$200,'BASE_PROFILÉS'!$D$5:$D$200),IFERROR(INDEX('BASE_PROFILÉS'!$D$5:$D$200,MATCH(M64,'BASE_PROFILÉS'!$B$5:$B$200,0)),0))*'PARAMÈTRES'!$C$25</f>
        <v>10.84</v>
      </c>
      <c r="N65">
        <f>IFERROR(_xlfn.XLOOKUP(N64,'BASE_PROFILÉS'!$B$5:$B$200,'BASE_PROFILÉS'!$D$5:$D$200),IFERROR(INDEX('BASE_PROFILÉS'!$D$5:$D$200,MATCH(N64,'BASE_PROFILÉS'!$B$5:$B$200,0)),0))*'PARAMÈTRES'!$C$25</f>
        <v>10.84</v>
      </c>
      <c r="O65">
        <f>IFERROR(_xlfn.XLOOKUP(O64,'BASE_PROFILÉS'!$B$5:$B$200,'BASE_PROFILÉS'!$D$5:$D$200),IFERROR(INDEX('BASE_PROFILÉS'!$D$5:$D$200,MATCH(O64,'BASE_PROFILÉS'!$B$5:$B$200,0)),0))*'PARAMÈTRES'!$C$25</f>
        <v>10.84</v>
      </c>
      <c r="P65">
        <f>IFERROR(_xlfn.XLOOKUP(P64,'BASE_PROFILÉS'!$B$5:$B$200,'BASE_PROFILÉS'!$D$5:$D$200),IFERROR(INDEX('BASE_PROFILÉS'!$D$5:$D$200,MATCH(P64,'BASE_PROFILÉS'!$B$5:$B$200,0)),0))*'PARAMÈTRES'!$C$25</f>
        <v>10.84</v>
      </c>
      <c r="Q65">
        <f>IFERROR(_xlfn.XLOOKUP(Q64,'BASE_PROFILÉS'!$B$5:$B$200,'BASE_PROFILÉS'!$D$5:$D$200),IFERROR(INDEX('BASE_PROFILÉS'!$D$5:$D$200,MATCH(Q64,'BASE_PROFILÉS'!$B$5:$B$200,0)),0))*'PARAMÈTRES'!$C$25</f>
        <v>10.84</v>
      </c>
      <c r="R65">
        <f>IFERROR(_xlfn.XLOOKUP(R64,'BASE_PROFILÉS'!$B$5:$B$200,'BASE_PROFILÉS'!$D$5:$D$200),IFERROR(INDEX('BASE_PROFILÉS'!$D$5:$D$200,MATCH(R64,'BASE_PROFILÉS'!$B$5:$B$200,0)),0))*'PARAMÈTRES'!$C$25</f>
        <v>10.84</v>
      </c>
      <c r="S65">
        <f>IFERROR(_xlfn.XLOOKUP(S64,'BASE_PROFILÉS'!$B$5:$B$200,'BASE_PROFILÉS'!$D$5:$D$200),IFERROR(INDEX('BASE_PROFILÉS'!$D$5:$D$200,MATCH(S64,'BASE_PROFILÉS'!$B$5:$B$200,0)),0))*'PARAMÈTRES'!$C$25</f>
        <v>14.76</v>
      </c>
      <c r="T65">
        <f>IFERROR(_xlfn.XLOOKUP(T64,'BASE_PROFILÉS'!$B$5:$B$200,'BASE_PROFILÉS'!$D$5:$D$200),IFERROR(INDEX('BASE_PROFILÉS'!$D$5:$D$200,MATCH(T64,'BASE_PROFILÉS'!$B$5:$B$200,0)),0))*'PARAMÈTRES'!$C$25</f>
        <v>14.76</v>
      </c>
      <c r="U65">
        <f>IFERROR(_xlfn.XLOOKUP(U64,'BASE_PROFILÉS'!$B$5:$B$200,'BASE_PROFILÉS'!$D$5:$D$200),IFERROR(INDEX('BASE_PROFILÉS'!$D$5:$D$200,MATCH(U64,'BASE_PROFILÉS'!$B$5:$B$200,0)),0))*'PARAMÈTRES'!$C$25</f>
        <v>14.76</v>
      </c>
      <c r="V65">
        <f>IFERROR(_xlfn.XLOOKUP(V64,'BASE_PROFILÉS'!$B$5:$B$200,'BASE_PROFILÉS'!$D$5:$D$200),IFERROR(INDEX('BASE_PROFILÉS'!$D$5:$D$200,MATCH(V64,'BASE_PROFILÉS'!$B$5:$B$200,0)),0))*'PARAMÈTRES'!$C$25</f>
        <v>24.4</v>
      </c>
      <c r="W65">
        <f>IFERROR(_xlfn.XLOOKUP(W64,'BASE_PROFILÉS'!$B$5:$B$200,'BASE_PROFILÉS'!$D$5:$D$200),IFERROR(INDEX('BASE_PROFILÉS'!$D$5:$D$200,MATCH(W64,'BASE_PROFILÉS'!$B$5:$B$200,0)),0))*'PARAMÈTRES'!$C$25</f>
        <v>24.4</v>
      </c>
      <c r="X65">
        <f>IFERROR(_xlfn.XLOOKUP(X64,'BASE_PROFILÉS'!$B$5:$B$200,'BASE_PROFILÉS'!$D$5:$D$200),IFERROR(INDEX('BASE_PROFILÉS'!$D$5:$D$200,MATCH(X64,'BASE_PROFILÉS'!$B$5:$B$200,0)),0))*'PARAMÈTRES'!$C$25</f>
        <v>24.4</v>
      </c>
    </row>
    <row r="66">
      <c r="A66" t="inlineStr">
        <is>
          <t>h_minf</t>
        </is>
      </c>
      <c r="B66" t="inlineStr">
        <is>
          <t>PRÉDIMENSIONNEMENT!G72</t>
        </is>
      </c>
      <c r="D66">
        <f>IFERROR(_xlfn.XLOOKUP(D64,'BASE_PROFILÉS'!$B$5:$B$200,'BASE_PROFILÉS'!$E$5:$E$200),IFERROR(INDEX('BASE_PROFILÉS'!$E$5:$E$200,MATCH(D64,'BASE_PROFILÉS'!$B$5:$B$200,0)),0))</f>
        <v>45</v>
      </c>
      <c r="E66">
        <f>IFERROR(_xlfn.XLOOKUP(E64,'BASE_PROFILÉS'!$B$5:$B$200,'BASE_PROFILÉS'!$E$5:$E$200),IFERROR(INDEX('BASE_PROFILÉS'!$E$5:$E$200,MATCH(E64,'BASE_PROFILÉS'!$B$5:$B$200,0)),0))</f>
        <v>45</v>
      </c>
      <c r="F66">
        <f>IFERROR(_xlfn.XLOOKUP(F64,'BASE_PROFILÉS'!$B$5:$B$200,'BASE_PROFILÉS'!$E$5:$E$200),IFERROR(INDEX('BASE_PROFILÉS'!$E$5:$E$200,MATCH(F64,'BASE_PROFILÉS'!$B$5:$B$200,0)),0))</f>
        <v>45</v>
      </c>
      <c r="G66">
        <f>IFERROR(_xlfn.XLOOKUP(G64,'BASE_PROFILÉS'!$B$5:$B$200,'BASE_PROFILÉS'!$E$5:$E$200),IFERROR(INDEX('BASE_PROFILÉS'!$E$5:$E$200,MATCH(G64,'BASE_PROFILÉS'!$B$5:$B$200,0)),0))</f>
        <v>50</v>
      </c>
      <c r="H66">
        <f>IFERROR(_xlfn.XLOOKUP(H64,'BASE_PROFILÉS'!$B$5:$B$200,'BASE_PROFILÉS'!$E$5:$E$200),IFERROR(INDEX('BASE_PROFILÉS'!$E$5:$E$200,MATCH(H64,'BASE_PROFILÉS'!$B$5:$B$200,0)),0))</f>
        <v>50</v>
      </c>
      <c r="I66">
        <f>IFERROR(_xlfn.XLOOKUP(I64,'BASE_PROFILÉS'!$B$5:$B$200,'BASE_PROFILÉS'!$E$5:$E$200),IFERROR(INDEX('BASE_PROFILÉS'!$E$5:$E$200,MATCH(I64,'BASE_PROFILÉS'!$B$5:$B$200,0)),0))</f>
        <v>50</v>
      </c>
      <c r="J66">
        <f>IFERROR(_xlfn.XLOOKUP(J64,'BASE_PROFILÉS'!$B$5:$B$200,'BASE_PROFILÉS'!$E$5:$E$200),IFERROR(INDEX('BASE_PROFILÉS'!$E$5:$E$200,MATCH(J64,'BASE_PROFILÉS'!$B$5:$B$200,0)),0))</f>
        <v>50</v>
      </c>
      <c r="K66">
        <f>IFERROR(_xlfn.XLOOKUP(K64,'BASE_PROFILÉS'!$B$5:$B$200,'BASE_PROFILÉS'!$E$5:$E$200),IFERROR(INDEX('BASE_PROFILÉS'!$E$5:$E$200,MATCH(K64,'BASE_PROFILÉS'!$B$5:$B$200,0)),0))</f>
        <v>50</v>
      </c>
      <c r="L66">
        <f>IFERROR(_xlfn.XLOOKUP(L64,'BASE_PROFILÉS'!$B$5:$B$200,'BASE_PROFILÉS'!$E$5:$E$200),IFERROR(INDEX('BASE_PROFILÉS'!$E$5:$E$200,MATCH(L64,'BASE_PROFILÉS'!$B$5:$B$200,0)),0))</f>
        <v>50</v>
      </c>
      <c r="M66">
        <f>IFERROR(_xlfn.XLOOKUP(M64,'BASE_PROFILÉS'!$B$5:$B$200,'BASE_PROFILÉS'!$E$5:$E$200),IFERROR(INDEX('BASE_PROFILÉS'!$E$5:$E$200,MATCH(M64,'BASE_PROFILÉS'!$B$5:$B$200,0)),0))</f>
        <v>60</v>
      </c>
      <c r="N66">
        <f>IFERROR(_xlfn.XLOOKUP(N64,'BASE_PROFILÉS'!$B$5:$B$200,'BASE_PROFILÉS'!$E$5:$E$200),IFERROR(INDEX('BASE_PROFILÉS'!$E$5:$E$200,MATCH(N64,'BASE_PROFILÉS'!$B$5:$B$200,0)),0))</f>
        <v>60</v>
      </c>
      <c r="O66">
        <f>IFERROR(_xlfn.XLOOKUP(O64,'BASE_PROFILÉS'!$B$5:$B$200,'BASE_PROFILÉS'!$E$5:$E$200),IFERROR(INDEX('BASE_PROFILÉS'!$E$5:$E$200,MATCH(O64,'BASE_PROFILÉS'!$B$5:$B$200,0)),0))</f>
        <v>60</v>
      </c>
      <c r="P66">
        <f>IFERROR(_xlfn.XLOOKUP(P64,'BASE_PROFILÉS'!$B$5:$B$200,'BASE_PROFILÉS'!$E$5:$E$200),IFERROR(INDEX('BASE_PROFILÉS'!$E$5:$E$200,MATCH(P64,'BASE_PROFILÉS'!$B$5:$B$200,0)),0))</f>
        <v>60</v>
      </c>
      <c r="Q66">
        <f>IFERROR(_xlfn.XLOOKUP(Q64,'BASE_PROFILÉS'!$B$5:$B$200,'BASE_PROFILÉS'!$E$5:$E$200),IFERROR(INDEX('BASE_PROFILÉS'!$E$5:$E$200,MATCH(Q64,'BASE_PROFILÉS'!$B$5:$B$200,0)),0))</f>
        <v>60</v>
      </c>
      <c r="R66">
        <f>IFERROR(_xlfn.XLOOKUP(R64,'BASE_PROFILÉS'!$B$5:$B$200,'BASE_PROFILÉS'!$E$5:$E$200),IFERROR(INDEX('BASE_PROFILÉS'!$E$5:$E$200,MATCH(R64,'BASE_PROFILÉS'!$B$5:$B$200,0)),0))</f>
        <v>60</v>
      </c>
      <c r="S66">
        <f>IFERROR(_xlfn.XLOOKUP(S64,'BASE_PROFILÉS'!$B$5:$B$200,'BASE_PROFILÉS'!$E$5:$E$200),IFERROR(INDEX('BASE_PROFILÉS'!$E$5:$E$200,MATCH(S64,'BASE_PROFILÉS'!$B$5:$B$200,0)),0))</f>
        <v>70</v>
      </c>
      <c r="T66">
        <f>IFERROR(_xlfn.XLOOKUP(T64,'BASE_PROFILÉS'!$B$5:$B$200,'BASE_PROFILÉS'!$E$5:$E$200),IFERROR(INDEX('BASE_PROFILÉS'!$E$5:$E$200,MATCH(T64,'BASE_PROFILÉS'!$B$5:$B$200,0)),0))</f>
        <v>70</v>
      </c>
      <c r="U66">
        <f>IFERROR(_xlfn.XLOOKUP(U64,'BASE_PROFILÉS'!$B$5:$B$200,'BASE_PROFILÉS'!$E$5:$E$200),IFERROR(INDEX('BASE_PROFILÉS'!$E$5:$E$200,MATCH(U64,'BASE_PROFILÉS'!$B$5:$B$200,0)),0))</f>
        <v>70</v>
      </c>
      <c r="V66">
        <f>IFERROR(_xlfn.XLOOKUP(V64,'BASE_PROFILÉS'!$B$5:$B$200,'BASE_PROFILÉS'!$E$5:$E$200),IFERROR(INDEX('BASE_PROFILÉS'!$E$5:$E$200,MATCH(V64,'BASE_PROFILÉS'!$B$5:$B$200,0)),0))</f>
        <v>90</v>
      </c>
      <c r="W66">
        <f>IFERROR(_xlfn.XLOOKUP(W64,'BASE_PROFILÉS'!$B$5:$B$200,'BASE_PROFILÉS'!$E$5:$E$200),IFERROR(INDEX('BASE_PROFILÉS'!$E$5:$E$200,MATCH(W64,'BASE_PROFILÉS'!$B$5:$B$200,0)),0))</f>
        <v>90</v>
      </c>
      <c r="X66">
        <f>IFERROR(_xlfn.XLOOKUP(X64,'BASE_PROFILÉS'!$B$5:$B$200,'BASE_PROFILÉS'!$E$5:$E$200),IFERROR(INDEX('BASE_PROFILÉS'!$E$5:$E$200,MATCH(X64,'BASE_PROFILÉS'!$B$5:$B$200,0)),0))</f>
        <v>90</v>
      </c>
    </row>
    <row r="67">
      <c r="A67" t="inlineStr">
        <is>
          <t>auto_mont</t>
        </is>
      </c>
      <c r="B67" t="inlineStr">
        <is>
          <t>PRÉDIMENSIONNEMENT!C73</t>
        </is>
      </c>
      <c r="D67" t="str">
        <f>INDEX('PRÉDIMENSIONNEMENT'!$I$6:$I$14,D10)</f>
        <v>L 40x4</v>
      </c>
      <c r="E67" t="str">
        <f>INDEX('PRÉDIMENSIONNEMENT'!$I$6:$I$14,E10)</f>
        <v>L 40x4</v>
      </c>
      <c r="F67" t="str">
        <f>INDEX('PRÉDIMENSIONNEMENT'!$I$6:$I$14,F10)</f>
        <v>L 40x4</v>
      </c>
      <c r="G67" t="str">
        <f>INDEX('PRÉDIMENSIONNEMENT'!$I$6:$I$14,G10)</f>
        <v>L 40x4</v>
      </c>
      <c r="H67" t="str">
        <f>INDEX('PRÉDIMENSIONNEMENT'!$I$6:$I$14,H10)</f>
        <v>L 40x4</v>
      </c>
      <c r="I67" t="str">
        <f>INDEX('PRÉDIMENSIONNEMENT'!$I$6:$I$14,I10)</f>
        <v>L 40x4</v>
      </c>
      <c r="J67" t="str">
        <f>INDEX('PRÉDIMENSIONNEMENT'!$I$6:$I$14,J10)</f>
        <v>L 40x4</v>
      </c>
      <c r="K67" t="str">
        <f>INDEX('PRÉDIMENSIONNEMENT'!$I$6:$I$14,K10)</f>
        <v>L 40x4</v>
      </c>
      <c r="L67" t="str">
        <f>INDEX('PRÉDIMENSIONNEMENT'!$I$6:$I$14,L10)</f>
        <v>L 40x4</v>
      </c>
      <c r="M67" t="str">
        <f>INDEX('PRÉDIMENSIONNEMENT'!$I$6:$I$14,M10)</f>
        <v>L 45x4.5</v>
      </c>
      <c r="N67" t="str">
        <f>INDEX('PRÉDIMENSIONNEMENT'!$I$6:$I$14,N10)</f>
        <v>L 45x4.5</v>
      </c>
      <c r="O67" t="str">
        <f>INDEX('PRÉDIMENSIONNEMENT'!$I$6:$I$14,O10)</f>
        <v>L 45x4.5</v>
      </c>
      <c r="P67" t="str">
        <f>INDEX('PRÉDIMENSIONNEMENT'!$I$6:$I$14,P10)</f>
        <v>L 45x4.5</v>
      </c>
      <c r="Q67" t="str">
        <f>INDEX('PRÉDIMENSIONNEMENT'!$I$6:$I$14,Q10)</f>
        <v>L 45x4.5</v>
      </c>
      <c r="R67" t="str">
        <f>INDEX('PRÉDIMENSIONNEMENT'!$I$6:$I$14,R10)</f>
        <v>L 45x4.5</v>
      </c>
      <c r="S67" t="str">
        <f>INDEX('PRÉDIMENSIONNEMENT'!$I$6:$I$14,S10)</f>
        <v>L 50x5</v>
      </c>
      <c r="T67" t="str">
        <f>INDEX('PRÉDIMENSIONNEMENT'!$I$6:$I$14,T10)</f>
        <v>L 50x5</v>
      </c>
      <c r="U67" t="str">
        <f>INDEX('PRÉDIMENSIONNEMENT'!$I$6:$I$14,U10)</f>
        <v>L 50x5</v>
      </c>
      <c r="V67" t="str">
        <f>INDEX('PRÉDIMENSIONNEMENT'!$I$6:$I$14,V10)</f>
        <v>L 60x6</v>
      </c>
      <c r="W67" t="str">
        <f>INDEX('PRÉDIMENSIONNEMENT'!$I$6:$I$14,W10)</f>
        <v>L 60x6</v>
      </c>
      <c r="X67" t="str">
        <f>INDEX('PRÉDIMENSIONNEMENT'!$I$6:$I$14,X10)</f>
        <v>L 60x6</v>
      </c>
    </row>
    <row r="68">
      <c r="A68" t="inlineStr">
        <is>
          <t>prof_mont</t>
        </is>
      </c>
      <c r="B68" t="inlineStr">
        <is>
          <t>PRÉDIMENSIONNEMENT!E73</t>
        </is>
      </c>
      <c r="D68" t="str">
        <f>D67</f>
        <v>L 40x4</v>
      </c>
      <c r="E68" t="str">
        <f>E67</f>
        <v>L 40x4</v>
      </c>
      <c r="F68" t="str">
        <f>F67</f>
        <v>L 40x4</v>
      </c>
      <c r="G68" t="str">
        <f>G67</f>
        <v>L 40x4</v>
      </c>
      <c r="H68" t="str">
        <f>H67</f>
        <v>L 40x4</v>
      </c>
      <c r="I68" t="str">
        <f>I67</f>
        <v>L 40x4</v>
      </c>
      <c r="J68" t="str">
        <f>J67</f>
        <v>L 40x4</v>
      </c>
      <c r="K68" t="str">
        <f>K67</f>
        <v>L 40x4</v>
      </c>
      <c r="L68" t="str">
        <f>L67</f>
        <v>L 40x4</v>
      </c>
      <c r="M68" t="str">
        <f>M67</f>
        <v>L 45x4.5</v>
      </c>
      <c r="N68" t="str">
        <f>N67</f>
        <v>L 45x4.5</v>
      </c>
      <c r="O68" t="str">
        <f>O67</f>
        <v>L 45x4.5</v>
      </c>
      <c r="P68" t="str">
        <f>P67</f>
        <v>L 45x4.5</v>
      </c>
      <c r="Q68" t="str">
        <f>Q67</f>
        <v>L 45x4.5</v>
      </c>
      <c r="R68" t="str">
        <f>R67</f>
        <v>L 45x4.5</v>
      </c>
      <c r="S68" t="str">
        <f>S67</f>
        <v>L 50x5</v>
      </c>
      <c r="T68" t="str">
        <f>T67</f>
        <v>L 50x5</v>
      </c>
      <c r="U68" t="str">
        <f>U67</f>
        <v>L 50x5</v>
      </c>
      <c r="V68" t="str">
        <f>V67</f>
        <v>L 60x6</v>
      </c>
      <c r="W68" t="str">
        <f>W67</f>
        <v>L 60x6</v>
      </c>
      <c r="X68" t="str">
        <f>X67</f>
        <v>L 60x6</v>
      </c>
    </row>
    <row r="69">
      <c r="A69" t="inlineStr">
        <is>
          <t>kg_mont</t>
        </is>
      </c>
      <c r="B69" t="inlineStr">
        <is>
          <t>PRÉDIMENSIONNEMENT!F73</t>
        </is>
      </c>
      <c r="D69">
        <f>IFERROR(_xlfn.XLOOKUP(D68,'BASE_PROFILÉS'!$B$5:$B$200,'BASE_PROFILÉS'!$D$5:$D$200),IFERROR(INDEX('BASE_PROFILÉS'!$D$5:$D$200,MATCH(D68,'BASE_PROFILÉS'!$B$5:$B$200,0)),0))</f>
        <v>2.42</v>
      </c>
      <c r="E69">
        <f>IFERROR(_xlfn.XLOOKUP(E68,'BASE_PROFILÉS'!$B$5:$B$200,'BASE_PROFILÉS'!$D$5:$D$200),IFERROR(INDEX('BASE_PROFILÉS'!$D$5:$D$200,MATCH(E68,'BASE_PROFILÉS'!$B$5:$B$200,0)),0))</f>
        <v>2.42</v>
      </c>
      <c r="F69">
        <f>IFERROR(_xlfn.XLOOKUP(F68,'BASE_PROFILÉS'!$B$5:$B$200,'BASE_PROFILÉS'!$D$5:$D$200),IFERROR(INDEX('BASE_PROFILÉS'!$D$5:$D$200,MATCH(F68,'BASE_PROFILÉS'!$B$5:$B$200,0)),0))</f>
        <v>2.42</v>
      </c>
      <c r="G69">
        <f>IFERROR(_xlfn.XLOOKUP(G68,'BASE_PROFILÉS'!$B$5:$B$200,'BASE_PROFILÉS'!$D$5:$D$200),IFERROR(INDEX('BASE_PROFILÉS'!$D$5:$D$200,MATCH(G68,'BASE_PROFILÉS'!$B$5:$B$200,0)),0))</f>
        <v>2.42</v>
      </c>
      <c r="H69">
        <f>IFERROR(_xlfn.XLOOKUP(H68,'BASE_PROFILÉS'!$B$5:$B$200,'BASE_PROFILÉS'!$D$5:$D$200),IFERROR(INDEX('BASE_PROFILÉS'!$D$5:$D$200,MATCH(H68,'BASE_PROFILÉS'!$B$5:$B$200,0)),0))</f>
        <v>2.42</v>
      </c>
      <c r="I69">
        <f>IFERROR(_xlfn.XLOOKUP(I68,'BASE_PROFILÉS'!$B$5:$B$200,'BASE_PROFILÉS'!$D$5:$D$200),IFERROR(INDEX('BASE_PROFILÉS'!$D$5:$D$200,MATCH(I68,'BASE_PROFILÉS'!$B$5:$B$200,0)),0))</f>
        <v>2.42</v>
      </c>
      <c r="J69">
        <f>IFERROR(_xlfn.XLOOKUP(J68,'BASE_PROFILÉS'!$B$5:$B$200,'BASE_PROFILÉS'!$D$5:$D$200),IFERROR(INDEX('BASE_PROFILÉS'!$D$5:$D$200,MATCH(J68,'BASE_PROFILÉS'!$B$5:$B$200,0)),0))</f>
        <v>2.42</v>
      </c>
      <c r="K69">
        <f>IFERROR(_xlfn.XLOOKUP(K68,'BASE_PROFILÉS'!$B$5:$B$200,'BASE_PROFILÉS'!$D$5:$D$200),IFERROR(INDEX('BASE_PROFILÉS'!$D$5:$D$200,MATCH(K68,'BASE_PROFILÉS'!$B$5:$B$200,0)),0))</f>
        <v>2.42</v>
      </c>
      <c r="L69">
        <f>IFERROR(_xlfn.XLOOKUP(L68,'BASE_PROFILÉS'!$B$5:$B$200,'BASE_PROFILÉS'!$D$5:$D$200),IFERROR(INDEX('BASE_PROFILÉS'!$D$5:$D$200,MATCH(L68,'BASE_PROFILÉS'!$B$5:$B$200,0)),0))</f>
        <v>2.42</v>
      </c>
      <c r="M69">
        <f>IFERROR(_xlfn.XLOOKUP(M68,'BASE_PROFILÉS'!$B$5:$B$200,'BASE_PROFILÉS'!$D$5:$D$200),IFERROR(INDEX('BASE_PROFILÉS'!$D$5:$D$200,MATCH(M68,'BASE_PROFILÉS'!$B$5:$B$200,0)),0))</f>
        <v>3.06</v>
      </c>
      <c r="N69">
        <f>IFERROR(_xlfn.XLOOKUP(N68,'BASE_PROFILÉS'!$B$5:$B$200,'BASE_PROFILÉS'!$D$5:$D$200),IFERROR(INDEX('BASE_PROFILÉS'!$D$5:$D$200,MATCH(N68,'BASE_PROFILÉS'!$B$5:$B$200,0)),0))</f>
        <v>3.06</v>
      </c>
      <c r="O69">
        <f>IFERROR(_xlfn.XLOOKUP(O68,'BASE_PROFILÉS'!$B$5:$B$200,'BASE_PROFILÉS'!$D$5:$D$200),IFERROR(INDEX('BASE_PROFILÉS'!$D$5:$D$200,MATCH(O68,'BASE_PROFILÉS'!$B$5:$B$200,0)),0))</f>
        <v>3.06</v>
      </c>
      <c r="P69">
        <f>IFERROR(_xlfn.XLOOKUP(P68,'BASE_PROFILÉS'!$B$5:$B$200,'BASE_PROFILÉS'!$D$5:$D$200),IFERROR(INDEX('BASE_PROFILÉS'!$D$5:$D$200,MATCH(P68,'BASE_PROFILÉS'!$B$5:$B$200,0)),0))</f>
        <v>3.06</v>
      </c>
      <c r="Q69">
        <f>IFERROR(_xlfn.XLOOKUP(Q68,'BASE_PROFILÉS'!$B$5:$B$200,'BASE_PROFILÉS'!$D$5:$D$200),IFERROR(INDEX('BASE_PROFILÉS'!$D$5:$D$200,MATCH(Q68,'BASE_PROFILÉS'!$B$5:$B$200,0)),0))</f>
        <v>3.06</v>
      </c>
      <c r="R69">
        <f>IFERROR(_xlfn.XLOOKUP(R68,'BASE_PROFILÉS'!$B$5:$B$200,'BASE_PROFILÉS'!$D$5:$D$200),IFERROR(INDEX('BASE_PROFILÉS'!$D$5:$D$200,MATCH(R68,'BASE_PROFILÉS'!$B$5:$B$200,0)),0))</f>
        <v>3.06</v>
      </c>
      <c r="S69">
        <f>IFERROR(_xlfn.XLOOKUP(S68,'BASE_PROFILÉS'!$B$5:$B$200,'BASE_PROFILÉS'!$D$5:$D$200),IFERROR(INDEX('BASE_PROFILÉS'!$D$5:$D$200,MATCH(S68,'BASE_PROFILÉS'!$B$5:$B$200,0)),0))</f>
        <v>3.77</v>
      </c>
      <c r="T69">
        <f>IFERROR(_xlfn.XLOOKUP(T68,'BASE_PROFILÉS'!$B$5:$B$200,'BASE_PROFILÉS'!$D$5:$D$200),IFERROR(INDEX('BASE_PROFILÉS'!$D$5:$D$200,MATCH(T68,'BASE_PROFILÉS'!$B$5:$B$200,0)),0))</f>
        <v>3.77</v>
      </c>
      <c r="U69">
        <f>IFERROR(_xlfn.XLOOKUP(U68,'BASE_PROFILÉS'!$B$5:$B$200,'BASE_PROFILÉS'!$D$5:$D$200),IFERROR(INDEX('BASE_PROFILÉS'!$D$5:$D$200,MATCH(U68,'BASE_PROFILÉS'!$B$5:$B$200,0)),0))</f>
        <v>3.77</v>
      </c>
      <c r="V69">
        <f>IFERROR(_xlfn.XLOOKUP(V68,'BASE_PROFILÉS'!$B$5:$B$200,'BASE_PROFILÉS'!$D$5:$D$200),IFERROR(INDEX('BASE_PROFILÉS'!$D$5:$D$200,MATCH(V68,'BASE_PROFILÉS'!$B$5:$B$200,0)),0))</f>
        <v>5.42</v>
      </c>
      <c r="W69">
        <f>IFERROR(_xlfn.XLOOKUP(W68,'BASE_PROFILÉS'!$B$5:$B$200,'BASE_PROFILÉS'!$D$5:$D$200),IFERROR(INDEX('BASE_PROFILÉS'!$D$5:$D$200,MATCH(W68,'BASE_PROFILÉS'!$B$5:$B$200,0)),0))</f>
        <v>5.42</v>
      </c>
      <c r="X69">
        <f>IFERROR(_xlfn.XLOOKUP(X68,'BASE_PROFILÉS'!$B$5:$B$200,'BASE_PROFILÉS'!$D$5:$D$200),IFERROR(INDEX('BASE_PROFILÉS'!$D$5:$D$200,MATCH(X68,'BASE_PROFILÉS'!$B$5:$B$200,0)),0))</f>
        <v>5.42</v>
      </c>
    </row>
    <row r="70">
      <c r="A70" t="inlineStr">
        <is>
          <t>h_mont</t>
        </is>
      </c>
      <c r="B70" t="inlineStr">
        <is>
          <t>PRÉDIMENSIONNEMENT!G73</t>
        </is>
      </c>
      <c r="D70">
        <f>IFERROR(_xlfn.XLOOKUP(D68,'BASE_PROFILÉS'!$B$5:$B$200,'BASE_PROFILÉS'!$E$5:$E$200),IFERROR(INDEX('BASE_PROFILÉS'!$E$5:$E$200,MATCH(D68,'BASE_PROFILÉS'!$B$5:$B$200,0)),0))</f>
        <v>40</v>
      </c>
      <c r="E70">
        <f>IFERROR(_xlfn.XLOOKUP(E68,'BASE_PROFILÉS'!$B$5:$B$200,'BASE_PROFILÉS'!$E$5:$E$200),IFERROR(INDEX('BASE_PROFILÉS'!$E$5:$E$200,MATCH(E68,'BASE_PROFILÉS'!$B$5:$B$200,0)),0))</f>
        <v>40</v>
      </c>
      <c r="F70">
        <f>IFERROR(_xlfn.XLOOKUP(F68,'BASE_PROFILÉS'!$B$5:$B$200,'BASE_PROFILÉS'!$E$5:$E$200),IFERROR(INDEX('BASE_PROFILÉS'!$E$5:$E$200,MATCH(F68,'BASE_PROFILÉS'!$B$5:$B$200,0)),0))</f>
        <v>40</v>
      </c>
      <c r="G70">
        <f>IFERROR(_xlfn.XLOOKUP(G68,'BASE_PROFILÉS'!$B$5:$B$200,'BASE_PROFILÉS'!$E$5:$E$200),IFERROR(INDEX('BASE_PROFILÉS'!$E$5:$E$200,MATCH(G68,'BASE_PROFILÉS'!$B$5:$B$200,0)),0))</f>
        <v>40</v>
      </c>
      <c r="H70">
        <f>IFERROR(_xlfn.XLOOKUP(H68,'BASE_PROFILÉS'!$B$5:$B$200,'BASE_PROFILÉS'!$E$5:$E$200),IFERROR(INDEX('BASE_PROFILÉS'!$E$5:$E$200,MATCH(H68,'BASE_PROFILÉS'!$B$5:$B$200,0)),0))</f>
        <v>40</v>
      </c>
      <c r="I70">
        <f>IFERROR(_xlfn.XLOOKUP(I68,'BASE_PROFILÉS'!$B$5:$B$200,'BASE_PROFILÉS'!$E$5:$E$200),IFERROR(INDEX('BASE_PROFILÉS'!$E$5:$E$200,MATCH(I68,'BASE_PROFILÉS'!$B$5:$B$200,0)),0))</f>
        <v>40</v>
      </c>
      <c r="J70">
        <f>IFERROR(_xlfn.XLOOKUP(J68,'BASE_PROFILÉS'!$B$5:$B$200,'BASE_PROFILÉS'!$E$5:$E$200),IFERROR(INDEX('BASE_PROFILÉS'!$E$5:$E$200,MATCH(J68,'BASE_PROFILÉS'!$B$5:$B$200,0)),0))</f>
        <v>40</v>
      </c>
      <c r="K70">
        <f>IFERROR(_xlfn.XLOOKUP(K68,'BASE_PROFILÉS'!$B$5:$B$200,'BASE_PROFILÉS'!$E$5:$E$200),IFERROR(INDEX('BASE_PROFILÉS'!$E$5:$E$200,MATCH(K68,'BASE_PROFILÉS'!$B$5:$B$200,0)),0))</f>
        <v>40</v>
      </c>
      <c r="L70">
        <f>IFERROR(_xlfn.XLOOKUP(L68,'BASE_PROFILÉS'!$B$5:$B$200,'BASE_PROFILÉS'!$E$5:$E$200),IFERROR(INDEX('BASE_PROFILÉS'!$E$5:$E$200,MATCH(L68,'BASE_PROFILÉS'!$B$5:$B$200,0)),0))</f>
        <v>40</v>
      </c>
      <c r="M70">
        <f>IFERROR(_xlfn.XLOOKUP(M68,'BASE_PROFILÉS'!$B$5:$B$200,'BASE_PROFILÉS'!$E$5:$E$200),IFERROR(INDEX('BASE_PROFILÉS'!$E$5:$E$200,MATCH(M68,'BASE_PROFILÉS'!$B$5:$B$200,0)),0))</f>
        <v>45</v>
      </c>
      <c r="N70">
        <f>IFERROR(_xlfn.XLOOKUP(N68,'BASE_PROFILÉS'!$B$5:$B$200,'BASE_PROFILÉS'!$E$5:$E$200),IFERROR(INDEX('BASE_PROFILÉS'!$E$5:$E$200,MATCH(N68,'BASE_PROFILÉS'!$B$5:$B$200,0)),0))</f>
        <v>45</v>
      </c>
      <c r="O70">
        <f>IFERROR(_xlfn.XLOOKUP(O68,'BASE_PROFILÉS'!$B$5:$B$200,'BASE_PROFILÉS'!$E$5:$E$200),IFERROR(INDEX('BASE_PROFILÉS'!$E$5:$E$200,MATCH(O68,'BASE_PROFILÉS'!$B$5:$B$200,0)),0))</f>
        <v>45</v>
      </c>
      <c r="P70">
        <f>IFERROR(_xlfn.XLOOKUP(P68,'BASE_PROFILÉS'!$B$5:$B$200,'BASE_PROFILÉS'!$E$5:$E$200),IFERROR(INDEX('BASE_PROFILÉS'!$E$5:$E$200,MATCH(P68,'BASE_PROFILÉS'!$B$5:$B$200,0)),0))</f>
        <v>45</v>
      </c>
      <c r="Q70">
        <f>IFERROR(_xlfn.XLOOKUP(Q68,'BASE_PROFILÉS'!$B$5:$B$200,'BASE_PROFILÉS'!$E$5:$E$200),IFERROR(INDEX('BASE_PROFILÉS'!$E$5:$E$200,MATCH(Q68,'BASE_PROFILÉS'!$B$5:$B$200,0)),0))</f>
        <v>45</v>
      </c>
      <c r="R70">
        <f>IFERROR(_xlfn.XLOOKUP(R68,'BASE_PROFILÉS'!$B$5:$B$200,'BASE_PROFILÉS'!$E$5:$E$200),IFERROR(INDEX('BASE_PROFILÉS'!$E$5:$E$200,MATCH(R68,'BASE_PROFILÉS'!$B$5:$B$200,0)),0))</f>
        <v>45</v>
      </c>
      <c r="S70">
        <f>IFERROR(_xlfn.XLOOKUP(S68,'BASE_PROFILÉS'!$B$5:$B$200,'BASE_PROFILÉS'!$E$5:$E$200),IFERROR(INDEX('BASE_PROFILÉS'!$E$5:$E$200,MATCH(S68,'BASE_PROFILÉS'!$B$5:$B$200,0)),0))</f>
        <v>50</v>
      </c>
      <c r="T70">
        <f>IFERROR(_xlfn.XLOOKUP(T68,'BASE_PROFILÉS'!$B$5:$B$200,'BASE_PROFILÉS'!$E$5:$E$200),IFERROR(INDEX('BASE_PROFILÉS'!$E$5:$E$200,MATCH(T68,'BASE_PROFILÉS'!$B$5:$B$200,0)),0))</f>
        <v>50</v>
      </c>
      <c r="U70">
        <f>IFERROR(_xlfn.XLOOKUP(U68,'BASE_PROFILÉS'!$B$5:$B$200,'BASE_PROFILÉS'!$E$5:$E$200),IFERROR(INDEX('BASE_PROFILÉS'!$E$5:$E$200,MATCH(U68,'BASE_PROFILÉS'!$B$5:$B$200,0)),0))</f>
        <v>50</v>
      </c>
      <c r="V70">
        <f>IFERROR(_xlfn.XLOOKUP(V68,'BASE_PROFILÉS'!$B$5:$B$200,'BASE_PROFILÉS'!$E$5:$E$200),IFERROR(INDEX('BASE_PROFILÉS'!$E$5:$E$200,MATCH(V68,'BASE_PROFILÉS'!$B$5:$B$200,0)),0))</f>
        <v>60</v>
      </c>
      <c r="W70">
        <f>IFERROR(_xlfn.XLOOKUP(W68,'BASE_PROFILÉS'!$B$5:$B$200,'BASE_PROFILÉS'!$E$5:$E$200),IFERROR(INDEX('BASE_PROFILÉS'!$E$5:$E$200,MATCH(W68,'BASE_PROFILÉS'!$B$5:$B$200,0)),0))</f>
        <v>60</v>
      </c>
      <c r="X70">
        <f>IFERROR(_xlfn.XLOOKUP(X68,'BASE_PROFILÉS'!$B$5:$B$200,'BASE_PROFILÉS'!$E$5:$E$200),IFERROR(INDEX('BASE_PROFILÉS'!$E$5:$E$200,MATCH(X68,'BASE_PROFILÉS'!$B$5:$B$200,0)),0))</f>
        <v>60</v>
      </c>
    </row>
    <row r="71">
      <c r="A71" t="inlineStr">
        <is>
          <t>auto_diag</t>
        </is>
      </c>
      <c r="B71" t="inlineStr">
        <is>
          <t>PRÉDIMENSIONNEMENT!C74</t>
        </is>
      </c>
      <c r="D71" t="str">
        <f>INDEX('PRÉDIMENSIONNEMENT'!$J$6:$J$14,D10)</f>
        <v>L 40x4</v>
      </c>
      <c r="E71" t="str">
        <f>INDEX('PRÉDIMENSIONNEMENT'!$J$6:$J$14,E10)</f>
        <v>L 40x4</v>
      </c>
      <c r="F71" t="str">
        <f>INDEX('PRÉDIMENSIONNEMENT'!$J$6:$J$14,F10)</f>
        <v>L 40x4</v>
      </c>
      <c r="G71" t="str">
        <f>INDEX('PRÉDIMENSIONNEMENT'!$J$6:$J$14,G10)</f>
        <v>L 45x4.5</v>
      </c>
      <c r="H71" t="str">
        <f>INDEX('PRÉDIMENSIONNEMENT'!$J$6:$J$14,H10)</f>
        <v>L 45x4.5</v>
      </c>
      <c r="I71" t="str">
        <f>INDEX('PRÉDIMENSIONNEMENT'!$J$6:$J$14,I10)</f>
        <v>L 45x4.5</v>
      </c>
      <c r="J71" t="str">
        <f>INDEX('PRÉDIMENSIONNEMENT'!$J$6:$J$14,J10)</f>
        <v>L 45x4.5</v>
      </c>
      <c r="K71" t="str">
        <f>INDEX('PRÉDIMENSIONNEMENT'!$J$6:$J$14,K10)</f>
        <v>L 45x4.5</v>
      </c>
      <c r="L71" t="str">
        <f>INDEX('PRÉDIMENSIONNEMENT'!$J$6:$J$14,L10)</f>
        <v>L 45x4.5</v>
      </c>
      <c r="M71" t="str">
        <f>INDEX('PRÉDIMENSIONNEMENT'!$J$6:$J$14,M10)</f>
        <v>L 50x5</v>
      </c>
      <c r="N71" t="str">
        <f>INDEX('PRÉDIMENSIONNEMENT'!$J$6:$J$14,N10)</f>
        <v>L 50x5</v>
      </c>
      <c r="O71" t="str">
        <f>INDEX('PRÉDIMENSIONNEMENT'!$J$6:$J$14,O10)</f>
        <v>L 50x5</v>
      </c>
      <c r="P71" t="str">
        <f>INDEX('PRÉDIMENSIONNEMENT'!$J$6:$J$14,P10)</f>
        <v>L 50x5</v>
      </c>
      <c r="Q71" t="str">
        <f>INDEX('PRÉDIMENSIONNEMENT'!$J$6:$J$14,Q10)</f>
        <v>L 50x5</v>
      </c>
      <c r="R71" t="str">
        <f>INDEX('PRÉDIMENSIONNEMENT'!$J$6:$J$14,R10)</f>
        <v>L 50x5</v>
      </c>
      <c r="S71" t="str">
        <f>INDEX('PRÉDIMENSIONNEMENT'!$J$6:$J$14,S10)</f>
        <v>L 60x6</v>
      </c>
      <c r="T71" t="str">
        <f>INDEX('PRÉDIMENSIONNEMENT'!$J$6:$J$14,T10)</f>
        <v>L 60x6</v>
      </c>
      <c r="U71" t="str">
        <f>INDEX('PRÉDIMENSIONNEMENT'!$J$6:$J$14,U10)</f>
        <v>L 60x6</v>
      </c>
      <c r="V71" t="str">
        <f>INDEX('PRÉDIMENSIONNEMENT'!$J$6:$J$14,V10)</f>
        <v>L 70x7</v>
      </c>
      <c r="W71" t="str">
        <f>INDEX('PRÉDIMENSIONNEMENT'!$J$6:$J$14,W10)</f>
        <v>L 70x7</v>
      </c>
      <c r="X71" t="str">
        <f>INDEX('PRÉDIMENSIONNEMENT'!$J$6:$J$14,X10)</f>
        <v>L 70x7</v>
      </c>
    </row>
    <row r="72">
      <c r="A72" t="inlineStr">
        <is>
          <t>prof_diag</t>
        </is>
      </c>
      <c r="B72" t="inlineStr">
        <is>
          <t>PRÉDIMENSIONNEMENT!E74</t>
        </is>
      </c>
      <c r="D72" t="str">
        <f>D71</f>
        <v>L 40x4</v>
      </c>
      <c r="E72" t="str">
        <f>E71</f>
        <v>L 40x4</v>
      </c>
      <c r="F72" t="str">
        <f>F71</f>
        <v>L 40x4</v>
      </c>
      <c r="G72" t="str">
        <f>G71</f>
        <v>L 45x4.5</v>
      </c>
      <c r="H72" t="str">
        <f>H71</f>
        <v>L 45x4.5</v>
      </c>
      <c r="I72" t="str">
        <f>I71</f>
        <v>L 45x4.5</v>
      </c>
      <c r="J72" t="str">
        <f>J71</f>
        <v>L 45x4.5</v>
      </c>
      <c r="K72" t="str">
        <f>K71</f>
        <v>L 45x4.5</v>
      </c>
      <c r="L72" t="str">
        <f>L71</f>
        <v>L 45x4.5</v>
      </c>
      <c r="M72" t="str">
        <f>M71</f>
        <v>L 50x5</v>
      </c>
      <c r="N72" t="str">
        <f>N71</f>
        <v>L 50x5</v>
      </c>
      <c r="O72" t="str">
        <f>O71</f>
        <v>L 50x5</v>
      </c>
      <c r="P72" t="str">
        <f>P71</f>
        <v>L 50x5</v>
      </c>
      <c r="Q72" t="str">
        <f>Q71</f>
        <v>L 50x5</v>
      </c>
      <c r="R72" t="str">
        <f>R71</f>
        <v>L 50x5</v>
      </c>
      <c r="S72" t="str">
        <f>S71</f>
        <v>L 60x6</v>
      </c>
      <c r="T72" t="str">
        <f>T71</f>
        <v>L 60x6</v>
      </c>
      <c r="U72" t="str">
        <f>U71</f>
        <v>L 60x6</v>
      </c>
      <c r="V72" t="str">
        <f>V71</f>
        <v>L 70x7</v>
      </c>
      <c r="W72" t="str">
        <f>W71</f>
        <v>L 70x7</v>
      </c>
      <c r="X72" t="str">
        <f>X71</f>
        <v>L 70x7</v>
      </c>
    </row>
    <row r="73">
      <c r="A73" t="inlineStr">
        <is>
          <t>kg_diag</t>
        </is>
      </c>
      <c r="B73" t="inlineStr">
        <is>
          <t>PRÉDIMENSIONNEMENT!F74</t>
        </is>
      </c>
      <c r="D73">
        <f>IFERROR(_xlfn.XLOOKUP(D72,'BASE_PROFILÉS'!$B$5:$B$200,'BASE_PROFILÉS'!$D$5:$D$200),IFERROR(INDEX('BASE_PROFILÉS'!$D$5:$D$200,MATCH(D72,'BASE_PROFILÉS'!$B$5:$B$200,0)),0))</f>
        <v>2.42</v>
      </c>
      <c r="E73">
        <f>IFERROR(_xlfn.XLOOKUP(E72,'BASE_PROFILÉS'!$B$5:$B$200,'BASE_PROFILÉS'!$D$5:$D$200),IFERROR(INDEX('BASE_PROFILÉS'!$D$5:$D$200,MATCH(E72,'BASE_PROFILÉS'!$B$5:$B$200,0)),0))</f>
        <v>2.42</v>
      </c>
      <c r="F73">
        <f>IFERROR(_xlfn.XLOOKUP(F72,'BASE_PROFILÉS'!$B$5:$B$200,'BASE_PROFILÉS'!$D$5:$D$200),IFERROR(INDEX('BASE_PROFILÉS'!$D$5:$D$200,MATCH(F72,'BASE_PROFILÉS'!$B$5:$B$200,0)),0))</f>
        <v>2.42</v>
      </c>
      <c r="G73">
        <f>IFERROR(_xlfn.XLOOKUP(G72,'BASE_PROFILÉS'!$B$5:$B$200,'BASE_PROFILÉS'!$D$5:$D$200),IFERROR(INDEX('BASE_PROFILÉS'!$D$5:$D$200,MATCH(G72,'BASE_PROFILÉS'!$B$5:$B$200,0)),0))</f>
        <v>3.06</v>
      </c>
      <c r="H73">
        <f>IFERROR(_xlfn.XLOOKUP(H72,'BASE_PROFILÉS'!$B$5:$B$200,'BASE_PROFILÉS'!$D$5:$D$200),IFERROR(INDEX('BASE_PROFILÉS'!$D$5:$D$200,MATCH(H72,'BASE_PROFILÉS'!$B$5:$B$200,0)),0))</f>
        <v>3.06</v>
      </c>
      <c r="I73">
        <f>IFERROR(_xlfn.XLOOKUP(I72,'BASE_PROFILÉS'!$B$5:$B$200,'BASE_PROFILÉS'!$D$5:$D$200),IFERROR(INDEX('BASE_PROFILÉS'!$D$5:$D$200,MATCH(I72,'BASE_PROFILÉS'!$B$5:$B$200,0)),0))</f>
        <v>3.06</v>
      </c>
      <c r="J73">
        <f>IFERROR(_xlfn.XLOOKUP(J72,'BASE_PROFILÉS'!$B$5:$B$200,'BASE_PROFILÉS'!$D$5:$D$200),IFERROR(INDEX('BASE_PROFILÉS'!$D$5:$D$200,MATCH(J72,'BASE_PROFILÉS'!$B$5:$B$200,0)),0))</f>
        <v>3.06</v>
      </c>
      <c r="K73">
        <f>IFERROR(_xlfn.XLOOKUP(K72,'BASE_PROFILÉS'!$B$5:$B$200,'BASE_PROFILÉS'!$D$5:$D$200),IFERROR(INDEX('BASE_PROFILÉS'!$D$5:$D$200,MATCH(K72,'BASE_PROFILÉS'!$B$5:$B$200,0)),0))</f>
        <v>3.06</v>
      </c>
      <c r="L73">
        <f>IFERROR(_xlfn.XLOOKUP(L72,'BASE_PROFILÉS'!$B$5:$B$200,'BASE_PROFILÉS'!$D$5:$D$200),IFERROR(INDEX('BASE_PROFILÉS'!$D$5:$D$200,MATCH(L72,'BASE_PROFILÉS'!$B$5:$B$200,0)),0))</f>
        <v>3.06</v>
      </c>
      <c r="M73">
        <f>IFERROR(_xlfn.XLOOKUP(M72,'BASE_PROFILÉS'!$B$5:$B$200,'BASE_PROFILÉS'!$D$5:$D$200),IFERROR(INDEX('BASE_PROFILÉS'!$D$5:$D$200,MATCH(M72,'BASE_PROFILÉS'!$B$5:$B$200,0)),0))</f>
        <v>3.77</v>
      </c>
      <c r="N73">
        <f>IFERROR(_xlfn.XLOOKUP(N72,'BASE_PROFILÉS'!$B$5:$B$200,'BASE_PROFILÉS'!$D$5:$D$200),IFERROR(INDEX('BASE_PROFILÉS'!$D$5:$D$200,MATCH(N72,'BASE_PROFILÉS'!$B$5:$B$200,0)),0))</f>
        <v>3.77</v>
      </c>
      <c r="O73">
        <f>IFERROR(_xlfn.XLOOKUP(O72,'BASE_PROFILÉS'!$B$5:$B$200,'BASE_PROFILÉS'!$D$5:$D$200),IFERROR(INDEX('BASE_PROFILÉS'!$D$5:$D$200,MATCH(O72,'BASE_PROFILÉS'!$B$5:$B$200,0)),0))</f>
        <v>3.77</v>
      </c>
      <c r="P73">
        <f>IFERROR(_xlfn.XLOOKUP(P72,'BASE_PROFILÉS'!$B$5:$B$200,'BASE_PROFILÉS'!$D$5:$D$200),IFERROR(INDEX('BASE_PROFILÉS'!$D$5:$D$200,MATCH(P72,'BASE_PROFILÉS'!$B$5:$B$200,0)),0))</f>
        <v>3.77</v>
      </c>
      <c r="Q73">
        <f>IFERROR(_xlfn.XLOOKUP(Q72,'BASE_PROFILÉS'!$B$5:$B$200,'BASE_PROFILÉS'!$D$5:$D$200),IFERROR(INDEX('BASE_PROFILÉS'!$D$5:$D$200,MATCH(Q72,'BASE_PROFILÉS'!$B$5:$B$200,0)),0))</f>
        <v>3.77</v>
      </c>
      <c r="R73">
        <f>IFERROR(_xlfn.XLOOKUP(R72,'BASE_PROFILÉS'!$B$5:$B$200,'BASE_PROFILÉS'!$D$5:$D$200),IFERROR(INDEX('BASE_PROFILÉS'!$D$5:$D$200,MATCH(R72,'BASE_PROFILÉS'!$B$5:$B$200,0)),0))</f>
        <v>3.77</v>
      </c>
      <c r="S73">
        <f>IFERROR(_xlfn.XLOOKUP(S72,'BASE_PROFILÉS'!$B$5:$B$200,'BASE_PROFILÉS'!$D$5:$D$200),IFERROR(INDEX('BASE_PROFILÉS'!$D$5:$D$200,MATCH(S72,'BASE_PROFILÉS'!$B$5:$B$200,0)),0))</f>
        <v>5.42</v>
      </c>
      <c r="T73">
        <f>IFERROR(_xlfn.XLOOKUP(T72,'BASE_PROFILÉS'!$B$5:$B$200,'BASE_PROFILÉS'!$D$5:$D$200),IFERROR(INDEX('BASE_PROFILÉS'!$D$5:$D$200,MATCH(T72,'BASE_PROFILÉS'!$B$5:$B$200,0)),0))</f>
        <v>5.42</v>
      </c>
      <c r="U73">
        <f>IFERROR(_xlfn.XLOOKUP(U72,'BASE_PROFILÉS'!$B$5:$B$200,'BASE_PROFILÉS'!$D$5:$D$200),IFERROR(INDEX('BASE_PROFILÉS'!$D$5:$D$200,MATCH(U72,'BASE_PROFILÉS'!$B$5:$B$200,0)),0))</f>
        <v>5.42</v>
      </c>
      <c r="V73">
        <f>IFERROR(_xlfn.XLOOKUP(V72,'BASE_PROFILÉS'!$B$5:$B$200,'BASE_PROFILÉS'!$D$5:$D$200),IFERROR(INDEX('BASE_PROFILÉS'!$D$5:$D$200,MATCH(V72,'BASE_PROFILÉS'!$B$5:$B$200,0)),0))</f>
        <v>7.38</v>
      </c>
      <c r="W73">
        <f>IFERROR(_xlfn.XLOOKUP(W72,'BASE_PROFILÉS'!$B$5:$B$200,'BASE_PROFILÉS'!$D$5:$D$200),IFERROR(INDEX('BASE_PROFILÉS'!$D$5:$D$200,MATCH(W72,'BASE_PROFILÉS'!$B$5:$B$200,0)),0))</f>
        <v>7.38</v>
      </c>
      <c r="X73">
        <f>IFERROR(_xlfn.XLOOKUP(X72,'BASE_PROFILÉS'!$B$5:$B$200,'BASE_PROFILÉS'!$D$5:$D$200),IFERROR(INDEX('BASE_PROFILÉS'!$D$5:$D$200,MATCH(X72,'BASE_PROFILÉS'!$B$5:$B$200,0)),0))</f>
        <v>7.38</v>
      </c>
    </row>
    <row r="74">
      <c r="A74" t="inlineStr">
        <is>
          <t>h_diag</t>
        </is>
      </c>
      <c r="B74" t="inlineStr">
        <is>
          <t>PRÉDIMENSIONNEMENT!G74</t>
        </is>
      </c>
      <c r="D74">
        <f>IFERROR(_xlfn.XLOOKUP(D72,'BASE_PROFILÉS'!$B$5:$B$200,'BASE_PROFILÉS'!$E$5:$E$200),IFERROR(INDEX('BASE_PROFILÉS'!$E$5:$E$200,MATCH(D72,'BASE_PROFILÉS'!$B$5:$B$200,0)),0))</f>
        <v>40</v>
      </c>
      <c r="E74">
        <f>IFERROR(_xlfn.XLOOKUP(E72,'BASE_PROFILÉS'!$B$5:$B$200,'BASE_PROFILÉS'!$E$5:$E$200),IFERROR(INDEX('BASE_PROFILÉS'!$E$5:$E$200,MATCH(E72,'BASE_PROFILÉS'!$B$5:$B$200,0)),0))</f>
        <v>40</v>
      </c>
      <c r="F74">
        <f>IFERROR(_xlfn.XLOOKUP(F72,'BASE_PROFILÉS'!$B$5:$B$200,'BASE_PROFILÉS'!$E$5:$E$200),IFERROR(INDEX('BASE_PROFILÉS'!$E$5:$E$200,MATCH(F72,'BASE_PROFILÉS'!$B$5:$B$200,0)),0))</f>
        <v>40</v>
      </c>
      <c r="G74">
        <f>IFERROR(_xlfn.XLOOKUP(G72,'BASE_PROFILÉS'!$B$5:$B$200,'BASE_PROFILÉS'!$E$5:$E$200),IFERROR(INDEX('BASE_PROFILÉS'!$E$5:$E$200,MATCH(G72,'BASE_PROFILÉS'!$B$5:$B$200,0)),0))</f>
        <v>45</v>
      </c>
      <c r="H74">
        <f>IFERROR(_xlfn.XLOOKUP(H72,'BASE_PROFILÉS'!$B$5:$B$200,'BASE_PROFILÉS'!$E$5:$E$200),IFERROR(INDEX('BASE_PROFILÉS'!$E$5:$E$200,MATCH(H72,'BASE_PROFILÉS'!$B$5:$B$200,0)),0))</f>
        <v>45</v>
      </c>
      <c r="I74">
        <f>IFERROR(_xlfn.XLOOKUP(I72,'BASE_PROFILÉS'!$B$5:$B$200,'BASE_PROFILÉS'!$E$5:$E$200),IFERROR(INDEX('BASE_PROFILÉS'!$E$5:$E$200,MATCH(I72,'BASE_PROFILÉS'!$B$5:$B$200,0)),0))</f>
        <v>45</v>
      </c>
      <c r="J74">
        <f>IFERROR(_xlfn.XLOOKUP(J72,'BASE_PROFILÉS'!$B$5:$B$200,'BASE_PROFILÉS'!$E$5:$E$200),IFERROR(INDEX('BASE_PROFILÉS'!$E$5:$E$200,MATCH(J72,'BASE_PROFILÉS'!$B$5:$B$200,0)),0))</f>
        <v>45</v>
      </c>
      <c r="K74">
        <f>IFERROR(_xlfn.XLOOKUP(K72,'BASE_PROFILÉS'!$B$5:$B$200,'BASE_PROFILÉS'!$E$5:$E$200),IFERROR(INDEX('BASE_PROFILÉS'!$E$5:$E$200,MATCH(K72,'BASE_PROFILÉS'!$B$5:$B$200,0)),0))</f>
        <v>45</v>
      </c>
      <c r="L74">
        <f>IFERROR(_xlfn.XLOOKUP(L72,'BASE_PROFILÉS'!$B$5:$B$200,'BASE_PROFILÉS'!$E$5:$E$200),IFERROR(INDEX('BASE_PROFILÉS'!$E$5:$E$200,MATCH(L72,'BASE_PROFILÉS'!$B$5:$B$200,0)),0))</f>
        <v>45</v>
      </c>
      <c r="M74">
        <f>IFERROR(_xlfn.XLOOKUP(M72,'BASE_PROFILÉS'!$B$5:$B$200,'BASE_PROFILÉS'!$E$5:$E$200),IFERROR(INDEX('BASE_PROFILÉS'!$E$5:$E$200,MATCH(M72,'BASE_PROFILÉS'!$B$5:$B$200,0)),0))</f>
        <v>50</v>
      </c>
      <c r="N74">
        <f>IFERROR(_xlfn.XLOOKUP(N72,'BASE_PROFILÉS'!$B$5:$B$200,'BASE_PROFILÉS'!$E$5:$E$200),IFERROR(INDEX('BASE_PROFILÉS'!$E$5:$E$200,MATCH(N72,'BASE_PROFILÉS'!$B$5:$B$200,0)),0))</f>
        <v>50</v>
      </c>
      <c r="O74">
        <f>IFERROR(_xlfn.XLOOKUP(O72,'BASE_PROFILÉS'!$B$5:$B$200,'BASE_PROFILÉS'!$E$5:$E$200),IFERROR(INDEX('BASE_PROFILÉS'!$E$5:$E$200,MATCH(O72,'BASE_PROFILÉS'!$B$5:$B$200,0)),0))</f>
        <v>50</v>
      </c>
      <c r="P74">
        <f>IFERROR(_xlfn.XLOOKUP(P72,'BASE_PROFILÉS'!$B$5:$B$200,'BASE_PROFILÉS'!$E$5:$E$200),IFERROR(INDEX('BASE_PROFILÉS'!$E$5:$E$200,MATCH(P72,'BASE_PROFILÉS'!$B$5:$B$200,0)),0))</f>
        <v>50</v>
      </c>
      <c r="Q74">
        <f>IFERROR(_xlfn.XLOOKUP(Q72,'BASE_PROFILÉS'!$B$5:$B$200,'BASE_PROFILÉS'!$E$5:$E$200),IFERROR(INDEX('BASE_PROFILÉS'!$E$5:$E$200,MATCH(Q72,'BASE_PROFILÉS'!$B$5:$B$200,0)),0))</f>
        <v>50</v>
      </c>
      <c r="R74">
        <f>IFERROR(_xlfn.XLOOKUP(R72,'BASE_PROFILÉS'!$B$5:$B$200,'BASE_PROFILÉS'!$E$5:$E$200),IFERROR(INDEX('BASE_PROFILÉS'!$E$5:$E$200,MATCH(R72,'BASE_PROFILÉS'!$B$5:$B$200,0)),0))</f>
        <v>50</v>
      </c>
      <c r="S74">
        <f>IFERROR(_xlfn.XLOOKUP(S72,'BASE_PROFILÉS'!$B$5:$B$200,'BASE_PROFILÉS'!$E$5:$E$200),IFERROR(INDEX('BASE_PROFILÉS'!$E$5:$E$200,MATCH(S72,'BASE_PROFILÉS'!$B$5:$B$200,0)),0))</f>
        <v>60</v>
      </c>
      <c r="T74">
        <f>IFERROR(_xlfn.XLOOKUP(T72,'BASE_PROFILÉS'!$B$5:$B$200,'BASE_PROFILÉS'!$E$5:$E$200),IFERROR(INDEX('BASE_PROFILÉS'!$E$5:$E$200,MATCH(T72,'BASE_PROFILÉS'!$B$5:$B$200,0)),0))</f>
        <v>60</v>
      </c>
      <c r="U74">
        <f>IFERROR(_xlfn.XLOOKUP(U72,'BASE_PROFILÉS'!$B$5:$B$200,'BASE_PROFILÉS'!$E$5:$E$200),IFERROR(INDEX('BASE_PROFILÉS'!$E$5:$E$200,MATCH(U72,'BASE_PROFILÉS'!$B$5:$B$200,0)),0))</f>
        <v>60</v>
      </c>
      <c r="V74">
        <f>IFERROR(_xlfn.XLOOKUP(V72,'BASE_PROFILÉS'!$B$5:$B$200,'BASE_PROFILÉS'!$E$5:$E$200),IFERROR(INDEX('BASE_PROFILÉS'!$E$5:$E$200,MATCH(V72,'BASE_PROFILÉS'!$B$5:$B$200,0)),0))</f>
        <v>70</v>
      </c>
      <c r="W74">
        <f>IFERROR(_xlfn.XLOOKUP(W72,'BASE_PROFILÉS'!$B$5:$B$200,'BASE_PROFILÉS'!$E$5:$E$200),IFERROR(INDEX('BASE_PROFILÉS'!$E$5:$E$200,MATCH(W72,'BASE_PROFILÉS'!$B$5:$B$200,0)),0))</f>
        <v>70</v>
      </c>
      <c r="X74">
        <f>IFERROR(_xlfn.XLOOKUP(X72,'BASE_PROFILÉS'!$B$5:$B$200,'BASE_PROFILÉS'!$E$5:$E$200),IFERROR(INDEX('BASE_PROFILÉS'!$E$5:$E$200,MATCH(X72,'BASE_PROFILÉS'!$B$5:$B$200,0)),0))</f>
        <v>70</v>
      </c>
    </row>
    <row r="75">
      <c r="A75" t="inlineStr">
        <is>
          <t>auto_pp</t>
        </is>
      </c>
      <c r="B75" t="inlineStr">
        <is>
          <t>PRÉDIMENSIONNEMENT!C75</t>
        </is>
      </c>
      <c r="D75" t="str">
        <f>INDEX('PRÉDIMENSIONNEMENT'!$C$17:$C$21,COUNTIF('PRÉDIMENSIONNEMENT'!$B$17:$B$21,"&lt;"&amp;D19)+1)</f>
        <v>IPE 220</v>
      </c>
      <c r="E75" t="str">
        <f>INDEX('PRÉDIMENSIONNEMENT'!$C$17:$C$21,COUNTIF('PRÉDIMENSIONNEMENT'!$B$17:$B$21,"&lt;"&amp;E19)+1)</f>
        <v>IPE 220</v>
      </c>
      <c r="F75" t="str">
        <f>INDEX('PRÉDIMENSIONNEMENT'!$C$17:$C$21,COUNTIF('PRÉDIMENSIONNEMENT'!$B$17:$B$21,"&lt;"&amp;F19)+1)</f>
        <v>IPE 220</v>
      </c>
      <c r="G75" t="str">
        <f>INDEX('PRÉDIMENSIONNEMENT'!$C$17:$C$21,COUNTIF('PRÉDIMENSIONNEMENT'!$B$17:$B$21,"&lt;"&amp;G19)+1)</f>
        <v>IPE 220</v>
      </c>
      <c r="H75" t="str">
        <f>INDEX('PRÉDIMENSIONNEMENT'!$C$17:$C$21,COUNTIF('PRÉDIMENSIONNEMENT'!$B$17:$B$21,"&lt;"&amp;H19)+1)</f>
        <v>IPE 220</v>
      </c>
      <c r="I75" t="str">
        <f>INDEX('PRÉDIMENSIONNEMENT'!$C$17:$C$21,COUNTIF('PRÉDIMENSIONNEMENT'!$B$17:$B$21,"&lt;"&amp;I19)+1)</f>
        <v>IPE 220</v>
      </c>
      <c r="J75" t="str">
        <f>INDEX('PRÉDIMENSIONNEMENT'!$C$17:$C$21,COUNTIF('PRÉDIMENSIONNEMENT'!$B$17:$B$21,"&lt;"&amp;J19)+1)</f>
        <v>IPE 220</v>
      </c>
      <c r="K75" t="str">
        <f>INDEX('PRÉDIMENSIONNEMENT'!$C$17:$C$21,COUNTIF('PRÉDIMENSIONNEMENT'!$B$17:$B$21,"&lt;"&amp;K19)+1)</f>
        <v>IPE 220</v>
      </c>
      <c r="L75" t="str">
        <f>INDEX('PRÉDIMENSIONNEMENT'!$C$17:$C$21,COUNTIF('PRÉDIMENSIONNEMENT'!$B$17:$B$21,"&lt;"&amp;L19)+1)</f>
        <v>IPE 220</v>
      </c>
      <c r="M75" t="str">
        <f>INDEX('PRÉDIMENSIONNEMENT'!$C$17:$C$21,COUNTIF('PRÉDIMENSIONNEMENT'!$B$17:$B$21,"&lt;"&amp;M19)+1)</f>
        <v>IPE 220</v>
      </c>
      <c r="N75" t="str">
        <f>INDEX('PRÉDIMENSIONNEMENT'!$C$17:$C$21,COUNTIF('PRÉDIMENSIONNEMENT'!$B$17:$B$21,"&lt;"&amp;N19)+1)</f>
        <v>IPE 220</v>
      </c>
      <c r="O75" t="str">
        <f>INDEX('PRÉDIMENSIONNEMENT'!$C$17:$C$21,COUNTIF('PRÉDIMENSIONNEMENT'!$B$17:$B$21,"&lt;"&amp;O19)+1)</f>
        <v>IPE 220</v>
      </c>
      <c r="P75" t="str">
        <f>INDEX('PRÉDIMENSIONNEMENT'!$C$17:$C$21,COUNTIF('PRÉDIMENSIONNEMENT'!$B$17:$B$21,"&lt;"&amp;P19)+1)</f>
        <v>IPE 220</v>
      </c>
      <c r="Q75" t="str">
        <f>INDEX('PRÉDIMENSIONNEMENT'!$C$17:$C$21,COUNTIF('PRÉDIMENSIONNEMENT'!$B$17:$B$21,"&lt;"&amp;Q19)+1)</f>
        <v>IPE 220</v>
      </c>
      <c r="R75" t="str">
        <f>INDEX('PRÉDIMENSIONNEMENT'!$C$17:$C$21,COUNTIF('PRÉDIMENSIONNEMENT'!$B$17:$B$21,"&lt;"&amp;R19)+1)</f>
        <v>IPE 220</v>
      </c>
      <c r="S75" t="str">
        <f>INDEX('PRÉDIMENSIONNEMENT'!$C$17:$C$21,COUNTIF('PRÉDIMENSIONNEMENT'!$B$17:$B$21,"&lt;"&amp;S19)+1)</f>
        <v>IPE 270</v>
      </c>
      <c r="T75" t="str">
        <f>INDEX('PRÉDIMENSIONNEMENT'!$C$17:$C$21,COUNTIF('PRÉDIMENSIONNEMENT'!$B$17:$B$21,"&lt;"&amp;T19)+1)</f>
        <v>IPE 270</v>
      </c>
      <c r="U75" t="str">
        <f>INDEX('PRÉDIMENSIONNEMENT'!$C$17:$C$21,COUNTIF('PRÉDIMENSIONNEMENT'!$B$17:$B$21,"&lt;"&amp;U19)+1)</f>
        <v>IPE 270</v>
      </c>
      <c r="V75" t="str">
        <f>INDEX('PRÉDIMENSIONNEMENT'!$C$17:$C$21,COUNTIF('PRÉDIMENSIONNEMENT'!$B$17:$B$21,"&lt;"&amp;V19)+1)</f>
        <v>IPE 300</v>
      </c>
      <c r="W75" t="str">
        <f>INDEX('PRÉDIMENSIONNEMENT'!$C$17:$C$21,COUNTIF('PRÉDIMENSIONNEMENT'!$B$17:$B$21,"&lt;"&amp;W19)+1)</f>
        <v>IPE 300</v>
      </c>
      <c r="X75" t="str">
        <f>INDEX('PRÉDIMENSIONNEMENT'!$C$17:$C$21,COUNTIF('PRÉDIMENSIONNEMENT'!$B$17:$B$21,"&lt;"&amp;X19)+1)</f>
        <v>IPE 300</v>
      </c>
    </row>
    <row r="76">
      <c r="A76" t="inlineStr">
        <is>
          <t>prof_pp</t>
        </is>
      </c>
      <c r="B76" t="inlineStr">
        <is>
          <t>PRÉDIMENSIONNEMENT!E75</t>
        </is>
      </c>
      <c r="D76" t="str">
        <f>D75</f>
        <v>IPE 220</v>
      </c>
      <c r="E76" t="str">
        <f>E75</f>
        <v>IPE 220</v>
      </c>
      <c r="F76" t="str">
        <f>F75</f>
        <v>IPE 220</v>
      </c>
      <c r="G76" t="str">
        <f>G75</f>
        <v>IPE 220</v>
      </c>
      <c r="H76" t="str">
        <f>H75</f>
        <v>IPE 220</v>
      </c>
      <c r="I76" t="str">
        <f>I75</f>
        <v>IPE 220</v>
      </c>
      <c r="J76" t="str">
        <f>J75</f>
        <v>IPE 220</v>
      </c>
      <c r="K76" t="str">
        <f>K75</f>
        <v>IPE 220</v>
      </c>
      <c r="L76" t="str">
        <f>L75</f>
        <v>IPE 220</v>
      </c>
      <c r="M76" t="str">
        <f>M75</f>
        <v>IPE 220</v>
      </c>
      <c r="N76" t="str">
        <f>N75</f>
        <v>IPE 220</v>
      </c>
      <c r="O76" t="str">
        <f>O75</f>
        <v>IPE 220</v>
      </c>
      <c r="P76" t="str">
        <f>P75</f>
        <v>IPE 220</v>
      </c>
      <c r="Q76" t="str">
        <f>Q75</f>
        <v>IPE 220</v>
      </c>
      <c r="R76" t="str">
        <f>R75</f>
        <v>IPE 220</v>
      </c>
      <c r="S76" t="str">
        <f>S75</f>
        <v>IPE 270</v>
      </c>
      <c r="T76" t="str">
        <f>T75</f>
        <v>IPE 270</v>
      </c>
      <c r="U76" t="str">
        <f>U75</f>
        <v>IPE 270</v>
      </c>
      <c r="V76" t="str">
        <f>V75</f>
        <v>IPE 300</v>
      </c>
      <c r="W76" t="str">
        <f>W75</f>
        <v>IPE 300</v>
      </c>
      <c r="X76" t="str">
        <f>X75</f>
        <v>IPE 300</v>
      </c>
    </row>
    <row r="77">
      <c r="A77" t="inlineStr">
        <is>
          <t>kg_pp</t>
        </is>
      </c>
      <c r="B77" t="inlineStr">
        <is>
          <t>PRÉDIMENSIONNEMENT!F75</t>
        </is>
      </c>
      <c r="D77">
        <f>IFERROR(_xlfn.XLOOKUP(D76,'BASE_PROFILÉS'!$B$5:$B$200,'BASE_PROFILÉS'!$D$5:$D$200),IFERROR(INDEX('BASE_PROFILÉS'!$D$5:$D$200,MATCH(D76,'BASE_PROFILÉS'!$B$5:$B$200,0)),0))</f>
        <v>26.2</v>
      </c>
      <c r="E77">
        <f>IFERROR(_xlfn.XLOOKUP(E76,'BASE_PROFILÉS'!$B$5:$B$200,'BASE_PROFILÉS'!$D$5:$D$200),IFERROR(INDEX('BASE_PROFILÉS'!$D$5:$D$200,MATCH(E76,'BASE_PROFILÉS'!$B$5:$B$200,0)),0))</f>
        <v>26.2</v>
      </c>
      <c r="F77">
        <f>IFERROR(_xlfn.XLOOKUP(F76,'BASE_PROFILÉS'!$B$5:$B$200,'BASE_PROFILÉS'!$D$5:$D$200),IFERROR(INDEX('BASE_PROFILÉS'!$D$5:$D$200,MATCH(F76,'BASE_PROFILÉS'!$B$5:$B$200,0)),0))</f>
        <v>26.2</v>
      </c>
      <c r="G77">
        <f>IFERROR(_xlfn.XLOOKUP(G76,'BASE_PROFILÉS'!$B$5:$B$200,'BASE_PROFILÉS'!$D$5:$D$200),IFERROR(INDEX('BASE_PROFILÉS'!$D$5:$D$200,MATCH(G76,'BASE_PROFILÉS'!$B$5:$B$200,0)),0))</f>
        <v>26.2</v>
      </c>
      <c r="H77">
        <f>IFERROR(_xlfn.XLOOKUP(H76,'BASE_PROFILÉS'!$B$5:$B$200,'BASE_PROFILÉS'!$D$5:$D$200),IFERROR(INDEX('BASE_PROFILÉS'!$D$5:$D$200,MATCH(H76,'BASE_PROFILÉS'!$B$5:$B$200,0)),0))</f>
        <v>26.2</v>
      </c>
      <c r="I77">
        <f>IFERROR(_xlfn.XLOOKUP(I76,'BASE_PROFILÉS'!$B$5:$B$200,'BASE_PROFILÉS'!$D$5:$D$200),IFERROR(INDEX('BASE_PROFILÉS'!$D$5:$D$200,MATCH(I76,'BASE_PROFILÉS'!$B$5:$B$200,0)),0))</f>
        <v>26.2</v>
      </c>
      <c r="J77">
        <f>IFERROR(_xlfn.XLOOKUP(J76,'BASE_PROFILÉS'!$B$5:$B$200,'BASE_PROFILÉS'!$D$5:$D$200),IFERROR(INDEX('BASE_PROFILÉS'!$D$5:$D$200,MATCH(J76,'BASE_PROFILÉS'!$B$5:$B$200,0)),0))</f>
        <v>26.2</v>
      </c>
      <c r="K77">
        <f>IFERROR(_xlfn.XLOOKUP(K76,'BASE_PROFILÉS'!$B$5:$B$200,'BASE_PROFILÉS'!$D$5:$D$200),IFERROR(INDEX('BASE_PROFILÉS'!$D$5:$D$200,MATCH(K76,'BASE_PROFILÉS'!$B$5:$B$200,0)),0))</f>
        <v>26.2</v>
      </c>
      <c r="L77">
        <f>IFERROR(_xlfn.XLOOKUP(L76,'BASE_PROFILÉS'!$B$5:$B$200,'BASE_PROFILÉS'!$D$5:$D$200),IFERROR(INDEX('BASE_PROFILÉS'!$D$5:$D$200,MATCH(L76,'BASE_PROFILÉS'!$B$5:$B$200,0)),0))</f>
        <v>26.2</v>
      </c>
      <c r="M77">
        <f>IFERROR(_xlfn.XLOOKUP(M76,'BASE_PROFILÉS'!$B$5:$B$200,'BASE_PROFILÉS'!$D$5:$D$200),IFERROR(INDEX('BASE_PROFILÉS'!$D$5:$D$200,MATCH(M76,'BASE_PROFILÉS'!$B$5:$B$200,0)),0))</f>
        <v>26.2</v>
      </c>
      <c r="N77">
        <f>IFERROR(_xlfn.XLOOKUP(N76,'BASE_PROFILÉS'!$B$5:$B$200,'BASE_PROFILÉS'!$D$5:$D$200),IFERROR(INDEX('BASE_PROFILÉS'!$D$5:$D$200,MATCH(N76,'BASE_PROFILÉS'!$B$5:$B$200,0)),0))</f>
        <v>26.2</v>
      </c>
      <c r="O77">
        <f>IFERROR(_xlfn.XLOOKUP(O76,'BASE_PROFILÉS'!$B$5:$B$200,'BASE_PROFILÉS'!$D$5:$D$200),IFERROR(INDEX('BASE_PROFILÉS'!$D$5:$D$200,MATCH(O76,'BASE_PROFILÉS'!$B$5:$B$200,0)),0))</f>
        <v>26.2</v>
      </c>
      <c r="P77">
        <f>IFERROR(_xlfn.XLOOKUP(P76,'BASE_PROFILÉS'!$B$5:$B$200,'BASE_PROFILÉS'!$D$5:$D$200),IFERROR(INDEX('BASE_PROFILÉS'!$D$5:$D$200,MATCH(P76,'BASE_PROFILÉS'!$B$5:$B$200,0)),0))</f>
        <v>26.2</v>
      </c>
      <c r="Q77">
        <f>IFERROR(_xlfn.XLOOKUP(Q76,'BASE_PROFILÉS'!$B$5:$B$200,'BASE_PROFILÉS'!$D$5:$D$200),IFERROR(INDEX('BASE_PROFILÉS'!$D$5:$D$200,MATCH(Q76,'BASE_PROFILÉS'!$B$5:$B$200,0)),0))</f>
        <v>26.2</v>
      </c>
      <c r="R77">
        <f>IFERROR(_xlfn.XLOOKUP(R76,'BASE_PROFILÉS'!$B$5:$B$200,'BASE_PROFILÉS'!$D$5:$D$200),IFERROR(INDEX('BASE_PROFILÉS'!$D$5:$D$200,MATCH(R76,'BASE_PROFILÉS'!$B$5:$B$200,0)),0))</f>
        <v>26.2</v>
      </c>
      <c r="S77">
        <f>IFERROR(_xlfn.XLOOKUP(S76,'BASE_PROFILÉS'!$B$5:$B$200,'BASE_PROFILÉS'!$D$5:$D$200),IFERROR(INDEX('BASE_PROFILÉS'!$D$5:$D$200,MATCH(S76,'BASE_PROFILÉS'!$B$5:$B$200,0)),0))</f>
        <v>36.1</v>
      </c>
      <c r="T77">
        <f>IFERROR(_xlfn.XLOOKUP(T76,'BASE_PROFILÉS'!$B$5:$B$200,'BASE_PROFILÉS'!$D$5:$D$200),IFERROR(INDEX('BASE_PROFILÉS'!$D$5:$D$200,MATCH(T76,'BASE_PROFILÉS'!$B$5:$B$200,0)),0))</f>
        <v>36.1</v>
      </c>
      <c r="U77">
        <f>IFERROR(_xlfn.XLOOKUP(U76,'BASE_PROFILÉS'!$B$5:$B$200,'BASE_PROFILÉS'!$D$5:$D$200),IFERROR(INDEX('BASE_PROFILÉS'!$D$5:$D$200,MATCH(U76,'BASE_PROFILÉS'!$B$5:$B$200,0)),0))</f>
        <v>36.1</v>
      </c>
      <c r="V77">
        <f>IFERROR(_xlfn.XLOOKUP(V76,'BASE_PROFILÉS'!$B$5:$B$200,'BASE_PROFILÉS'!$D$5:$D$200),IFERROR(INDEX('BASE_PROFILÉS'!$D$5:$D$200,MATCH(V76,'BASE_PROFILÉS'!$B$5:$B$200,0)),0))</f>
        <v>42.2</v>
      </c>
      <c r="W77">
        <f>IFERROR(_xlfn.XLOOKUP(W76,'BASE_PROFILÉS'!$B$5:$B$200,'BASE_PROFILÉS'!$D$5:$D$200),IFERROR(INDEX('BASE_PROFILÉS'!$D$5:$D$200,MATCH(W76,'BASE_PROFILÉS'!$B$5:$B$200,0)),0))</f>
        <v>42.2</v>
      </c>
      <c r="X77">
        <f>IFERROR(_xlfn.XLOOKUP(X76,'BASE_PROFILÉS'!$B$5:$B$200,'BASE_PROFILÉS'!$D$5:$D$200),IFERROR(INDEX('BASE_PROFILÉS'!$D$5:$D$200,MATCH(X76,'BASE_PROFILÉS'!$B$5:$B$200,0)),0))</f>
        <v>42.2</v>
      </c>
    </row>
    <row r="78">
      <c r="A78" t="inlineStr">
        <is>
          <t>h_pp</t>
        </is>
      </c>
      <c r="B78" t="inlineStr">
        <is>
          <t>PRÉDIMENSIONNEMENT!G75</t>
        </is>
      </c>
      <c r="D78">
        <f>IFERROR(_xlfn.XLOOKUP(D76,'BASE_PROFILÉS'!$B$5:$B$200,'BASE_PROFILÉS'!$E$5:$E$200),IFERROR(INDEX('BASE_PROFILÉS'!$E$5:$E$200,MATCH(D76,'BASE_PROFILÉS'!$B$5:$B$200,0)),0))</f>
        <v>220</v>
      </c>
      <c r="E78">
        <f>IFERROR(_xlfn.XLOOKUP(E76,'BASE_PROFILÉS'!$B$5:$B$200,'BASE_PROFILÉS'!$E$5:$E$200),IFERROR(INDEX('BASE_PROFILÉS'!$E$5:$E$200,MATCH(E76,'BASE_PROFILÉS'!$B$5:$B$200,0)),0))</f>
        <v>220</v>
      </c>
      <c r="F78">
        <f>IFERROR(_xlfn.XLOOKUP(F76,'BASE_PROFILÉS'!$B$5:$B$200,'BASE_PROFILÉS'!$E$5:$E$200),IFERROR(INDEX('BASE_PROFILÉS'!$E$5:$E$200,MATCH(F76,'BASE_PROFILÉS'!$B$5:$B$200,0)),0))</f>
        <v>220</v>
      </c>
      <c r="G78">
        <f>IFERROR(_xlfn.XLOOKUP(G76,'BASE_PROFILÉS'!$B$5:$B$200,'BASE_PROFILÉS'!$E$5:$E$200),IFERROR(INDEX('BASE_PROFILÉS'!$E$5:$E$200,MATCH(G76,'BASE_PROFILÉS'!$B$5:$B$200,0)),0))</f>
        <v>220</v>
      </c>
      <c r="H78">
        <f>IFERROR(_xlfn.XLOOKUP(H76,'BASE_PROFILÉS'!$B$5:$B$200,'BASE_PROFILÉS'!$E$5:$E$200),IFERROR(INDEX('BASE_PROFILÉS'!$E$5:$E$200,MATCH(H76,'BASE_PROFILÉS'!$B$5:$B$200,0)),0))</f>
        <v>220</v>
      </c>
      <c r="I78">
        <f>IFERROR(_xlfn.XLOOKUP(I76,'BASE_PROFILÉS'!$B$5:$B$200,'BASE_PROFILÉS'!$E$5:$E$200),IFERROR(INDEX('BASE_PROFILÉS'!$E$5:$E$200,MATCH(I76,'BASE_PROFILÉS'!$B$5:$B$200,0)),0))</f>
        <v>220</v>
      </c>
      <c r="J78">
        <f>IFERROR(_xlfn.XLOOKUP(J76,'BASE_PROFILÉS'!$B$5:$B$200,'BASE_PROFILÉS'!$E$5:$E$200),IFERROR(INDEX('BASE_PROFILÉS'!$E$5:$E$200,MATCH(J76,'BASE_PROFILÉS'!$B$5:$B$200,0)),0))</f>
        <v>220</v>
      </c>
      <c r="K78">
        <f>IFERROR(_xlfn.XLOOKUP(K76,'BASE_PROFILÉS'!$B$5:$B$200,'BASE_PROFILÉS'!$E$5:$E$200),IFERROR(INDEX('BASE_PROFILÉS'!$E$5:$E$200,MATCH(K76,'BASE_PROFILÉS'!$B$5:$B$200,0)),0))</f>
        <v>220</v>
      </c>
      <c r="L78">
        <f>IFERROR(_xlfn.XLOOKUP(L76,'BASE_PROFILÉS'!$B$5:$B$200,'BASE_PROFILÉS'!$E$5:$E$200),IFERROR(INDEX('BASE_PROFILÉS'!$E$5:$E$200,MATCH(L76,'BASE_PROFILÉS'!$B$5:$B$200,0)),0))</f>
        <v>220</v>
      </c>
      <c r="M78">
        <f>IFERROR(_xlfn.XLOOKUP(M76,'BASE_PROFILÉS'!$B$5:$B$200,'BASE_PROFILÉS'!$E$5:$E$200),IFERROR(INDEX('BASE_PROFILÉS'!$E$5:$E$200,MATCH(M76,'BASE_PROFILÉS'!$B$5:$B$200,0)),0))</f>
        <v>220</v>
      </c>
      <c r="N78">
        <f>IFERROR(_xlfn.XLOOKUP(N76,'BASE_PROFILÉS'!$B$5:$B$200,'BASE_PROFILÉS'!$E$5:$E$200),IFERROR(INDEX('BASE_PROFILÉS'!$E$5:$E$200,MATCH(N76,'BASE_PROFILÉS'!$B$5:$B$200,0)),0))</f>
        <v>220</v>
      </c>
      <c r="O78">
        <f>IFERROR(_xlfn.XLOOKUP(O76,'BASE_PROFILÉS'!$B$5:$B$200,'BASE_PROFILÉS'!$E$5:$E$200),IFERROR(INDEX('BASE_PROFILÉS'!$E$5:$E$200,MATCH(O76,'BASE_PROFILÉS'!$B$5:$B$200,0)),0))</f>
        <v>220</v>
      </c>
      <c r="P78">
        <f>IFERROR(_xlfn.XLOOKUP(P76,'BASE_PROFILÉS'!$B$5:$B$200,'BASE_PROFILÉS'!$E$5:$E$200),IFERROR(INDEX('BASE_PROFILÉS'!$E$5:$E$200,MATCH(P76,'BASE_PROFILÉS'!$B$5:$B$200,0)),0))</f>
        <v>220</v>
      </c>
      <c r="Q78">
        <f>IFERROR(_xlfn.XLOOKUP(Q76,'BASE_PROFILÉS'!$B$5:$B$200,'BASE_PROFILÉS'!$E$5:$E$200),IFERROR(INDEX('BASE_PROFILÉS'!$E$5:$E$200,MATCH(Q76,'BASE_PROFILÉS'!$B$5:$B$200,0)),0))</f>
        <v>220</v>
      </c>
      <c r="R78">
        <f>IFERROR(_xlfn.XLOOKUP(R76,'BASE_PROFILÉS'!$B$5:$B$200,'BASE_PROFILÉS'!$E$5:$E$200),IFERROR(INDEX('BASE_PROFILÉS'!$E$5:$E$200,MATCH(R76,'BASE_PROFILÉS'!$B$5:$B$200,0)),0))</f>
        <v>220</v>
      </c>
      <c r="S78">
        <f>IFERROR(_xlfn.XLOOKUP(S76,'BASE_PROFILÉS'!$B$5:$B$200,'BASE_PROFILÉS'!$E$5:$E$200),IFERROR(INDEX('BASE_PROFILÉS'!$E$5:$E$200,MATCH(S76,'BASE_PROFILÉS'!$B$5:$B$200,0)),0))</f>
        <v>270</v>
      </c>
      <c r="T78">
        <f>IFERROR(_xlfn.XLOOKUP(T76,'BASE_PROFILÉS'!$B$5:$B$200,'BASE_PROFILÉS'!$E$5:$E$200),IFERROR(INDEX('BASE_PROFILÉS'!$E$5:$E$200,MATCH(T76,'BASE_PROFILÉS'!$B$5:$B$200,0)),0))</f>
        <v>270</v>
      </c>
      <c r="U78">
        <f>IFERROR(_xlfn.XLOOKUP(U76,'BASE_PROFILÉS'!$B$5:$B$200,'BASE_PROFILÉS'!$E$5:$E$200),IFERROR(INDEX('BASE_PROFILÉS'!$E$5:$E$200,MATCH(U76,'BASE_PROFILÉS'!$B$5:$B$200,0)),0))</f>
        <v>270</v>
      </c>
      <c r="V78">
        <f>IFERROR(_xlfn.XLOOKUP(V76,'BASE_PROFILÉS'!$B$5:$B$200,'BASE_PROFILÉS'!$E$5:$E$200),IFERROR(INDEX('BASE_PROFILÉS'!$E$5:$E$200,MATCH(V76,'BASE_PROFILÉS'!$B$5:$B$200,0)),0))</f>
        <v>300</v>
      </c>
      <c r="W78">
        <f>IFERROR(_xlfn.XLOOKUP(W76,'BASE_PROFILÉS'!$B$5:$B$200,'BASE_PROFILÉS'!$E$5:$E$200),IFERROR(INDEX('BASE_PROFILÉS'!$E$5:$E$200,MATCH(W76,'BASE_PROFILÉS'!$B$5:$B$200,0)),0))</f>
        <v>300</v>
      </c>
      <c r="X78">
        <f>IFERROR(_xlfn.XLOOKUP(X76,'BASE_PROFILÉS'!$B$5:$B$200,'BASE_PROFILÉS'!$E$5:$E$200),IFERROR(INDEX('BASE_PROFILÉS'!$E$5:$E$200,MATCH(X76,'BASE_PROFILÉS'!$B$5:$B$200,0)),0))</f>
        <v>300</v>
      </c>
    </row>
    <row r="79">
      <c r="A79" t="inlineStr">
        <is>
          <t>auto_pint</t>
        </is>
      </c>
      <c r="B79" t="inlineStr">
        <is>
          <t>PRÉDIMENSIONNEMENT!C76</t>
        </is>
      </c>
      <c r="D79" t="str">
        <f>"HEA 200"</f>
        <v>HEA 200</v>
      </c>
      <c r="E79" t="str">
        <f>"HEA 200"</f>
        <v>HEA 200</v>
      </c>
      <c r="F79" t="str">
        <f>"HEA 200"</f>
        <v>HEA 200</v>
      </c>
      <c r="G79" t="str">
        <f>"HEA 200"</f>
        <v>HEA 200</v>
      </c>
      <c r="H79" t="str">
        <f>"HEA 200"</f>
        <v>HEA 200</v>
      </c>
      <c r="I79" t="str">
        <f>"HEA 200"</f>
        <v>HEA 200</v>
      </c>
      <c r="J79" t="str">
        <f>"HEA 200"</f>
        <v>HEA 200</v>
      </c>
      <c r="K79" t="str">
        <f>"HEA 200"</f>
        <v>HEA 200</v>
      </c>
      <c r="L79" t="str">
        <f>"HEA 200"</f>
        <v>HEA 200</v>
      </c>
      <c r="M79" t="str">
        <f>"HEA 200"</f>
        <v>HEA 200</v>
      </c>
      <c r="N79" t="str">
        <f>"HEA 200"</f>
        <v>HEA 200</v>
      </c>
      <c r="O79" t="str">
        <f>"HEA 200"</f>
        <v>HEA 200</v>
      </c>
      <c r="P79" t="str">
        <f>"HEA 200"</f>
        <v>HEA 200</v>
      </c>
      <c r="Q79" t="str">
        <f>"HEA 200"</f>
        <v>HEA 200</v>
      </c>
      <c r="R79" t="str">
        <f>"HEA 200"</f>
        <v>HEA 200</v>
      </c>
      <c r="S79" t="str">
        <f>"HEA 200"</f>
        <v>HEA 200</v>
      </c>
      <c r="T79" t="str">
        <f>"HEA 200"</f>
        <v>HEA 200</v>
      </c>
      <c r="U79" t="str">
        <f>"HEA 200"</f>
        <v>HEA 200</v>
      </c>
      <c r="V79" t="str">
        <f>"HEA 200"</f>
        <v>HEA 200</v>
      </c>
      <c r="W79" t="str">
        <f>"HEA 200"</f>
        <v>HEA 200</v>
      </c>
      <c r="X79" t="str">
        <f>"HEA 200"</f>
        <v>HEA 200</v>
      </c>
    </row>
    <row r="80">
      <c r="A80" t="inlineStr">
        <is>
          <t>prof_pint</t>
        </is>
      </c>
      <c r="B80" t="inlineStr">
        <is>
          <t>PRÉDIMENSIONNEMENT!E76</t>
        </is>
      </c>
      <c r="D80" t="str">
        <f>D79</f>
        <v>HEA 200</v>
      </c>
      <c r="E80" t="str">
        <f>E79</f>
        <v>HEA 200</v>
      </c>
      <c r="F80" t="str">
        <f>F79</f>
        <v>HEA 200</v>
      </c>
      <c r="G80" t="str">
        <f>G79</f>
        <v>HEA 200</v>
      </c>
      <c r="H80" t="str">
        <f>H79</f>
        <v>HEA 200</v>
      </c>
      <c r="I80" t="str">
        <f>I79</f>
        <v>HEA 200</v>
      </c>
      <c r="J80" t="str">
        <f>J79</f>
        <v>HEA 200</v>
      </c>
      <c r="K80" t="str">
        <f>K79</f>
        <v>HEA 200</v>
      </c>
      <c r="L80" t="str">
        <f>L79</f>
        <v>HEA 200</v>
      </c>
      <c r="M80" t="str">
        <f>M79</f>
        <v>HEA 200</v>
      </c>
      <c r="N80" t="str">
        <f>N79</f>
        <v>HEA 200</v>
      </c>
      <c r="O80" t="str">
        <f>O79</f>
        <v>HEA 200</v>
      </c>
      <c r="P80" t="str">
        <f>P79</f>
        <v>HEA 200</v>
      </c>
      <c r="Q80" t="str">
        <f>Q79</f>
        <v>HEA 200</v>
      </c>
      <c r="R80" t="str">
        <f>R79</f>
        <v>HEA 200</v>
      </c>
      <c r="S80" t="str">
        <f>S79</f>
        <v>HEA 200</v>
      </c>
      <c r="T80" t="str">
        <f>T79</f>
        <v>HEA 200</v>
      </c>
      <c r="U80" t="str">
        <f>U79</f>
        <v>HEA 200</v>
      </c>
      <c r="V80" t="str">
        <f>V79</f>
        <v>HEA 200</v>
      </c>
      <c r="W80" t="str">
        <f>W79</f>
        <v>HEA 200</v>
      </c>
      <c r="X80" t="str">
        <f>X79</f>
        <v>HEA 200</v>
      </c>
    </row>
    <row r="81">
      <c r="A81" t="inlineStr">
        <is>
          <t>kg_pint</t>
        </is>
      </c>
      <c r="B81" t="inlineStr">
        <is>
          <t>PRÉDIMENSIONNEMENT!F76</t>
        </is>
      </c>
      <c r="D81">
        <f>IFERROR(_xlfn.XLOOKUP(D80,'BASE_PROFILÉS'!$B$5:$B$200,'BASE_PROFILÉS'!$D$5:$D$200),IFERROR(INDEX('BASE_PROFILÉS'!$D$5:$D$200,MATCH(D80,'BASE_PROFILÉS'!$B$5:$B$200,0)),0))</f>
        <v>42.3</v>
      </c>
      <c r="E81">
        <f>IFERROR(_xlfn.XLOOKUP(E80,'BASE_PROFILÉS'!$B$5:$B$200,'BASE_PROFILÉS'!$D$5:$D$200),IFERROR(INDEX('BASE_PROFILÉS'!$D$5:$D$200,MATCH(E80,'BASE_PROFILÉS'!$B$5:$B$200,0)),0))</f>
        <v>42.3</v>
      </c>
      <c r="F81">
        <f>IFERROR(_xlfn.XLOOKUP(F80,'BASE_PROFILÉS'!$B$5:$B$200,'BASE_PROFILÉS'!$D$5:$D$200),IFERROR(INDEX('BASE_PROFILÉS'!$D$5:$D$200,MATCH(F80,'BASE_PROFILÉS'!$B$5:$B$200,0)),0))</f>
        <v>42.3</v>
      </c>
      <c r="G81">
        <f>IFERROR(_xlfn.XLOOKUP(G80,'BASE_PROFILÉS'!$B$5:$B$200,'BASE_PROFILÉS'!$D$5:$D$200),IFERROR(INDEX('BASE_PROFILÉS'!$D$5:$D$200,MATCH(G80,'BASE_PROFILÉS'!$B$5:$B$200,0)),0))</f>
        <v>42.3</v>
      </c>
      <c r="H81">
        <f>IFERROR(_xlfn.XLOOKUP(H80,'BASE_PROFILÉS'!$B$5:$B$200,'BASE_PROFILÉS'!$D$5:$D$200),IFERROR(INDEX('BASE_PROFILÉS'!$D$5:$D$200,MATCH(H80,'BASE_PROFILÉS'!$B$5:$B$200,0)),0))</f>
        <v>42.3</v>
      </c>
      <c r="I81">
        <f>IFERROR(_xlfn.XLOOKUP(I80,'BASE_PROFILÉS'!$B$5:$B$200,'BASE_PROFILÉS'!$D$5:$D$200),IFERROR(INDEX('BASE_PROFILÉS'!$D$5:$D$200,MATCH(I80,'BASE_PROFILÉS'!$B$5:$B$200,0)),0))</f>
        <v>42.3</v>
      </c>
      <c r="J81">
        <f>IFERROR(_xlfn.XLOOKUP(J80,'BASE_PROFILÉS'!$B$5:$B$200,'BASE_PROFILÉS'!$D$5:$D$200),IFERROR(INDEX('BASE_PROFILÉS'!$D$5:$D$200,MATCH(J80,'BASE_PROFILÉS'!$B$5:$B$200,0)),0))</f>
        <v>42.3</v>
      </c>
      <c r="K81">
        <f>IFERROR(_xlfn.XLOOKUP(K80,'BASE_PROFILÉS'!$B$5:$B$200,'BASE_PROFILÉS'!$D$5:$D$200),IFERROR(INDEX('BASE_PROFILÉS'!$D$5:$D$200,MATCH(K80,'BASE_PROFILÉS'!$B$5:$B$200,0)),0))</f>
        <v>42.3</v>
      </c>
      <c r="L81">
        <f>IFERROR(_xlfn.XLOOKUP(L80,'BASE_PROFILÉS'!$B$5:$B$200,'BASE_PROFILÉS'!$D$5:$D$200),IFERROR(INDEX('BASE_PROFILÉS'!$D$5:$D$200,MATCH(L80,'BASE_PROFILÉS'!$B$5:$B$200,0)),0))</f>
        <v>42.3</v>
      </c>
      <c r="M81">
        <f>IFERROR(_xlfn.XLOOKUP(M80,'BASE_PROFILÉS'!$B$5:$B$200,'BASE_PROFILÉS'!$D$5:$D$200),IFERROR(INDEX('BASE_PROFILÉS'!$D$5:$D$200,MATCH(M80,'BASE_PROFILÉS'!$B$5:$B$200,0)),0))</f>
        <v>42.3</v>
      </c>
      <c r="N81">
        <f>IFERROR(_xlfn.XLOOKUP(N80,'BASE_PROFILÉS'!$B$5:$B$200,'BASE_PROFILÉS'!$D$5:$D$200),IFERROR(INDEX('BASE_PROFILÉS'!$D$5:$D$200,MATCH(N80,'BASE_PROFILÉS'!$B$5:$B$200,0)),0))</f>
        <v>42.3</v>
      </c>
      <c r="O81">
        <f>IFERROR(_xlfn.XLOOKUP(O80,'BASE_PROFILÉS'!$B$5:$B$200,'BASE_PROFILÉS'!$D$5:$D$200),IFERROR(INDEX('BASE_PROFILÉS'!$D$5:$D$200,MATCH(O80,'BASE_PROFILÉS'!$B$5:$B$200,0)),0))</f>
        <v>42.3</v>
      </c>
      <c r="P81">
        <f>IFERROR(_xlfn.XLOOKUP(P80,'BASE_PROFILÉS'!$B$5:$B$200,'BASE_PROFILÉS'!$D$5:$D$200),IFERROR(INDEX('BASE_PROFILÉS'!$D$5:$D$200,MATCH(P80,'BASE_PROFILÉS'!$B$5:$B$200,0)),0))</f>
        <v>42.3</v>
      </c>
      <c r="Q81">
        <f>IFERROR(_xlfn.XLOOKUP(Q80,'BASE_PROFILÉS'!$B$5:$B$200,'BASE_PROFILÉS'!$D$5:$D$200),IFERROR(INDEX('BASE_PROFILÉS'!$D$5:$D$200,MATCH(Q80,'BASE_PROFILÉS'!$B$5:$B$200,0)),0))</f>
        <v>42.3</v>
      </c>
      <c r="R81">
        <f>IFERROR(_xlfn.XLOOKUP(R80,'BASE_PROFILÉS'!$B$5:$B$200,'BASE_PROFILÉS'!$D$5:$D$200),IFERROR(INDEX('BASE_PROFILÉS'!$D$5:$D$200,MATCH(R80,'BASE_PROFILÉS'!$B$5:$B$200,0)),0))</f>
        <v>42.3</v>
      </c>
      <c r="S81">
        <f>IFERROR(_xlfn.XLOOKUP(S80,'BASE_PROFILÉS'!$B$5:$B$200,'BASE_PROFILÉS'!$D$5:$D$200),IFERROR(INDEX('BASE_PROFILÉS'!$D$5:$D$200,MATCH(S80,'BASE_PROFILÉS'!$B$5:$B$200,0)),0))</f>
        <v>42.3</v>
      </c>
      <c r="T81">
        <f>IFERROR(_xlfn.XLOOKUP(T80,'BASE_PROFILÉS'!$B$5:$B$200,'BASE_PROFILÉS'!$D$5:$D$200),IFERROR(INDEX('BASE_PROFILÉS'!$D$5:$D$200,MATCH(T80,'BASE_PROFILÉS'!$B$5:$B$200,0)),0))</f>
        <v>42.3</v>
      </c>
      <c r="U81">
        <f>IFERROR(_xlfn.XLOOKUP(U80,'BASE_PROFILÉS'!$B$5:$B$200,'BASE_PROFILÉS'!$D$5:$D$200),IFERROR(INDEX('BASE_PROFILÉS'!$D$5:$D$200,MATCH(U80,'BASE_PROFILÉS'!$B$5:$B$200,0)),0))</f>
        <v>42.3</v>
      </c>
      <c r="V81">
        <f>IFERROR(_xlfn.XLOOKUP(V80,'BASE_PROFILÉS'!$B$5:$B$200,'BASE_PROFILÉS'!$D$5:$D$200),IFERROR(INDEX('BASE_PROFILÉS'!$D$5:$D$200,MATCH(V80,'BASE_PROFILÉS'!$B$5:$B$200,0)),0))</f>
        <v>42.3</v>
      </c>
      <c r="W81">
        <f>IFERROR(_xlfn.XLOOKUP(W80,'BASE_PROFILÉS'!$B$5:$B$200,'BASE_PROFILÉS'!$D$5:$D$200),IFERROR(INDEX('BASE_PROFILÉS'!$D$5:$D$200,MATCH(W80,'BASE_PROFILÉS'!$B$5:$B$200,0)),0))</f>
        <v>42.3</v>
      </c>
      <c r="X81">
        <f>IFERROR(_xlfn.XLOOKUP(X80,'BASE_PROFILÉS'!$B$5:$B$200,'BASE_PROFILÉS'!$D$5:$D$200),IFERROR(INDEX('BASE_PROFILÉS'!$D$5:$D$200,MATCH(X80,'BASE_PROFILÉS'!$B$5:$B$200,0)),0))</f>
        <v>42.3</v>
      </c>
    </row>
    <row r="82">
      <c r="A82" t="inlineStr">
        <is>
          <t>h_pint</t>
        </is>
      </c>
      <c r="B82" t="inlineStr">
        <is>
          <t>PRÉDIMENSIONNEMENT!G76</t>
        </is>
      </c>
      <c r="D82">
        <f>IFERROR(_xlfn.XLOOKUP(D80,'BASE_PROFILÉS'!$B$5:$B$200,'BASE_PROFILÉS'!$E$5:$E$200),IFERROR(INDEX('BASE_PROFILÉS'!$E$5:$E$200,MATCH(D80,'BASE_PROFILÉS'!$B$5:$B$200,0)),0))</f>
        <v>190</v>
      </c>
      <c r="E82">
        <f>IFERROR(_xlfn.XLOOKUP(E80,'BASE_PROFILÉS'!$B$5:$B$200,'BASE_PROFILÉS'!$E$5:$E$200),IFERROR(INDEX('BASE_PROFILÉS'!$E$5:$E$200,MATCH(E80,'BASE_PROFILÉS'!$B$5:$B$200,0)),0))</f>
        <v>190</v>
      </c>
      <c r="F82">
        <f>IFERROR(_xlfn.XLOOKUP(F80,'BASE_PROFILÉS'!$B$5:$B$200,'BASE_PROFILÉS'!$E$5:$E$200),IFERROR(INDEX('BASE_PROFILÉS'!$E$5:$E$200,MATCH(F80,'BASE_PROFILÉS'!$B$5:$B$200,0)),0))</f>
        <v>190</v>
      </c>
      <c r="G82">
        <f>IFERROR(_xlfn.XLOOKUP(G80,'BASE_PROFILÉS'!$B$5:$B$200,'BASE_PROFILÉS'!$E$5:$E$200),IFERROR(INDEX('BASE_PROFILÉS'!$E$5:$E$200,MATCH(G80,'BASE_PROFILÉS'!$B$5:$B$200,0)),0))</f>
        <v>190</v>
      </c>
      <c r="H82">
        <f>IFERROR(_xlfn.XLOOKUP(H80,'BASE_PROFILÉS'!$B$5:$B$200,'BASE_PROFILÉS'!$E$5:$E$200),IFERROR(INDEX('BASE_PROFILÉS'!$E$5:$E$200,MATCH(H80,'BASE_PROFILÉS'!$B$5:$B$200,0)),0))</f>
        <v>190</v>
      </c>
      <c r="I82">
        <f>IFERROR(_xlfn.XLOOKUP(I80,'BASE_PROFILÉS'!$B$5:$B$200,'BASE_PROFILÉS'!$E$5:$E$200),IFERROR(INDEX('BASE_PROFILÉS'!$E$5:$E$200,MATCH(I80,'BASE_PROFILÉS'!$B$5:$B$200,0)),0))</f>
        <v>190</v>
      </c>
      <c r="J82">
        <f>IFERROR(_xlfn.XLOOKUP(J80,'BASE_PROFILÉS'!$B$5:$B$200,'BASE_PROFILÉS'!$E$5:$E$200),IFERROR(INDEX('BASE_PROFILÉS'!$E$5:$E$200,MATCH(J80,'BASE_PROFILÉS'!$B$5:$B$200,0)),0))</f>
        <v>190</v>
      </c>
      <c r="K82">
        <f>IFERROR(_xlfn.XLOOKUP(K80,'BASE_PROFILÉS'!$B$5:$B$200,'BASE_PROFILÉS'!$E$5:$E$200),IFERROR(INDEX('BASE_PROFILÉS'!$E$5:$E$200,MATCH(K80,'BASE_PROFILÉS'!$B$5:$B$200,0)),0))</f>
        <v>190</v>
      </c>
      <c r="L82">
        <f>IFERROR(_xlfn.XLOOKUP(L80,'BASE_PROFILÉS'!$B$5:$B$200,'BASE_PROFILÉS'!$E$5:$E$200),IFERROR(INDEX('BASE_PROFILÉS'!$E$5:$E$200,MATCH(L80,'BASE_PROFILÉS'!$B$5:$B$200,0)),0))</f>
        <v>190</v>
      </c>
      <c r="M82">
        <f>IFERROR(_xlfn.XLOOKUP(M80,'BASE_PROFILÉS'!$B$5:$B$200,'BASE_PROFILÉS'!$E$5:$E$200),IFERROR(INDEX('BASE_PROFILÉS'!$E$5:$E$200,MATCH(M80,'BASE_PROFILÉS'!$B$5:$B$200,0)),0))</f>
        <v>190</v>
      </c>
      <c r="N82">
        <f>IFERROR(_xlfn.XLOOKUP(N80,'BASE_PROFILÉS'!$B$5:$B$200,'BASE_PROFILÉS'!$E$5:$E$200),IFERROR(INDEX('BASE_PROFILÉS'!$E$5:$E$200,MATCH(N80,'BASE_PROFILÉS'!$B$5:$B$200,0)),0))</f>
        <v>190</v>
      </c>
      <c r="O82">
        <f>IFERROR(_xlfn.XLOOKUP(O80,'BASE_PROFILÉS'!$B$5:$B$200,'BASE_PROFILÉS'!$E$5:$E$200),IFERROR(INDEX('BASE_PROFILÉS'!$E$5:$E$200,MATCH(O80,'BASE_PROFILÉS'!$B$5:$B$200,0)),0))</f>
        <v>190</v>
      </c>
      <c r="P82">
        <f>IFERROR(_xlfn.XLOOKUP(P80,'BASE_PROFILÉS'!$B$5:$B$200,'BASE_PROFILÉS'!$E$5:$E$200),IFERROR(INDEX('BASE_PROFILÉS'!$E$5:$E$200,MATCH(P80,'BASE_PROFILÉS'!$B$5:$B$200,0)),0))</f>
        <v>190</v>
      </c>
      <c r="Q82">
        <f>IFERROR(_xlfn.XLOOKUP(Q80,'BASE_PROFILÉS'!$B$5:$B$200,'BASE_PROFILÉS'!$E$5:$E$200),IFERROR(INDEX('BASE_PROFILÉS'!$E$5:$E$200,MATCH(Q80,'BASE_PROFILÉS'!$B$5:$B$200,0)),0))</f>
        <v>190</v>
      </c>
      <c r="R82">
        <f>IFERROR(_xlfn.XLOOKUP(R80,'BASE_PROFILÉS'!$B$5:$B$200,'BASE_PROFILÉS'!$E$5:$E$200),IFERROR(INDEX('BASE_PROFILÉS'!$E$5:$E$200,MATCH(R80,'BASE_PROFILÉS'!$B$5:$B$200,0)),0))</f>
        <v>190</v>
      </c>
      <c r="S82">
        <f>IFERROR(_xlfn.XLOOKUP(S80,'BASE_PROFILÉS'!$B$5:$B$200,'BASE_PROFILÉS'!$E$5:$E$200),IFERROR(INDEX('BASE_PROFILÉS'!$E$5:$E$200,MATCH(S80,'BASE_PROFILÉS'!$B$5:$B$200,0)),0))</f>
        <v>190</v>
      </c>
      <c r="T82">
        <f>IFERROR(_xlfn.XLOOKUP(T80,'BASE_PROFILÉS'!$B$5:$B$200,'BASE_PROFILÉS'!$E$5:$E$200),IFERROR(INDEX('BASE_PROFILÉS'!$E$5:$E$200,MATCH(T80,'BASE_PROFILÉS'!$B$5:$B$200,0)),0))</f>
        <v>190</v>
      </c>
      <c r="U82">
        <f>IFERROR(_xlfn.XLOOKUP(U80,'BASE_PROFILÉS'!$B$5:$B$200,'BASE_PROFILÉS'!$E$5:$E$200),IFERROR(INDEX('BASE_PROFILÉS'!$E$5:$E$200,MATCH(U80,'BASE_PROFILÉS'!$B$5:$B$200,0)),0))</f>
        <v>190</v>
      </c>
      <c r="V82">
        <f>IFERROR(_xlfn.XLOOKUP(V80,'BASE_PROFILÉS'!$B$5:$B$200,'BASE_PROFILÉS'!$E$5:$E$200),IFERROR(INDEX('BASE_PROFILÉS'!$E$5:$E$200,MATCH(V80,'BASE_PROFILÉS'!$B$5:$B$200,0)),0))</f>
        <v>190</v>
      </c>
      <c r="W82">
        <f>IFERROR(_xlfn.XLOOKUP(W80,'BASE_PROFILÉS'!$B$5:$B$200,'BASE_PROFILÉS'!$E$5:$E$200),IFERROR(INDEX('BASE_PROFILÉS'!$E$5:$E$200,MATCH(W80,'BASE_PROFILÉS'!$B$5:$B$200,0)),0))</f>
        <v>190</v>
      </c>
      <c r="X82">
        <f>IFERROR(_xlfn.XLOOKUP(X80,'BASE_PROFILÉS'!$B$5:$B$200,'BASE_PROFILÉS'!$E$5:$E$200),IFERROR(INDEX('BASE_PROFILÉS'!$E$5:$E$200,MATCH(X80,'BASE_PROFILÉS'!$B$5:$B$200,0)),0))</f>
        <v>190</v>
      </c>
    </row>
    <row r="83">
      <c r="A83" t="inlineStr">
        <is>
          <t>auto_panne</t>
        </is>
      </c>
      <c r="B83" t="inlineStr">
        <is>
          <t>PRÉDIMENSIONNEMENT!C77</t>
        </is>
      </c>
      <c r="D83" t="str">
        <f>INDEX('PRÉDIMENSIONNEMENT'!$G$17:$G$20,COUNTIF('PRÉDIMENSIONNEMENT'!$F$17:$F$20,"&lt;"&amp;D15)+1)</f>
        <v>Z 200</v>
      </c>
      <c r="E83" t="str">
        <f>INDEX('PRÉDIMENSIONNEMENT'!$G$17:$G$20,COUNTIF('PRÉDIMENSIONNEMENT'!$F$17:$F$20,"&lt;"&amp;E15)+1)</f>
        <v>Z 200</v>
      </c>
      <c r="F83" t="str">
        <f>INDEX('PRÉDIMENSIONNEMENT'!$G$17:$G$20,COUNTIF('PRÉDIMENSIONNEMENT'!$F$17:$F$20,"&lt;"&amp;F15)+1)</f>
        <v>Z 200</v>
      </c>
      <c r="G83" t="str">
        <f>INDEX('PRÉDIMENSIONNEMENT'!$G$17:$G$20,COUNTIF('PRÉDIMENSIONNEMENT'!$F$17:$F$20,"&lt;"&amp;G15)+1)</f>
        <v>Z 160</v>
      </c>
      <c r="H83" t="str">
        <f>INDEX('PRÉDIMENSIONNEMENT'!$G$17:$G$20,COUNTIF('PRÉDIMENSIONNEMENT'!$F$17:$F$20,"&lt;"&amp;H15)+1)</f>
        <v>Z 160</v>
      </c>
      <c r="I83" t="str">
        <f>INDEX('PRÉDIMENSIONNEMENT'!$G$17:$G$20,COUNTIF('PRÉDIMENSIONNEMENT'!$F$17:$F$20,"&lt;"&amp;I15)+1)</f>
        <v>Z 160</v>
      </c>
      <c r="J83" t="str">
        <f>INDEX('PRÉDIMENSIONNEMENT'!$G$17:$G$20,COUNTIF('PRÉDIMENSIONNEMENT'!$F$17:$F$20,"&lt;"&amp;J15)+1)</f>
        <v>Z 200</v>
      </c>
      <c r="K83" t="str">
        <f>INDEX('PRÉDIMENSIONNEMENT'!$G$17:$G$20,COUNTIF('PRÉDIMENSIONNEMENT'!$F$17:$F$20,"&lt;"&amp;K15)+1)</f>
        <v>Z 200</v>
      </c>
      <c r="L83" t="str">
        <f>INDEX('PRÉDIMENSIONNEMENT'!$G$17:$G$20,COUNTIF('PRÉDIMENSIONNEMENT'!$F$17:$F$20,"&lt;"&amp;L15)+1)</f>
        <v>Z 200</v>
      </c>
      <c r="M83" t="str">
        <f>INDEX('PRÉDIMENSIONNEMENT'!$G$17:$G$20,COUNTIF('PRÉDIMENSIONNEMENT'!$F$17:$F$20,"&lt;"&amp;M15)+1)</f>
        <v>Z 160</v>
      </c>
      <c r="N83" t="str">
        <f>INDEX('PRÉDIMENSIONNEMENT'!$G$17:$G$20,COUNTIF('PRÉDIMENSIONNEMENT'!$F$17:$F$20,"&lt;"&amp;N15)+1)</f>
        <v>Z 160</v>
      </c>
      <c r="O83" t="str">
        <f>INDEX('PRÉDIMENSIONNEMENT'!$G$17:$G$20,COUNTIF('PRÉDIMENSIONNEMENT'!$F$17:$F$20,"&lt;"&amp;O15)+1)</f>
        <v>Z 160</v>
      </c>
      <c r="P83" t="str">
        <f>INDEX('PRÉDIMENSIONNEMENT'!$G$17:$G$20,COUNTIF('PRÉDIMENSIONNEMENT'!$F$17:$F$20,"&lt;"&amp;P15)+1)</f>
        <v>Z 200</v>
      </c>
      <c r="Q83" t="str">
        <f>INDEX('PRÉDIMENSIONNEMENT'!$G$17:$G$20,COUNTIF('PRÉDIMENSIONNEMENT'!$F$17:$F$20,"&lt;"&amp;Q15)+1)</f>
        <v>Z 200</v>
      </c>
      <c r="R83" t="str">
        <f>INDEX('PRÉDIMENSIONNEMENT'!$G$17:$G$20,COUNTIF('PRÉDIMENSIONNEMENT'!$F$17:$F$20,"&lt;"&amp;R15)+1)</f>
        <v>Z 200</v>
      </c>
      <c r="S83" t="str">
        <f>INDEX('PRÉDIMENSIONNEMENT'!$G$17:$G$20,COUNTIF('PRÉDIMENSIONNEMENT'!$F$17:$F$20,"&lt;"&amp;S15)+1)</f>
        <v>Z 200</v>
      </c>
      <c r="T83" t="str">
        <f>INDEX('PRÉDIMENSIONNEMENT'!$G$17:$G$20,COUNTIF('PRÉDIMENSIONNEMENT'!$F$17:$F$20,"&lt;"&amp;T15)+1)</f>
        <v>Z 200</v>
      </c>
      <c r="U83" t="str">
        <f>INDEX('PRÉDIMENSIONNEMENT'!$G$17:$G$20,COUNTIF('PRÉDIMENSIONNEMENT'!$F$17:$F$20,"&lt;"&amp;U15)+1)</f>
        <v>Z 200</v>
      </c>
      <c r="V83" t="str">
        <f>INDEX('PRÉDIMENSIONNEMENT'!$G$17:$G$20,COUNTIF('PRÉDIMENSIONNEMENT'!$F$17:$F$20,"&lt;"&amp;V15)+1)</f>
        <v>Z 200</v>
      </c>
      <c r="W83" t="str">
        <f>INDEX('PRÉDIMENSIONNEMENT'!$G$17:$G$20,COUNTIF('PRÉDIMENSIONNEMENT'!$F$17:$F$20,"&lt;"&amp;W15)+1)</f>
        <v>Z 200</v>
      </c>
      <c r="X83" t="str">
        <f>INDEX('PRÉDIMENSIONNEMENT'!$G$17:$G$20,COUNTIF('PRÉDIMENSIONNEMENT'!$F$17:$F$20,"&lt;"&amp;X15)+1)</f>
        <v>Z 200</v>
      </c>
    </row>
    <row r="84">
      <c r="A84" t="inlineStr">
        <is>
          <t>prof_panne</t>
        </is>
      </c>
      <c r="B84" t="inlineStr">
        <is>
          <t>PRÉDIMENSIONNEMENT!E77</t>
        </is>
      </c>
      <c r="D84" t="str">
        <f>D83</f>
        <v>Z 200</v>
      </c>
      <c r="E84" t="str">
        <f>E83</f>
        <v>Z 200</v>
      </c>
      <c r="F84" t="str">
        <f>F83</f>
        <v>Z 200</v>
      </c>
      <c r="G84" t="str">
        <f>G83</f>
        <v>Z 160</v>
      </c>
      <c r="H84" t="str">
        <f>H83</f>
        <v>Z 160</v>
      </c>
      <c r="I84" t="str">
        <f>I83</f>
        <v>Z 160</v>
      </c>
      <c r="J84" t="str">
        <f>J83</f>
        <v>Z 200</v>
      </c>
      <c r="K84" t="str">
        <f>K83</f>
        <v>Z 200</v>
      </c>
      <c r="L84" t="str">
        <f>L83</f>
        <v>Z 200</v>
      </c>
      <c r="M84" t="str">
        <f>M83</f>
        <v>Z 160</v>
      </c>
      <c r="N84" t="str">
        <f>N83</f>
        <v>Z 160</v>
      </c>
      <c r="O84" t="str">
        <f>O83</f>
        <v>Z 160</v>
      </c>
      <c r="P84" t="str">
        <f>P83</f>
        <v>Z 200</v>
      </c>
      <c r="Q84" t="str">
        <f>Q83</f>
        <v>Z 200</v>
      </c>
      <c r="R84" t="str">
        <f>R83</f>
        <v>Z 200</v>
      </c>
      <c r="S84" t="str">
        <f>S83</f>
        <v>Z 200</v>
      </c>
      <c r="T84" t="str">
        <f>T83</f>
        <v>Z 200</v>
      </c>
      <c r="U84" t="str">
        <f>U83</f>
        <v>Z 200</v>
      </c>
      <c r="V84" t="str">
        <f>V83</f>
        <v>Z 200</v>
      </c>
      <c r="W84" t="str">
        <f>W83</f>
        <v>Z 200</v>
      </c>
      <c r="X84" t="str">
        <f>X83</f>
        <v>Z 200</v>
      </c>
    </row>
    <row r="85">
      <c r="A85" t="inlineStr">
        <is>
          <t>kg_panne</t>
        </is>
      </c>
      <c r="B85" t="inlineStr">
        <is>
          <t>PRÉDIMENSIONNEMENT!F77</t>
        </is>
      </c>
      <c r="D85">
        <f>IFERROR(_xlfn.XLOOKUP(D84,'BASE_PROFILÉS'!$B$5:$B$200,'BASE_PROFILÉS'!$D$5:$D$200),IFERROR(INDEX('BASE_PROFILÉS'!$D$5:$D$200,MATCH(D84,'BASE_PROFILÉS'!$B$5:$B$200,0)),0))</f>
        <v>5.2</v>
      </c>
      <c r="E85">
        <f>IFERROR(_xlfn.XLOOKUP(E84,'BASE_PROFILÉS'!$B$5:$B$200,'BASE_PROFILÉS'!$D$5:$D$200),IFERROR(INDEX('BASE_PROFILÉS'!$D$5:$D$200,MATCH(E84,'BASE_PROFILÉS'!$B$5:$B$200,0)),0))</f>
        <v>5.2</v>
      </c>
      <c r="F85">
        <f>IFERROR(_xlfn.XLOOKUP(F84,'BASE_PROFILÉS'!$B$5:$B$200,'BASE_PROFILÉS'!$D$5:$D$200),IFERROR(INDEX('BASE_PROFILÉS'!$D$5:$D$200,MATCH(F84,'BASE_PROFILÉS'!$B$5:$B$200,0)),0))</f>
        <v>5.2</v>
      </c>
      <c r="G85">
        <f>IFERROR(_xlfn.XLOOKUP(G84,'BASE_PROFILÉS'!$B$5:$B$200,'BASE_PROFILÉS'!$D$5:$D$200),IFERROR(INDEX('BASE_PROFILÉS'!$D$5:$D$200,MATCH(G84,'BASE_PROFILÉS'!$B$5:$B$200,0)),0))</f>
        <v>4.35</v>
      </c>
      <c r="H85">
        <f>IFERROR(_xlfn.XLOOKUP(H84,'BASE_PROFILÉS'!$B$5:$B$200,'BASE_PROFILÉS'!$D$5:$D$200),IFERROR(INDEX('BASE_PROFILÉS'!$D$5:$D$200,MATCH(H84,'BASE_PROFILÉS'!$B$5:$B$200,0)),0))</f>
        <v>4.35</v>
      </c>
      <c r="I85">
        <f>IFERROR(_xlfn.XLOOKUP(I84,'BASE_PROFILÉS'!$B$5:$B$200,'BASE_PROFILÉS'!$D$5:$D$200),IFERROR(INDEX('BASE_PROFILÉS'!$D$5:$D$200,MATCH(I84,'BASE_PROFILÉS'!$B$5:$B$200,0)),0))</f>
        <v>4.35</v>
      </c>
      <c r="J85">
        <f>IFERROR(_xlfn.XLOOKUP(J84,'BASE_PROFILÉS'!$B$5:$B$200,'BASE_PROFILÉS'!$D$5:$D$200),IFERROR(INDEX('BASE_PROFILÉS'!$D$5:$D$200,MATCH(J84,'BASE_PROFILÉS'!$B$5:$B$200,0)),0))</f>
        <v>5.2</v>
      </c>
      <c r="K85">
        <f>IFERROR(_xlfn.XLOOKUP(K84,'BASE_PROFILÉS'!$B$5:$B$200,'BASE_PROFILÉS'!$D$5:$D$200),IFERROR(INDEX('BASE_PROFILÉS'!$D$5:$D$200,MATCH(K84,'BASE_PROFILÉS'!$B$5:$B$200,0)),0))</f>
        <v>5.2</v>
      </c>
      <c r="L85">
        <f>IFERROR(_xlfn.XLOOKUP(L84,'BASE_PROFILÉS'!$B$5:$B$200,'BASE_PROFILÉS'!$D$5:$D$200),IFERROR(INDEX('BASE_PROFILÉS'!$D$5:$D$200,MATCH(L84,'BASE_PROFILÉS'!$B$5:$B$200,0)),0))</f>
        <v>5.2</v>
      </c>
      <c r="M85">
        <f>IFERROR(_xlfn.XLOOKUP(M84,'BASE_PROFILÉS'!$B$5:$B$200,'BASE_PROFILÉS'!$D$5:$D$200),IFERROR(INDEX('BASE_PROFILÉS'!$D$5:$D$200,MATCH(M84,'BASE_PROFILÉS'!$B$5:$B$200,0)),0))</f>
        <v>4.35</v>
      </c>
      <c r="N85">
        <f>IFERROR(_xlfn.XLOOKUP(N84,'BASE_PROFILÉS'!$B$5:$B$200,'BASE_PROFILÉS'!$D$5:$D$200),IFERROR(INDEX('BASE_PROFILÉS'!$D$5:$D$200,MATCH(N84,'BASE_PROFILÉS'!$B$5:$B$200,0)),0))</f>
        <v>4.35</v>
      </c>
      <c r="O85">
        <f>IFERROR(_xlfn.XLOOKUP(O84,'BASE_PROFILÉS'!$B$5:$B$200,'BASE_PROFILÉS'!$D$5:$D$200),IFERROR(INDEX('BASE_PROFILÉS'!$D$5:$D$200,MATCH(O84,'BASE_PROFILÉS'!$B$5:$B$200,0)),0))</f>
        <v>4.35</v>
      </c>
      <c r="P85">
        <f>IFERROR(_xlfn.XLOOKUP(P84,'BASE_PROFILÉS'!$B$5:$B$200,'BASE_PROFILÉS'!$D$5:$D$200),IFERROR(INDEX('BASE_PROFILÉS'!$D$5:$D$200,MATCH(P84,'BASE_PROFILÉS'!$B$5:$B$200,0)),0))</f>
        <v>5.2</v>
      </c>
      <c r="Q85">
        <f>IFERROR(_xlfn.XLOOKUP(Q84,'BASE_PROFILÉS'!$B$5:$B$200,'BASE_PROFILÉS'!$D$5:$D$200),IFERROR(INDEX('BASE_PROFILÉS'!$D$5:$D$200,MATCH(Q84,'BASE_PROFILÉS'!$B$5:$B$200,0)),0))</f>
        <v>5.2</v>
      </c>
      <c r="R85">
        <f>IFERROR(_xlfn.XLOOKUP(R84,'BASE_PROFILÉS'!$B$5:$B$200,'BASE_PROFILÉS'!$D$5:$D$200),IFERROR(INDEX('BASE_PROFILÉS'!$D$5:$D$200,MATCH(R84,'BASE_PROFILÉS'!$B$5:$B$200,0)),0))</f>
        <v>5.2</v>
      </c>
      <c r="S85">
        <f>IFERROR(_xlfn.XLOOKUP(S84,'BASE_PROFILÉS'!$B$5:$B$200,'BASE_PROFILÉS'!$D$5:$D$200),IFERROR(INDEX('BASE_PROFILÉS'!$D$5:$D$200,MATCH(S84,'BASE_PROFILÉS'!$B$5:$B$200,0)),0))</f>
        <v>5.2</v>
      </c>
      <c r="T85">
        <f>IFERROR(_xlfn.XLOOKUP(T84,'BASE_PROFILÉS'!$B$5:$B$200,'BASE_PROFILÉS'!$D$5:$D$200),IFERROR(INDEX('BASE_PROFILÉS'!$D$5:$D$200,MATCH(T84,'BASE_PROFILÉS'!$B$5:$B$200,0)),0))</f>
        <v>5.2</v>
      </c>
      <c r="U85">
        <f>IFERROR(_xlfn.XLOOKUP(U84,'BASE_PROFILÉS'!$B$5:$B$200,'BASE_PROFILÉS'!$D$5:$D$200),IFERROR(INDEX('BASE_PROFILÉS'!$D$5:$D$200,MATCH(U84,'BASE_PROFILÉS'!$B$5:$B$200,0)),0))</f>
        <v>5.2</v>
      </c>
      <c r="V85">
        <f>IFERROR(_xlfn.XLOOKUP(V84,'BASE_PROFILÉS'!$B$5:$B$200,'BASE_PROFILÉS'!$D$5:$D$200),IFERROR(INDEX('BASE_PROFILÉS'!$D$5:$D$200,MATCH(V84,'BASE_PROFILÉS'!$B$5:$B$200,0)),0))</f>
        <v>5.2</v>
      </c>
      <c r="W85">
        <f>IFERROR(_xlfn.XLOOKUP(W84,'BASE_PROFILÉS'!$B$5:$B$200,'BASE_PROFILÉS'!$D$5:$D$200),IFERROR(INDEX('BASE_PROFILÉS'!$D$5:$D$200,MATCH(W84,'BASE_PROFILÉS'!$B$5:$B$200,0)),0))</f>
        <v>5.2</v>
      </c>
      <c r="X85">
        <f>IFERROR(_xlfn.XLOOKUP(X84,'BASE_PROFILÉS'!$B$5:$B$200,'BASE_PROFILÉS'!$D$5:$D$200),IFERROR(INDEX('BASE_PROFILÉS'!$D$5:$D$200,MATCH(X84,'BASE_PROFILÉS'!$B$5:$B$200,0)),0))</f>
        <v>5.2</v>
      </c>
    </row>
    <row r="86">
      <c r="A86" t="inlineStr">
        <is>
          <t>h_panne</t>
        </is>
      </c>
      <c r="B86" t="inlineStr">
        <is>
          <t>PRÉDIMENSIONNEMENT!G77</t>
        </is>
      </c>
      <c r="D86">
        <f>IFERROR(_xlfn.XLOOKUP(D84,'BASE_PROFILÉS'!$B$5:$B$200,'BASE_PROFILÉS'!$E$5:$E$200),IFERROR(INDEX('BASE_PROFILÉS'!$E$5:$E$200,MATCH(D84,'BASE_PROFILÉS'!$B$5:$B$200,0)),0))</f>
        <v>200</v>
      </c>
      <c r="E86">
        <f>IFERROR(_xlfn.XLOOKUP(E84,'BASE_PROFILÉS'!$B$5:$B$200,'BASE_PROFILÉS'!$E$5:$E$200),IFERROR(INDEX('BASE_PROFILÉS'!$E$5:$E$200,MATCH(E84,'BASE_PROFILÉS'!$B$5:$B$200,0)),0))</f>
        <v>200</v>
      </c>
      <c r="F86">
        <f>IFERROR(_xlfn.XLOOKUP(F84,'BASE_PROFILÉS'!$B$5:$B$200,'BASE_PROFILÉS'!$E$5:$E$200),IFERROR(INDEX('BASE_PROFILÉS'!$E$5:$E$200,MATCH(F84,'BASE_PROFILÉS'!$B$5:$B$200,0)),0))</f>
        <v>200</v>
      </c>
      <c r="G86">
        <f>IFERROR(_xlfn.XLOOKUP(G84,'BASE_PROFILÉS'!$B$5:$B$200,'BASE_PROFILÉS'!$E$5:$E$200),IFERROR(INDEX('BASE_PROFILÉS'!$E$5:$E$200,MATCH(G84,'BASE_PROFILÉS'!$B$5:$B$200,0)),0))</f>
        <v>160</v>
      </c>
      <c r="H86">
        <f>IFERROR(_xlfn.XLOOKUP(H84,'BASE_PROFILÉS'!$B$5:$B$200,'BASE_PROFILÉS'!$E$5:$E$200),IFERROR(INDEX('BASE_PROFILÉS'!$E$5:$E$200,MATCH(H84,'BASE_PROFILÉS'!$B$5:$B$200,0)),0))</f>
        <v>160</v>
      </c>
      <c r="I86">
        <f>IFERROR(_xlfn.XLOOKUP(I84,'BASE_PROFILÉS'!$B$5:$B$200,'BASE_PROFILÉS'!$E$5:$E$200),IFERROR(INDEX('BASE_PROFILÉS'!$E$5:$E$200,MATCH(I84,'BASE_PROFILÉS'!$B$5:$B$200,0)),0))</f>
        <v>160</v>
      </c>
      <c r="J86">
        <f>IFERROR(_xlfn.XLOOKUP(J84,'BASE_PROFILÉS'!$B$5:$B$200,'BASE_PROFILÉS'!$E$5:$E$200),IFERROR(INDEX('BASE_PROFILÉS'!$E$5:$E$200,MATCH(J84,'BASE_PROFILÉS'!$B$5:$B$200,0)),0))</f>
        <v>200</v>
      </c>
      <c r="K86">
        <f>IFERROR(_xlfn.XLOOKUP(K84,'BASE_PROFILÉS'!$B$5:$B$200,'BASE_PROFILÉS'!$E$5:$E$200),IFERROR(INDEX('BASE_PROFILÉS'!$E$5:$E$200,MATCH(K84,'BASE_PROFILÉS'!$B$5:$B$200,0)),0))</f>
        <v>200</v>
      </c>
      <c r="L86">
        <f>IFERROR(_xlfn.XLOOKUP(L84,'BASE_PROFILÉS'!$B$5:$B$200,'BASE_PROFILÉS'!$E$5:$E$200),IFERROR(INDEX('BASE_PROFILÉS'!$E$5:$E$200,MATCH(L84,'BASE_PROFILÉS'!$B$5:$B$200,0)),0))</f>
        <v>200</v>
      </c>
      <c r="M86">
        <f>IFERROR(_xlfn.XLOOKUP(M84,'BASE_PROFILÉS'!$B$5:$B$200,'BASE_PROFILÉS'!$E$5:$E$200),IFERROR(INDEX('BASE_PROFILÉS'!$E$5:$E$200,MATCH(M84,'BASE_PROFILÉS'!$B$5:$B$200,0)),0))</f>
        <v>160</v>
      </c>
      <c r="N86">
        <f>IFERROR(_xlfn.XLOOKUP(N84,'BASE_PROFILÉS'!$B$5:$B$200,'BASE_PROFILÉS'!$E$5:$E$200),IFERROR(INDEX('BASE_PROFILÉS'!$E$5:$E$200,MATCH(N84,'BASE_PROFILÉS'!$B$5:$B$200,0)),0))</f>
        <v>160</v>
      </c>
      <c r="O86">
        <f>IFERROR(_xlfn.XLOOKUP(O84,'BASE_PROFILÉS'!$B$5:$B$200,'BASE_PROFILÉS'!$E$5:$E$200),IFERROR(INDEX('BASE_PROFILÉS'!$E$5:$E$200,MATCH(O84,'BASE_PROFILÉS'!$B$5:$B$200,0)),0))</f>
        <v>160</v>
      </c>
      <c r="P86">
        <f>IFERROR(_xlfn.XLOOKUP(P84,'BASE_PROFILÉS'!$B$5:$B$200,'BASE_PROFILÉS'!$E$5:$E$200),IFERROR(INDEX('BASE_PROFILÉS'!$E$5:$E$200,MATCH(P84,'BASE_PROFILÉS'!$B$5:$B$200,0)),0))</f>
        <v>200</v>
      </c>
      <c r="Q86">
        <f>IFERROR(_xlfn.XLOOKUP(Q84,'BASE_PROFILÉS'!$B$5:$B$200,'BASE_PROFILÉS'!$E$5:$E$200),IFERROR(INDEX('BASE_PROFILÉS'!$E$5:$E$200,MATCH(Q84,'BASE_PROFILÉS'!$B$5:$B$200,0)),0))</f>
        <v>200</v>
      </c>
      <c r="R86">
        <f>IFERROR(_xlfn.XLOOKUP(R84,'BASE_PROFILÉS'!$B$5:$B$200,'BASE_PROFILÉS'!$E$5:$E$200),IFERROR(INDEX('BASE_PROFILÉS'!$E$5:$E$200,MATCH(R84,'BASE_PROFILÉS'!$B$5:$B$200,0)),0))</f>
        <v>200</v>
      </c>
      <c r="S86">
        <f>IFERROR(_xlfn.XLOOKUP(S84,'BASE_PROFILÉS'!$B$5:$B$200,'BASE_PROFILÉS'!$E$5:$E$200),IFERROR(INDEX('BASE_PROFILÉS'!$E$5:$E$200,MATCH(S84,'BASE_PROFILÉS'!$B$5:$B$200,0)),0))</f>
        <v>200</v>
      </c>
      <c r="T86">
        <f>IFERROR(_xlfn.XLOOKUP(T84,'BASE_PROFILÉS'!$B$5:$B$200,'BASE_PROFILÉS'!$E$5:$E$200),IFERROR(INDEX('BASE_PROFILÉS'!$E$5:$E$200,MATCH(T84,'BASE_PROFILÉS'!$B$5:$B$200,0)),0))</f>
        <v>200</v>
      </c>
      <c r="U86">
        <f>IFERROR(_xlfn.XLOOKUP(U84,'BASE_PROFILÉS'!$B$5:$B$200,'BASE_PROFILÉS'!$E$5:$E$200),IFERROR(INDEX('BASE_PROFILÉS'!$E$5:$E$200,MATCH(U84,'BASE_PROFILÉS'!$B$5:$B$200,0)),0))</f>
        <v>200</v>
      </c>
      <c r="V86">
        <f>IFERROR(_xlfn.XLOOKUP(V84,'BASE_PROFILÉS'!$B$5:$B$200,'BASE_PROFILÉS'!$E$5:$E$200),IFERROR(INDEX('BASE_PROFILÉS'!$E$5:$E$200,MATCH(V84,'BASE_PROFILÉS'!$B$5:$B$200,0)),0))</f>
        <v>200</v>
      </c>
      <c r="W86">
        <f>IFERROR(_xlfn.XLOOKUP(W84,'BASE_PROFILÉS'!$B$5:$B$200,'BASE_PROFILÉS'!$E$5:$E$200),IFERROR(INDEX('BASE_PROFILÉS'!$E$5:$E$200,MATCH(W84,'BASE_PROFILÉS'!$B$5:$B$200,0)),0))</f>
        <v>200</v>
      </c>
      <c r="X86">
        <f>IFERROR(_xlfn.XLOOKUP(X84,'BASE_PROFILÉS'!$B$5:$B$200,'BASE_PROFILÉS'!$E$5:$E$200),IFERROR(INDEX('BASE_PROFILÉS'!$E$5:$E$200,MATCH(X84,'BASE_PROFILÉS'!$B$5:$B$200,0)),0))</f>
        <v>200</v>
      </c>
    </row>
    <row r="87">
      <c r="A87" t="inlineStr">
        <is>
          <t>auto_lisse</t>
        </is>
      </c>
      <c r="B87" t="inlineStr">
        <is>
          <t>PRÉDIMENSIONNEMENT!C78</t>
        </is>
      </c>
      <c r="D87" t="str">
        <f>INDEX('PRÉDIMENSIONNEMENT'!$H$17:$H$20,COUNTIF('PRÉDIMENSIONNEMENT'!$F$17:$F$20,"&lt;"&amp;D15)+1)</f>
        <v>C 160</v>
      </c>
      <c r="E87" t="str">
        <f>INDEX('PRÉDIMENSIONNEMENT'!$H$17:$H$20,COUNTIF('PRÉDIMENSIONNEMENT'!$F$17:$F$20,"&lt;"&amp;E15)+1)</f>
        <v>C 160</v>
      </c>
      <c r="F87" t="str">
        <f>INDEX('PRÉDIMENSIONNEMENT'!$H$17:$H$20,COUNTIF('PRÉDIMENSIONNEMENT'!$F$17:$F$20,"&lt;"&amp;F15)+1)</f>
        <v>C 160</v>
      </c>
      <c r="G87" t="str">
        <f>INDEX('PRÉDIMENSIONNEMENT'!$H$17:$H$20,COUNTIF('PRÉDIMENSIONNEMENT'!$F$17:$F$20,"&lt;"&amp;G15)+1)</f>
        <v>C 140</v>
      </c>
      <c r="H87" t="str">
        <f>INDEX('PRÉDIMENSIONNEMENT'!$H$17:$H$20,COUNTIF('PRÉDIMENSIONNEMENT'!$F$17:$F$20,"&lt;"&amp;H15)+1)</f>
        <v>C 140</v>
      </c>
      <c r="I87" t="str">
        <f>INDEX('PRÉDIMENSIONNEMENT'!$H$17:$H$20,COUNTIF('PRÉDIMENSIONNEMENT'!$F$17:$F$20,"&lt;"&amp;I15)+1)</f>
        <v>C 140</v>
      </c>
      <c r="J87" t="str">
        <f>INDEX('PRÉDIMENSIONNEMENT'!$H$17:$H$20,COUNTIF('PRÉDIMENSIONNEMENT'!$F$17:$F$20,"&lt;"&amp;J15)+1)</f>
        <v>C 160</v>
      </c>
      <c r="K87" t="str">
        <f>INDEX('PRÉDIMENSIONNEMENT'!$H$17:$H$20,COUNTIF('PRÉDIMENSIONNEMENT'!$F$17:$F$20,"&lt;"&amp;K15)+1)</f>
        <v>C 160</v>
      </c>
      <c r="L87" t="str">
        <f>INDEX('PRÉDIMENSIONNEMENT'!$H$17:$H$20,COUNTIF('PRÉDIMENSIONNEMENT'!$F$17:$F$20,"&lt;"&amp;L15)+1)</f>
        <v>C 160</v>
      </c>
      <c r="M87" t="str">
        <f>INDEX('PRÉDIMENSIONNEMENT'!$H$17:$H$20,COUNTIF('PRÉDIMENSIONNEMENT'!$F$17:$F$20,"&lt;"&amp;M15)+1)</f>
        <v>C 140</v>
      </c>
      <c r="N87" t="str">
        <f>INDEX('PRÉDIMENSIONNEMENT'!$H$17:$H$20,COUNTIF('PRÉDIMENSIONNEMENT'!$F$17:$F$20,"&lt;"&amp;N15)+1)</f>
        <v>C 140</v>
      </c>
      <c r="O87" t="str">
        <f>INDEX('PRÉDIMENSIONNEMENT'!$H$17:$H$20,COUNTIF('PRÉDIMENSIONNEMENT'!$F$17:$F$20,"&lt;"&amp;O15)+1)</f>
        <v>C 140</v>
      </c>
      <c r="P87" t="str">
        <f>INDEX('PRÉDIMENSIONNEMENT'!$H$17:$H$20,COUNTIF('PRÉDIMENSIONNEMENT'!$F$17:$F$20,"&lt;"&amp;P15)+1)</f>
        <v>C 160</v>
      </c>
      <c r="Q87" t="str">
        <f>INDEX('PRÉDIMENSIONNEMENT'!$H$17:$H$20,COUNTIF('PRÉDIMENSIONNEMENT'!$F$17:$F$20,"&lt;"&amp;Q15)+1)</f>
        <v>C 160</v>
      </c>
      <c r="R87" t="str">
        <f>INDEX('PRÉDIMENSIONNEMENT'!$H$17:$H$20,COUNTIF('PRÉDIMENSIONNEMENT'!$F$17:$F$20,"&lt;"&amp;R15)+1)</f>
        <v>C 160</v>
      </c>
      <c r="S87" t="str">
        <f>INDEX('PRÉDIMENSIONNEMENT'!$H$17:$H$20,COUNTIF('PRÉDIMENSIONNEMENT'!$F$17:$F$20,"&lt;"&amp;S15)+1)</f>
        <v>C 160</v>
      </c>
      <c r="T87" t="str">
        <f>INDEX('PRÉDIMENSIONNEMENT'!$H$17:$H$20,COUNTIF('PRÉDIMENSIONNEMENT'!$F$17:$F$20,"&lt;"&amp;T15)+1)</f>
        <v>C 160</v>
      </c>
      <c r="U87" t="str">
        <f>INDEX('PRÉDIMENSIONNEMENT'!$H$17:$H$20,COUNTIF('PRÉDIMENSIONNEMENT'!$F$17:$F$20,"&lt;"&amp;U15)+1)</f>
        <v>C 160</v>
      </c>
      <c r="V87" t="str">
        <f>INDEX('PRÉDIMENSIONNEMENT'!$H$17:$H$20,COUNTIF('PRÉDIMENSIONNEMENT'!$F$17:$F$20,"&lt;"&amp;V15)+1)</f>
        <v>C 160</v>
      </c>
      <c r="W87" t="str">
        <f>INDEX('PRÉDIMENSIONNEMENT'!$H$17:$H$20,COUNTIF('PRÉDIMENSIONNEMENT'!$F$17:$F$20,"&lt;"&amp;W15)+1)</f>
        <v>C 160</v>
      </c>
      <c r="X87" t="str">
        <f>INDEX('PRÉDIMENSIONNEMENT'!$H$17:$H$20,COUNTIF('PRÉDIMENSIONNEMENT'!$F$17:$F$20,"&lt;"&amp;X15)+1)</f>
        <v>C 160</v>
      </c>
    </row>
    <row r="88">
      <c r="A88" t="inlineStr">
        <is>
          <t>prof_lisse</t>
        </is>
      </c>
      <c r="B88" t="inlineStr">
        <is>
          <t>PRÉDIMENSIONNEMENT!E78</t>
        </is>
      </c>
      <c r="D88" t="str">
        <f>D87</f>
        <v>C 160</v>
      </c>
      <c r="E88" t="str">
        <f>E87</f>
        <v>C 160</v>
      </c>
      <c r="F88" t="str">
        <f>F87</f>
        <v>C 160</v>
      </c>
      <c r="G88" t="str">
        <f>G87</f>
        <v>C 140</v>
      </c>
      <c r="H88" t="str">
        <f>H87</f>
        <v>C 140</v>
      </c>
      <c r="I88" t="str">
        <f>I87</f>
        <v>C 140</v>
      </c>
      <c r="J88" t="str">
        <f>J87</f>
        <v>C 160</v>
      </c>
      <c r="K88" t="str">
        <f>K87</f>
        <v>C 160</v>
      </c>
      <c r="L88" t="str">
        <f>L87</f>
        <v>C 160</v>
      </c>
      <c r="M88" t="str">
        <f>M87</f>
        <v>C 140</v>
      </c>
      <c r="N88" t="str">
        <f>N87</f>
        <v>C 140</v>
      </c>
      <c r="O88" t="str">
        <f>O87</f>
        <v>C 140</v>
      </c>
      <c r="P88" t="str">
        <f>P87</f>
        <v>C 160</v>
      </c>
      <c r="Q88" t="str">
        <f>Q87</f>
        <v>C 160</v>
      </c>
      <c r="R88" t="str">
        <f>R87</f>
        <v>C 160</v>
      </c>
      <c r="S88" t="str">
        <f>S87</f>
        <v>C 160</v>
      </c>
      <c r="T88" t="str">
        <f>T87</f>
        <v>C 160</v>
      </c>
      <c r="U88" t="str">
        <f>U87</f>
        <v>C 160</v>
      </c>
      <c r="V88" t="str">
        <f>V87</f>
        <v>C 160</v>
      </c>
      <c r="W88" t="str">
        <f>W87</f>
        <v>C 160</v>
      </c>
      <c r="X88" t="str">
        <f>X87</f>
        <v>C 160</v>
      </c>
    </row>
    <row r="89">
      <c r="A89" t="inlineStr">
        <is>
          <t>kg_lisse</t>
        </is>
      </c>
      <c r="B89" t="inlineStr">
        <is>
          <t>PRÉDIMENSIONNEMENT!F78</t>
        </is>
      </c>
      <c r="D89">
        <f>IFERROR(_xlfn.XLOOKUP(D88,'BASE_PROFILÉS'!$B$5:$B$200,'BASE_PROFILÉS'!$D$5:$D$200),IFERROR(INDEX('BASE_PROFILÉS'!$D$5:$D$200,MATCH(D88,'BASE_PROFILÉS'!$B$5:$B$200,0)),0))</f>
        <v>4.57</v>
      </c>
      <c r="E89">
        <f>IFERROR(_xlfn.XLOOKUP(E88,'BASE_PROFILÉS'!$B$5:$B$200,'BASE_PROFILÉS'!$D$5:$D$200),IFERROR(INDEX('BASE_PROFILÉS'!$D$5:$D$200,MATCH(E88,'BASE_PROFILÉS'!$B$5:$B$200,0)),0))</f>
        <v>4.57</v>
      </c>
      <c r="F89">
        <f>IFERROR(_xlfn.XLOOKUP(F88,'BASE_PROFILÉS'!$B$5:$B$200,'BASE_PROFILÉS'!$D$5:$D$200),IFERROR(INDEX('BASE_PROFILÉS'!$D$5:$D$200,MATCH(F88,'BASE_PROFILÉS'!$B$5:$B$200,0)),0))</f>
        <v>4.57</v>
      </c>
      <c r="G89">
        <f>IFERROR(_xlfn.XLOOKUP(G88,'BASE_PROFILÉS'!$B$5:$B$200,'BASE_PROFILÉS'!$D$5:$D$200),IFERROR(INDEX('BASE_PROFILÉS'!$D$5:$D$200,MATCH(G88,'BASE_PROFILÉS'!$B$5:$B$200,0)),0))</f>
        <v>4.24</v>
      </c>
      <c r="H89">
        <f>IFERROR(_xlfn.XLOOKUP(H88,'BASE_PROFILÉS'!$B$5:$B$200,'BASE_PROFILÉS'!$D$5:$D$200),IFERROR(INDEX('BASE_PROFILÉS'!$D$5:$D$200,MATCH(H88,'BASE_PROFILÉS'!$B$5:$B$200,0)),0))</f>
        <v>4.24</v>
      </c>
      <c r="I89">
        <f>IFERROR(_xlfn.XLOOKUP(I88,'BASE_PROFILÉS'!$B$5:$B$200,'BASE_PROFILÉS'!$D$5:$D$200),IFERROR(INDEX('BASE_PROFILÉS'!$D$5:$D$200,MATCH(I88,'BASE_PROFILÉS'!$B$5:$B$200,0)),0))</f>
        <v>4.24</v>
      </c>
      <c r="J89">
        <f>IFERROR(_xlfn.XLOOKUP(J88,'BASE_PROFILÉS'!$B$5:$B$200,'BASE_PROFILÉS'!$D$5:$D$200),IFERROR(INDEX('BASE_PROFILÉS'!$D$5:$D$200,MATCH(J88,'BASE_PROFILÉS'!$B$5:$B$200,0)),0))</f>
        <v>4.57</v>
      </c>
      <c r="K89">
        <f>IFERROR(_xlfn.XLOOKUP(K88,'BASE_PROFILÉS'!$B$5:$B$200,'BASE_PROFILÉS'!$D$5:$D$200),IFERROR(INDEX('BASE_PROFILÉS'!$D$5:$D$200,MATCH(K88,'BASE_PROFILÉS'!$B$5:$B$200,0)),0))</f>
        <v>4.57</v>
      </c>
      <c r="L89">
        <f>IFERROR(_xlfn.XLOOKUP(L88,'BASE_PROFILÉS'!$B$5:$B$200,'BASE_PROFILÉS'!$D$5:$D$200),IFERROR(INDEX('BASE_PROFILÉS'!$D$5:$D$200,MATCH(L88,'BASE_PROFILÉS'!$B$5:$B$200,0)),0))</f>
        <v>4.57</v>
      </c>
      <c r="M89">
        <f>IFERROR(_xlfn.XLOOKUP(M88,'BASE_PROFILÉS'!$B$5:$B$200,'BASE_PROFILÉS'!$D$5:$D$200),IFERROR(INDEX('BASE_PROFILÉS'!$D$5:$D$200,MATCH(M88,'BASE_PROFILÉS'!$B$5:$B$200,0)),0))</f>
        <v>4.24</v>
      </c>
      <c r="N89">
        <f>IFERROR(_xlfn.XLOOKUP(N88,'BASE_PROFILÉS'!$B$5:$B$200,'BASE_PROFILÉS'!$D$5:$D$200),IFERROR(INDEX('BASE_PROFILÉS'!$D$5:$D$200,MATCH(N88,'BASE_PROFILÉS'!$B$5:$B$200,0)),0))</f>
        <v>4.24</v>
      </c>
      <c r="O89">
        <f>IFERROR(_xlfn.XLOOKUP(O88,'BASE_PROFILÉS'!$B$5:$B$200,'BASE_PROFILÉS'!$D$5:$D$200),IFERROR(INDEX('BASE_PROFILÉS'!$D$5:$D$200,MATCH(O88,'BASE_PROFILÉS'!$B$5:$B$200,0)),0))</f>
        <v>4.24</v>
      </c>
      <c r="P89">
        <f>IFERROR(_xlfn.XLOOKUP(P88,'BASE_PROFILÉS'!$B$5:$B$200,'BASE_PROFILÉS'!$D$5:$D$200),IFERROR(INDEX('BASE_PROFILÉS'!$D$5:$D$200,MATCH(P88,'BASE_PROFILÉS'!$B$5:$B$200,0)),0))</f>
        <v>4.57</v>
      </c>
      <c r="Q89">
        <f>IFERROR(_xlfn.XLOOKUP(Q88,'BASE_PROFILÉS'!$B$5:$B$200,'BASE_PROFILÉS'!$D$5:$D$200),IFERROR(INDEX('BASE_PROFILÉS'!$D$5:$D$200,MATCH(Q88,'BASE_PROFILÉS'!$B$5:$B$200,0)),0))</f>
        <v>4.57</v>
      </c>
      <c r="R89">
        <f>IFERROR(_xlfn.XLOOKUP(R88,'BASE_PROFILÉS'!$B$5:$B$200,'BASE_PROFILÉS'!$D$5:$D$200),IFERROR(INDEX('BASE_PROFILÉS'!$D$5:$D$200,MATCH(R88,'BASE_PROFILÉS'!$B$5:$B$200,0)),0))</f>
        <v>4.57</v>
      </c>
      <c r="S89">
        <f>IFERROR(_xlfn.XLOOKUP(S88,'BASE_PROFILÉS'!$B$5:$B$200,'BASE_PROFILÉS'!$D$5:$D$200),IFERROR(INDEX('BASE_PROFILÉS'!$D$5:$D$200,MATCH(S88,'BASE_PROFILÉS'!$B$5:$B$200,0)),0))</f>
        <v>4.57</v>
      </c>
      <c r="T89">
        <f>IFERROR(_xlfn.XLOOKUP(T88,'BASE_PROFILÉS'!$B$5:$B$200,'BASE_PROFILÉS'!$D$5:$D$200),IFERROR(INDEX('BASE_PROFILÉS'!$D$5:$D$200,MATCH(T88,'BASE_PROFILÉS'!$B$5:$B$200,0)),0))</f>
        <v>4.57</v>
      </c>
      <c r="U89">
        <f>IFERROR(_xlfn.XLOOKUP(U88,'BASE_PROFILÉS'!$B$5:$B$200,'BASE_PROFILÉS'!$D$5:$D$200),IFERROR(INDEX('BASE_PROFILÉS'!$D$5:$D$200,MATCH(U88,'BASE_PROFILÉS'!$B$5:$B$200,0)),0))</f>
        <v>4.57</v>
      </c>
      <c r="V89">
        <f>IFERROR(_xlfn.XLOOKUP(V88,'BASE_PROFILÉS'!$B$5:$B$200,'BASE_PROFILÉS'!$D$5:$D$200),IFERROR(INDEX('BASE_PROFILÉS'!$D$5:$D$200,MATCH(V88,'BASE_PROFILÉS'!$B$5:$B$200,0)),0))</f>
        <v>4.57</v>
      </c>
      <c r="W89">
        <f>IFERROR(_xlfn.XLOOKUP(W88,'BASE_PROFILÉS'!$B$5:$B$200,'BASE_PROFILÉS'!$D$5:$D$200),IFERROR(INDEX('BASE_PROFILÉS'!$D$5:$D$200,MATCH(W88,'BASE_PROFILÉS'!$B$5:$B$200,0)),0))</f>
        <v>4.57</v>
      </c>
      <c r="X89">
        <f>IFERROR(_xlfn.XLOOKUP(X88,'BASE_PROFILÉS'!$B$5:$B$200,'BASE_PROFILÉS'!$D$5:$D$200),IFERROR(INDEX('BASE_PROFILÉS'!$D$5:$D$200,MATCH(X88,'BASE_PROFILÉS'!$B$5:$B$200,0)),0))</f>
        <v>4.57</v>
      </c>
    </row>
    <row r="90">
      <c r="A90" t="inlineStr">
        <is>
          <t>h_lisse</t>
        </is>
      </c>
      <c r="B90" t="inlineStr">
        <is>
          <t>PRÉDIMENSIONNEMENT!G78</t>
        </is>
      </c>
      <c r="D90">
        <f>IFERROR(_xlfn.XLOOKUP(D88,'BASE_PROFILÉS'!$B$5:$B$200,'BASE_PROFILÉS'!$E$5:$E$200),IFERROR(INDEX('BASE_PROFILÉS'!$E$5:$E$200,MATCH(D88,'BASE_PROFILÉS'!$B$5:$B$200,0)),0))</f>
        <v>160</v>
      </c>
      <c r="E90">
        <f>IFERROR(_xlfn.XLOOKUP(E88,'BASE_PROFILÉS'!$B$5:$B$200,'BASE_PROFILÉS'!$E$5:$E$200),IFERROR(INDEX('BASE_PROFILÉS'!$E$5:$E$200,MATCH(E88,'BASE_PROFILÉS'!$B$5:$B$200,0)),0))</f>
        <v>160</v>
      </c>
      <c r="F90">
        <f>IFERROR(_xlfn.XLOOKUP(F88,'BASE_PROFILÉS'!$B$5:$B$200,'BASE_PROFILÉS'!$E$5:$E$200),IFERROR(INDEX('BASE_PROFILÉS'!$E$5:$E$200,MATCH(F88,'BASE_PROFILÉS'!$B$5:$B$200,0)),0))</f>
        <v>160</v>
      </c>
      <c r="G90">
        <f>IFERROR(_xlfn.XLOOKUP(G88,'BASE_PROFILÉS'!$B$5:$B$200,'BASE_PROFILÉS'!$E$5:$E$200),IFERROR(INDEX('BASE_PROFILÉS'!$E$5:$E$200,MATCH(G88,'BASE_PROFILÉS'!$B$5:$B$200,0)),0))</f>
        <v>140</v>
      </c>
      <c r="H90">
        <f>IFERROR(_xlfn.XLOOKUP(H88,'BASE_PROFILÉS'!$B$5:$B$200,'BASE_PROFILÉS'!$E$5:$E$200),IFERROR(INDEX('BASE_PROFILÉS'!$E$5:$E$200,MATCH(H88,'BASE_PROFILÉS'!$B$5:$B$200,0)),0))</f>
        <v>140</v>
      </c>
      <c r="I90">
        <f>IFERROR(_xlfn.XLOOKUP(I88,'BASE_PROFILÉS'!$B$5:$B$200,'BASE_PROFILÉS'!$E$5:$E$200),IFERROR(INDEX('BASE_PROFILÉS'!$E$5:$E$200,MATCH(I88,'BASE_PROFILÉS'!$B$5:$B$200,0)),0))</f>
        <v>140</v>
      </c>
      <c r="J90">
        <f>IFERROR(_xlfn.XLOOKUP(J88,'BASE_PROFILÉS'!$B$5:$B$200,'BASE_PROFILÉS'!$E$5:$E$200),IFERROR(INDEX('BASE_PROFILÉS'!$E$5:$E$200,MATCH(J88,'BASE_PROFILÉS'!$B$5:$B$200,0)),0))</f>
        <v>160</v>
      </c>
      <c r="K90">
        <f>IFERROR(_xlfn.XLOOKUP(K88,'BASE_PROFILÉS'!$B$5:$B$200,'BASE_PROFILÉS'!$E$5:$E$200),IFERROR(INDEX('BASE_PROFILÉS'!$E$5:$E$200,MATCH(K88,'BASE_PROFILÉS'!$B$5:$B$200,0)),0))</f>
        <v>160</v>
      </c>
      <c r="L90">
        <f>IFERROR(_xlfn.XLOOKUP(L88,'BASE_PROFILÉS'!$B$5:$B$200,'BASE_PROFILÉS'!$E$5:$E$200),IFERROR(INDEX('BASE_PROFILÉS'!$E$5:$E$200,MATCH(L88,'BASE_PROFILÉS'!$B$5:$B$200,0)),0))</f>
        <v>160</v>
      </c>
      <c r="M90">
        <f>IFERROR(_xlfn.XLOOKUP(M88,'BASE_PROFILÉS'!$B$5:$B$200,'BASE_PROFILÉS'!$E$5:$E$200),IFERROR(INDEX('BASE_PROFILÉS'!$E$5:$E$200,MATCH(M88,'BASE_PROFILÉS'!$B$5:$B$200,0)),0))</f>
        <v>140</v>
      </c>
      <c r="N90">
        <f>IFERROR(_xlfn.XLOOKUP(N88,'BASE_PROFILÉS'!$B$5:$B$200,'BASE_PROFILÉS'!$E$5:$E$200),IFERROR(INDEX('BASE_PROFILÉS'!$E$5:$E$200,MATCH(N88,'BASE_PROFILÉS'!$B$5:$B$200,0)),0))</f>
        <v>140</v>
      </c>
      <c r="O90">
        <f>IFERROR(_xlfn.XLOOKUP(O88,'BASE_PROFILÉS'!$B$5:$B$200,'BASE_PROFILÉS'!$E$5:$E$200),IFERROR(INDEX('BASE_PROFILÉS'!$E$5:$E$200,MATCH(O88,'BASE_PROFILÉS'!$B$5:$B$200,0)),0))</f>
        <v>140</v>
      </c>
      <c r="P90">
        <f>IFERROR(_xlfn.XLOOKUP(P88,'BASE_PROFILÉS'!$B$5:$B$200,'BASE_PROFILÉS'!$E$5:$E$200),IFERROR(INDEX('BASE_PROFILÉS'!$E$5:$E$200,MATCH(P88,'BASE_PROFILÉS'!$B$5:$B$200,0)),0))</f>
        <v>160</v>
      </c>
      <c r="Q90">
        <f>IFERROR(_xlfn.XLOOKUP(Q88,'BASE_PROFILÉS'!$B$5:$B$200,'BASE_PROFILÉS'!$E$5:$E$200),IFERROR(INDEX('BASE_PROFILÉS'!$E$5:$E$200,MATCH(Q88,'BASE_PROFILÉS'!$B$5:$B$200,0)),0))</f>
        <v>160</v>
      </c>
      <c r="R90">
        <f>IFERROR(_xlfn.XLOOKUP(R88,'BASE_PROFILÉS'!$B$5:$B$200,'BASE_PROFILÉS'!$E$5:$E$200),IFERROR(INDEX('BASE_PROFILÉS'!$E$5:$E$200,MATCH(R88,'BASE_PROFILÉS'!$B$5:$B$200,0)),0))</f>
        <v>160</v>
      </c>
      <c r="S90">
        <f>IFERROR(_xlfn.XLOOKUP(S88,'BASE_PROFILÉS'!$B$5:$B$200,'BASE_PROFILÉS'!$E$5:$E$200),IFERROR(INDEX('BASE_PROFILÉS'!$E$5:$E$200,MATCH(S88,'BASE_PROFILÉS'!$B$5:$B$200,0)),0))</f>
        <v>160</v>
      </c>
      <c r="T90">
        <f>IFERROR(_xlfn.XLOOKUP(T88,'BASE_PROFILÉS'!$B$5:$B$200,'BASE_PROFILÉS'!$E$5:$E$200),IFERROR(INDEX('BASE_PROFILÉS'!$E$5:$E$200,MATCH(T88,'BASE_PROFILÉS'!$B$5:$B$200,0)),0))</f>
        <v>160</v>
      </c>
      <c r="U90">
        <f>IFERROR(_xlfn.XLOOKUP(U88,'BASE_PROFILÉS'!$B$5:$B$200,'BASE_PROFILÉS'!$E$5:$E$200),IFERROR(INDEX('BASE_PROFILÉS'!$E$5:$E$200,MATCH(U88,'BASE_PROFILÉS'!$B$5:$B$200,0)),0))</f>
        <v>160</v>
      </c>
      <c r="V90">
        <f>IFERROR(_xlfn.XLOOKUP(V88,'BASE_PROFILÉS'!$B$5:$B$200,'BASE_PROFILÉS'!$E$5:$E$200),IFERROR(INDEX('BASE_PROFILÉS'!$E$5:$E$200,MATCH(V88,'BASE_PROFILÉS'!$B$5:$B$200,0)),0))</f>
        <v>160</v>
      </c>
      <c r="W90">
        <f>IFERROR(_xlfn.XLOOKUP(W88,'BASE_PROFILÉS'!$B$5:$B$200,'BASE_PROFILÉS'!$E$5:$E$200),IFERROR(INDEX('BASE_PROFILÉS'!$E$5:$E$200,MATCH(W88,'BASE_PROFILÉS'!$B$5:$B$200,0)),0))</f>
        <v>160</v>
      </c>
      <c r="X90">
        <f>IFERROR(_xlfn.XLOOKUP(X88,'BASE_PROFILÉS'!$B$5:$B$200,'BASE_PROFILÉS'!$E$5:$E$200),IFERROR(INDEX('BASE_PROFILÉS'!$E$5:$E$200,MATCH(X88,'BASE_PROFILÉS'!$B$5:$B$200,0)),0))</f>
        <v>160</v>
      </c>
    </row>
    <row r="91">
      <c r="A91" t="inlineStr">
        <is>
          <t>auto_cvv</t>
        </is>
      </c>
      <c r="B91" t="inlineStr">
        <is>
          <t>PRÉDIMENSIONNEMENT!C79</t>
        </is>
      </c>
      <c r="D91" t="str">
        <f>"L 70x7"</f>
        <v>L 70x7</v>
      </c>
      <c r="E91" t="str">
        <f>"L 70x7"</f>
        <v>L 70x7</v>
      </c>
      <c r="F91" t="str">
        <f>"L 70x7"</f>
        <v>L 70x7</v>
      </c>
      <c r="G91" t="str">
        <f>"L 70x7"</f>
        <v>L 70x7</v>
      </c>
      <c r="H91" t="str">
        <f>"L 70x7"</f>
        <v>L 70x7</v>
      </c>
      <c r="I91" t="str">
        <f>"L 70x7"</f>
        <v>L 70x7</v>
      </c>
      <c r="J91" t="str">
        <f>"L 70x7"</f>
        <v>L 70x7</v>
      </c>
      <c r="K91" t="str">
        <f>"L 70x7"</f>
        <v>L 70x7</v>
      </c>
      <c r="L91" t="str">
        <f>"L 70x7"</f>
        <v>L 70x7</v>
      </c>
      <c r="M91" t="str">
        <f>"L 70x7"</f>
        <v>L 70x7</v>
      </c>
      <c r="N91" t="str">
        <f>"L 70x7"</f>
        <v>L 70x7</v>
      </c>
      <c r="O91" t="str">
        <f>"L 70x7"</f>
        <v>L 70x7</v>
      </c>
      <c r="P91" t="str">
        <f>"L 70x7"</f>
        <v>L 70x7</v>
      </c>
      <c r="Q91" t="str">
        <f>"L 70x7"</f>
        <v>L 70x7</v>
      </c>
      <c r="R91" t="str">
        <f>"L 70x7"</f>
        <v>L 70x7</v>
      </c>
      <c r="S91" t="str">
        <f>"L 70x7"</f>
        <v>L 70x7</v>
      </c>
      <c r="T91" t="str">
        <f>"L 70x7"</f>
        <v>L 70x7</v>
      </c>
      <c r="U91" t="str">
        <f>"L 70x7"</f>
        <v>L 70x7</v>
      </c>
      <c r="V91" t="str">
        <f>"L 70x7"</f>
        <v>L 70x7</v>
      </c>
      <c r="W91" t="str">
        <f>"L 70x7"</f>
        <v>L 70x7</v>
      </c>
      <c r="X91" t="str">
        <f>"L 70x7"</f>
        <v>L 70x7</v>
      </c>
    </row>
    <row r="92">
      <c r="A92" t="inlineStr">
        <is>
          <t>prof_cvv</t>
        </is>
      </c>
      <c r="B92" t="inlineStr">
        <is>
          <t>PRÉDIMENSIONNEMENT!E79</t>
        </is>
      </c>
      <c r="D92" t="str">
        <f>D91</f>
        <v>L 70x7</v>
      </c>
      <c r="E92" t="str">
        <f>E91</f>
        <v>L 70x7</v>
      </c>
      <c r="F92" t="str">
        <f>F91</f>
        <v>L 70x7</v>
      </c>
      <c r="G92" t="str">
        <f>G91</f>
        <v>L 70x7</v>
      </c>
      <c r="H92" t="str">
        <f>H91</f>
        <v>L 70x7</v>
      </c>
      <c r="I92" t="str">
        <f>I91</f>
        <v>L 70x7</v>
      </c>
      <c r="J92" t="str">
        <f>J91</f>
        <v>L 70x7</v>
      </c>
      <c r="K92" t="str">
        <f>K91</f>
        <v>L 70x7</v>
      </c>
      <c r="L92" t="str">
        <f>L91</f>
        <v>L 70x7</v>
      </c>
      <c r="M92" t="str">
        <f>M91</f>
        <v>L 70x7</v>
      </c>
      <c r="N92" t="str">
        <f>N91</f>
        <v>L 70x7</v>
      </c>
      <c r="O92" t="str">
        <f>O91</f>
        <v>L 70x7</v>
      </c>
      <c r="P92" t="str">
        <f>P91</f>
        <v>L 70x7</v>
      </c>
      <c r="Q92" t="str">
        <f>Q91</f>
        <v>L 70x7</v>
      </c>
      <c r="R92" t="str">
        <f>R91</f>
        <v>L 70x7</v>
      </c>
      <c r="S92" t="str">
        <f>S91</f>
        <v>L 70x7</v>
      </c>
      <c r="T92" t="str">
        <f>T91</f>
        <v>L 70x7</v>
      </c>
      <c r="U92" t="str">
        <f>U91</f>
        <v>L 70x7</v>
      </c>
      <c r="V92" t="str">
        <f>V91</f>
        <v>L 70x7</v>
      </c>
      <c r="W92" t="str">
        <f>W91</f>
        <v>L 70x7</v>
      </c>
      <c r="X92" t="str">
        <f>X91</f>
        <v>L 70x7</v>
      </c>
    </row>
    <row r="93">
      <c r="A93" t="inlineStr">
        <is>
          <t>kg_cvv</t>
        </is>
      </c>
      <c r="B93" t="inlineStr">
        <is>
          <t>PRÉDIMENSIONNEMENT!F79</t>
        </is>
      </c>
      <c r="D93">
        <f>IFERROR(_xlfn.XLOOKUP(D92,'BASE_PROFILÉS'!$B$5:$B$200,'BASE_PROFILÉS'!$D$5:$D$200),IFERROR(INDEX('BASE_PROFILÉS'!$D$5:$D$200,MATCH(D92,'BASE_PROFILÉS'!$B$5:$B$200,0)),0))</f>
        <v>7.38</v>
      </c>
      <c r="E93">
        <f>IFERROR(_xlfn.XLOOKUP(E92,'BASE_PROFILÉS'!$B$5:$B$200,'BASE_PROFILÉS'!$D$5:$D$200),IFERROR(INDEX('BASE_PROFILÉS'!$D$5:$D$200,MATCH(E92,'BASE_PROFILÉS'!$B$5:$B$200,0)),0))</f>
        <v>7.38</v>
      </c>
      <c r="F93">
        <f>IFERROR(_xlfn.XLOOKUP(F92,'BASE_PROFILÉS'!$B$5:$B$200,'BASE_PROFILÉS'!$D$5:$D$200),IFERROR(INDEX('BASE_PROFILÉS'!$D$5:$D$200,MATCH(F92,'BASE_PROFILÉS'!$B$5:$B$200,0)),0))</f>
        <v>7.38</v>
      </c>
      <c r="G93">
        <f>IFERROR(_xlfn.XLOOKUP(G92,'BASE_PROFILÉS'!$B$5:$B$200,'BASE_PROFILÉS'!$D$5:$D$200),IFERROR(INDEX('BASE_PROFILÉS'!$D$5:$D$200,MATCH(G92,'BASE_PROFILÉS'!$B$5:$B$200,0)),0))</f>
        <v>7.38</v>
      </c>
      <c r="H93">
        <f>IFERROR(_xlfn.XLOOKUP(H92,'BASE_PROFILÉS'!$B$5:$B$200,'BASE_PROFILÉS'!$D$5:$D$200),IFERROR(INDEX('BASE_PROFILÉS'!$D$5:$D$200,MATCH(H92,'BASE_PROFILÉS'!$B$5:$B$200,0)),0))</f>
        <v>7.38</v>
      </c>
      <c r="I93">
        <f>IFERROR(_xlfn.XLOOKUP(I92,'BASE_PROFILÉS'!$B$5:$B$200,'BASE_PROFILÉS'!$D$5:$D$200),IFERROR(INDEX('BASE_PROFILÉS'!$D$5:$D$200,MATCH(I92,'BASE_PROFILÉS'!$B$5:$B$200,0)),0))</f>
        <v>7.38</v>
      </c>
      <c r="J93">
        <f>IFERROR(_xlfn.XLOOKUP(J92,'BASE_PROFILÉS'!$B$5:$B$200,'BASE_PROFILÉS'!$D$5:$D$200),IFERROR(INDEX('BASE_PROFILÉS'!$D$5:$D$200,MATCH(J92,'BASE_PROFILÉS'!$B$5:$B$200,0)),0))</f>
        <v>7.38</v>
      </c>
      <c r="K93">
        <f>IFERROR(_xlfn.XLOOKUP(K92,'BASE_PROFILÉS'!$B$5:$B$200,'BASE_PROFILÉS'!$D$5:$D$200),IFERROR(INDEX('BASE_PROFILÉS'!$D$5:$D$200,MATCH(K92,'BASE_PROFILÉS'!$B$5:$B$200,0)),0))</f>
        <v>7.38</v>
      </c>
      <c r="L93">
        <f>IFERROR(_xlfn.XLOOKUP(L92,'BASE_PROFILÉS'!$B$5:$B$200,'BASE_PROFILÉS'!$D$5:$D$200),IFERROR(INDEX('BASE_PROFILÉS'!$D$5:$D$200,MATCH(L92,'BASE_PROFILÉS'!$B$5:$B$200,0)),0))</f>
        <v>7.38</v>
      </c>
      <c r="M93">
        <f>IFERROR(_xlfn.XLOOKUP(M92,'BASE_PROFILÉS'!$B$5:$B$200,'BASE_PROFILÉS'!$D$5:$D$200),IFERROR(INDEX('BASE_PROFILÉS'!$D$5:$D$200,MATCH(M92,'BASE_PROFILÉS'!$B$5:$B$200,0)),0))</f>
        <v>7.38</v>
      </c>
      <c r="N93">
        <f>IFERROR(_xlfn.XLOOKUP(N92,'BASE_PROFILÉS'!$B$5:$B$200,'BASE_PROFILÉS'!$D$5:$D$200),IFERROR(INDEX('BASE_PROFILÉS'!$D$5:$D$200,MATCH(N92,'BASE_PROFILÉS'!$B$5:$B$200,0)),0))</f>
        <v>7.38</v>
      </c>
      <c r="O93">
        <f>IFERROR(_xlfn.XLOOKUP(O92,'BASE_PROFILÉS'!$B$5:$B$200,'BASE_PROFILÉS'!$D$5:$D$200),IFERROR(INDEX('BASE_PROFILÉS'!$D$5:$D$200,MATCH(O92,'BASE_PROFILÉS'!$B$5:$B$200,0)),0))</f>
        <v>7.38</v>
      </c>
      <c r="P93">
        <f>IFERROR(_xlfn.XLOOKUP(P92,'BASE_PROFILÉS'!$B$5:$B$200,'BASE_PROFILÉS'!$D$5:$D$200),IFERROR(INDEX('BASE_PROFILÉS'!$D$5:$D$200,MATCH(P92,'BASE_PROFILÉS'!$B$5:$B$200,0)),0))</f>
        <v>7.38</v>
      </c>
      <c r="Q93">
        <f>IFERROR(_xlfn.XLOOKUP(Q92,'BASE_PROFILÉS'!$B$5:$B$200,'BASE_PROFILÉS'!$D$5:$D$200),IFERROR(INDEX('BASE_PROFILÉS'!$D$5:$D$200,MATCH(Q92,'BASE_PROFILÉS'!$B$5:$B$200,0)),0))</f>
        <v>7.38</v>
      </c>
      <c r="R93">
        <f>IFERROR(_xlfn.XLOOKUP(R92,'BASE_PROFILÉS'!$B$5:$B$200,'BASE_PROFILÉS'!$D$5:$D$200),IFERROR(INDEX('BASE_PROFILÉS'!$D$5:$D$200,MATCH(R92,'BASE_PROFILÉS'!$B$5:$B$200,0)),0))</f>
        <v>7.38</v>
      </c>
      <c r="S93">
        <f>IFERROR(_xlfn.XLOOKUP(S92,'BASE_PROFILÉS'!$B$5:$B$200,'BASE_PROFILÉS'!$D$5:$D$200),IFERROR(INDEX('BASE_PROFILÉS'!$D$5:$D$200,MATCH(S92,'BASE_PROFILÉS'!$B$5:$B$200,0)),0))</f>
        <v>7.38</v>
      </c>
      <c r="T93">
        <f>IFERROR(_xlfn.XLOOKUP(T92,'BASE_PROFILÉS'!$B$5:$B$200,'BASE_PROFILÉS'!$D$5:$D$200),IFERROR(INDEX('BASE_PROFILÉS'!$D$5:$D$200,MATCH(T92,'BASE_PROFILÉS'!$B$5:$B$200,0)),0))</f>
        <v>7.38</v>
      </c>
      <c r="U93">
        <f>IFERROR(_xlfn.XLOOKUP(U92,'BASE_PROFILÉS'!$B$5:$B$200,'BASE_PROFILÉS'!$D$5:$D$200),IFERROR(INDEX('BASE_PROFILÉS'!$D$5:$D$200,MATCH(U92,'BASE_PROFILÉS'!$B$5:$B$200,0)),0))</f>
        <v>7.38</v>
      </c>
      <c r="V93">
        <f>IFERROR(_xlfn.XLOOKUP(V92,'BASE_PROFILÉS'!$B$5:$B$200,'BASE_PROFILÉS'!$D$5:$D$200),IFERROR(INDEX('BASE_PROFILÉS'!$D$5:$D$200,MATCH(V92,'BASE_PROFILÉS'!$B$5:$B$200,0)),0))</f>
        <v>7.38</v>
      </c>
      <c r="W93">
        <f>IFERROR(_xlfn.XLOOKUP(W92,'BASE_PROFILÉS'!$B$5:$B$200,'BASE_PROFILÉS'!$D$5:$D$200),IFERROR(INDEX('BASE_PROFILÉS'!$D$5:$D$200,MATCH(W92,'BASE_PROFILÉS'!$B$5:$B$200,0)),0))</f>
        <v>7.38</v>
      </c>
      <c r="X93">
        <f>IFERROR(_xlfn.XLOOKUP(X92,'BASE_PROFILÉS'!$B$5:$B$200,'BASE_PROFILÉS'!$D$5:$D$200),IFERROR(INDEX('BASE_PROFILÉS'!$D$5:$D$200,MATCH(X92,'BASE_PROFILÉS'!$B$5:$B$200,0)),0))</f>
        <v>7.38</v>
      </c>
    </row>
    <row r="94">
      <c r="A94" t="inlineStr">
        <is>
          <t>h_cvv</t>
        </is>
      </c>
      <c r="B94" t="inlineStr">
        <is>
          <t>PRÉDIMENSIONNEMENT!G79</t>
        </is>
      </c>
      <c r="D94">
        <f>IFERROR(_xlfn.XLOOKUP(D92,'BASE_PROFILÉS'!$B$5:$B$200,'BASE_PROFILÉS'!$E$5:$E$200),IFERROR(INDEX('BASE_PROFILÉS'!$E$5:$E$200,MATCH(D92,'BASE_PROFILÉS'!$B$5:$B$200,0)),0))</f>
        <v>70</v>
      </c>
      <c r="E94">
        <f>IFERROR(_xlfn.XLOOKUP(E92,'BASE_PROFILÉS'!$B$5:$B$200,'BASE_PROFILÉS'!$E$5:$E$200),IFERROR(INDEX('BASE_PROFILÉS'!$E$5:$E$200,MATCH(E92,'BASE_PROFILÉS'!$B$5:$B$200,0)),0))</f>
        <v>70</v>
      </c>
      <c r="F94">
        <f>IFERROR(_xlfn.XLOOKUP(F92,'BASE_PROFILÉS'!$B$5:$B$200,'BASE_PROFILÉS'!$E$5:$E$200),IFERROR(INDEX('BASE_PROFILÉS'!$E$5:$E$200,MATCH(F92,'BASE_PROFILÉS'!$B$5:$B$200,0)),0))</f>
        <v>70</v>
      </c>
      <c r="G94">
        <f>IFERROR(_xlfn.XLOOKUP(G92,'BASE_PROFILÉS'!$B$5:$B$200,'BASE_PROFILÉS'!$E$5:$E$200),IFERROR(INDEX('BASE_PROFILÉS'!$E$5:$E$200,MATCH(G92,'BASE_PROFILÉS'!$B$5:$B$200,0)),0))</f>
        <v>70</v>
      </c>
      <c r="H94">
        <f>IFERROR(_xlfn.XLOOKUP(H92,'BASE_PROFILÉS'!$B$5:$B$200,'BASE_PROFILÉS'!$E$5:$E$200),IFERROR(INDEX('BASE_PROFILÉS'!$E$5:$E$200,MATCH(H92,'BASE_PROFILÉS'!$B$5:$B$200,0)),0))</f>
        <v>70</v>
      </c>
      <c r="I94">
        <f>IFERROR(_xlfn.XLOOKUP(I92,'BASE_PROFILÉS'!$B$5:$B$200,'BASE_PROFILÉS'!$E$5:$E$200),IFERROR(INDEX('BASE_PROFILÉS'!$E$5:$E$200,MATCH(I92,'BASE_PROFILÉS'!$B$5:$B$200,0)),0))</f>
        <v>70</v>
      </c>
      <c r="J94">
        <f>IFERROR(_xlfn.XLOOKUP(J92,'BASE_PROFILÉS'!$B$5:$B$200,'BASE_PROFILÉS'!$E$5:$E$200),IFERROR(INDEX('BASE_PROFILÉS'!$E$5:$E$200,MATCH(J92,'BASE_PROFILÉS'!$B$5:$B$200,0)),0))</f>
        <v>70</v>
      </c>
      <c r="K94">
        <f>IFERROR(_xlfn.XLOOKUP(K92,'BASE_PROFILÉS'!$B$5:$B$200,'BASE_PROFILÉS'!$E$5:$E$200),IFERROR(INDEX('BASE_PROFILÉS'!$E$5:$E$200,MATCH(K92,'BASE_PROFILÉS'!$B$5:$B$200,0)),0))</f>
        <v>70</v>
      </c>
      <c r="L94">
        <f>IFERROR(_xlfn.XLOOKUP(L92,'BASE_PROFILÉS'!$B$5:$B$200,'BASE_PROFILÉS'!$E$5:$E$200),IFERROR(INDEX('BASE_PROFILÉS'!$E$5:$E$200,MATCH(L92,'BASE_PROFILÉS'!$B$5:$B$200,0)),0))</f>
        <v>70</v>
      </c>
      <c r="M94">
        <f>IFERROR(_xlfn.XLOOKUP(M92,'BASE_PROFILÉS'!$B$5:$B$200,'BASE_PROFILÉS'!$E$5:$E$200),IFERROR(INDEX('BASE_PROFILÉS'!$E$5:$E$200,MATCH(M92,'BASE_PROFILÉS'!$B$5:$B$200,0)),0))</f>
        <v>70</v>
      </c>
      <c r="N94">
        <f>IFERROR(_xlfn.XLOOKUP(N92,'BASE_PROFILÉS'!$B$5:$B$200,'BASE_PROFILÉS'!$E$5:$E$200),IFERROR(INDEX('BASE_PROFILÉS'!$E$5:$E$200,MATCH(N92,'BASE_PROFILÉS'!$B$5:$B$200,0)),0))</f>
        <v>70</v>
      </c>
      <c r="O94">
        <f>IFERROR(_xlfn.XLOOKUP(O92,'BASE_PROFILÉS'!$B$5:$B$200,'BASE_PROFILÉS'!$E$5:$E$200),IFERROR(INDEX('BASE_PROFILÉS'!$E$5:$E$200,MATCH(O92,'BASE_PROFILÉS'!$B$5:$B$200,0)),0))</f>
        <v>70</v>
      </c>
      <c r="P94">
        <f>IFERROR(_xlfn.XLOOKUP(P92,'BASE_PROFILÉS'!$B$5:$B$200,'BASE_PROFILÉS'!$E$5:$E$200),IFERROR(INDEX('BASE_PROFILÉS'!$E$5:$E$200,MATCH(P92,'BASE_PROFILÉS'!$B$5:$B$200,0)),0))</f>
        <v>70</v>
      </c>
      <c r="Q94">
        <f>IFERROR(_xlfn.XLOOKUP(Q92,'BASE_PROFILÉS'!$B$5:$B$200,'BASE_PROFILÉS'!$E$5:$E$200),IFERROR(INDEX('BASE_PROFILÉS'!$E$5:$E$200,MATCH(Q92,'BASE_PROFILÉS'!$B$5:$B$200,0)),0))</f>
        <v>70</v>
      </c>
      <c r="R94">
        <f>IFERROR(_xlfn.XLOOKUP(R92,'BASE_PROFILÉS'!$B$5:$B$200,'BASE_PROFILÉS'!$E$5:$E$200),IFERROR(INDEX('BASE_PROFILÉS'!$E$5:$E$200,MATCH(R92,'BASE_PROFILÉS'!$B$5:$B$200,0)),0))</f>
        <v>70</v>
      </c>
      <c r="S94">
        <f>IFERROR(_xlfn.XLOOKUP(S92,'BASE_PROFILÉS'!$B$5:$B$200,'BASE_PROFILÉS'!$E$5:$E$200),IFERROR(INDEX('BASE_PROFILÉS'!$E$5:$E$200,MATCH(S92,'BASE_PROFILÉS'!$B$5:$B$200,0)),0))</f>
        <v>70</v>
      </c>
      <c r="T94">
        <f>IFERROR(_xlfn.XLOOKUP(T92,'BASE_PROFILÉS'!$B$5:$B$200,'BASE_PROFILÉS'!$E$5:$E$200),IFERROR(INDEX('BASE_PROFILÉS'!$E$5:$E$200,MATCH(T92,'BASE_PROFILÉS'!$B$5:$B$200,0)),0))</f>
        <v>70</v>
      </c>
      <c r="U94">
        <f>IFERROR(_xlfn.XLOOKUP(U92,'BASE_PROFILÉS'!$B$5:$B$200,'BASE_PROFILÉS'!$E$5:$E$200),IFERROR(INDEX('BASE_PROFILÉS'!$E$5:$E$200,MATCH(U92,'BASE_PROFILÉS'!$B$5:$B$200,0)),0))</f>
        <v>70</v>
      </c>
      <c r="V94">
        <f>IFERROR(_xlfn.XLOOKUP(V92,'BASE_PROFILÉS'!$B$5:$B$200,'BASE_PROFILÉS'!$E$5:$E$200),IFERROR(INDEX('BASE_PROFILÉS'!$E$5:$E$200,MATCH(V92,'BASE_PROFILÉS'!$B$5:$B$200,0)),0))</f>
        <v>70</v>
      </c>
      <c r="W94">
        <f>IFERROR(_xlfn.XLOOKUP(W92,'BASE_PROFILÉS'!$B$5:$B$200,'BASE_PROFILÉS'!$E$5:$E$200),IFERROR(INDEX('BASE_PROFILÉS'!$E$5:$E$200,MATCH(W92,'BASE_PROFILÉS'!$B$5:$B$200,0)),0))</f>
        <v>70</v>
      </c>
      <c r="X94">
        <f>IFERROR(_xlfn.XLOOKUP(X92,'BASE_PROFILÉS'!$B$5:$B$200,'BASE_PROFILÉS'!$E$5:$E$200),IFERROR(INDEX('BASE_PROFILÉS'!$E$5:$E$200,MATCH(X92,'BASE_PROFILÉS'!$B$5:$B$200,0)),0))</f>
        <v>70</v>
      </c>
    </row>
    <row r="95">
      <c r="A95" t="inlineStr">
        <is>
          <t>auto_cvt</t>
        </is>
      </c>
      <c r="B95" t="inlineStr">
        <is>
          <t>PRÉDIMENSIONNEMENT!C80</t>
        </is>
      </c>
      <c r="D95" t="str">
        <f>"L 60x6"</f>
        <v>L 60x6</v>
      </c>
      <c r="E95" t="str">
        <f>"L 60x6"</f>
        <v>L 60x6</v>
      </c>
      <c r="F95" t="str">
        <f>"L 60x6"</f>
        <v>L 60x6</v>
      </c>
      <c r="G95" t="str">
        <f>"L 60x6"</f>
        <v>L 60x6</v>
      </c>
      <c r="H95" t="str">
        <f>"L 60x6"</f>
        <v>L 60x6</v>
      </c>
      <c r="I95" t="str">
        <f>"L 60x6"</f>
        <v>L 60x6</v>
      </c>
      <c r="J95" t="str">
        <f>"L 60x6"</f>
        <v>L 60x6</v>
      </c>
      <c r="K95" t="str">
        <f>"L 60x6"</f>
        <v>L 60x6</v>
      </c>
      <c r="L95" t="str">
        <f>"L 60x6"</f>
        <v>L 60x6</v>
      </c>
      <c r="M95" t="str">
        <f>"L 60x6"</f>
        <v>L 60x6</v>
      </c>
      <c r="N95" t="str">
        <f>"L 60x6"</f>
        <v>L 60x6</v>
      </c>
      <c r="O95" t="str">
        <f>"L 60x6"</f>
        <v>L 60x6</v>
      </c>
      <c r="P95" t="str">
        <f>"L 60x6"</f>
        <v>L 60x6</v>
      </c>
      <c r="Q95" t="str">
        <f>"L 60x6"</f>
        <v>L 60x6</v>
      </c>
      <c r="R95" t="str">
        <f>"L 60x6"</f>
        <v>L 60x6</v>
      </c>
      <c r="S95" t="str">
        <f>"L 60x6"</f>
        <v>L 60x6</v>
      </c>
      <c r="T95" t="str">
        <f>"L 60x6"</f>
        <v>L 60x6</v>
      </c>
      <c r="U95" t="str">
        <f>"L 60x6"</f>
        <v>L 60x6</v>
      </c>
      <c r="V95" t="str">
        <f>"L 60x6"</f>
        <v>L 60x6</v>
      </c>
      <c r="W95" t="str">
        <f>"L 60x6"</f>
        <v>L 60x6</v>
      </c>
      <c r="X95" t="str">
        <f>"L 60x6"</f>
        <v>L 60x6</v>
      </c>
    </row>
    <row r="96">
      <c r="A96" t="inlineStr">
        <is>
          <t>prof_cvt</t>
        </is>
      </c>
      <c r="B96" t="inlineStr">
        <is>
          <t>PRÉDIMENSIONNEMENT!E80</t>
        </is>
      </c>
      <c r="D96" t="str">
        <f>D95</f>
        <v>L 60x6</v>
      </c>
      <c r="E96" t="str">
        <f>E95</f>
        <v>L 60x6</v>
      </c>
      <c r="F96" t="str">
        <f>F95</f>
        <v>L 60x6</v>
      </c>
      <c r="G96" t="str">
        <f>G95</f>
        <v>L 60x6</v>
      </c>
      <c r="H96" t="str">
        <f>H95</f>
        <v>L 60x6</v>
      </c>
      <c r="I96" t="str">
        <f>I95</f>
        <v>L 60x6</v>
      </c>
      <c r="J96" t="str">
        <f>J95</f>
        <v>L 60x6</v>
      </c>
      <c r="K96" t="str">
        <f>K95</f>
        <v>L 60x6</v>
      </c>
      <c r="L96" t="str">
        <f>L95</f>
        <v>L 60x6</v>
      </c>
      <c r="M96" t="str">
        <f>M95</f>
        <v>L 60x6</v>
      </c>
      <c r="N96" t="str">
        <f>N95</f>
        <v>L 60x6</v>
      </c>
      <c r="O96" t="str">
        <f>O95</f>
        <v>L 60x6</v>
      </c>
      <c r="P96" t="str">
        <f>P95</f>
        <v>L 60x6</v>
      </c>
      <c r="Q96" t="str">
        <f>Q95</f>
        <v>L 60x6</v>
      </c>
      <c r="R96" t="str">
        <f>R95</f>
        <v>L 60x6</v>
      </c>
      <c r="S96" t="str">
        <f>S95</f>
        <v>L 60x6</v>
      </c>
      <c r="T96" t="str">
        <f>T95</f>
        <v>L 60x6</v>
      </c>
      <c r="U96" t="str">
        <f>U95</f>
        <v>L 60x6</v>
      </c>
      <c r="V96" t="str">
        <f>V95</f>
        <v>L 60x6</v>
      </c>
      <c r="W96" t="str">
        <f>W95</f>
        <v>L 60x6</v>
      </c>
      <c r="X96" t="str">
        <f>X95</f>
        <v>L 60x6</v>
      </c>
    </row>
    <row r="97">
      <c r="A97" t="inlineStr">
        <is>
          <t>kg_cvt</t>
        </is>
      </c>
      <c r="B97" t="inlineStr">
        <is>
          <t>PRÉDIMENSIONNEMENT!F80</t>
        </is>
      </c>
      <c r="D97">
        <f>IFERROR(_xlfn.XLOOKUP(D96,'BASE_PROFILÉS'!$B$5:$B$200,'BASE_PROFILÉS'!$D$5:$D$200),IFERROR(INDEX('BASE_PROFILÉS'!$D$5:$D$200,MATCH(D96,'BASE_PROFILÉS'!$B$5:$B$200,0)),0))</f>
        <v>5.42</v>
      </c>
      <c r="E97">
        <f>IFERROR(_xlfn.XLOOKUP(E96,'BASE_PROFILÉS'!$B$5:$B$200,'BASE_PROFILÉS'!$D$5:$D$200),IFERROR(INDEX('BASE_PROFILÉS'!$D$5:$D$200,MATCH(E96,'BASE_PROFILÉS'!$B$5:$B$200,0)),0))</f>
        <v>5.42</v>
      </c>
      <c r="F97">
        <f>IFERROR(_xlfn.XLOOKUP(F96,'BASE_PROFILÉS'!$B$5:$B$200,'BASE_PROFILÉS'!$D$5:$D$200),IFERROR(INDEX('BASE_PROFILÉS'!$D$5:$D$200,MATCH(F96,'BASE_PROFILÉS'!$B$5:$B$200,0)),0))</f>
        <v>5.42</v>
      </c>
      <c r="G97">
        <f>IFERROR(_xlfn.XLOOKUP(G96,'BASE_PROFILÉS'!$B$5:$B$200,'BASE_PROFILÉS'!$D$5:$D$200),IFERROR(INDEX('BASE_PROFILÉS'!$D$5:$D$200,MATCH(G96,'BASE_PROFILÉS'!$B$5:$B$200,0)),0))</f>
        <v>5.42</v>
      </c>
      <c r="H97">
        <f>IFERROR(_xlfn.XLOOKUP(H96,'BASE_PROFILÉS'!$B$5:$B$200,'BASE_PROFILÉS'!$D$5:$D$200),IFERROR(INDEX('BASE_PROFILÉS'!$D$5:$D$200,MATCH(H96,'BASE_PROFILÉS'!$B$5:$B$200,0)),0))</f>
        <v>5.42</v>
      </c>
      <c r="I97">
        <f>IFERROR(_xlfn.XLOOKUP(I96,'BASE_PROFILÉS'!$B$5:$B$200,'BASE_PROFILÉS'!$D$5:$D$200),IFERROR(INDEX('BASE_PROFILÉS'!$D$5:$D$200,MATCH(I96,'BASE_PROFILÉS'!$B$5:$B$200,0)),0))</f>
        <v>5.42</v>
      </c>
      <c r="J97">
        <f>IFERROR(_xlfn.XLOOKUP(J96,'BASE_PROFILÉS'!$B$5:$B$200,'BASE_PROFILÉS'!$D$5:$D$200),IFERROR(INDEX('BASE_PROFILÉS'!$D$5:$D$200,MATCH(J96,'BASE_PROFILÉS'!$B$5:$B$200,0)),0))</f>
        <v>5.42</v>
      </c>
      <c r="K97">
        <f>IFERROR(_xlfn.XLOOKUP(K96,'BASE_PROFILÉS'!$B$5:$B$200,'BASE_PROFILÉS'!$D$5:$D$200),IFERROR(INDEX('BASE_PROFILÉS'!$D$5:$D$200,MATCH(K96,'BASE_PROFILÉS'!$B$5:$B$200,0)),0))</f>
        <v>5.42</v>
      </c>
      <c r="L97">
        <f>IFERROR(_xlfn.XLOOKUP(L96,'BASE_PROFILÉS'!$B$5:$B$200,'BASE_PROFILÉS'!$D$5:$D$200),IFERROR(INDEX('BASE_PROFILÉS'!$D$5:$D$200,MATCH(L96,'BASE_PROFILÉS'!$B$5:$B$200,0)),0))</f>
        <v>5.42</v>
      </c>
      <c r="M97">
        <f>IFERROR(_xlfn.XLOOKUP(M96,'BASE_PROFILÉS'!$B$5:$B$200,'BASE_PROFILÉS'!$D$5:$D$200),IFERROR(INDEX('BASE_PROFILÉS'!$D$5:$D$200,MATCH(M96,'BASE_PROFILÉS'!$B$5:$B$200,0)),0))</f>
        <v>5.42</v>
      </c>
      <c r="N97">
        <f>IFERROR(_xlfn.XLOOKUP(N96,'BASE_PROFILÉS'!$B$5:$B$200,'BASE_PROFILÉS'!$D$5:$D$200),IFERROR(INDEX('BASE_PROFILÉS'!$D$5:$D$200,MATCH(N96,'BASE_PROFILÉS'!$B$5:$B$200,0)),0))</f>
        <v>5.42</v>
      </c>
      <c r="O97">
        <f>IFERROR(_xlfn.XLOOKUP(O96,'BASE_PROFILÉS'!$B$5:$B$200,'BASE_PROFILÉS'!$D$5:$D$200),IFERROR(INDEX('BASE_PROFILÉS'!$D$5:$D$200,MATCH(O96,'BASE_PROFILÉS'!$B$5:$B$200,0)),0))</f>
        <v>5.42</v>
      </c>
      <c r="P97">
        <f>IFERROR(_xlfn.XLOOKUP(P96,'BASE_PROFILÉS'!$B$5:$B$200,'BASE_PROFILÉS'!$D$5:$D$200),IFERROR(INDEX('BASE_PROFILÉS'!$D$5:$D$200,MATCH(P96,'BASE_PROFILÉS'!$B$5:$B$200,0)),0))</f>
        <v>5.42</v>
      </c>
      <c r="Q97">
        <f>IFERROR(_xlfn.XLOOKUP(Q96,'BASE_PROFILÉS'!$B$5:$B$200,'BASE_PROFILÉS'!$D$5:$D$200),IFERROR(INDEX('BASE_PROFILÉS'!$D$5:$D$200,MATCH(Q96,'BASE_PROFILÉS'!$B$5:$B$200,0)),0))</f>
        <v>5.42</v>
      </c>
      <c r="R97">
        <f>IFERROR(_xlfn.XLOOKUP(R96,'BASE_PROFILÉS'!$B$5:$B$200,'BASE_PROFILÉS'!$D$5:$D$200),IFERROR(INDEX('BASE_PROFILÉS'!$D$5:$D$200,MATCH(R96,'BASE_PROFILÉS'!$B$5:$B$200,0)),0))</f>
        <v>5.42</v>
      </c>
      <c r="S97">
        <f>IFERROR(_xlfn.XLOOKUP(S96,'BASE_PROFILÉS'!$B$5:$B$200,'BASE_PROFILÉS'!$D$5:$D$200),IFERROR(INDEX('BASE_PROFILÉS'!$D$5:$D$200,MATCH(S96,'BASE_PROFILÉS'!$B$5:$B$200,0)),0))</f>
        <v>5.42</v>
      </c>
      <c r="T97">
        <f>IFERROR(_xlfn.XLOOKUP(T96,'BASE_PROFILÉS'!$B$5:$B$200,'BASE_PROFILÉS'!$D$5:$D$200),IFERROR(INDEX('BASE_PROFILÉS'!$D$5:$D$200,MATCH(T96,'BASE_PROFILÉS'!$B$5:$B$200,0)),0))</f>
        <v>5.42</v>
      </c>
      <c r="U97">
        <f>IFERROR(_xlfn.XLOOKUP(U96,'BASE_PROFILÉS'!$B$5:$B$200,'BASE_PROFILÉS'!$D$5:$D$200),IFERROR(INDEX('BASE_PROFILÉS'!$D$5:$D$200,MATCH(U96,'BASE_PROFILÉS'!$B$5:$B$200,0)),0))</f>
        <v>5.42</v>
      </c>
      <c r="V97">
        <f>IFERROR(_xlfn.XLOOKUP(V96,'BASE_PROFILÉS'!$B$5:$B$200,'BASE_PROFILÉS'!$D$5:$D$200),IFERROR(INDEX('BASE_PROFILÉS'!$D$5:$D$200,MATCH(V96,'BASE_PROFILÉS'!$B$5:$B$200,0)),0))</f>
        <v>5.42</v>
      </c>
      <c r="W97">
        <f>IFERROR(_xlfn.XLOOKUP(W96,'BASE_PROFILÉS'!$B$5:$B$200,'BASE_PROFILÉS'!$D$5:$D$200),IFERROR(INDEX('BASE_PROFILÉS'!$D$5:$D$200,MATCH(W96,'BASE_PROFILÉS'!$B$5:$B$200,0)),0))</f>
        <v>5.42</v>
      </c>
      <c r="X97">
        <f>IFERROR(_xlfn.XLOOKUP(X96,'BASE_PROFILÉS'!$B$5:$B$200,'BASE_PROFILÉS'!$D$5:$D$200),IFERROR(INDEX('BASE_PROFILÉS'!$D$5:$D$200,MATCH(X96,'BASE_PROFILÉS'!$B$5:$B$200,0)),0))</f>
        <v>5.42</v>
      </c>
    </row>
    <row r="98">
      <c r="A98" t="inlineStr">
        <is>
          <t>h_cvt</t>
        </is>
      </c>
      <c r="B98" t="inlineStr">
        <is>
          <t>PRÉDIMENSIONNEMENT!G80</t>
        </is>
      </c>
      <c r="D98">
        <f>IFERROR(_xlfn.XLOOKUP(D96,'BASE_PROFILÉS'!$B$5:$B$200,'BASE_PROFILÉS'!$E$5:$E$200),IFERROR(INDEX('BASE_PROFILÉS'!$E$5:$E$200,MATCH(D96,'BASE_PROFILÉS'!$B$5:$B$200,0)),0))</f>
        <v>60</v>
      </c>
      <c r="E98">
        <f>IFERROR(_xlfn.XLOOKUP(E96,'BASE_PROFILÉS'!$B$5:$B$200,'BASE_PROFILÉS'!$E$5:$E$200),IFERROR(INDEX('BASE_PROFILÉS'!$E$5:$E$200,MATCH(E96,'BASE_PROFILÉS'!$B$5:$B$200,0)),0))</f>
        <v>60</v>
      </c>
      <c r="F98">
        <f>IFERROR(_xlfn.XLOOKUP(F96,'BASE_PROFILÉS'!$B$5:$B$200,'BASE_PROFILÉS'!$E$5:$E$200),IFERROR(INDEX('BASE_PROFILÉS'!$E$5:$E$200,MATCH(F96,'BASE_PROFILÉS'!$B$5:$B$200,0)),0))</f>
        <v>60</v>
      </c>
      <c r="G98">
        <f>IFERROR(_xlfn.XLOOKUP(G96,'BASE_PROFILÉS'!$B$5:$B$200,'BASE_PROFILÉS'!$E$5:$E$200),IFERROR(INDEX('BASE_PROFILÉS'!$E$5:$E$200,MATCH(G96,'BASE_PROFILÉS'!$B$5:$B$200,0)),0))</f>
        <v>60</v>
      </c>
      <c r="H98">
        <f>IFERROR(_xlfn.XLOOKUP(H96,'BASE_PROFILÉS'!$B$5:$B$200,'BASE_PROFILÉS'!$E$5:$E$200),IFERROR(INDEX('BASE_PROFILÉS'!$E$5:$E$200,MATCH(H96,'BASE_PROFILÉS'!$B$5:$B$200,0)),0))</f>
        <v>60</v>
      </c>
      <c r="I98">
        <f>IFERROR(_xlfn.XLOOKUP(I96,'BASE_PROFILÉS'!$B$5:$B$200,'BASE_PROFILÉS'!$E$5:$E$200),IFERROR(INDEX('BASE_PROFILÉS'!$E$5:$E$200,MATCH(I96,'BASE_PROFILÉS'!$B$5:$B$200,0)),0))</f>
        <v>60</v>
      </c>
      <c r="J98">
        <f>IFERROR(_xlfn.XLOOKUP(J96,'BASE_PROFILÉS'!$B$5:$B$200,'BASE_PROFILÉS'!$E$5:$E$200),IFERROR(INDEX('BASE_PROFILÉS'!$E$5:$E$200,MATCH(J96,'BASE_PROFILÉS'!$B$5:$B$200,0)),0))</f>
        <v>60</v>
      </c>
      <c r="K98">
        <f>IFERROR(_xlfn.XLOOKUP(K96,'BASE_PROFILÉS'!$B$5:$B$200,'BASE_PROFILÉS'!$E$5:$E$200),IFERROR(INDEX('BASE_PROFILÉS'!$E$5:$E$200,MATCH(K96,'BASE_PROFILÉS'!$B$5:$B$200,0)),0))</f>
        <v>60</v>
      </c>
      <c r="L98">
        <f>IFERROR(_xlfn.XLOOKUP(L96,'BASE_PROFILÉS'!$B$5:$B$200,'BASE_PROFILÉS'!$E$5:$E$200),IFERROR(INDEX('BASE_PROFILÉS'!$E$5:$E$200,MATCH(L96,'BASE_PROFILÉS'!$B$5:$B$200,0)),0))</f>
        <v>60</v>
      </c>
      <c r="M98">
        <f>IFERROR(_xlfn.XLOOKUP(M96,'BASE_PROFILÉS'!$B$5:$B$200,'BASE_PROFILÉS'!$E$5:$E$200),IFERROR(INDEX('BASE_PROFILÉS'!$E$5:$E$200,MATCH(M96,'BASE_PROFILÉS'!$B$5:$B$200,0)),0))</f>
        <v>60</v>
      </c>
      <c r="N98">
        <f>IFERROR(_xlfn.XLOOKUP(N96,'BASE_PROFILÉS'!$B$5:$B$200,'BASE_PROFILÉS'!$E$5:$E$200),IFERROR(INDEX('BASE_PROFILÉS'!$E$5:$E$200,MATCH(N96,'BASE_PROFILÉS'!$B$5:$B$200,0)),0))</f>
        <v>60</v>
      </c>
      <c r="O98">
        <f>IFERROR(_xlfn.XLOOKUP(O96,'BASE_PROFILÉS'!$B$5:$B$200,'BASE_PROFILÉS'!$E$5:$E$200),IFERROR(INDEX('BASE_PROFILÉS'!$E$5:$E$200,MATCH(O96,'BASE_PROFILÉS'!$B$5:$B$200,0)),0))</f>
        <v>60</v>
      </c>
      <c r="P98">
        <f>IFERROR(_xlfn.XLOOKUP(P96,'BASE_PROFILÉS'!$B$5:$B$200,'BASE_PROFILÉS'!$E$5:$E$200),IFERROR(INDEX('BASE_PROFILÉS'!$E$5:$E$200,MATCH(P96,'BASE_PROFILÉS'!$B$5:$B$200,0)),0))</f>
        <v>60</v>
      </c>
      <c r="Q98">
        <f>IFERROR(_xlfn.XLOOKUP(Q96,'BASE_PROFILÉS'!$B$5:$B$200,'BASE_PROFILÉS'!$E$5:$E$200),IFERROR(INDEX('BASE_PROFILÉS'!$E$5:$E$200,MATCH(Q96,'BASE_PROFILÉS'!$B$5:$B$200,0)),0))</f>
        <v>60</v>
      </c>
      <c r="R98">
        <f>IFERROR(_xlfn.XLOOKUP(R96,'BASE_PROFILÉS'!$B$5:$B$200,'BASE_PROFILÉS'!$E$5:$E$200),IFERROR(INDEX('BASE_PROFILÉS'!$E$5:$E$200,MATCH(R96,'BASE_PROFILÉS'!$B$5:$B$200,0)),0))</f>
        <v>60</v>
      </c>
      <c r="S98">
        <f>IFERROR(_xlfn.XLOOKUP(S96,'BASE_PROFILÉS'!$B$5:$B$200,'BASE_PROFILÉS'!$E$5:$E$200),IFERROR(INDEX('BASE_PROFILÉS'!$E$5:$E$200,MATCH(S96,'BASE_PROFILÉS'!$B$5:$B$200,0)),0))</f>
        <v>60</v>
      </c>
      <c r="T98">
        <f>IFERROR(_xlfn.XLOOKUP(T96,'BASE_PROFILÉS'!$B$5:$B$200,'BASE_PROFILÉS'!$E$5:$E$200),IFERROR(INDEX('BASE_PROFILÉS'!$E$5:$E$200,MATCH(T96,'BASE_PROFILÉS'!$B$5:$B$200,0)),0))</f>
        <v>60</v>
      </c>
      <c r="U98">
        <f>IFERROR(_xlfn.XLOOKUP(U96,'BASE_PROFILÉS'!$B$5:$B$200,'BASE_PROFILÉS'!$E$5:$E$200),IFERROR(INDEX('BASE_PROFILÉS'!$E$5:$E$200,MATCH(U96,'BASE_PROFILÉS'!$B$5:$B$200,0)),0))</f>
        <v>60</v>
      </c>
      <c r="V98">
        <f>IFERROR(_xlfn.XLOOKUP(V96,'BASE_PROFILÉS'!$B$5:$B$200,'BASE_PROFILÉS'!$E$5:$E$200),IFERROR(INDEX('BASE_PROFILÉS'!$E$5:$E$200,MATCH(V96,'BASE_PROFILÉS'!$B$5:$B$200,0)),0))</f>
        <v>60</v>
      </c>
      <c r="W98">
        <f>IFERROR(_xlfn.XLOOKUP(W96,'BASE_PROFILÉS'!$B$5:$B$200,'BASE_PROFILÉS'!$E$5:$E$200),IFERROR(INDEX('BASE_PROFILÉS'!$E$5:$E$200,MATCH(W96,'BASE_PROFILÉS'!$B$5:$B$200,0)),0))</f>
        <v>60</v>
      </c>
      <c r="X98">
        <f>IFERROR(_xlfn.XLOOKUP(X96,'BASE_PROFILÉS'!$B$5:$B$200,'BASE_PROFILÉS'!$E$5:$E$200),IFERROR(INDEX('BASE_PROFILÉS'!$E$5:$E$200,MATCH(X96,'BASE_PROFILÉS'!$B$5:$B$200,0)),0))</f>
        <v>60</v>
      </c>
    </row>
    <row r="99">
      <c r="A99" t="inlineStr">
        <is>
          <t>auto_lierne</t>
        </is>
      </c>
      <c r="B99" t="inlineStr">
        <is>
          <t>PRÉDIMENSIONNEMENT!C81</t>
        </is>
      </c>
      <c r="D99" t="str">
        <f>"Rond 12"</f>
        <v>Rond 12</v>
      </c>
      <c r="E99" t="str">
        <f>"Rond 12"</f>
        <v>Rond 12</v>
      </c>
      <c r="F99" t="str">
        <f>"Rond 12"</f>
        <v>Rond 12</v>
      </c>
      <c r="G99" t="str">
        <f>"Rond 12"</f>
        <v>Rond 12</v>
      </c>
      <c r="H99" t="str">
        <f>"Rond 12"</f>
        <v>Rond 12</v>
      </c>
      <c r="I99" t="str">
        <f>"Rond 12"</f>
        <v>Rond 12</v>
      </c>
      <c r="J99" t="str">
        <f>"Rond 12"</f>
        <v>Rond 12</v>
      </c>
      <c r="K99" t="str">
        <f>"Rond 12"</f>
        <v>Rond 12</v>
      </c>
      <c r="L99" t="str">
        <f>"Rond 12"</f>
        <v>Rond 12</v>
      </c>
      <c r="M99" t="str">
        <f>"Rond 12"</f>
        <v>Rond 12</v>
      </c>
      <c r="N99" t="str">
        <f>"Rond 12"</f>
        <v>Rond 12</v>
      </c>
      <c r="O99" t="str">
        <f>"Rond 12"</f>
        <v>Rond 12</v>
      </c>
      <c r="P99" t="str">
        <f>"Rond 12"</f>
        <v>Rond 12</v>
      </c>
      <c r="Q99" t="str">
        <f>"Rond 12"</f>
        <v>Rond 12</v>
      </c>
      <c r="R99" t="str">
        <f>"Rond 12"</f>
        <v>Rond 12</v>
      </c>
      <c r="S99" t="str">
        <f>"Rond 12"</f>
        <v>Rond 12</v>
      </c>
      <c r="T99" t="str">
        <f>"Rond 12"</f>
        <v>Rond 12</v>
      </c>
      <c r="U99" t="str">
        <f>"Rond 12"</f>
        <v>Rond 12</v>
      </c>
      <c r="V99" t="str">
        <f>"Rond 12"</f>
        <v>Rond 12</v>
      </c>
      <c r="W99" t="str">
        <f>"Rond 12"</f>
        <v>Rond 12</v>
      </c>
      <c r="X99" t="str">
        <f>"Rond 12"</f>
        <v>Rond 12</v>
      </c>
    </row>
    <row r="100">
      <c r="A100" t="inlineStr">
        <is>
          <t>prof_lierne</t>
        </is>
      </c>
      <c r="B100" t="inlineStr">
        <is>
          <t>PRÉDIMENSIONNEMENT!E81</t>
        </is>
      </c>
      <c r="D100" t="str">
        <f>D99</f>
        <v>Rond 12</v>
      </c>
      <c r="E100" t="str">
        <f>E99</f>
        <v>Rond 12</v>
      </c>
      <c r="F100" t="str">
        <f>F99</f>
        <v>Rond 12</v>
      </c>
      <c r="G100" t="str">
        <f>G99</f>
        <v>Rond 12</v>
      </c>
      <c r="H100" t="str">
        <f>H99</f>
        <v>Rond 12</v>
      </c>
      <c r="I100" t="str">
        <f>I99</f>
        <v>Rond 12</v>
      </c>
      <c r="J100" t="str">
        <f>J99</f>
        <v>Rond 12</v>
      </c>
      <c r="K100" t="str">
        <f>K99</f>
        <v>Rond 12</v>
      </c>
      <c r="L100" t="str">
        <f>L99</f>
        <v>Rond 12</v>
      </c>
      <c r="M100" t="str">
        <f>M99</f>
        <v>Rond 12</v>
      </c>
      <c r="N100" t="str">
        <f>N99</f>
        <v>Rond 12</v>
      </c>
      <c r="O100" t="str">
        <f>O99</f>
        <v>Rond 12</v>
      </c>
      <c r="P100" t="str">
        <f>P99</f>
        <v>Rond 12</v>
      </c>
      <c r="Q100" t="str">
        <f>Q99</f>
        <v>Rond 12</v>
      </c>
      <c r="R100" t="str">
        <f>R99</f>
        <v>Rond 12</v>
      </c>
      <c r="S100" t="str">
        <f>S99</f>
        <v>Rond 12</v>
      </c>
      <c r="T100" t="str">
        <f>T99</f>
        <v>Rond 12</v>
      </c>
      <c r="U100" t="str">
        <f>U99</f>
        <v>Rond 12</v>
      </c>
      <c r="V100" t="str">
        <f>V99</f>
        <v>Rond 12</v>
      </c>
      <c r="W100" t="str">
        <f>W99</f>
        <v>Rond 12</v>
      </c>
      <c r="X100" t="str">
        <f>X99</f>
        <v>Rond 12</v>
      </c>
    </row>
    <row r="101">
      <c r="A101" t="inlineStr">
        <is>
          <t>kg_lierne</t>
        </is>
      </c>
      <c r="B101" t="inlineStr">
        <is>
          <t>PRÉDIMENSIONNEMENT!F81</t>
        </is>
      </c>
      <c r="D101">
        <f>IFERROR(_xlfn.XLOOKUP(D100,'BASE_PROFILÉS'!$B$5:$B$200,'BASE_PROFILÉS'!$D$5:$D$200),IFERROR(INDEX('BASE_PROFILÉS'!$D$5:$D$200,MATCH(D100,'BASE_PROFILÉS'!$B$5:$B$200,0)),0))</f>
        <v>0.888</v>
      </c>
      <c r="E101">
        <f>IFERROR(_xlfn.XLOOKUP(E100,'BASE_PROFILÉS'!$B$5:$B$200,'BASE_PROFILÉS'!$D$5:$D$200),IFERROR(INDEX('BASE_PROFILÉS'!$D$5:$D$200,MATCH(E100,'BASE_PROFILÉS'!$B$5:$B$200,0)),0))</f>
        <v>0.888</v>
      </c>
      <c r="F101">
        <f>IFERROR(_xlfn.XLOOKUP(F100,'BASE_PROFILÉS'!$B$5:$B$200,'BASE_PROFILÉS'!$D$5:$D$200),IFERROR(INDEX('BASE_PROFILÉS'!$D$5:$D$200,MATCH(F100,'BASE_PROFILÉS'!$B$5:$B$200,0)),0))</f>
        <v>0.888</v>
      </c>
      <c r="G101">
        <f>IFERROR(_xlfn.XLOOKUP(G100,'BASE_PROFILÉS'!$B$5:$B$200,'BASE_PROFILÉS'!$D$5:$D$200),IFERROR(INDEX('BASE_PROFILÉS'!$D$5:$D$200,MATCH(G100,'BASE_PROFILÉS'!$B$5:$B$200,0)),0))</f>
        <v>0.888</v>
      </c>
      <c r="H101">
        <f>IFERROR(_xlfn.XLOOKUP(H100,'BASE_PROFILÉS'!$B$5:$B$200,'BASE_PROFILÉS'!$D$5:$D$200),IFERROR(INDEX('BASE_PROFILÉS'!$D$5:$D$200,MATCH(H100,'BASE_PROFILÉS'!$B$5:$B$200,0)),0))</f>
        <v>0.888</v>
      </c>
      <c r="I101">
        <f>IFERROR(_xlfn.XLOOKUP(I100,'BASE_PROFILÉS'!$B$5:$B$200,'BASE_PROFILÉS'!$D$5:$D$200),IFERROR(INDEX('BASE_PROFILÉS'!$D$5:$D$200,MATCH(I100,'BASE_PROFILÉS'!$B$5:$B$200,0)),0))</f>
        <v>0.888</v>
      </c>
      <c r="J101">
        <f>IFERROR(_xlfn.XLOOKUP(J100,'BASE_PROFILÉS'!$B$5:$B$200,'BASE_PROFILÉS'!$D$5:$D$200),IFERROR(INDEX('BASE_PROFILÉS'!$D$5:$D$200,MATCH(J100,'BASE_PROFILÉS'!$B$5:$B$200,0)),0))</f>
        <v>0.888</v>
      </c>
      <c r="K101">
        <f>IFERROR(_xlfn.XLOOKUP(K100,'BASE_PROFILÉS'!$B$5:$B$200,'BASE_PROFILÉS'!$D$5:$D$200),IFERROR(INDEX('BASE_PROFILÉS'!$D$5:$D$200,MATCH(K100,'BASE_PROFILÉS'!$B$5:$B$200,0)),0))</f>
        <v>0.888</v>
      </c>
      <c r="L101">
        <f>IFERROR(_xlfn.XLOOKUP(L100,'BASE_PROFILÉS'!$B$5:$B$200,'BASE_PROFILÉS'!$D$5:$D$200),IFERROR(INDEX('BASE_PROFILÉS'!$D$5:$D$200,MATCH(L100,'BASE_PROFILÉS'!$B$5:$B$200,0)),0))</f>
        <v>0.888</v>
      </c>
      <c r="M101">
        <f>IFERROR(_xlfn.XLOOKUP(M100,'BASE_PROFILÉS'!$B$5:$B$200,'BASE_PROFILÉS'!$D$5:$D$200),IFERROR(INDEX('BASE_PROFILÉS'!$D$5:$D$200,MATCH(M100,'BASE_PROFILÉS'!$B$5:$B$200,0)),0))</f>
        <v>0.888</v>
      </c>
      <c r="N101">
        <f>IFERROR(_xlfn.XLOOKUP(N100,'BASE_PROFILÉS'!$B$5:$B$200,'BASE_PROFILÉS'!$D$5:$D$200),IFERROR(INDEX('BASE_PROFILÉS'!$D$5:$D$200,MATCH(N100,'BASE_PROFILÉS'!$B$5:$B$200,0)),0))</f>
        <v>0.888</v>
      </c>
      <c r="O101">
        <f>IFERROR(_xlfn.XLOOKUP(O100,'BASE_PROFILÉS'!$B$5:$B$200,'BASE_PROFILÉS'!$D$5:$D$200),IFERROR(INDEX('BASE_PROFILÉS'!$D$5:$D$200,MATCH(O100,'BASE_PROFILÉS'!$B$5:$B$200,0)),0))</f>
        <v>0.888</v>
      </c>
      <c r="P101">
        <f>IFERROR(_xlfn.XLOOKUP(P100,'BASE_PROFILÉS'!$B$5:$B$200,'BASE_PROFILÉS'!$D$5:$D$200),IFERROR(INDEX('BASE_PROFILÉS'!$D$5:$D$200,MATCH(P100,'BASE_PROFILÉS'!$B$5:$B$200,0)),0))</f>
        <v>0.888</v>
      </c>
      <c r="Q101">
        <f>IFERROR(_xlfn.XLOOKUP(Q100,'BASE_PROFILÉS'!$B$5:$B$200,'BASE_PROFILÉS'!$D$5:$D$200),IFERROR(INDEX('BASE_PROFILÉS'!$D$5:$D$200,MATCH(Q100,'BASE_PROFILÉS'!$B$5:$B$200,0)),0))</f>
        <v>0.888</v>
      </c>
      <c r="R101">
        <f>IFERROR(_xlfn.XLOOKUP(R100,'BASE_PROFILÉS'!$B$5:$B$200,'BASE_PROFILÉS'!$D$5:$D$200),IFERROR(INDEX('BASE_PROFILÉS'!$D$5:$D$200,MATCH(R100,'BASE_PROFILÉS'!$B$5:$B$200,0)),0))</f>
        <v>0.888</v>
      </c>
      <c r="S101">
        <f>IFERROR(_xlfn.XLOOKUP(S100,'BASE_PROFILÉS'!$B$5:$B$200,'BASE_PROFILÉS'!$D$5:$D$200),IFERROR(INDEX('BASE_PROFILÉS'!$D$5:$D$200,MATCH(S100,'BASE_PROFILÉS'!$B$5:$B$200,0)),0))</f>
        <v>0.888</v>
      </c>
      <c r="T101">
        <f>IFERROR(_xlfn.XLOOKUP(T100,'BASE_PROFILÉS'!$B$5:$B$200,'BASE_PROFILÉS'!$D$5:$D$200),IFERROR(INDEX('BASE_PROFILÉS'!$D$5:$D$200,MATCH(T100,'BASE_PROFILÉS'!$B$5:$B$200,0)),0))</f>
        <v>0.888</v>
      </c>
      <c r="U101">
        <f>IFERROR(_xlfn.XLOOKUP(U100,'BASE_PROFILÉS'!$B$5:$B$200,'BASE_PROFILÉS'!$D$5:$D$200),IFERROR(INDEX('BASE_PROFILÉS'!$D$5:$D$200,MATCH(U100,'BASE_PROFILÉS'!$B$5:$B$200,0)),0))</f>
        <v>0.888</v>
      </c>
      <c r="V101">
        <f>IFERROR(_xlfn.XLOOKUP(V100,'BASE_PROFILÉS'!$B$5:$B$200,'BASE_PROFILÉS'!$D$5:$D$200),IFERROR(INDEX('BASE_PROFILÉS'!$D$5:$D$200,MATCH(V100,'BASE_PROFILÉS'!$B$5:$B$200,0)),0))</f>
        <v>0.888</v>
      </c>
      <c r="W101">
        <f>IFERROR(_xlfn.XLOOKUP(W100,'BASE_PROFILÉS'!$B$5:$B$200,'BASE_PROFILÉS'!$D$5:$D$200),IFERROR(INDEX('BASE_PROFILÉS'!$D$5:$D$200,MATCH(W100,'BASE_PROFILÉS'!$B$5:$B$200,0)),0))</f>
        <v>0.888</v>
      </c>
      <c r="X101">
        <f>IFERROR(_xlfn.XLOOKUP(X100,'BASE_PROFILÉS'!$B$5:$B$200,'BASE_PROFILÉS'!$D$5:$D$200),IFERROR(INDEX('BASE_PROFILÉS'!$D$5:$D$200,MATCH(X100,'BASE_PROFILÉS'!$B$5:$B$200,0)),0))</f>
        <v>0.888</v>
      </c>
    </row>
    <row r="102">
      <c r="A102" t="inlineStr">
        <is>
          <t>h_lierne</t>
        </is>
      </c>
      <c r="B102" t="inlineStr">
        <is>
          <t>PRÉDIMENSIONNEMENT!G81</t>
        </is>
      </c>
      <c r="D102">
        <f>IFERROR(_xlfn.XLOOKUP(D100,'BASE_PROFILÉS'!$B$5:$B$200,'BASE_PROFILÉS'!$E$5:$E$200),IFERROR(INDEX('BASE_PROFILÉS'!$E$5:$E$200,MATCH(D100,'BASE_PROFILÉS'!$B$5:$B$200,0)),0))</f>
        <v>12</v>
      </c>
      <c r="E102">
        <f>IFERROR(_xlfn.XLOOKUP(E100,'BASE_PROFILÉS'!$B$5:$B$200,'BASE_PROFILÉS'!$E$5:$E$200),IFERROR(INDEX('BASE_PROFILÉS'!$E$5:$E$200,MATCH(E100,'BASE_PROFILÉS'!$B$5:$B$200,0)),0))</f>
        <v>12</v>
      </c>
      <c r="F102">
        <f>IFERROR(_xlfn.XLOOKUP(F100,'BASE_PROFILÉS'!$B$5:$B$200,'BASE_PROFILÉS'!$E$5:$E$200),IFERROR(INDEX('BASE_PROFILÉS'!$E$5:$E$200,MATCH(F100,'BASE_PROFILÉS'!$B$5:$B$200,0)),0))</f>
        <v>12</v>
      </c>
      <c r="G102">
        <f>IFERROR(_xlfn.XLOOKUP(G100,'BASE_PROFILÉS'!$B$5:$B$200,'BASE_PROFILÉS'!$E$5:$E$200),IFERROR(INDEX('BASE_PROFILÉS'!$E$5:$E$200,MATCH(G100,'BASE_PROFILÉS'!$B$5:$B$200,0)),0))</f>
        <v>12</v>
      </c>
      <c r="H102">
        <f>IFERROR(_xlfn.XLOOKUP(H100,'BASE_PROFILÉS'!$B$5:$B$200,'BASE_PROFILÉS'!$E$5:$E$200),IFERROR(INDEX('BASE_PROFILÉS'!$E$5:$E$200,MATCH(H100,'BASE_PROFILÉS'!$B$5:$B$200,0)),0))</f>
        <v>12</v>
      </c>
      <c r="I102">
        <f>IFERROR(_xlfn.XLOOKUP(I100,'BASE_PROFILÉS'!$B$5:$B$200,'BASE_PROFILÉS'!$E$5:$E$200),IFERROR(INDEX('BASE_PROFILÉS'!$E$5:$E$200,MATCH(I100,'BASE_PROFILÉS'!$B$5:$B$200,0)),0))</f>
        <v>12</v>
      </c>
      <c r="J102">
        <f>IFERROR(_xlfn.XLOOKUP(J100,'BASE_PROFILÉS'!$B$5:$B$200,'BASE_PROFILÉS'!$E$5:$E$200),IFERROR(INDEX('BASE_PROFILÉS'!$E$5:$E$200,MATCH(J100,'BASE_PROFILÉS'!$B$5:$B$200,0)),0))</f>
        <v>12</v>
      </c>
      <c r="K102">
        <f>IFERROR(_xlfn.XLOOKUP(K100,'BASE_PROFILÉS'!$B$5:$B$200,'BASE_PROFILÉS'!$E$5:$E$200),IFERROR(INDEX('BASE_PROFILÉS'!$E$5:$E$200,MATCH(K100,'BASE_PROFILÉS'!$B$5:$B$200,0)),0))</f>
        <v>12</v>
      </c>
      <c r="L102">
        <f>IFERROR(_xlfn.XLOOKUP(L100,'BASE_PROFILÉS'!$B$5:$B$200,'BASE_PROFILÉS'!$E$5:$E$200),IFERROR(INDEX('BASE_PROFILÉS'!$E$5:$E$200,MATCH(L100,'BASE_PROFILÉS'!$B$5:$B$200,0)),0))</f>
        <v>12</v>
      </c>
      <c r="M102">
        <f>IFERROR(_xlfn.XLOOKUP(M100,'BASE_PROFILÉS'!$B$5:$B$200,'BASE_PROFILÉS'!$E$5:$E$200),IFERROR(INDEX('BASE_PROFILÉS'!$E$5:$E$200,MATCH(M100,'BASE_PROFILÉS'!$B$5:$B$200,0)),0))</f>
        <v>12</v>
      </c>
      <c r="N102">
        <f>IFERROR(_xlfn.XLOOKUP(N100,'BASE_PROFILÉS'!$B$5:$B$200,'BASE_PROFILÉS'!$E$5:$E$200),IFERROR(INDEX('BASE_PROFILÉS'!$E$5:$E$200,MATCH(N100,'BASE_PROFILÉS'!$B$5:$B$200,0)),0))</f>
        <v>12</v>
      </c>
      <c r="O102">
        <f>IFERROR(_xlfn.XLOOKUP(O100,'BASE_PROFILÉS'!$B$5:$B$200,'BASE_PROFILÉS'!$E$5:$E$200),IFERROR(INDEX('BASE_PROFILÉS'!$E$5:$E$200,MATCH(O100,'BASE_PROFILÉS'!$B$5:$B$200,0)),0))</f>
        <v>12</v>
      </c>
      <c r="P102">
        <f>IFERROR(_xlfn.XLOOKUP(P100,'BASE_PROFILÉS'!$B$5:$B$200,'BASE_PROFILÉS'!$E$5:$E$200),IFERROR(INDEX('BASE_PROFILÉS'!$E$5:$E$200,MATCH(P100,'BASE_PROFILÉS'!$B$5:$B$200,0)),0))</f>
        <v>12</v>
      </c>
      <c r="Q102">
        <f>IFERROR(_xlfn.XLOOKUP(Q100,'BASE_PROFILÉS'!$B$5:$B$200,'BASE_PROFILÉS'!$E$5:$E$200),IFERROR(INDEX('BASE_PROFILÉS'!$E$5:$E$200,MATCH(Q100,'BASE_PROFILÉS'!$B$5:$B$200,0)),0))</f>
        <v>12</v>
      </c>
      <c r="R102">
        <f>IFERROR(_xlfn.XLOOKUP(R100,'BASE_PROFILÉS'!$B$5:$B$200,'BASE_PROFILÉS'!$E$5:$E$200),IFERROR(INDEX('BASE_PROFILÉS'!$E$5:$E$200,MATCH(R100,'BASE_PROFILÉS'!$B$5:$B$200,0)),0))</f>
        <v>12</v>
      </c>
      <c r="S102">
        <f>IFERROR(_xlfn.XLOOKUP(S100,'BASE_PROFILÉS'!$B$5:$B$200,'BASE_PROFILÉS'!$E$5:$E$200),IFERROR(INDEX('BASE_PROFILÉS'!$E$5:$E$200,MATCH(S100,'BASE_PROFILÉS'!$B$5:$B$200,0)),0))</f>
        <v>12</v>
      </c>
      <c r="T102">
        <f>IFERROR(_xlfn.XLOOKUP(T100,'BASE_PROFILÉS'!$B$5:$B$200,'BASE_PROFILÉS'!$E$5:$E$200),IFERROR(INDEX('BASE_PROFILÉS'!$E$5:$E$200,MATCH(T100,'BASE_PROFILÉS'!$B$5:$B$200,0)),0))</f>
        <v>12</v>
      </c>
      <c r="U102">
        <f>IFERROR(_xlfn.XLOOKUP(U100,'BASE_PROFILÉS'!$B$5:$B$200,'BASE_PROFILÉS'!$E$5:$E$200),IFERROR(INDEX('BASE_PROFILÉS'!$E$5:$E$200,MATCH(U100,'BASE_PROFILÉS'!$B$5:$B$200,0)),0))</f>
        <v>12</v>
      </c>
      <c r="V102">
        <f>IFERROR(_xlfn.XLOOKUP(V100,'BASE_PROFILÉS'!$B$5:$B$200,'BASE_PROFILÉS'!$E$5:$E$200),IFERROR(INDEX('BASE_PROFILÉS'!$E$5:$E$200,MATCH(V100,'BASE_PROFILÉS'!$B$5:$B$200,0)),0))</f>
        <v>12</v>
      </c>
      <c r="W102">
        <f>IFERROR(_xlfn.XLOOKUP(W100,'BASE_PROFILÉS'!$B$5:$B$200,'BASE_PROFILÉS'!$E$5:$E$200),IFERROR(INDEX('BASE_PROFILÉS'!$E$5:$E$200,MATCH(W100,'BASE_PROFILÉS'!$B$5:$B$200,0)),0))</f>
        <v>12</v>
      </c>
      <c r="X102">
        <f>IFERROR(_xlfn.XLOOKUP(X100,'BASE_PROFILÉS'!$B$5:$B$200,'BASE_PROFILÉS'!$E$5:$E$200),IFERROR(INDEX('BASE_PROFILÉS'!$E$5:$E$200,MATCH(X100,'BASE_PROFILÉS'!$B$5:$B$200,0)),0))</f>
        <v>12</v>
      </c>
    </row>
    <row r="103">
      <c r="A103" t="inlineStr">
        <is>
          <t>auto_chev</t>
        </is>
      </c>
      <c r="B103" t="inlineStr">
        <is>
          <t>PRÉDIMENSIONNEMENT!C82</t>
        </is>
      </c>
      <c r="D103" t="str">
        <f>"L 60x6"</f>
        <v>L 60x6</v>
      </c>
      <c r="E103" t="str">
        <f>"L 60x6"</f>
        <v>L 60x6</v>
      </c>
      <c r="F103" t="str">
        <f>"L 60x6"</f>
        <v>L 60x6</v>
      </c>
      <c r="G103" t="str">
        <f>"L 60x6"</f>
        <v>L 60x6</v>
      </c>
      <c r="H103" t="str">
        <f>"L 60x6"</f>
        <v>L 60x6</v>
      </c>
      <c r="I103" t="str">
        <f>"L 60x6"</f>
        <v>L 60x6</v>
      </c>
      <c r="J103" t="str">
        <f>"L 60x6"</f>
        <v>L 60x6</v>
      </c>
      <c r="K103" t="str">
        <f>"L 60x6"</f>
        <v>L 60x6</v>
      </c>
      <c r="L103" t="str">
        <f>"L 60x6"</f>
        <v>L 60x6</v>
      </c>
      <c r="M103" t="str">
        <f>"L 60x6"</f>
        <v>L 60x6</v>
      </c>
      <c r="N103" t="str">
        <f>"L 60x6"</f>
        <v>L 60x6</v>
      </c>
      <c r="O103" t="str">
        <f>"L 60x6"</f>
        <v>L 60x6</v>
      </c>
      <c r="P103" t="str">
        <f>"L 60x6"</f>
        <v>L 60x6</v>
      </c>
      <c r="Q103" t="str">
        <f>"L 60x6"</f>
        <v>L 60x6</v>
      </c>
      <c r="R103" t="str">
        <f>"L 60x6"</f>
        <v>L 60x6</v>
      </c>
      <c r="S103" t="str">
        <f>"L 60x6"</f>
        <v>L 60x6</v>
      </c>
      <c r="T103" t="str">
        <f>"L 60x6"</f>
        <v>L 60x6</v>
      </c>
      <c r="U103" t="str">
        <f>"L 60x6"</f>
        <v>L 60x6</v>
      </c>
      <c r="V103" t="str">
        <f>"L 60x6"</f>
        <v>L 60x6</v>
      </c>
      <c r="W103" t="str">
        <f>"L 60x6"</f>
        <v>L 60x6</v>
      </c>
      <c r="X103" t="str">
        <f>"L 60x6"</f>
        <v>L 60x6</v>
      </c>
    </row>
    <row r="104">
      <c r="A104" t="inlineStr">
        <is>
          <t>prof_chev</t>
        </is>
      </c>
      <c r="B104" t="inlineStr">
        <is>
          <t>PRÉDIMENSIONNEMENT!E82</t>
        </is>
      </c>
      <c r="D104" t="str">
        <f>D103</f>
        <v>L 60x6</v>
      </c>
      <c r="E104" t="str">
        <f>E103</f>
        <v>L 60x6</v>
      </c>
      <c r="F104" t="str">
        <f>F103</f>
        <v>L 60x6</v>
      </c>
      <c r="G104" t="str">
        <f>G103</f>
        <v>L 60x6</v>
      </c>
      <c r="H104" t="str">
        <f>H103</f>
        <v>L 60x6</v>
      </c>
      <c r="I104" t="str">
        <f>I103</f>
        <v>L 60x6</v>
      </c>
      <c r="J104" t="str">
        <f>J103</f>
        <v>L 60x6</v>
      </c>
      <c r="K104" t="str">
        <f>K103</f>
        <v>L 60x6</v>
      </c>
      <c r="L104" t="str">
        <f>L103</f>
        <v>L 60x6</v>
      </c>
      <c r="M104" t="str">
        <f>M103</f>
        <v>L 60x6</v>
      </c>
      <c r="N104" t="str">
        <f>N103</f>
        <v>L 60x6</v>
      </c>
      <c r="O104" t="str">
        <f>O103</f>
        <v>L 60x6</v>
      </c>
      <c r="P104" t="str">
        <f>P103</f>
        <v>L 60x6</v>
      </c>
      <c r="Q104" t="str">
        <f>Q103</f>
        <v>L 60x6</v>
      </c>
      <c r="R104" t="str">
        <f>R103</f>
        <v>L 60x6</v>
      </c>
      <c r="S104" t="str">
        <f>S103</f>
        <v>L 60x6</v>
      </c>
      <c r="T104" t="str">
        <f>T103</f>
        <v>L 60x6</v>
      </c>
      <c r="U104" t="str">
        <f>U103</f>
        <v>L 60x6</v>
      </c>
      <c r="V104" t="str">
        <f>V103</f>
        <v>L 60x6</v>
      </c>
      <c r="W104" t="str">
        <f>W103</f>
        <v>L 60x6</v>
      </c>
      <c r="X104" t="str">
        <f>X103</f>
        <v>L 60x6</v>
      </c>
    </row>
    <row r="105">
      <c r="A105" t="inlineStr">
        <is>
          <t>kg_chev</t>
        </is>
      </c>
      <c r="B105" t="inlineStr">
        <is>
          <t>PRÉDIMENSIONNEMENT!F82</t>
        </is>
      </c>
      <c r="D105">
        <f>IFERROR(_xlfn.XLOOKUP(D104,'BASE_PROFILÉS'!$B$5:$B$200,'BASE_PROFILÉS'!$D$5:$D$200),IFERROR(INDEX('BASE_PROFILÉS'!$D$5:$D$200,MATCH(D104,'BASE_PROFILÉS'!$B$5:$B$200,0)),0))</f>
        <v>5.42</v>
      </c>
      <c r="E105">
        <f>IFERROR(_xlfn.XLOOKUP(E104,'BASE_PROFILÉS'!$B$5:$B$200,'BASE_PROFILÉS'!$D$5:$D$200),IFERROR(INDEX('BASE_PROFILÉS'!$D$5:$D$200,MATCH(E104,'BASE_PROFILÉS'!$B$5:$B$200,0)),0))</f>
        <v>5.42</v>
      </c>
      <c r="F105">
        <f>IFERROR(_xlfn.XLOOKUP(F104,'BASE_PROFILÉS'!$B$5:$B$200,'BASE_PROFILÉS'!$D$5:$D$200),IFERROR(INDEX('BASE_PROFILÉS'!$D$5:$D$200,MATCH(F104,'BASE_PROFILÉS'!$B$5:$B$200,0)),0))</f>
        <v>5.42</v>
      </c>
      <c r="G105">
        <f>IFERROR(_xlfn.XLOOKUP(G104,'BASE_PROFILÉS'!$B$5:$B$200,'BASE_PROFILÉS'!$D$5:$D$200),IFERROR(INDEX('BASE_PROFILÉS'!$D$5:$D$200,MATCH(G104,'BASE_PROFILÉS'!$B$5:$B$200,0)),0))</f>
        <v>5.42</v>
      </c>
      <c r="H105">
        <f>IFERROR(_xlfn.XLOOKUP(H104,'BASE_PROFILÉS'!$B$5:$B$200,'BASE_PROFILÉS'!$D$5:$D$200),IFERROR(INDEX('BASE_PROFILÉS'!$D$5:$D$200,MATCH(H104,'BASE_PROFILÉS'!$B$5:$B$200,0)),0))</f>
        <v>5.42</v>
      </c>
      <c r="I105">
        <f>IFERROR(_xlfn.XLOOKUP(I104,'BASE_PROFILÉS'!$B$5:$B$200,'BASE_PROFILÉS'!$D$5:$D$200),IFERROR(INDEX('BASE_PROFILÉS'!$D$5:$D$200,MATCH(I104,'BASE_PROFILÉS'!$B$5:$B$200,0)),0))</f>
        <v>5.42</v>
      </c>
      <c r="J105">
        <f>IFERROR(_xlfn.XLOOKUP(J104,'BASE_PROFILÉS'!$B$5:$B$200,'BASE_PROFILÉS'!$D$5:$D$200),IFERROR(INDEX('BASE_PROFILÉS'!$D$5:$D$200,MATCH(J104,'BASE_PROFILÉS'!$B$5:$B$200,0)),0))</f>
        <v>5.42</v>
      </c>
      <c r="K105">
        <f>IFERROR(_xlfn.XLOOKUP(K104,'BASE_PROFILÉS'!$B$5:$B$200,'BASE_PROFILÉS'!$D$5:$D$200),IFERROR(INDEX('BASE_PROFILÉS'!$D$5:$D$200,MATCH(K104,'BASE_PROFILÉS'!$B$5:$B$200,0)),0))</f>
        <v>5.42</v>
      </c>
      <c r="L105">
        <f>IFERROR(_xlfn.XLOOKUP(L104,'BASE_PROFILÉS'!$B$5:$B$200,'BASE_PROFILÉS'!$D$5:$D$200),IFERROR(INDEX('BASE_PROFILÉS'!$D$5:$D$200,MATCH(L104,'BASE_PROFILÉS'!$B$5:$B$200,0)),0))</f>
        <v>5.42</v>
      </c>
      <c r="M105">
        <f>IFERROR(_xlfn.XLOOKUP(M104,'BASE_PROFILÉS'!$B$5:$B$200,'BASE_PROFILÉS'!$D$5:$D$200),IFERROR(INDEX('BASE_PROFILÉS'!$D$5:$D$200,MATCH(M104,'BASE_PROFILÉS'!$B$5:$B$200,0)),0))</f>
        <v>5.42</v>
      </c>
      <c r="N105">
        <f>IFERROR(_xlfn.XLOOKUP(N104,'BASE_PROFILÉS'!$B$5:$B$200,'BASE_PROFILÉS'!$D$5:$D$200),IFERROR(INDEX('BASE_PROFILÉS'!$D$5:$D$200,MATCH(N104,'BASE_PROFILÉS'!$B$5:$B$200,0)),0))</f>
        <v>5.42</v>
      </c>
      <c r="O105">
        <f>IFERROR(_xlfn.XLOOKUP(O104,'BASE_PROFILÉS'!$B$5:$B$200,'BASE_PROFILÉS'!$D$5:$D$200),IFERROR(INDEX('BASE_PROFILÉS'!$D$5:$D$200,MATCH(O104,'BASE_PROFILÉS'!$B$5:$B$200,0)),0))</f>
        <v>5.42</v>
      </c>
      <c r="P105">
        <f>IFERROR(_xlfn.XLOOKUP(P104,'BASE_PROFILÉS'!$B$5:$B$200,'BASE_PROFILÉS'!$D$5:$D$200),IFERROR(INDEX('BASE_PROFILÉS'!$D$5:$D$200,MATCH(P104,'BASE_PROFILÉS'!$B$5:$B$200,0)),0))</f>
        <v>5.42</v>
      </c>
      <c r="Q105">
        <f>IFERROR(_xlfn.XLOOKUP(Q104,'BASE_PROFILÉS'!$B$5:$B$200,'BASE_PROFILÉS'!$D$5:$D$200),IFERROR(INDEX('BASE_PROFILÉS'!$D$5:$D$200,MATCH(Q104,'BASE_PROFILÉS'!$B$5:$B$200,0)),0))</f>
        <v>5.42</v>
      </c>
      <c r="R105">
        <f>IFERROR(_xlfn.XLOOKUP(R104,'BASE_PROFILÉS'!$B$5:$B$200,'BASE_PROFILÉS'!$D$5:$D$200),IFERROR(INDEX('BASE_PROFILÉS'!$D$5:$D$200,MATCH(R104,'BASE_PROFILÉS'!$B$5:$B$200,0)),0))</f>
        <v>5.42</v>
      </c>
      <c r="S105">
        <f>IFERROR(_xlfn.XLOOKUP(S104,'BASE_PROFILÉS'!$B$5:$B$200,'BASE_PROFILÉS'!$D$5:$D$200),IFERROR(INDEX('BASE_PROFILÉS'!$D$5:$D$200,MATCH(S104,'BASE_PROFILÉS'!$B$5:$B$200,0)),0))</f>
        <v>5.42</v>
      </c>
      <c r="T105">
        <f>IFERROR(_xlfn.XLOOKUP(T104,'BASE_PROFILÉS'!$B$5:$B$200,'BASE_PROFILÉS'!$D$5:$D$200),IFERROR(INDEX('BASE_PROFILÉS'!$D$5:$D$200,MATCH(T104,'BASE_PROFILÉS'!$B$5:$B$200,0)),0))</f>
        <v>5.42</v>
      </c>
      <c r="U105">
        <f>IFERROR(_xlfn.XLOOKUP(U104,'BASE_PROFILÉS'!$B$5:$B$200,'BASE_PROFILÉS'!$D$5:$D$200),IFERROR(INDEX('BASE_PROFILÉS'!$D$5:$D$200,MATCH(U104,'BASE_PROFILÉS'!$B$5:$B$200,0)),0))</f>
        <v>5.42</v>
      </c>
      <c r="V105">
        <f>IFERROR(_xlfn.XLOOKUP(V104,'BASE_PROFILÉS'!$B$5:$B$200,'BASE_PROFILÉS'!$D$5:$D$200),IFERROR(INDEX('BASE_PROFILÉS'!$D$5:$D$200,MATCH(V104,'BASE_PROFILÉS'!$B$5:$B$200,0)),0))</f>
        <v>5.42</v>
      </c>
      <c r="W105">
        <f>IFERROR(_xlfn.XLOOKUP(W104,'BASE_PROFILÉS'!$B$5:$B$200,'BASE_PROFILÉS'!$D$5:$D$200),IFERROR(INDEX('BASE_PROFILÉS'!$D$5:$D$200,MATCH(W104,'BASE_PROFILÉS'!$B$5:$B$200,0)),0))</f>
        <v>5.42</v>
      </c>
      <c r="X105">
        <f>IFERROR(_xlfn.XLOOKUP(X104,'BASE_PROFILÉS'!$B$5:$B$200,'BASE_PROFILÉS'!$D$5:$D$200),IFERROR(INDEX('BASE_PROFILÉS'!$D$5:$D$200,MATCH(X104,'BASE_PROFILÉS'!$B$5:$B$200,0)),0))</f>
        <v>5.42</v>
      </c>
    </row>
    <row r="106">
      <c r="A106" t="inlineStr">
        <is>
          <t>h_chev</t>
        </is>
      </c>
      <c r="B106" t="inlineStr">
        <is>
          <t>PRÉDIMENSIONNEMENT!G82</t>
        </is>
      </c>
      <c r="D106">
        <f>IFERROR(_xlfn.XLOOKUP(D104,'BASE_PROFILÉS'!$B$5:$B$200,'BASE_PROFILÉS'!$E$5:$E$200),IFERROR(INDEX('BASE_PROFILÉS'!$E$5:$E$200,MATCH(D104,'BASE_PROFILÉS'!$B$5:$B$200,0)),0))</f>
        <v>60</v>
      </c>
      <c r="E106">
        <f>IFERROR(_xlfn.XLOOKUP(E104,'BASE_PROFILÉS'!$B$5:$B$200,'BASE_PROFILÉS'!$E$5:$E$200),IFERROR(INDEX('BASE_PROFILÉS'!$E$5:$E$200,MATCH(E104,'BASE_PROFILÉS'!$B$5:$B$200,0)),0))</f>
        <v>60</v>
      </c>
      <c r="F106">
        <f>IFERROR(_xlfn.XLOOKUP(F104,'BASE_PROFILÉS'!$B$5:$B$200,'BASE_PROFILÉS'!$E$5:$E$200),IFERROR(INDEX('BASE_PROFILÉS'!$E$5:$E$200,MATCH(F104,'BASE_PROFILÉS'!$B$5:$B$200,0)),0))</f>
        <v>60</v>
      </c>
      <c r="G106">
        <f>IFERROR(_xlfn.XLOOKUP(G104,'BASE_PROFILÉS'!$B$5:$B$200,'BASE_PROFILÉS'!$E$5:$E$200),IFERROR(INDEX('BASE_PROFILÉS'!$E$5:$E$200,MATCH(G104,'BASE_PROFILÉS'!$B$5:$B$200,0)),0))</f>
        <v>60</v>
      </c>
      <c r="H106">
        <f>IFERROR(_xlfn.XLOOKUP(H104,'BASE_PROFILÉS'!$B$5:$B$200,'BASE_PROFILÉS'!$E$5:$E$200),IFERROR(INDEX('BASE_PROFILÉS'!$E$5:$E$200,MATCH(H104,'BASE_PROFILÉS'!$B$5:$B$200,0)),0))</f>
        <v>60</v>
      </c>
      <c r="I106">
        <f>IFERROR(_xlfn.XLOOKUP(I104,'BASE_PROFILÉS'!$B$5:$B$200,'BASE_PROFILÉS'!$E$5:$E$200),IFERROR(INDEX('BASE_PROFILÉS'!$E$5:$E$200,MATCH(I104,'BASE_PROFILÉS'!$B$5:$B$200,0)),0))</f>
        <v>60</v>
      </c>
      <c r="J106">
        <f>IFERROR(_xlfn.XLOOKUP(J104,'BASE_PROFILÉS'!$B$5:$B$200,'BASE_PROFILÉS'!$E$5:$E$200),IFERROR(INDEX('BASE_PROFILÉS'!$E$5:$E$200,MATCH(J104,'BASE_PROFILÉS'!$B$5:$B$200,0)),0))</f>
        <v>60</v>
      </c>
      <c r="K106">
        <f>IFERROR(_xlfn.XLOOKUP(K104,'BASE_PROFILÉS'!$B$5:$B$200,'BASE_PROFILÉS'!$E$5:$E$200),IFERROR(INDEX('BASE_PROFILÉS'!$E$5:$E$200,MATCH(K104,'BASE_PROFILÉS'!$B$5:$B$200,0)),0))</f>
        <v>60</v>
      </c>
      <c r="L106">
        <f>IFERROR(_xlfn.XLOOKUP(L104,'BASE_PROFILÉS'!$B$5:$B$200,'BASE_PROFILÉS'!$E$5:$E$200),IFERROR(INDEX('BASE_PROFILÉS'!$E$5:$E$200,MATCH(L104,'BASE_PROFILÉS'!$B$5:$B$200,0)),0))</f>
        <v>60</v>
      </c>
      <c r="M106">
        <f>IFERROR(_xlfn.XLOOKUP(M104,'BASE_PROFILÉS'!$B$5:$B$200,'BASE_PROFILÉS'!$E$5:$E$200),IFERROR(INDEX('BASE_PROFILÉS'!$E$5:$E$200,MATCH(M104,'BASE_PROFILÉS'!$B$5:$B$200,0)),0))</f>
        <v>60</v>
      </c>
      <c r="N106">
        <f>IFERROR(_xlfn.XLOOKUP(N104,'BASE_PROFILÉS'!$B$5:$B$200,'BASE_PROFILÉS'!$E$5:$E$200),IFERROR(INDEX('BASE_PROFILÉS'!$E$5:$E$200,MATCH(N104,'BASE_PROFILÉS'!$B$5:$B$200,0)),0))</f>
        <v>60</v>
      </c>
      <c r="O106">
        <f>IFERROR(_xlfn.XLOOKUP(O104,'BASE_PROFILÉS'!$B$5:$B$200,'BASE_PROFILÉS'!$E$5:$E$200),IFERROR(INDEX('BASE_PROFILÉS'!$E$5:$E$200,MATCH(O104,'BASE_PROFILÉS'!$B$5:$B$200,0)),0))</f>
        <v>60</v>
      </c>
      <c r="P106">
        <f>IFERROR(_xlfn.XLOOKUP(P104,'BASE_PROFILÉS'!$B$5:$B$200,'BASE_PROFILÉS'!$E$5:$E$200),IFERROR(INDEX('BASE_PROFILÉS'!$E$5:$E$200,MATCH(P104,'BASE_PROFILÉS'!$B$5:$B$200,0)),0))</f>
        <v>60</v>
      </c>
      <c r="Q106">
        <f>IFERROR(_xlfn.XLOOKUP(Q104,'BASE_PROFILÉS'!$B$5:$B$200,'BASE_PROFILÉS'!$E$5:$E$200),IFERROR(INDEX('BASE_PROFILÉS'!$E$5:$E$200,MATCH(Q104,'BASE_PROFILÉS'!$B$5:$B$200,0)),0))</f>
        <v>60</v>
      </c>
      <c r="R106">
        <f>IFERROR(_xlfn.XLOOKUP(R104,'BASE_PROFILÉS'!$B$5:$B$200,'BASE_PROFILÉS'!$E$5:$E$200),IFERROR(INDEX('BASE_PROFILÉS'!$E$5:$E$200,MATCH(R104,'BASE_PROFILÉS'!$B$5:$B$200,0)),0))</f>
        <v>60</v>
      </c>
      <c r="S106">
        <f>IFERROR(_xlfn.XLOOKUP(S104,'BASE_PROFILÉS'!$B$5:$B$200,'BASE_PROFILÉS'!$E$5:$E$200),IFERROR(INDEX('BASE_PROFILÉS'!$E$5:$E$200,MATCH(S104,'BASE_PROFILÉS'!$B$5:$B$200,0)),0))</f>
        <v>60</v>
      </c>
      <c r="T106">
        <f>IFERROR(_xlfn.XLOOKUP(T104,'BASE_PROFILÉS'!$B$5:$B$200,'BASE_PROFILÉS'!$E$5:$E$200),IFERROR(INDEX('BASE_PROFILÉS'!$E$5:$E$200,MATCH(T104,'BASE_PROFILÉS'!$B$5:$B$200,0)),0))</f>
        <v>60</v>
      </c>
      <c r="U106">
        <f>IFERROR(_xlfn.XLOOKUP(U104,'BASE_PROFILÉS'!$B$5:$B$200,'BASE_PROFILÉS'!$E$5:$E$200),IFERROR(INDEX('BASE_PROFILÉS'!$E$5:$E$200,MATCH(U104,'BASE_PROFILÉS'!$B$5:$B$200,0)),0))</f>
        <v>60</v>
      </c>
      <c r="V106">
        <f>IFERROR(_xlfn.XLOOKUP(V104,'BASE_PROFILÉS'!$B$5:$B$200,'BASE_PROFILÉS'!$E$5:$E$200),IFERROR(INDEX('BASE_PROFILÉS'!$E$5:$E$200,MATCH(V104,'BASE_PROFILÉS'!$B$5:$B$200,0)),0))</f>
        <v>60</v>
      </c>
      <c r="W106">
        <f>IFERROR(_xlfn.XLOOKUP(W104,'BASE_PROFILÉS'!$B$5:$B$200,'BASE_PROFILÉS'!$E$5:$E$200),IFERROR(INDEX('BASE_PROFILÉS'!$E$5:$E$200,MATCH(W104,'BASE_PROFILÉS'!$B$5:$B$200,0)),0))</f>
        <v>60</v>
      </c>
      <c r="X106">
        <f>IFERROR(_xlfn.XLOOKUP(X104,'BASE_PROFILÉS'!$B$5:$B$200,'BASE_PROFILÉS'!$E$5:$E$200),IFERROR(INDEX('BASE_PROFILÉS'!$E$5:$E$200,MATCH(X104,'BASE_PROFILÉS'!$B$5:$B$200,0)),0))</f>
        <v>60</v>
      </c>
    </row>
    <row r="107">
      <c r="A107" t="inlineStr">
        <is>
          <t>auto_baion</t>
        </is>
      </c>
      <c r="B107" t="inlineStr">
        <is>
          <t>PRÉDIMENSIONNEMENT!C83</t>
        </is>
      </c>
      <c r="D107" t="str">
        <f>"L 50x5"</f>
        <v>L 50x5</v>
      </c>
      <c r="E107" t="str">
        <f>"L 50x5"</f>
        <v>L 50x5</v>
      </c>
      <c r="F107" t="str">
        <f>"L 50x5"</f>
        <v>L 50x5</v>
      </c>
      <c r="G107" t="str">
        <f>"L 50x5"</f>
        <v>L 50x5</v>
      </c>
      <c r="H107" t="str">
        <f>"L 50x5"</f>
        <v>L 50x5</v>
      </c>
      <c r="I107" t="str">
        <f>"L 50x5"</f>
        <v>L 50x5</v>
      </c>
      <c r="J107" t="str">
        <f>"L 50x5"</f>
        <v>L 50x5</v>
      </c>
      <c r="K107" t="str">
        <f>"L 50x5"</f>
        <v>L 50x5</v>
      </c>
      <c r="L107" t="str">
        <f>"L 50x5"</f>
        <v>L 50x5</v>
      </c>
      <c r="M107" t="str">
        <f>"L 50x5"</f>
        <v>L 50x5</v>
      </c>
      <c r="N107" t="str">
        <f>"L 50x5"</f>
        <v>L 50x5</v>
      </c>
      <c r="O107" t="str">
        <f>"L 50x5"</f>
        <v>L 50x5</v>
      </c>
      <c r="P107" t="str">
        <f>"L 50x5"</f>
        <v>L 50x5</v>
      </c>
      <c r="Q107" t="str">
        <f>"L 50x5"</f>
        <v>L 50x5</v>
      </c>
      <c r="R107" t="str">
        <f>"L 50x5"</f>
        <v>L 50x5</v>
      </c>
      <c r="S107" t="str">
        <f>"L 50x5"</f>
        <v>L 50x5</v>
      </c>
      <c r="T107" t="str">
        <f>"L 50x5"</f>
        <v>L 50x5</v>
      </c>
      <c r="U107" t="str">
        <f>"L 50x5"</f>
        <v>L 50x5</v>
      </c>
      <c r="V107" t="str">
        <f>"L 50x5"</f>
        <v>L 50x5</v>
      </c>
      <c r="W107" t="str">
        <f>"L 50x5"</f>
        <v>L 50x5</v>
      </c>
      <c r="X107" t="str">
        <f>"L 50x5"</f>
        <v>L 50x5</v>
      </c>
    </row>
    <row r="108">
      <c r="A108" t="inlineStr">
        <is>
          <t>prof_baion</t>
        </is>
      </c>
      <c r="B108" t="inlineStr">
        <is>
          <t>PRÉDIMENSIONNEMENT!E83</t>
        </is>
      </c>
      <c r="D108" t="str">
        <f>D107</f>
        <v>L 50x5</v>
      </c>
      <c r="E108" t="str">
        <f>E107</f>
        <v>L 50x5</v>
      </c>
      <c r="F108" t="str">
        <f>F107</f>
        <v>L 50x5</v>
      </c>
      <c r="G108" t="str">
        <f>G107</f>
        <v>L 50x5</v>
      </c>
      <c r="H108" t="str">
        <f>H107</f>
        <v>L 50x5</v>
      </c>
      <c r="I108" t="str">
        <f>I107</f>
        <v>L 50x5</v>
      </c>
      <c r="J108" t="str">
        <f>J107</f>
        <v>L 50x5</v>
      </c>
      <c r="K108" t="str">
        <f>K107</f>
        <v>L 50x5</v>
      </c>
      <c r="L108" t="str">
        <f>L107</f>
        <v>L 50x5</v>
      </c>
      <c r="M108" t="str">
        <f>M107</f>
        <v>L 50x5</v>
      </c>
      <c r="N108" t="str">
        <f>N107</f>
        <v>L 50x5</v>
      </c>
      <c r="O108" t="str">
        <f>O107</f>
        <v>L 50x5</v>
      </c>
      <c r="P108" t="str">
        <f>P107</f>
        <v>L 50x5</v>
      </c>
      <c r="Q108" t="str">
        <f>Q107</f>
        <v>L 50x5</v>
      </c>
      <c r="R108" t="str">
        <f>R107</f>
        <v>L 50x5</v>
      </c>
      <c r="S108" t="str">
        <f>S107</f>
        <v>L 50x5</v>
      </c>
      <c r="T108" t="str">
        <f>T107</f>
        <v>L 50x5</v>
      </c>
      <c r="U108" t="str">
        <f>U107</f>
        <v>L 50x5</v>
      </c>
      <c r="V108" t="str">
        <f>V107</f>
        <v>L 50x5</v>
      </c>
      <c r="W108" t="str">
        <f>W107</f>
        <v>L 50x5</v>
      </c>
      <c r="X108" t="str">
        <f>X107</f>
        <v>L 50x5</v>
      </c>
    </row>
    <row r="109">
      <c r="A109" t="inlineStr">
        <is>
          <t>kg_baion</t>
        </is>
      </c>
      <c r="B109" t="inlineStr">
        <is>
          <t>PRÉDIMENSIONNEMENT!F83</t>
        </is>
      </c>
      <c r="D109">
        <f>IFERROR(_xlfn.XLOOKUP(D108,'BASE_PROFILÉS'!$B$5:$B$200,'BASE_PROFILÉS'!$D$5:$D$200),IFERROR(INDEX('BASE_PROFILÉS'!$D$5:$D$200,MATCH(D108,'BASE_PROFILÉS'!$B$5:$B$200,0)),0))</f>
        <v>3.77</v>
      </c>
      <c r="E109">
        <f>IFERROR(_xlfn.XLOOKUP(E108,'BASE_PROFILÉS'!$B$5:$B$200,'BASE_PROFILÉS'!$D$5:$D$200),IFERROR(INDEX('BASE_PROFILÉS'!$D$5:$D$200,MATCH(E108,'BASE_PROFILÉS'!$B$5:$B$200,0)),0))</f>
        <v>3.77</v>
      </c>
      <c r="F109">
        <f>IFERROR(_xlfn.XLOOKUP(F108,'BASE_PROFILÉS'!$B$5:$B$200,'BASE_PROFILÉS'!$D$5:$D$200),IFERROR(INDEX('BASE_PROFILÉS'!$D$5:$D$200,MATCH(F108,'BASE_PROFILÉS'!$B$5:$B$200,0)),0))</f>
        <v>3.77</v>
      </c>
      <c r="G109">
        <f>IFERROR(_xlfn.XLOOKUP(G108,'BASE_PROFILÉS'!$B$5:$B$200,'BASE_PROFILÉS'!$D$5:$D$200),IFERROR(INDEX('BASE_PROFILÉS'!$D$5:$D$200,MATCH(G108,'BASE_PROFILÉS'!$B$5:$B$200,0)),0))</f>
        <v>3.77</v>
      </c>
      <c r="H109">
        <f>IFERROR(_xlfn.XLOOKUP(H108,'BASE_PROFILÉS'!$B$5:$B$200,'BASE_PROFILÉS'!$D$5:$D$200),IFERROR(INDEX('BASE_PROFILÉS'!$D$5:$D$200,MATCH(H108,'BASE_PROFILÉS'!$B$5:$B$200,0)),0))</f>
        <v>3.77</v>
      </c>
      <c r="I109">
        <f>IFERROR(_xlfn.XLOOKUP(I108,'BASE_PROFILÉS'!$B$5:$B$200,'BASE_PROFILÉS'!$D$5:$D$200),IFERROR(INDEX('BASE_PROFILÉS'!$D$5:$D$200,MATCH(I108,'BASE_PROFILÉS'!$B$5:$B$200,0)),0))</f>
        <v>3.77</v>
      </c>
      <c r="J109">
        <f>IFERROR(_xlfn.XLOOKUP(J108,'BASE_PROFILÉS'!$B$5:$B$200,'BASE_PROFILÉS'!$D$5:$D$200),IFERROR(INDEX('BASE_PROFILÉS'!$D$5:$D$200,MATCH(J108,'BASE_PROFILÉS'!$B$5:$B$200,0)),0))</f>
        <v>3.77</v>
      </c>
      <c r="K109">
        <f>IFERROR(_xlfn.XLOOKUP(K108,'BASE_PROFILÉS'!$B$5:$B$200,'BASE_PROFILÉS'!$D$5:$D$200),IFERROR(INDEX('BASE_PROFILÉS'!$D$5:$D$200,MATCH(K108,'BASE_PROFILÉS'!$B$5:$B$200,0)),0))</f>
        <v>3.77</v>
      </c>
      <c r="L109">
        <f>IFERROR(_xlfn.XLOOKUP(L108,'BASE_PROFILÉS'!$B$5:$B$200,'BASE_PROFILÉS'!$D$5:$D$200),IFERROR(INDEX('BASE_PROFILÉS'!$D$5:$D$200,MATCH(L108,'BASE_PROFILÉS'!$B$5:$B$200,0)),0))</f>
        <v>3.77</v>
      </c>
      <c r="M109">
        <f>IFERROR(_xlfn.XLOOKUP(M108,'BASE_PROFILÉS'!$B$5:$B$200,'BASE_PROFILÉS'!$D$5:$D$200),IFERROR(INDEX('BASE_PROFILÉS'!$D$5:$D$200,MATCH(M108,'BASE_PROFILÉS'!$B$5:$B$200,0)),0))</f>
        <v>3.77</v>
      </c>
      <c r="N109">
        <f>IFERROR(_xlfn.XLOOKUP(N108,'BASE_PROFILÉS'!$B$5:$B$200,'BASE_PROFILÉS'!$D$5:$D$200),IFERROR(INDEX('BASE_PROFILÉS'!$D$5:$D$200,MATCH(N108,'BASE_PROFILÉS'!$B$5:$B$200,0)),0))</f>
        <v>3.77</v>
      </c>
      <c r="O109">
        <f>IFERROR(_xlfn.XLOOKUP(O108,'BASE_PROFILÉS'!$B$5:$B$200,'BASE_PROFILÉS'!$D$5:$D$200),IFERROR(INDEX('BASE_PROFILÉS'!$D$5:$D$200,MATCH(O108,'BASE_PROFILÉS'!$B$5:$B$200,0)),0))</f>
        <v>3.77</v>
      </c>
      <c r="P109">
        <f>IFERROR(_xlfn.XLOOKUP(P108,'BASE_PROFILÉS'!$B$5:$B$200,'BASE_PROFILÉS'!$D$5:$D$200),IFERROR(INDEX('BASE_PROFILÉS'!$D$5:$D$200,MATCH(P108,'BASE_PROFILÉS'!$B$5:$B$200,0)),0))</f>
        <v>3.77</v>
      </c>
      <c r="Q109">
        <f>IFERROR(_xlfn.XLOOKUP(Q108,'BASE_PROFILÉS'!$B$5:$B$200,'BASE_PROFILÉS'!$D$5:$D$200),IFERROR(INDEX('BASE_PROFILÉS'!$D$5:$D$200,MATCH(Q108,'BASE_PROFILÉS'!$B$5:$B$200,0)),0))</f>
        <v>3.77</v>
      </c>
      <c r="R109">
        <f>IFERROR(_xlfn.XLOOKUP(R108,'BASE_PROFILÉS'!$B$5:$B$200,'BASE_PROFILÉS'!$D$5:$D$200),IFERROR(INDEX('BASE_PROFILÉS'!$D$5:$D$200,MATCH(R108,'BASE_PROFILÉS'!$B$5:$B$200,0)),0))</f>
        <v>3.77</v>
      </c>
      <c r="S109">
        <f>IFERROR(_xlfn.XLOOKUP(S108,'BASE_PROFILÉS'!$B$5:$B$200,'BASE_PROFILÉS'!$D$5:$D$200),IFERROR(INDEX('BASE_PROFILÉS'!$D$5:$D$200,MATCH(S108,'BASE_PROFILÉS'!$B$5:$B$200,0)),0))</f>
        <v>3.77</v>
      </c>
      <c r="T109">
        <f>IFERROR(_xlfn.XLOOKUP(T108,'BASE_PROFILÉS'!$B$5:$B$200,'BASE_PROFILÉS'!$D$5:$D$200),IFERROR(INDEX('BASE_PROFILÉS'!$D$5:$D$200,MATCH(T108,'BASE_PROFILÉS'!$B$5:$B$200,0)),0))</f>
        <v>3.77</v>
      </c>
      <c r="U109">
        <f>IFERROR(_xlfn.XLOOKUP(U108,'BASE_PROFILÉS'!$B$5:$B$200,'BASE_PROFILÉS'!$D$5:$D$200),IFERROR(INDEX('BASE_PROFILÉS'!$D$5:$D$200,MATCH(U108,'BASE_PROFILÉS'!$B$5:$B$200,0)),0))</f>
        <v>3.77</v>
      </c>
      <c r="V109">
        <f>IFERROR(_xlfn.XLOOKUP(V108,'BASE_PROFILÉS'!$B$5:$B$200,'BASE_PROFILÉS'!$D$5:$D$200),IFERROR(INDEX('BASE_PROFILÉS'!$D$5:$D$200,MATCH(V108,'BASE_PROFILÉS'!$B$5:$B$200,0)),0))</f>
        <v>3.77</v>
      </c>
      <c r="W109">
        <f>IFERROR(_xlfn.XLOOKUP(W108,'BASE_PROFILÉS'!$B$5:$B$200,'BASE_PROFILÉS'!$D$5:$D$200),IFERROR(INDEX('BASE_PROFILÉS'!$D$5:$D$200,MATCH(W108,'BASE_PROFILÉS'!$B$5:$B$200,0)),0))</f>
        <v>3.77</v>
      </c>
      <c r="X109">
        <f>IFERROR(_xlfn.XLOOKUP(X108,'BASE_PROFILÉS'!$B$5:$B$200,'BASE_PROFILÉS'!$D$5:$D$200),IFERROR(INDEX('BASE_PROFILÉS'!$D$5:$D$200,MATCH(X108,'BASE_PROFILÉS'!$B$5:$B$200,0)),0))</f>
        <v>3.77</v>
      </c>
    </row>
    <row r="110">
      <c r="A110" t="inlineStr">
        <is>
          <t>h_baion</t>
        </is>
      </c>
      <c r="B110" t="inlineStr">
        <is>
          <t>PRÉDIMENSIONNEMENT!G83</t>
        </is>
      </c>
      <c r="D110">
        <f>IFERROR(_xlfn.XLOOKUP(D108,'BASE_PROFILÉS'!$B$5:$B$200,'BASE_PROFILÉS'!$E$5:$E$200),IFERROR(INDEX('BASE_PROFILÉS'!$E$5:$E$200,MATCH(D108,'BASE_PROFILÉS'!$B$5:$B$200,0)),0))</f>
        <v>50</v>
      </c>
      <c r="E110">
        <f>IFERROR(_xlfn.XLOOKUP(E108,'BASE_PROFILÉS'!$B$5:$B$200,'BASE_PROFILÉS'!$E$5:$E$200),IFERROR(INDEX('BASE_PROFILÉS'!$E$5:$E$200,MATCH(E108,'BASE_PROFILÉS'!$B$5:$B$200,0)),0))</f>
        <v>50</v>
      </c>
      <c r="F110">
        <f>IFERROR(_xlfn.XLOOKUP(F108,'BASE_PROFILÉS'!$B$5:$B$200,'BASE_PROFILÉS'!$E$5:$E$200),IFERROR(INDEX('BASE_PROFILÉS'!$E$5:$E$200,MATCH(F108,'BASE_PROFILÉS'!$B$5:$B$200,0)),0))</f>
        <v>50</v>
      </c>
      <c r="G110">
        <f>IFERROR(_xlfn.XLOOKUP(G108,'BASE_PROFILÉS'!$B$5:$B$200,'BASE_PROFILÉS'!$E$5:$E$200),IFERROR(INDEX('BASE_PROFILÉS'!$E$5:$E$200,MATCH(G108,'BASE_PROFILÉS'!$B$5:$B$200,0)),0))</f>
        <v>50</v>
      </c>
      <c r="H110">
        <f>IFERROR(_xlfn.XLOOKUP(H108,'BASE_PROFILÉS'!$B$5:$B$200,'BASE_PROFILÉS'!$E$5:$E$200),IFERROR(INDEX('BASE_PROFILÉS'!$E$5:$E$200,MATCH(H108,'BASE_PROFILÉS'!$B$5:$B$200,0)),0))</f>
        <v>50</v>
      </c>
      <c r="I110">
        <f>IFERROR(_xlfn.XLOOKUP(I108,'BASE_PROFILÉS'!$B$5:$B$200,'BASE_PROFILÉS'!$E$5:$E$200),IFERROR(INDEX('BASE_PROFILÉS'!$E$5:$E$200,MATCH(I108,'BASE_PROFILÉS'!$B$5:$B$200,0)),0))</f>
        <v>50</v>
      </c>
      <c r="J110">
        <f>IFERROR(_xlfn.XLOOKUP(J108,'BASE_PROFILÉS'!$B$5:$B$200,'BASE_PROFILÉS'!$E$5:$E$200),IFERROR(INDEX('BASE_PROFILÉS'!$E$5:$E$200,MATCH(J108,'BASE_PROFILÉS'!$B$5:$B$200,0)),0))</f>
        <v>50</v>
      </c>
      <c r="K110">
        <f>IFERROR(_xlfn.XLOOKUP(K108,'BASE_PROFILÉS'!$B$5:$B$200,'BASE_PROFILÉS'!$E$5:$E$200),IFERROR(INDEX('BASE_PROFILÉS'!$E$5:$E$200,MATCH(K108,'BASE_PROFILÉS'!$B$5:$B$200,0)),0))</f>
        <v>50</v>
      </c>
      <c r="L110">
        <f>IFERROR(_xlfn.XLOOKUP(L108,'BASE_PROFILÉS'!$B$5:$B$200,'BASE_PROFILÉS'!$E$5:$E$200),IFERROR(INDEX('BASE_PROFILÉS'!$E$5:$E$200,MATCH(L108,'BASE_PROFILÉS'!$B$5:$B$200,0)),0))</f>
        <v>50</v>
      </c>
      <c r="M110">
        <f>IFERROR(_xlfn.XLOOKUP(M108,'BASE_PROFILÉS'!$B$5:$B$200,'BASE_PROFILÉS'!$E$5:$E$200),IFERROR(INDEX('BASE_PROFILÉS'!$E$5:$E$200,MATCH(M108,'BASE_PROFILÉS'!$B$5:$B$200,0)),0))</f>
        <v>50</v>
      </c>
      <c r="N110">
        <f>IFERROR(_xlfn.XLOOKUP(N108,'BASE_PROFILÉS'!$B$5:$B$200,'BASE_PROFILÉS'!$E$5:$E$200),IFERROR(INDEX('BASE_PROFILÉS'!$E$5:$E$200,MATCH(N108,'BASE_PROFILÉS'!$B$5:$B$200,0)),0))</f>
        <v>50</v>
      </c>
      <c r="O110">
        <f>IFERROR(_xlfn.XLOOKUP(O108,'BASE_PROFILÉS'!$B$5:$B$200,'BASE_PROFILÉS'!$E$5:$E$200),IFERROR(INDEX('BASE_PROFILÉS'!$E$5:$E$200,MATCH(O108,'BASE_PROFILÉS'!$B$5:$B$200,0)),0))</f>
        <v>50</v>
      </c>
      <c r="P110">
        <f>IFERROR(_xlfn.XLOOKUP(P108,'BASE_PROFILÉS'!$B$5:$B$200,'BASE_PROFILÉS'!$E$5:$E$200),IFERROR(INDEX('BASE_PROFILÉS'!$E$5:$E$200,MATCH(P108,'BASE_PROFILÉS'!$B$5:$B$200,0)),0))</f>
        <v>50</v>
      </c>
      <c r="Q110">
        <f>IFERROR(_xlfn.XLOOKUP(Q108,'BASE_PROFILÉS'!$B$5:$B$200,'BASE_PROFILÉS'!$E$5:$E$200),IFERROR(INDEX('BASE_PROFILÉS'!$E$5:$E$200,MATCH(Q108,'BASE_PROFILÉS'!$B$5:$B$200,0)),0))</f>
        <v>50</v>
      </c>
      <c r="R110">
        <f>IFERROR(_xlfn.XLOOKUP(R108,'BASE_PROFILÉS'!$B$5:$B$200,'BASE_PROFILÉS'!$E$5:$E$200),IFERROR(INDEX('BASE_PROFILÉS'!$E$5:$E$200,MATCH(R108,'BASE_PROFILÉS'!$B$5:$B$200,0)),0))</f>
        <v>50</v>
      </c>
      <c r="S110">
        <f>IFERROR(_xlfn.XLOOKUP(S108,'BASE_PROFILÉS'!$B$5:$B$200,'BASE_PROFILÉS'!$E$5:$E$200),IFERROR(INDEX('BASE_PROFILÉS'!$E$5:$E$200,MATCH(S108,'BASE_PROFILÉS'!$B$5:$B$200,0)),0))</f>
        <v>50</v>
      </c>
      <c r="T110">
        <f>IFERROR(_xlfn.XLOOKUP(T108,'BASE_PROFILÉS'!$B$5:$B$200,'BASE_PROFILÉS'!$E$5:$E$200),IFERROR(INDEX('BASE_PROFILÉS'!$E$5:$E$200,MATCH(T108,'BASE_PROFILÉS'!$B$5:$B$200,0)),0))</f>
        <v>50</v>
      </c>
      <c r="U110">
        <f>IFERROR(_xlfn.XLOOKUP(U108,'BASE_PROFILÉS'!$B$5:$B$200,'BASE_PROFILÉS'!$E$5:$E$200),IFERROR(INDEX('BASE_PROFILÉS'!$E$5:$E$200,MATCH(U108,'BASE_PROFILÉS'!$B$5:$B$200,0)),0))</f>
        <v>50</v>
      </c>
      <c r="V110">
        <f>IFERROR(_xlfn.XLOOKUP(V108,'BASE_PROFILÉS'!$B$5:$B$200,'BASE_PROFILÉS'!$E$5:$E$200),IFERROR(INDEX('BASE_PROFILÉS'!$E$5:$E$200,MATCH(V108,'BASE_PROFILÉS'!$B$5:$B$200,0)),0))</f>
        <v>50</v>
      </c>
      <c r="W110">
        <f>IFERROR(_xlfn.XLOOKUP(W108,'BASE_PROFILÉS'!$B$5:$B$200,'BASE_PROFILÉS'!$E$5:$E$200),IFERROR(INDEX('BASE_PROFILÉS'!$E$5:$E$200,MATCH(W108,'BASE_PROFILÉS'!$B$5:$B$200,0)),0))</f>
        <v>50</v>
      </c>
      <c r="X110">
        <f>IFERROR(_xlfn.XLOOKUP(X108,'BASE_PROFILÉS'!$B$5:$B$200,'BASE_PROFILÉS'!$E$5:$E$200),IFERROR(INDEX('BASE_PROFILÉS'!$E$5:$E$200,MATCH(X108,'BASE_PROFILÉS'!$B$5:$B$200,0)),0))</f>
        <v>50</v>
      </c>
    </row>
    <row r="111">
      <c r="A111" t="inlineStr">
        <is>
          <t>auto_bai</t>
        </is>
      </c>
      <c r="B111" t="inlineStr">
        <is>
          <t>PRÉDIMENSIONNEMENT!C84</t>
        </is>
      </c>
      <c r="D111" t="str">
        <f>"UPN 140"</f>
        <v>UPN 140</v>
      </c>
      <c r="E111" t="str">
        <f>"UPN 140"</f>
        <v>UPN 140</v>
      </c>
      <c r="F111" t="str">
        <f>"UPN 140"</f>
        <v>UPN 140</v>
      </c>
      <c r="G111" t="str">
        <f>"UPN 140"</f>
        <v>UPN 140</v>
      </c>
      <c r="H111" t="str">
        <f>"UPN 140"</f>
        <v>UPN 140</v>
      </c>
      <c r="I111" t="str">
        <f>"UPN 140"</f>
        <v>UPN 140</v>
      </c>
      <c r="J111" t="str">
        <f>"UPN 140"</f>
        <v>UPN 140</v>
      </c>
      <c r="K111" t="str">
        <f>"UPN 140"</f>
        <v>UPN 140</v>
      </c>
      <c r="L111" t="str">
        <f>"UPN 140"</f>
        <v>UPN 140</v>
      </c>
      <c r="M111" t="str">
        <f>"UPN 140"</f>
        <v>UPN 140</v>
      </c>
      <c r="N111" t="str">
        <f>"UPN 140"</f>
        <v>UPN 140</v>
      </c>
      <c r="O111" t="str">
        <f>"UPN 140"</f>
        <v>UPN 140</v>
      </c>
      <c r="P111" t="str">
        <f>"UPN 140"</f>
        <v>UPN 140</v>
      </c>
      <c r="Q111" t="str">
        <f>"UPN 140"</f>
        <v>UPN 140</v>
      </c>
      <c r="R111" t="str">
        <f>"UPN 140"</f>
        <v>UPN 140</v>
      </c>
      <c r="S111" t="str">
        <f>"UPN 140"</f>
        <v>UPN 140</v>
      </c>
      <c r="T111" t="str">
        <f>"UPN 140"</f>
        <v>UPN 140</v>
      </c>
      <c r="U111" t="str">
        <f>"UPN 140"</f>
        <v>UPN 140</v>
      </c>
      <c r="V111" t="str">
        <f>"UPN 140"</f>
        <v>UPN 140</v>
      </c>
      <c r="W111" t="str">
        <f>"UPN 140"</f>
        <v>UPN 140</v>
      </c>
      <c r="X111" t="str">
        <f>"UPN 140"</f>
        <v>UPN 140</v>
      </c>
    </row>
    <row r="112">
      <c r="A112" t="inlineStr">
        <is>
          <t>prof_bai</t>
        </is>
      </c>
      <c r="B112" t="inlineStr">
        <is>
          <t>PRÉDIMENSIONNEMENT!E84</t>
        </is>
      </c>
      <c r="D112" t="str">
        <f>D111</f>
        <v>UPN 140</v>
      </c>
      <c r="E112" t="str">
        <f>E111</f>
        <v>UPN 140</v>
      </c>
      <c r="F112" t="str">
        <f>F111</f>
        <v>UPN 140</v>
      </c>
      <c r="G112" t="str">
        <f>G111</f>
        <v>UPN 140</v>
      </c>
      <c r="H112" t="str">
        <f>H111</f>
        <v>UPN 140</v>
      </c>
      <c r="I112" t="str">
        <f>I111</f>
        <v>UPN 140</v>
      </c>
      <c r="J112" t="str">
        <f>J111</f>
        <v>UPN 140</v>
      </c>
      <c r="K112" t="str">
        <f>K111</f>
        <v>UPN 140</v>
      </c>
      <c r="L112" t="str">
        <f>L111</f>
        <v>UPN 140</v>
      </c>
      <c r="M112" t="str">
        <f>M111</f>
        <v>UPN 140</v>
      </c>
      <c r="N112" t="str">
        <f>N111</f>
        <v>UPN 140</v>
      </c>
      <c r="O112" t="str">
        <f>O111</f>
        <v>UPN 140</v>
      </c>
      <c r="P112" t="str">
        <f>P111</f>
        <v>UPN 140</v>
      </c>
      <c r="Q112" t="str">
        <f>Q111</f>
        <v>UPN 140</v>
      </c>
      <c r="R112" t="str">
        <f>R111</f>
        <v>UPN 140</v>
      </c>
      <c r="S112" t="str">
        <f>S111</f>
        <v>UPN 140</v>
      </c>
      <c r="T112" t="str">
        <f>T111</f>
        <v>UPN 140</v>
      </c>
      <c r="U112" t="str">
        <f>U111</f>
        <v>UPN 140</v>
      </c>
      <c r="V112" t="str">
        <f>V111</f>
        <v>UPN 140</v>
      </c>
      <c r="W112" t="str">
        <f>W111</f>
        <v>UPN 140</v>
      </c>
      <c r="X112" t="str">
        <f>X111</f>
        <v>UPN 140</v>
      </c>
    </row>
    <row r="113">
      <c r="A113" t="inlineStr">
        <is>
          <t>kg_bai</t>
        </is>
      </c>
      <c r="B113" t="inlineStr">
        <is>
          <t>PRÉDIMENSIONNEMENT!F84</t>
        </is>
      </c>
      <c r="D113">
        <f>IFERROR(_xlfn.XLOOKUP(D112,'BASE_PROFILÉS'!$B$5:$B$200,'BASE_PROFILÉS'!$D$5:$D$200),IFERROR(INDEX('BASE_PROFILÉS'!$D$5:$D$200,MATCH(D112,'BASE_PROFILÉS'!$B$5:$B$200,0)),0))</f>
        <v>16</v>
      </c>
      <c r="E113">
        <f>IFERROR(_xlfn.XLOOKUP(E112,'BASE_PROFILÉS'!$B$5:$B$200,'BASE_PROFILÉS'!$D$5:$D$200),IFERROR(INDEX('BASE_PROFILÉS'!$D$5:$D$200,MATCH(E112,'BASE_PROFILÉS'!$B$5:$B$200,0)),0))</f>
        <v>16</v>
      </c>
      <c r="F113">
        <f>IFERROR(_xlfn.XLOOKUP(F112,'BASE_PROFILÉS'!$B$5:$B$200,'BASE_PROFILÉS'!$D$5:$D$200),IFERROR(INDEX('BASE_PROFILÉS'!$D$5:$D$200,MATCH(F112,'BASE_PROFILÉS'!$B$5:$B$200,0)),0))</f>
        <v>16</v>
      </c>
      <c r="G113">
        <f>IFERROR(_xlfn.XLOOKUP(G112,'BASE_PROFILÉS'!$B$5:$B$200,'BASE_PROFILÉS'!$D$5:$D$200),IFERROR(INDEX('BASE_PROFILÉS'!$D$5:$D$200,MATCH(G112,'BASE_PROFILÉS'!$B$5:$B$200,0)),0))</f>
        <v>16</v>
      </c>
      <c r="H113">
        <f>IFERROR(_xlfn.XLOOKUP(H112,'BASE_PROFILÉS'!$B$5:$B$200,'BASE_PROFILÉS'!$D$5:$D$200),IFERROR(INDEX('BASE_PROFILÉS'!$D$5:$D$200,MATCH(H112,'BASE_PROFILÉS'!$B$5:$B$200,0)),0))</f>
        <v>16</v>
      </c>
      <c r="I113">
        <f>IFERROR(_xlfn.XLOOKUP(I112,'BASE_PROFILÉS'!$B$5:$B$200,'BASE_PROFILÉS'!$D$5:$D$200),IFERROR(INDEX('BASE_PROFILÉS'!$D$5:$D$200,MATCH(I112,'BASE_PROFILÉS'!$B$5:$B$200,0)),0))</f>
        <v>16</v>
      </c>
      <c r="J113">
        <f>IFERROR(_xlfn.XLOOKUP(J112,'BASE_PROFILÉS'!$B$5:$B$200,'BASE_PROFILÉS'!$D$5:$D$200),IFERROR(INDEX('BASE_PROFILÉS'!$D$5:$D$200,MATCH(J112,'BASE_PROFILÉS'!$B$5:$B$200,0)),0))</f>
        <v>16</v>
      </c>
      <c r="K113">
        <f>IFERROR(_xlfn.XLOOKUP(K112,'BASE_PROFILÉS'!$B$5:$B$200,'BASE_PROFILÉS'!$D$5:$D$200),IFERROR(INDEX('BASE_PROFILÉS'!$D$5:$D$200,MATCH(K112,'BASE_PROFILÉS'!$B$5:$B$200,0)),0))</f>
        <v>16</v>
      </c>
      <c r="L113">
        <f>IFERROR(_xlfn.XLOOKUP(L112,'BASE_PROFILÉS'!$B$5:$B$200,'BASE_PROFILÉS'!$D$5:$D$200),IFERROR(INDEX('BASE_PROFILÉS'!$D$5:$D$200,MATCH(L112,'BASE_PROFILÉS'!$B$5:$B$200,0)),0))</f>
        <v>16</v>
      </c>
      <c r="M113">
        <f>IFERROR(_xlfn.XLOOKUP(M112,'BASE_PROFILÉS'!$B$5:$B$200,'BASE_PROFILÉS'!$D$5:$D$200),IFERROR(INDEX('BASE_PROFILÉS'!$D$5:$D$200,MATCH(M112,'BASE_PROFILÉS'!$B$5:$B$200,0)),0))</f>
        <v>16</v>
      </c>
      <c r="N113">
        <f>IFERROR(_xlfn.XLOOKUP(N112,'BASE_PROFILÉS'!$B$5:$B$200,'BASE_PROFILÉS'!$D$5:$D$200),IFERROR(INDEX('BASE_PROFILÉS'!$D$5:$D$200,MATCH(N112,'BASE_PROFILÉS'!$B$5:$B$200,0)),0))</f>
        <v>16</v>
      </c>
      <c r="O113">
        <f>IFERROR(_xlfn.XLOOKUP(O112,'BASE_PROFILÉS'!$B$5:$B$200,'BASE_PROFILÉS'!$D$5:$D$200),IFERROR(INDEX('BASE_PROFILÉS'!$D$5:$D$200,MATCH(O112,'BASE_PROFILÉS'!$B$5:$B$200,0)),0))</f>
        <v>16</v>
      </c>
      <c r="P113">
        <f>IFERROR(_xlfn.XLOOKUP(P112,'BASE_PROFILÉS'!$B$5:$B$200,'BASE_PROFILÉS'!$D$5:$D$200),IFERROR(INDEX('BASE_PROFILÉS'!$D$5:$D$200,MATCH(P112,'BASE_PROFILÉS'!$B$5:$B$200,0)),0))</f>
        <v>16</v>
      </c>
      <c r="Q113">
        <f>IFERROR(_xlfn.XLOOKUP(Q112,'BASE_PROFILÉS'!$B$5:$B$200,'BASE_PROFILÉS'!$D$5:$D$200),IFERROR(INDEX('BASE_PROFILÉS'!$D$5:$D$200,MATCH(Q112,'BASE_PROFILÉS'!$B$5:$B$200,0)),0))</f>
        <v>16</v>
      </c>
      <c r="R113">
        <f>IFERROR(_xlfn.XLOOKUP(R112,'BASE_PROFILÉS'!$B$5:$B$200,'BASE_PROFILÉS'!$D$5:$D$200),IFERROR(INDEX('BASE_PROFILÉS'!$D$5:$D$200,MATCH(R112,'BASE_PROFILÉS'!$B$5:$B$200,0)),0))</f>
        <v>16</v>
      </c>
      <c r="S113">
        <f>IFERROR(_xlfn.XLOOKUP(S112,'BASE_PROFILÉS'!$B$5:$B$200,'BASE_PROFILÉS'!$D$5:$D$200),IFERROR(INDEX('BASE_PROFILÉS'!$D$5:$D$200,MATCH(S112,'BASE_PROFILÉS'!$B$5:$B$200,0)),0))</f>
        <v>16</v>
      </c>
      <c r="T113">
        <f>IFERROR(_xlfn.XLOOKUP(T112,'BASE_PROFILÉS'!$B$5:$B$200,'BASE_PROFILÉS'!$D$5:$D$200),IFERROR(INDEX('BASE_PROFILÉS'!$D$5:$D$200,MATCH(T112,'BASE_PROFILÉS'!$B$5:$B$200,0)),0))</f>
        <v>16</v>
      </c>
      <c r="U113">
        <f>IFERROR(_xlfn.XLOOKUP(U112,'BASE_PROFILÉS'!$B$5:$B$200,'BASE_PROFILÉS'!$D$5:$D$200),IFERROR(INDEX('BASE_PROFILÉS'!$D$5:$D$200,MATCH(U112,'BASE_PROFILÉS'!$B$5:$B$200,0)),0))</f>
        <v>16</v>
      </c>
      <c r="V113">
        <f>IFERROR(_xlfn.XLOOKUP(V112,'BASE_PROFILÉS'!$B$5:$B$200,'BASE_PROFILÉS'!$D$5:$D$200),IFERROR(INDEX('BASE_PROFILÉS'!$D$5:$D$200,MATCH(V112,'BASE_PROFILÉS'!$B$5:$B$200,0)),0))</f>
        <v>16</v>
      </c>
      <c r="W113">
        <f>IFERROR(_xlfn.XLOOKUP(W112,'BASE_PROFILÉS'!$B$5:$B$200,'BASE_PROFILÉS'!$D$5:$D$200),IFERROR(INDEX('BASE_PROFILÉS'!$D$5:$D$200,MATCH(W112,'BASE_PROFILÉS'!$B$5:$B$200,0)),0))</f>
        <v>16</v>
      </c>
      <c r="X113">
        <f>IFERROR(_xlfn.XLOOKUP(X112,'BASE_PROFILÉS'!$B$5:$B$200,'BASE_PROFILÉS'!$D$5:$D$200),IFERROR(INDEX('BASE_PROFILÉS'!$D$5:$D$200,MATCH(X112,'BASE_PROFILÉS'!$B$5:$B$200,0)),0))</f>
        <v>16</v>
      </c>
    </row>
    <row r="114">
      <c r="A114" t="inlineStr">
        <is>
          <t>h_bai</t>
        </is>
      </c>
      <c r="B114" t="inlineStr">
        <is>
          <t>PRÉDIMENSIONNEMENT!G84</t>
        </is>
      </c>
      <c r="D114">
        <f>IFERROR(_xlfn.XLOOKUP(D112,'BASE_PROFILÉS'!$B$5:$B$200,'BASE_PROFILÉS'!$E$5:$E$200),IFERROR(INDEX('BASE_PROFILÉS'!$E$5:$E$200,MATCH(D112,'BASE_PROFILÉS'!$B$5:$B$200,0)),0))</f>
        <v>140</v>
      </c>
      <c r="E114">
        <f>IFERROR(_xlfn.XLOOKUP(E112,'BASE_PROFILÉS'!$B$5:$B$200,'BASE_PROFILÉS'!$E$5:$E$200),IFERROR(INDEX('BASE_PROFILÉS'!$E$5:$E$200,MATCH(E112,'BASE_PROFILÉS'!$B$5:$B$200,0)),0))</f>
        <v>140</v>
      </c>
      <c r="F114">
        <f>IFERROR(_xlfn.XLOOKUP(F112,'BASE_PROFILÉS'!$B$5:$B$200,'BASE_PROFILÉS'!$E$5:$E$200),IFERROR(INDEX('BASE_PROFILÉS'!$E$5:$E$200,MATCH(F112,'BASE_PROFILÉS'!$B$5:$B$200,0)),0))</f>
        <v>140</v>
      </c>
      <c r="G114">
        <f>IFERROR(_xlfn.XLOOKUP(G112,'BASE_PROFILÉS'!$B$5:$B$200,'BASE_PROFILÉS'!$E$5:$E$200),IFERROR(INDEX('BASE_PROFILÉS'!$E$5:$E$200,MATCH(G112,'BASE_PROFILÉS'!$B$5:$B$200,0)),0))</f>
        <v>140</v>
      </c>
      <c r="H114">
        <f>IFERROR(_xlfn.XLOOKUP(H112,'BASE_PROFILÉS'!$B$5:$B$200,'BASE_PROFILÉS'!$E$5:$E$200),IFERROR(INDEX('BASE_PROFILÉS'!$E$5:$E$200,MATCH(H112,'BASE_PROFILÉS'!$B$5:$B$200,0)),0))</f>
        <v>140</v>
      </c>
      <c r="I114">
        <f>IFERROR(_xlfn.XLOOKUP(I112,'BASE_PROFILÉS'!$B$5:$B$200,'BASE_PROFILÉS'!$E$5:$E$200),IFERROR(INDEX('BASE_PROFILÉS'!$E$5:$E$200,MATCH(I112,'BASE_PROFILÉS'!$B$5:$B$200,0)),0))</f>
        <v>140</v>
      </c>
      <c r="J114">
        <f>IFERROR(_xlfn.XLOOKUP(J112,'BASE_PROFILÉS'!$B$5:$B$200,'BASE_PROFILÉS'!$E$5:$E$200),IFERROR(INDEX('BASE_PROFILÉS'!$E$5:$E$200,MATCH(J112,'BASE_PROFILÉS'!$B$5:$B$200,0)),0))</f>
        <v>140</v>
      </c>
      <c r="K114">
        <f>IFERROR(_xlfn.XLOOKUP(K112,'BASE_PROFILÉS'!$B$5:$B$200,'BASE_PROFILÉS'!$E$5:$E$200),IFERROR(INDEX('BASE_PROFILÉS'!$E$5:$E$200,MATCH(K112,'BASE_PROFILÉS'!$B$5:$B$200,0)),0))</f>
        <v>140</v>
      </c>
      <c r="L114">
        <f>IFERROR(_xlfn.XLOOKUP(L112,'BASE_PROFILÉS'!$B$5:$B$200,'BASE_PROFILÉS'!$E$5:$E$200),IFERROR(INDEX('BASE_PROFILÉS'!$E$5:$E$200,MATCH(L112,'BASE_PROFILÉS'!$B$5:$B$200,0)),0))</f>
        <v>140</v>
      </c>
      <c r="M114">
        <f>IFERROR(_xlfn.XLOOKUP(M112,'BASE_PROFILÉS'!$B$5:$B$200,'BASE_PROFILÉS'!$E$5:$E$200),IFERROR(INDEX('BASE_PROFILÉS'!$E$5:$E$200,MATCH(M112,'BASE_PROFILÉS'!$B$5:$B$200,0)),0))</f>
        <v>140</v>
      </c>
      <c r="N114">
        <f>IFERROR(_xlfn.XLOOKUP(N112,'BASE_PROFILÉS'!$B$5:$B$200,'BASE_PROFILÉS'!$E$5:$E$200),IFERROR(INDEX('BASE_PROFILÉS'!$E$5:$E$200,MATCH(N112,'BASE_PROFILÉS'!$B$5:$B$200,0)),0))</f>
        <v>140</v>
      </c>
      <c r="O114">
        <f>IFERROR(_xlfn.XLOOKUP(O112,'BASE_PROFILÉS'!$B$5:$B$200,'BASE_PROFILÉS'!$E$5:$E$200),IFERROR(INDEX('BASE_PROFILÉS'!$E$5:$E$200,MATCH(O112,'BASE_PROFILÉS'!$B$5:$B$200,0)),0))</f>
        <v>140</v>
      </c>
      <c r="P114">
        <f>IFERROR(_xlfn.XLOOKUP(P112,'BASE_PROFILÉS'!$B$5:$B$200,'BASE_PROFILÉS'!$E$5:$E$200),IFERROR(INDEX('BASE_PROFILÉS'!$E$5:$E$200,MATCH(P112,'BASE_PROFILÉS'!$B$5:$B$200,0)),0))</f>
        <v>140</v>
      </c>
      <c r="Q114">
        <f>IFERROR(_xlfn.XLOOKUP(Q112,'BASE_PROFILÉS'!$B$5:$B$200,'BASE_PROFILÉS'!$E$5:$E$200),IFERROR(INDEX('BASE_PROFILÉS'!$E$5:$E$200,MATCH(Q112,'BASE_PROFILÉS'!$B$5:$B$200,0)),0))</f>
        <v>140</v>
      </c>
      <c r="R114">
        <f>IFERROR(_xlfn.XLOOKUP(R112,'BASE_PROFILÉS'!$B$5:$B$200,'BASE_PROFILÉS'!$E$5:$E$200),IFERROR(INDEX('BASE_PROFILÉS'!$E$5:$E$200,MATCH(R112,'BASE_PROFILÉS'!$B$5:$B$200,0)),0))</f>
        <v>140</v>
      </c>
      <c r="S114">
        <f>IFERROR(_xlfn.XLOOKUP(S112,'BASE_PROFILÉS'!$B$5:$B$200,'BASE_PROFILÉS'!$E$5:$E$200),IFERROR(INDEX('BASE_PROFILÉS'!$E$5:$E$200,MATCH(S112,'BASE_PROFILÉS'!$B$5:$B$200,0)),0))</f>
        <v>140</v>
      </c>
      <c r="T114">
        <f>IFERROR(_xlfn.XLOOKUP(T112,'BASE_PROFILÉS'!$B$5:$B$200,'BASE_PROFILÉS'!$E$5:$E$200),IFERROR(INDEX('BASE_PROFILÉS'!$E$5:$E$200,MATCH(T112,'BASE_PROFILÉS'!$B$5:$B$200,0)),0))</f>
        <v>140</v>
      </c>
      <c r="U114">
        <f>IFERROR(_xlfn.XLOOKUP(U112,'BASE_PROFILÉS'!$B$5:$B$200,'BASE_PROFILÉS'!$E$5:$E$200),IFERROR(INDEX('BASE_PROFILÉS'!$E$5:$E$200,MATCH(U112,'BASE_PROFILÉS'!$B$5:$B$200,0)),0))</f>
        <v>140</v>
      </c>
      <c r="V114">
        <f>IFERROR(_xlfn.XLOOKUP(V112,'BASE_PROFILÉS'!$B$5:$B$200,'BASE_PROFILÉS'!$E$5:$E$200),IFERROR(INDEX('BASE_PROFILÉS'!$E$5:$E$200,MATCH(V112,'BASE_PROFILÉS'!$B$5:$B$200,0)),0))</f>
        <v>140</v>
      </c>
      <c r="W114">
        <f>IFERROR(_xlfn.XLOOKUP(W112,'BASE_PROFILÉS'!$B$5:$B$200,'BASE_PROFILÉS'!$E$5:$E$200),IFERROR(INDEX('BASE_PROFILÉS'!$E$5:$E$200,MATCH(W112,'BASE_PROFILÉS'!$B$5:$B$200,0)),0))</f>
        <v>140</v>
      </c>
      <c r="X114">
        <f>IFERROR(_xlfn.XLOOKUP(X112,'BASE_PROFILÉS'!$B$5:$B$200,'BASE_PROFILÉS'!$E$5:$E$200),IFERROR(INDEX('BASE_PROFILÉS'!$E$5:$E$200,MATCH(X112,'BASE_PROFILÉS'!$B$5:$B$200,0)),0))</f>
        <v>140</v>
      </c>
    </row>
    <row r="115">
      <c r="A115" t="inlineStr">
        <is>
          <t>pot_p</t>
        </is>
      </c>
      <c r="B115" t="inlineStr">
        <is>
          <t>QUANTITATIF_CHARPENTE!C6</t>
        </is>
      </c>
      <c r="D115" t="str">
        <f>D52</f>
        <v>IPE 220</v>
      </c>
      <c r="E115" t="str">
        <f>E52</f>
        <v>IPE 220</v>
      </c>
      <c r="F115" t="str">
        <f>F52</f>
        <v>IPE 220</v>
      </c>
      <c r="G115" t="str">
        <f>G52</f>
        <v>IPE 270</v>
      </c>
      <c r="H115" t="str">
        <f>H52</f>
        <v>IPE 270</v>
      </c>
      <c r="I115" t="str">
        <f>I52</f>
        <v>IPE 270</v>
      </c>
      <c r="J115" t="str">
        <f>J52</f>
        <v>IPE 270</v>
      </c>
      <c r="K115" t="str">
        <f>K52</f>
        <v>IPE 270</v>
      </c>
      <c r="L115" t="str">
        <f>L52</f>
        <v>IPE 270</v>
      </c>
      <c r="M115" t="str">
        <f>M52</f>
        <v>IPE 330</v>
      </c>
      <c r="N115" t="str">
        <f>N52</f>
        <v>IPE 330</v>
      </c>
      <c r="O115" t="str">
        <f>O52</f>
        <v>IPE 330</v>
      </c>
      <c r="P115" t="str">
        <f>P52</f>
        <v>IPE 330</v>
      </c>
      <c r="Q115" t="str">
        <f>Q52</f>
        <v>IPE 330</v>
      </c>
      <c r="R115" t="str">
        <f>R52</f>
        <v>IPE 330</v>
      </c>
      <c r="S115" t="str">
        <f>S52</f>
        <v>IPE 450</v>
      </c>
      <c r="T115" t="str">
        <f>T52</f>
        <v>IPE 450</v>
      </c>
      <c r="U115" t="str">
        <f>U52</f>
        <v>IPE 450</v>
      </c>
      <c r="V115" t="str">
        <f>V52</f>
        <v>HEA 300</v>
      </c>
      <c r="W115" t="str">
        <f>W52</f>
        <v>HEA 300</v>
      </c>
      <c r="X115" t="str">
        <f>X52</f>
        <v>HEA 300</v>
      </c>
    </row>
    <row r="116">
      <c r="A116" t="inlineStr">
        <is>
          <t>pot_q</t>
        </is>
      </c>
      <c r="B116" t="inlineStr">
        <is>
          <t>QUANTITATIF_CHARPENTE!E6</t>
        </is>
      </c>
      <c r="D116">
        <f>2*D14</f>
        <v>12</v>
      </c>
      <c r="E116">
        <f>2*E14</f>
        <v>12</v>
      </c>
      <c r="F116">
        <f>2*F14</f>
        <v>12</v>
      </c>
      <c r="G116">
        <f>2*G14</f>
        <v>10</v>
      </c>
      <c r="H116">
        <f>2*H14</f>
        <v>10</v>
      </c>
      <c r="I116">
        <f>2*I14</f>
        <v>10</v>
      </c>
      <c r="J116">
        <f>2*J14</f>
        <v>12</v>
      </c>
      <c r="K116">
        <f>2*K14</f>
        <v>12</v>
      </c>
      <c r="L116">
        <f>2*L14</f>
        <v>12</v>
      </c>
      <c r="M116">
        <f>2*M14</f>
        <v>10</v>
      </c>
      <c r="N116">
        <f>2*N14</f>
        <v>10</v>
      </c>
      <c r="O116">
        <f>2*O14</f>
        <v>10</v>
      </c>
      <c r="P116">
        <f>2*P14</f>
        <v>16</v>
      </c>
      <c r="Q116">
        <f>2*Q14</f>
        <v>16</v>
      </c>
      <c r="R116">
        <f>2*R14</f>
        <v>16</v>
      </c>
      <c r="S116">
        <f>2*S14</f>
        <v>16</v>
      </c>
      <c r="T116">
        <f>2*T14</f>
        <v>16</v>
      </c>
      <c r="U116">
        <f>2*U14</f>
        <v>16</v>
      </c>
      <c r="V116">
        <f>2*V14</f>
        <v>16</v>
      </c>
      <c r="W116">
        <f>2*W14</f>
        <v>16</v>
      </c>
      <c r="X116">
        <f>2*X14</f>
        <v>16</v>
      </c>
    </row>
    <row r="117">
      <c r="A117" t="inlineStr">
        <is>
          <t>pot_lu</t>
        </is>
      </c>
      <c r="B117" t="inlineStr">
        <is>
          <t>QUANTITATIF_CHARPENTE!F6</t>
        </is>
      </c>
      <c r="D117">
        <f>D18</f>
        <v>6</v>
      </c>
      <c r="E117">
        <f>E18</f>
        <v>6</v>
      </c>
      <c r="F117">
        <f>F18</f>
        <v>6</v>
      </c>
      <c r="G117">
        <f>G18</f>
        <v>6</v>
      </c>
      <c r="H117">
        <f>H18</f>
        <v>6</v>
      </c>
      <c r="I117">
        <f>I18</f>
        <v>6</v>
      </c>
      <c r="J117">
        <f>J18</f>
        <v>6</v>
      </c>
      <c r="K117">
        <f>K18</f>
        <v>6</v>
      </c>
      <c r="L117">
        <f>L18</f>
        <v>6</v>
      </c>
      <c r="M117">
        <f>M18</f>
        <v>6</v>
      </c>
      <c r="N117">
        <f>N18</f>
        <v>6</v>
      </c>
      <c r="O117">
        <f>O18</f>
        <v>6</v>
      </c>
      <c r="P117">
        <f>P18</f>
        <v>6</v>
      </c>
      <c r="Q117">
        <f>Q18</f>
        <v>6</v>
      </c>
      <c r="R117">
        <f>R18</f>
        <v>6</v>
      </c>
      <c r="S117">
        <f>S18</f>
        <v>6</v>
      </c>
      <c r="T117">
        <f>T18</f>
        <v>6</v>
      </c>
      <c r="U117">
        <f>U18</f>
        <v>6</v>
      </c>
      <c r="V117">
        <f>V18</f>
        <v>7.33333333333333</v>
      </c>
      <c r="W117">
        <f>W18</f>
        <v>7.33333333333333</v>
      </c>
      <c r="X117">
        <f>X18</f>
        <v>7.33333333333333</v>
      </c>
    </row>
    <row r="118">
      <c r="A118" t="inlineStr">
        <is>
          <t>pot_lt</t>
        </is>
      </c>
      <c r="B118" t="inlineStr">
        <is>
          <t>QUANTITATIF_CHARPENTE!G6</t>
        </is>
      </c>
      <c r="D118">
        <f>D116*D117</f>
        <v>72</v>
      </c>
      <c r="E118">
        <f>E116*E117</f>
        <v>72</v>
      </c>
      <c r="F118">
        <f>F116*F117</f>
        <v>72</v>
      </c>
      <c r="G118">
        <f>G116*G117</f>
        <v>60</v>
      </c>
      <c r="H118">
        <f>H116*H117</f>
        <v>60</v>
      </c>
      <c r="I118">
        <f>I116*I117</f>
        <v>60</v>
      </c>
      <c r="J118">
        <f>J116*J117</f>
        <v>72</v>
      </c>
      <c r="K118">
        <f>K116*K117</f>
        <v>72</v>
      </c>
      <c r="L118">
        <f>L116*L117</f>
        <v>72</v>
      </c>
      <c r="M118">
        <f>M116*M117</f>
        <v>60</v>
      </c>
      <c r="N118">
        <f>N116*N117</f>
        <v>60</v>
      </c>
      <c r="O118">
        <f>O116*O117</f>
        <v>60</v>
      </c>
      <c r="P118">
        <f>P116*P117</f>
        <v>96</v>
      </c>
      <c r="Q118">
        <f>Q116*Q117</f>
        <v>96</v>
      </c>
      <c r="R118">
        <f>R116*R117</f>
        <v>96</v>
      </c>
      <c r="S118">
        <f>S116*S117</f>
        <v>96</v>
      </c>
      <c r="T118">
        <f>T116*T117</f>
        <v>96</v>
      </c>
      <c r="U118">
        <f>U116*U117</f>
        <v>96</v>
      </c>
      <c r="V118">
        <f>V116*V117</f>
        <v>117.333333333333</v>
      </c>
      <c r="W118">
        <f>W116*W117</f>
        <v>117.333333333333</v>
      </c>
      <c r="X118">
        <f>X116*X117</f>
        <v>117.333333333333</v>
      </c>
    </row>
    <row r="119">
      <c r="A119" t="inlineStr">
        <is>
          <t>pot_kgml</t>
        </is>
      </c>
      <c r="B119" t="inlineStr">
        <is>
          <t>QUANTITATIF_CHARPENTE!H6</t>
        </is>
      </c>
      <c r="D119">
        <f>D53</f>
        <v>26.2</v>
      </c>
      <c r="E119">
        <f>E53</f>
        <v>26.2</v>
      </c>
      <c r="F119">
        <f>F53</f>
        <v>26.2</v>
      </c>
      <c r="G119">
        <f>G53</f>
        <v>36.1</v>
      </c>
      <c r="H119">
        <f>H53</f>
        <v>36.1</v>
      </c>
      <c r="I119">
        <f>I53</f>
        <v>36.1</v>
      </c>
      <c r="J119">
        <f>J53</f>
        <v>36.1</v>
      </c>
      <c r="K119">
        <f>K53</f>
        <v>36.1</v>
      </c>
      <c r="L119">
        <f>L53</f>
        <v>36.1</v>
      </c>
      <c r="M119">
        <f>M53</f>
        <v>49.1</v>
      </c>
      <c r="N119">
        <f>N53</f>
        <v>49.1</v>
      </c>
      <c r="O119">
        <f>O53</f>
        <v>49.1</v>
      </c>
      <c r="P119">
        <f>P53</f>
        <v>49.1</v>
      </c>
      <c r="Q119">
        <f>Q53</f>
        <v>49.1</v>
      </c>
      <c r="R119">
        <f>R53</f>
        <v>49.1</v>
      </c>
      <c r="S119">
        <f>S53</f>
        <v>77.6</v>
      </c>
      <c r="T119">
        <f>T53</f>
        <v>77.6</v>
      </c>
      <c r="U119">
        <f>U53</f>
        <v>77.6</v>
      </c>
      <c r="V119">
        <f>V53</f>
        <v>88.3</v>
      </c>
      <c r="W119">
        <f>W53</f>
        <v>88.3</v>
      </c>
      <c r="X119">
        <f>X53</f>
        <v>88.3</v>
      </c>
    </row>
    <row r="120">
      <c r="A120" t="inlineStr">
        <is>
          <t>pot_kg</t>
        </is>
      </c>
      <c r="B120" t="inlineStr">
        <is>
          <t>QUANTITATIF_CHARPENTE!I6</t>
        </is>
      </c>
      <c r="D120">
        <f>D118*D119</f>
        <v>1886.4</v>
      </c>
      <c r="E120">
        <f>E118*E119</f>
        <v>1886.4</v>
      </c>
      <c r="F120">
        <f>F118*F119</f>
        <v>1886.4</v>
      </c>
      <c r="G120">
        <f>G118*G119</f>
        <v>2166</v>
      </c>
      <c r="H120">
        <f>H118*H119</f>
        <v>2166</v>
      </c>
      <c r="I120">
        <f>I118*I119</f>
        <v>2166</v>
      </c>
      <c r="J120">
        <f>J118*J119</f>
        <v>2599.2</v>
      </c>
      <c r="K120">
        <f>K118*K119</f>
        <v>2599.2</v>
      </c>
      <c r="L120">
        <f>L118*L119</f>
        <v>2599.2</v>
      </c>
      <c r="M120">
        <f>M118*M119</f>
        <v>2946</v>
      </c>
      <c r="N120">
        <f>N118*N119</f>
        <v>2946</v>
      </c>
      <c r="O120">
        <f>O118*O119</f>
        <v>2946</v>
      </c>
      <c r="P120">
        <f>P118*P119</f>
        <v>4713.6</v>
      </c>
      <c r="Q120">
        <f>Q118*Q119</f>
        <v>4713.6</v>
      </c>
      <c r="R120">
        <f>R118*R119</f>
        <v>4713.6</v>
      </c>
      <c r="S120">
        <f>S118*S119</f>
        <v>7449.6</v>
      </c>
      <c r="T120">
        <f>T118*T119</f>
        <v>7449.6</v>
      </c>
      <c r="U120">
        <f>U118*U119</f>
        <v>7449.6</v>
      </c>
      <c r="V120">
        <f>V118*V119</f>
        <v>10360.5333333333</v>
      </c>
      <c r="W120">
        <f>W118*W119</f>
        <v>10360.5333333333</v>
      </c>
      <c r="X120">
        <f>X118*X119</f>
        <v>10360.5333333333</v>
      </c>
    </row>
    <row r="121">
      <c r="A121" t="inlineStr">
        <is>
          <t>pp_p</t>
        </is>
      </c>
      <c r="B121" t="inlineStr">
        <is>
          <t>QUANTITATIF_CHARPENTE!C7</t>
        </is>
      </c>
      <c r="D121" t="str">
        <f>D76</f>
        <v>IPE 220</v>
      </c>
      <c r="E121" t="str">
        <f>E76</f>
        <v>IPE 220</v>
      </c>
      <c r="F121" t="str">
        <f>F76</f>
        <v>IPE 220</v>
      </c>
      <c r="G121" t="str">
        <f>G76</f>
        <v>IPE 220</v>
      </c>
      <c r="H121" t="str">
        <f>H76</f>
        <v>IPE 220</v>
      </c>
      <c r="I121" t="str">
        <f>I76</f>
        <v>IPE 220</v>
      </c>
      <c r="J121" t="str">
        <f>J76</f>
        <v>IPE 220</v>
      </c>
      <c r="K121" t="str">
        <f>K76</f>
        <v>IPE 220</v>
      </c>
      <c r="L121" t="str">
        <f>L76</f>
        <v>IPE 220</v>
      </c>
      <c r="M121" t="str">
        <f>M76</f>
        <v>IPE 220</v>
      </c>
      <c r="N121" t="str">
        <f>N76</f>
        <v>IPE 220</v>
      </c>
      <c r="O121" t="str">
        <f>O76</f>
        <v>IPE 220</v>
      </c>
      <c r="P121" t="str">
        <f>P76</f>
        <v>IPE 220</v>
      </c>
      <c r="Q121" t="str">
        <f>Q76</f>
        <v>IPE 220</v>
      </c>
      <c r="R121" t="str">
        <f>R76</f>
        <v>IPE 220</v>
      </c>
      <c r="S121" t="str">
        <f>S76</f>
        <v>IPE 270</v>
      </c>
      <c r="T121" t="str">
        <f>T76</f>
        <v>IPE 270</v>
      </c>
      <c r="U121" t="str">
        <f>U76</f>
        <v>IPE 270</v>
      </c>
      <c r="V121" t="str">
        <f>V76</f>
        <v>IPE 300</v>
      </c>
      <c r="W121" t="str">
        <f>W76</f>
        <v>IPE 300</v>
      </c>
      <c r="X121" t="str">
        <f>X76</f>
        <v>IPE 300</v>
      </c>
    </row>
    <row r="122">
      <c r="A122" t="inlineStr">
        <is>
          <t>pp_q</t>
        </is>
      </c>
      <c r="B122" t="inlineStr">
        <is>
          <t>QUANTITATIF_CHARPENTE!E7</t>
        </is>
      </c>
      <c r="D122">
        <f>D22</f>
        <v>2</v>
      </c>
      <c r="E122">
        <f>E22</f>
        <v>2</v>
      </c>
      <c r="F122">
        <f>F22</f>
        <v>2</v>
      </c>
      <c r="G122">
        <f>G22</f>
        <v>4</v>
      </c>
      <c r="H122">
        <f>H22</f>
        <v>4</v>
      </c>
      <c r="I122">
        <f>I22</f>
        <v>4</v>
      </c>
      <c r="J122">
        <f>J22</f>
        <v>4</v>
      </c>
      <c r="K122">
        <f>K22</f>
        <v>4</v>
      </c>
      <c r="L122">
        <f>L22</f>
        <v>4</v>
      </c>
      <c r="M122">
        <f>M22</f>
        <v>6</v>
      </c>
      <c r="N122">
        <f>N22</f>
        <v>6</v>
      </c>
      <c r="O122">
        <f>O22</f>
        <v>6</v>
      </c>
      <c r="P122">
        <f>P22</f>
        <v>6</v>
      </c>
      <c r="Q122">
        <f>Q22</f>
        <v>6</v>
      </c>
      <c r="R122">
        <f>R22</f>
        <v>6</v>
      </c>
      <c r="S122">
        <f>S22</f>
        <v>8</v>
      </c>
      <c r="T122">
        <f>T22</f>
        <v>8</v>
      </c>
      <c r="U122">
        <f>U22</f>
        <v>8</v>
      </c>
      <c r="V122">
        <f>V22</f>
        <v>12</v>
      </c>
      <c r="W122">
        <f>W22</f>
        <v>12</v>
      </c>
      <c r="X122">
        <f>X22</f>
        <v>12</v>
      </c>
    </row>
    <row r="123">
      <c r="A123" t="inlineStr">
        <is>
          <t>pp_lu</t>
        </is>
      </c>
      <c r="B123" t="inlineStr">
        <is>
          <t>QUANTITATIF_CHARPENTE!F7</t>
        </is>
      </c>
      <c r="D123">
        <f>IF(D122&gt;0,D124/D122,0)</f>
        <v>6.8</v>
      </c>
      <c r="E123">
        <f>IF(E122&gt;0,E124/E122,0)</f>
        <v>6.8</v>
      </c>
      <c r="F123">
        <f>IF(F122&gt;0,F124/F122,0)</f>
        <v>6.8</v>
      </c>
      <c r="G123">
        <f>IF(G122&gt;0,G124/G122,0)</f>
        <v>6.8</v>
      </c>
      <c r="H123">
        <f>IF(H122&gt;0,H124/H122,0)</f>
        <v>6.8</v>
      </c>
      <c r="I123">
        <f>IF(I122&gt;0,I124/I122,0)</f>
        <v>6.8</v>
      </c>
      <c r="J123">
        <f>IF(J122&gt;0,J124/J122,0)</f>
        <v>6.8</v>
      </c>
      <c r="K123">
        <f>IF(K122&gt;0,K124/K122,0)</f>
        <v>6.8</v>
      </c>
      <c r="L123">
        <f>IF(L122&gt;0,L124/L122,0)</f>
        <v>6.8</v>
      </c>
      <c r="M123">
        <f>IF(M122&gt;0,M124/M122,0)</f>
        <v>7.06666666666667</v>
      </c>
      <c r="N123">
        <f>IF(N122&gt;0,N124/N122,0)</f>
        <v>7.06666666666667</v>
      </c>
      <c r="O123">
        <f>IF(O122&gt;0,O124/O122,0)</f>
        <v>7.06666666666667</v>
      </c>
      <c r="P123">
        <f>IF(P122&gt;0,P124/P122,0)</f>
        <v>7.06666666666667</v>
      </c>
      <c r="Q123">
        <f>IF(Q122&gt;0,Q124/Q122,0)</f>
        <v>7.06666666666667</v>
      </c>
      <c r="R123">
        <f>IF(R122&gt;0,R124/R122,0)</f>
        <v>7.06666666666667</v>
      </c>
      <c r="S123">
        <f>IF(S122&gt;0,S124/S122,0)</f>
        <v>7.44</v>
      </c>
      <c r="T123">
        <f>IF(T122&gt;0,T124/T122,0)</f>
        <v>7.44</v>
      </c>
      <c r="U123">
        <f>IF(U122&gt;0,U124/U122,0)</f>
        <v>7.44</v>
      </c>
      <c r="V123">
        <f>IF(V122&gt;0,V124/V122,0)</f>
        <v>9.16190476190476</v>
      </c>
      <c r="W123">
        <f>IF(W122&gt;0,W124/W122,0)</f>
        <v>9.16190476190476</v>
      </c>
      <c r="X123">
        <f>IF(X122&gt;0,X124/X122,0)</f>
        <v>9.16190476190476</v>
      </c>
    </row>
    <row r="124">
      <c r="A124" t="inlineStr">
        <is>
          <t>pp_lt</t>
        </is>
      </c>
      <c r="B124" t="inlineStr">
        <is>
          <t>QUANTITATIF_CHARPENTE!G7</t>
        </is>
      </c>
      <c r="D124">
        <f>2*((D20-1)*D18+D9*D21*INT(D20^2/4))</f>
        <v>13.6</v>
      </c>
      <c r="E124">
        <f>2*((E20-1)*E18+E9*E21*INT(E20^2/4))</f>
        <v>13.6</v>
      </c>
      <c r="F124">
        <f>2*((F20-1)*F18+F9*F21*INT(F20^2/4))</f>
        <v>13.6</v>
      </c>
      <c r="G124">
        <f>2*((G20-1)*G18+G9*G21*INT(G20^2/4))</f>
        <v>27.2</v>
      </c>
      <c r="H124">
        <f>2*((H20-1)*H18+H9*H21*INT(H20^2/4))</f>
        <v>27.2</v>
      </c>
      <c r="I124">
        <f>2*((I20-1)*I18+I9*I21*INT(I20^2/4))</f>
        <v>27.2</v>
      </c>
      <c r="J124">
        <f>2*((J20-1)*J18+J9*J21*INT(J20^2/4))</f>
        <v>27.2</v>
      </c>
      <c r="K124">
        <f>2*((K20-1)*K18+K9*K21*INT(K20^2/4))</f>
        <v>27.2</v>
      </c>
      <c r="L124">
        <f>2*((L20-1)*L18+L9*L21*INT(L20^2/4))</f>
        <v>27.2</v>
      </c>
      <c r="M124">
        <f>2*((M20-1)*M18+M9*M21*INT(M20^2/4))</f>
        <v>42.4</v>
      </c>
      <c r="N124">
        <f>2*((N20-1)*N18+N9*N21*INT(N20^2/4))</f>
        <v>42.4</v>
      </c>
      <c r="O124">
        <f>2*((O20-1)*O18+O9*O21*INT(O20^2/4))</f>
        <v>42.4</v>
      </c>
      <c r="P124">
        <f>2*((P20-1)*P18+P9*P21*INT(P20^2/4))</f>
        <v>42.4</v>
      </c>
      <c r="Q124">
        <f>2*((Q20-1)*Q18+Q9*Q21*INT(Q20^2/4))</f>
        <v>42.4</v>
      </c>
      <c r="R124">
        <f>2*((R20-1)*R18+R9*R21*INT(R20^2/4))</f>
        <v>42.4</v>
      </c>
      <c r="S124">
        <f>2*((S20-1)*S18+S9*S21*INT(S20^2/4))</f>
        <v>59.52</v>
      </c>
      <c r="T124">
        <f>2*((T20-1)*T18+T9*T21*INT(T20^2/4))</f>
        <v>59.52</v>
      </c>
      <c r="U124">
        <f>2*((U20-1)*U18+U9*U21*INT(U20^2/4))</f>
        <v>59.52</v>
      </c>
      <c r="V124">
        <f>2*((V20-1)*V18+V9*V21*INT(V20^2/4))</f>
        <v>109.942857142857</v>
      </c>
      <c r="W124">
        <f>2*((W20-1)*W18+W9*W21*INT(W20^2/4))</f>
        <v>109.942857142857</v>
      </c>
      <c r="X124">
        <f>2*((X20-1)*X18+X9*X21*INT(X20^2/4))</f>
        <v>109.942857142857</v>
      </c>
    </row>
    <row r="125">
      <c r="A125" t="inlineStr">
        <is>
          <t>pp_kgml</t>
        </is>
      </c>
      <c r="B125" t="inlineStr">
        <is>
          <t>QUANTITATIF_CHARPENTE!H7</t>
        </is>
      </c>
      <c r="D125">
        <f>D77</f>
        <v>26.2</v>
      </c>
      <c r="E125">
        <f>E77</f>
        <v>26.2</v>
      </c>
      <c r="F125">
        <f>F77</f>
        <v>26.2</v>
      </c>
      <c r="G125">
        <f>G77</f>
        <v>26.2</v>
      </c>
      <c r="H125">
        <f>H77</f>
        <v>26.2</v>
      </c>
      <c r="I125">
        <f>I77</f>
        <v>26.2</v>
      </c>
      <c r="J125">
        <f>J77</f>
        <v>26.2</v>
      </c>
      <c r="K125">
        <f>K77</f>
        <v>26.2</v>
      </c>
      <c r="L125">
        <f>L77</f>
        <v>26.2</v>
      </c>
      <c r="M125">
        <f>M77</f>
        <v>26.2</v>
      </c>
      <c r="N125">
        <f>N77</f>
        <v>26.2</v>
      </c>
      <c r="O125">
        <f>O77</f>
        <v>26.2</v>
      </c>
      <c r="P125">
        <f>P77</f>
        <v>26.2</v>
      </c>
      <c r="Q125">
        <f>Q77</f>
        <v>26.2</v>
      </c>
      <c r="R125">
        <f>R77</f>
        <v>26.2</v>
      </c>
      <c r="S125">
        <f>S77</f>
        <v>36.1</v>
      </c>
      <c r="T125">
        <f>T77</f>
        <v>36.1</v>
      </c>
      <c r="U125">
        <f>U77</f>
        <v>36.1</v>
      </c>
      <c r="V125">
        <f>V77</f>
        <v>42.2</v>
      </c>
      <c r="W125">
        <f>W77</f>
        <v>42.2</v>
      </c>
      <c r="X125">
        <f>X77</f>
        <v>42.2</v>
      </c>
    </row>
    <row r="126">
      <c r="A126" t="inlineStr">
        <is>
          <t>pp_kg</t>
        </is>
      </c>
      <c r="B126" t="inlineStr">
        <is>
          <t>QUANTITATIF_CHARPENTE!I7</t>
        </is>
      </c>
      <c r="D126">
        <f>D124*D125</f>
        <v>356.32</v>
      </c>
      <c r="E126">
        <f>E124*E125</f>
        <v>356.32</v>
      </c>
      <c r="F126">
        <f>F124*F125</f>
        <v>356.32</v>
      </c>
      <c r="G126">
        <f>G124*G125</f>
        <v>712.64</v>
      </c>
      <c r="H126">
        <f>H124*H125</f>
        <v>712.64</v>
      </c>
      <c r="I126">
        <f>I124*I125</f>
        <v>712.64</v>
      </c>
      <c r="J126">
        <f>J124*J125</f>
        <v>712.64</v>
      </c>
      <c r="K126">
        <f>K124*K125</f>
        <v>712.64</v>
      </c>
      <c r="L126">
        <f>L124*L125</f>
        <v>712.64</v>
      </c>
      <c r="M126">
        <f>M124*M125</f>
        <v>1110.88</v>
      </c>
      <c r="N126">
        <f>N124*N125</f>
        <v>1110.88</v>
      </c>
      <c r="O126">
        <f>O124*O125</f>
        <v>1110.88</v>
      </c>
      <c r="P126">
        <f>P124*P125</f>
        <v>1110.88</v>
      </c>
      <c r="Q126">
        <f>Q124*Q125</f>
        <v>1110.88</v>
      </c>
      <c r="R126">
        <f>R124*R125</f>
        <v>1110.88</v>
      </c>
      <c r="S126">
        <f>S124*S125</f>
        <v>2148.672</v>
      </c>
      <c r="T126">
        <f>T124*T125</f>
        <v>2148.672</v>
      </c>
      <c r="U126">
        <f>U124*U125</f>
        <v>2148.672</v>
      </c>
      <c r="V126">
        <f>V124*V125</f>
        <v>4639.58857142857</v>
      </c>
      <c r="W126">
        <f>W124*W125</f>
        <v>4639.58857142857</v>
      </c>
      <c r="X126">
        <f>X124*X125</f>
        <v>4639.58857142857</v>
      </c>
    </row>
    <row r="127">
      <c r="A127" t="inlineStr">
        <is>
          <t>pint_p</t>
        </is>
      </c>
      <c r="B127" t="inlineStr">
        <is>
          <t>QUANTITATIF_CHARPENTE!C8</t>
        </is>
      </c>
      <c r="D127" t="str">
        <f>D80</f>
        <v>HEA 200</v>
      </c>
      <c r="E127" t="str">
        <f>E80</f>
        <v>HEA 200</v>
      </c>
      <c r="F127" t="str">
        <f>F80</f>
        <v>HEA 200</v>
      </c>
      <c r="G127" t="str">
        <f>G80</f>
        <v>HEA 200</v>
      </c>
      <c r="H127" t="str">
        <f>H80</f>
        <v>HEA 200</v>
      </c>
      <c r="I127" t="str">
        <f>I80</f>
        <v>HEA 200</v>
      </c>
      <c r="J127" t="str">
        <f>J80</f>
        <v>HEA 200</v>
      </c>
      <c r="K127" t="str">
        <f>K80</f>
        <v>HEA 200</v>
      </c>
      <c r="L127" t="str">
        <f>L80</f>
        <v>HEA 200</v>
      </c>
      <c r="M127" t="str">
        <f>M80</f>
        <v>HEA 200</v>
      </c>
      <c r="N127" t="str">
        <f>N80</f>
        <v>HEA 200</v>
      </c>
      <c r="O127" t="str">
        <f>O80</f>
        <v>HEA 200</v>
      </c>
      <c r="P127" t="str">
        <f>P80</f>
        <v>HEA 200</v>
      </c>
      <c r="Q127" t="str">
        <f>Q80</f>
        <v>HEA 200</v>
      </c>
      <c r="R127" t="str">
        <f>R80</f>
        <v>HEA 200</v>
      </c>
      <c r="S127" t="str">
        <f>S80</f>
        <v>HEA 200</v>
      </c>
      <c r="T127" t="str">
        <f>T80</f>
        <v>HEA 200</v>
      </c>
      <c r="U127" t="str">
        <f>U80</f>
        <v>HEA 200</v>
      </c>
      <c r="V127" t="str">
        <f>V80</f>
        <v>HEA 200</v>
      </c>
      <c r="W127" t="str">
        <f>W80</f>
        <v>HEA 200</v>
      </c>
      <c r="X127" t="str">
        <f>X80</f>
        <v>HEA 200</v>
      </c>
    </row>
    <row r="128">
      <c r="A128" t="inlineStr">
        <is>
          <t>pint_q</t>
        </is>
      </c>
      <c r="B128" t="inlineStr">
        <is>
          <t>QUANTITATIF_CHARPENTE!E8</t>
        </is>
      </c>
      <c r="D128">
        <f>D23</f>
        <v>0</v>
      </c>
      <c r="E128">
        <f>E23</f>
        <v>0</v>
      </c>
      <c r="F128">
        <f>F23</f>
        <v>0</v>
      </c>
      <c r="G128">
        <f>G23</f>
        <v>0</v>
      </c>
      <c r="H128">
        <f>H23</f>
        <v>0</v>
      </c>
      <c r="I128">
        <f>I23</f>
        <v>0</v>
      </c>
      <c r="J128">
        <f>J23</f>
        <v>0</v>
      </c>
      <c r="K128">
        <f>K23</f>
        <v>0</v>
      </c>
      <c r="L128">
        <f>L23</f>
        <v>0</v>
      </c>
      <c r="M128">
        <f>M23</f>
        <v>0</v>
      </c>
      <c r="N128">
        <f>N23</f>
        <v>0</v>
      </c>
      <c r="O128">
        <f>O23</f>
        <v>0</v>
      </c>
      <c r="P128">
        <f>P23</f>
        <v>0</v>
      </c>
      <c r="Q128">
        <f>Q23</f>
        <v>0</v>
      </c>
      <c r="R128">
        <f>R23</f>
        <v>0</v>
      </c>
      <c r="S128">
        <f>S23</f>
        <v>0</v>
      </c>
      <c r="T128">
        <f>T23</f>
        <v>0</v>
      </c>
      <c r="U128">
        <f>U23</f>
        <v>0</v>
      </c>
      <c r="V128">
        <f>V23</f>
        <v>0</v>
      </c>
      <c r="W128">
        <f>W23</f>
        <v>0</v>
      </c>
      <c r="X128">
        <f>X23</f>
        <v>0</v>
      </c>
    </row>
    <row r="129">
      <c r="A129" t="inlineStr">
        <is>
          <t>pint_lu</t>
        </is>
      </c>
      <c r="B129" t="inlineStr">
        <is>
          <t>QUANTITATIF_CHARPENTE!F8</t>
        </is>
      </c>
      <c r="D129">
        <f>IF(D12=1,D8,D19)</f>
        <v>6.8</v>
      </c>
      <c r="E129">
        <f>IF(E12=1,E8,E19)</f>
        <v>6.8</v>
      </c>
      <c r="F129">
        <f>IF(F12=1,F8,F19)</f>
        <v>6.8</v>
      </c>
      <c r="G129">
        <f>IF(G12=1,G8,G19)</f>
        <v>7.2</v>
      </c>
      <c r="H129">
        <f>IF(H12=1,H8,H19)</f>
        <v>7.2</v>
      </c>
      <c r="I129">
        <f>IF(I12=1,I8,I19)</f>
        <v>7.2</v>
      </c>
      <c r="J129">
        <f>IF(J12=1,J8,J19)</f>
        <v>7.2</v>
      </c>
      <c r="K129">
        <f>IF(K12=1,K8,K19)</f>
        <v>7.2</v>
      </c>
      <c r="L129">
        <f>IF(L12=1,L8,L19)</f>
        <v>7.2</v>
      </c>
      <c r="M129">
        <f>IF(M12=1,M8,M19)</f>
        <v>7.6</v>
      </c>
      <c r="N129">
        <f>IF(N12=1,N8,N19)</f>
        <v>7.6</v>
      </c>
      <c r="O129">
        <f>IF(O12=1,O8,O19)</f>
        <v>7.6</v>
      </c>
      <c r="P129">
        <f>IF(P12=1,P8,P19)</f>
        <v>7.6</v>
      </c>
      <c r="Q129">
        <f>IF(Q12=1,Q8,Q19)</f>
        <v>7.6</v>
      </c>
      <c r="R129">
        <f>IF(R12=1,R8,R19)</f>
        <v>7.6</v>
      </c>
      <c r="S129">
        <f>IF(S12=1,S8,S19)</f>
        <v>8.4</v>
      </c>
      <c r="T129">
        <f>IF(T12=1,T8,T19)</f>
        <v>8.4</v>
      </c>
      <c r="U129">
        <f>IF(U12=1,U8,U19)</f>
        <v>8.4</v>
      </c>
      <c r="V129">
        <f>IF(V12=1,V8,V19)</f>
        <v>6</v>
      </c>
      <c r="W129">
        <f>IF(W12=1,W8,W19)</f>
        <v>6</v>
      </c>
      <c r="X129">
        <f>IF(X12=1,X8,X19)</f>
        <v>6</v>
      </c>
    </row>
    <row r="130">
      <c r="A130" t="inlineStr">
        <is>
          <t>pint_lt</t>
        </is>
      </c>
      <c r="B130" t="inlineStr">
        <is>
          <t>QUANTITATIF_CHARPENTE!G8</t>
        </is>
      </c>
      <c r="D130">
        <f>D128*D129</f>
        <v>0</v>
      </c>
      <c r="E130">
        <f>E128*E129</f>
        <v>0</v>
      </c>
      <c r="F130">
        <f>F128*F129</f>
        <v>0</v>
      </c>
      <c r="G130">
        <f>G128*G129</f>
        <v>0</v>
      </c>
      <c r="H130">
        <f>H128*H129</f>
        <v>0</v>
      </c>
      <c r="I130">
        <f>I128*I129</f>
        <v>0</v>
      </c>
      <c r="J130">
        <f>J128*J129</f>
        <v>0</v>
      </c>
      <c r="K130">
        <f>K128*K129</f>
        <v>0</v>
      </c>
      <c r="L130">
        <f>L128*L129</f>
        <v>0</v>
      </c>
      <c r="M130">
        <f>M128*M129</f>
        <v>0</v>
      </c>
      <c r="N130">
        <f>N128*N129</f>
        <v>0</v>
      </c>
      <c r="O130">
        <f>O128*O129</f>
        <v>0</v>
      </c>
      <c r="P130">
        <f>P128*P129</f>
        <v>0</v>
      </c>
      <c r="Q130">
        <f>Q128*Q129</f>
        <v>0</v>
      </c>
      <c r="R130">
        <f>R128*R129</f>
        <v>0</v>
      </c>
      <c r="S130">
        <f>S128*S129</f>
        <v>0</v>
      </c>
      <c r="T130">
        <f>T128*T129</f>
        <v>0</v>
      </c>
      <c r="U130">
        <f>U128*U129</f>
        <v>0</v>
      </c>
      <c r="V130">
        <f>V128*V129</f>
        <v>0</v>
      </c>
      <c r="W130">
        <f>W128*W129</f>
        <v>0</v>
      </c>
      <c r="X130">
        <f>X128*X129</f>
        <v>0</v>
      </c>
    </row>
    <row r="131">
      <c r="A131" t="inlineStr">
        <is>
          <t>pint_kgml</t>
        </is>
      </c>
      <c r="B131" t="inlineStr">
        <is>
          <t>QUANTITATIF_CHARPENTE!H8</t>
        </is>
      </c>
      <c r="D131">
        <f>D81</f>
        <v>42.3</v>
      </c>
      <c r="E131">
        <f>E81</f>
        <v>42.3</v>
      </c>
      <c r="F131">
        <f>F81</f>
        <v>42.3</v>
      </c>
      <c r="G131">
        <f>G81</f>
        <v>42.3</v>
      </c>
      <c r="H131">
        <f>H81</f>
        <v>42.3</v>
      </c>
      <c r="I131">
        <f>I81</f>
        <v>42.3</v>
      </c>
      <c r="J131">
        <f>J81</f>
        <v>42.3</v>
      </c>
      <c r="K131">
        <f>K81</f>
        <v>42.3</v>
      </c>
      <c r="L131">
        <f>L81</f>
        <v>42.3</v>
      </c>
      <c r="M131">
        <f>M81</f>
        <v>42.3</v>
      </c>
      <c r="N131">
        <f>N81</f>
        <v>42.3</v>
      </c>
      <c r="O131">
        <f>O81</f>
        <v>42.3</v>
      </c>
      <c r="P131">
        <f>P81</f>
        <v>42.3</v>
      </c>
      <c r="Q131">
        <f>Q81</f>
        <v>42.3</v>
      </c>
      <c r="R131">
        <f>R81</f>
        <v>42.3</v>
      </c>
      <c r="S131">
        <f>S81</f>
        <v>42.3</v>
      </c>
      <c r="T131">
        <f>T81</f>
        <v>42.3</v>
      </c>
      <c r="U131">
        <f>U81</f>
        <v>42.3</v>
      </c>
      <c r="V131">
        <f>V81</f>
        <v>42.3</v>
      </c>
      <c r="W131">
        <f>W81</f>
        <v>42.3</v>
      </c>
      <c r="X131">
        <f>X81</f>
        <v>42.3</v>
      </c>
    </row>
    <row r="132">
      <c r="A132" t="inlineStr">
        <is>
          <t>pint_kg</t>
        </is>
      </c>
      <c r="B132" t="inlineStr">
        <is>
          <t>QUANTITATIF_CHARPENTE!I8</t>
        </is>
      </c>
      <c r="D132">
        <f>D130*D131</f>
        <v>0</v>
      </c>
      <c r="E132">
        <f>E130*E131</f>
        <v>0</v>
      </c>
      <c r="F132">
        <f>F130*F131</f>
        <v>0</v>
      </c>
      <c r="G132">
        <f>G130*G131</f>
        <v>0</v>
      </c>
      <c r="H132">
        <f>H130*H131</f>
        <v>0</v>
      </c>
      <c r="I132">
        <f>I130*I131</f>
        <v>0</v>
      </c>
      <c r="J132">
        <f>J130*J131</f>
        <v>0</v>
      </c>
      <c r="K132">
        <f>K130*K131</f>
        <v>0</v>
      </c>
      <c r="L132">
        <f>L130*L131</f>
        <v>0</v>
      </c>
      <c r="M132">
        <f>M130*M131</f>
        <v>0</v>
      </c>
      <c r="N132">
        <f>N130*N131</f>
        <v>0</v>
      </c>
      <c r="O132">
        <f>O130*O131</f>
        <v>0</v>
      </c>
      <c r="P132">
        <f>P130*P131</f>
        <v>0</v>
      </c>
      <c r="Q132">
        <f>Q130*Q131</f>
        <v>0</v>
      </c>
      <c r="R132">
        <f>R130*R131</f>
        <v>0</v>
      </c>
      <c r="S132">
        <f>S130*S131</f>
        <v>0</v>
      </c>
      <c r="T132">
        <f>T130*T131</f>
        <v>0</v>
      </c>
      <c r="U132">
        <f>U130*U131</f>
        <v>0</v>
      </c>
      <c r="V132">
        <f>V130*V131</f>
        <v>0</v>
      </c>
      <c r="W132">
        <f>W130*W131</f>
        <v>0</v>
      </c>
      <c r="X132">
        <f>X130*X131</f>
        <v>0</v>
      </c>
    </row>
    <row r="133">
      <c r="A133" t="inlineStr">
        <is>
          <t>trav_p</t>
        </is>
      </c>
      <c r="B133" t="inlineStr">
        <is>
          <t>QUANTITATIF_CHARPENTE!C9</t>
        </is>
      </c>
      <c r="D133" t="str">
        <f>D56</f>
        <v>IPE 200</v>
      </c>
      <c r="E133" t="str">
        <f>E56</f>
        <v>IPE 200</v>
      </c>
      <c r="F133" t="str">
        <f>F56</f>
        <v>IPE 200</v>
      </c>
      <c r="G133" t="str">
        <f>G56</f>
        <v>IPE 240</v>
      </c>
      <c r="H133" t="str">
        <f>H56</f>
        <v>IPE 240</v>
      </c>
      <c r="I133" t="str">
        <f>I56</f>
        <v>IPE 240</v>
      </c>
      <c r="J133" t="str">
        <f>J56</f>
        <v>IPE 240</v>
      </c>
      <c r="K133" t="str">
        <f>K56</f>
        <v>IPE 240</v>
      </c>
      <c r="L133" t="str">
        <f>L56</f>
        <v>IPE 240</v>
      </c>
      <c r="M133" t="str">
        <f>M56</f>
        <v>IPE 300</v>
      </c>
      <c r="N133" t="str">
        <f>N56</f>
        <v>IPE 300</v>
      </c>
      <c r="O133" t="str">
        <f>O56</f>
        <v>IPE 300</v>
      </c>
      <c r="P133" t="str">
        <f>P56</f>
        <v>IPE 300</v>
      </c>
      <c r="Q133" t="str">
        <f>Q56</f>
        <v>IPE 300</v>
      </c>
      <c r="R133" t="str">
        <f>R56</f>
        <v>IPE 300</v>
      </c>
      <c r="S133" t="str">
        <f>S56</f>
        <v>IPE 400</v>
      </c>
      <c r="T133" t="str">
        <f>T56</f>
        <v>IPE 400</v>
      </c>
      <c r="U133" t="str">
        <f>U56</f>
        <v>IPE 400</v>
      </c>
      <c r="V133" t="str">
        <f>V56</f>
        <v>IPE 500</v>
      </c>
      <c r="W133" t="str">
        <f>W56</f>
        <v>IPE 500</v>
      </c>
      <c r="X133" t="str">
        <f>X56</f>
        <v>IPE 500</v>
      </c>
    </row>
    <row r="134">
      <c r="A134" t="inlineStr">
        <is>
          <t>trav_q</t>
        </is>
      </c>
      <c r="B134" t="inlineStr">
        <is>
          <t>QUANTITATIF_CHARPENTE!E9</t>
        </is>
      </c>
      <c r="D134">
        <f>D14*(1-D12)</f>
        <v>6</v>
      </c>
      <c r="E134">
        <f>E14*(1-E12)</f>
        <v>6</v>
      </c>
      <c r="F134">
        <f>F14*(1-F12)</f>
        <v>6</v>
      </c>
      <c r="G134">
        <f>G14*(1-G12)</f>
        <v>5</v>
      </c>
      <c r="H134">
        <f>H14*(1-H12)</f>
        <v>5</v>
      </c>
      <c r="I134">
        <f>I14*(1-I12)</f>
        <v>5</v>
      </c>
      <c r="J134">
        <f>J14*(1-J12)</f>
        <v>6</v>
      </c>
      <c r="K134">
        <f>K14*(1-K12)</f>
        <v>6</v>
      </c>
      <c r="L134">
        <f>L14*(1-L12)</f>
        <v>6</v>
      </c>
      <c r="M134">
        <f>M14*(1-M12)</f>
        <v>5</v>
      </c>
      <c r="N134">
        <f>N14*(1-N12)</f>
        <v>5</v>
      </c>
      <c r="O134">
        <f>O14*(1-O12)</f>
        <v>5</v>
      </c>
      <c r="P134">
        <f>P14*(1-P12)</f>
        <v>8</v>
      </c>
      <c r="Q134">
        <f>Q14*(1-Q12)</f>
        <v>8</v>
      </c>
      <c r="R134">
        <f>R14*(1-R12)</f>
        <v>8</v>
      </c>
      <c r="S134">
        <f>S14*(1-S12)</f>
        <v>8</v>
      </c>
      <c r="T134">
        <f>T14*(1-T12)</f>
        <v>8</v>
      </c>
      <c r="U134">
        <f>U14*(1-U12)</f>
        <v>8</v>
      </c>
      <c r="V134">
        <f>V14*(1-V12)</f>
        <v>0</v>
      </c>
      <c r="W134">
        <f>W14*(1-W12)</f>
        <v>0</v>
      </c>
      <c r="X134">
        <f>X14*(1-X12)</f>
        <v>0</v>
      </c>
    </row>
    <row r="135">
      <c r="A135" t="inlineStr">
        <is>
          <t>trav_lu</t>
        </is>
      </c>
      <c r="B135" t="inlineStr">
        <is>
          <t>QUANTITATIF_CHARPENTE!F9</t>
        </is>
      </c>
      <c r="D135">
        <f>2*D16</f>
        <v>10.1271911209377</v>
      </c>
      <c r="E135">
        <f>2*E16</f>
        <v>10.1271911209377</v>
      </c>
      <c r="F135">
        <f>2*F16</f>
        <v>10.1271911209377</v>
      </c>
      <c r="G135">
        <f>2*G16</f>
        <v>15.1907866814066</v>
      </c>
      <c r="H135">
        <f>2*H16</f>
        <v>15.1907866814066</v>
      </c>
      <c r="I135">
        <f>2*I16</f>
        <v>15.1907866814066</v>
      </c>
      <c r="J135">
        <f>2*J16</f>
        <v>15.1907866814066</v>
      </c>
      <c r="K135">
        <f>2*K16</f>
        <v>15.1907866814066</v>
      </c>
      <c r="L135">
        <f>2*L16</f>
        <v>15.1907866814066</v>
      </c>
      <c r="M135">
        <f>2*M16</f>
        <v>20.2543822418755</v>
      </c>
      <c r="N135">
        <f>2*N16</f>
        <v>20.2543822418755</v>
      </c>
      <c r="O135">
        <f>2*O16</f>
        <v>20.2543822418755</v>
      </c>
      <c r="P135">
        <f>2*P16</f>
        <v>20.2543822418755</v>
      </c>
      <c r="Q135">
        <f>2*Q16</f>
        <v>20.2543822418755</v>
      </c>
      <c r="R135">
        <f>2*R16</f>
        <v>20.2543822418755</v>
      </c>
      <c r="S135">
        <f>2*S16</f>
        <v>30.3815733628132</v>
      </c>
      <c r="T135">
        <f>2*T16</f>
        <v>30.3815733628132</v>
      </c>
      <c r="U135">
        <f>2*U16</f>
        <v>30.3815733628132</v>
      </c>
      <c r="V135">
        <f>2*V16</f>
        <v>40.5087644837509</v>
      </c>
      <c r="W135">
        <f>2*W16</f>
        <v>40.5087644837509</v>
      </c>
      <c r="X135">
        <f>2*X16</f>
        <v>40.5087644837509</v>
      </c>
    </row>
    <row r="136">
      <c r="A136" t="inlineStr">
        <is>
          <t>trav_lt</t>
        </is>
      </c>
      <c r="B136" t="inlineStr">
        <is>
          <t>QUANTITATIF_CHARPENTE!G9</t>
        </is>
      </c>
      <c r="D136">
        <f>D134*D135</f>
        <v>60.7631467256264</v>
      </c>
      <c r="E136">
        <f>E134*E135</f>
        <v>60.7631467256264</v>
      </c>
      <c r="F136">
        <f>F134*F135</f>
        <v>60.7631467256264</v>
      </c>
      <c r="G136">
        <f>G134*G135</f>
        <v>75.953933407033</v>
      </c>
      <c r="H136">
        <f>H134*H135</f>
        <v>75.953933407033</v>
      </c>
      <c r="I136">
        <f>I134*I135</f>
        <v>75.953933407033</v>
      </c>
      <c r="J136">
        <f>J134*J135</f>
        <v>91.1447200884396</v>
      </c>
      <c r="K136">
        <f>K134*K135</f>
        <v>91.1447200884396</v>
      </c>
      <c r="L136">
        <f>L134*L135</f>
        <v>91.1447200884396</v>
      </c>
      <c r="M136">
        <f>M134*M135</f>
        <v>101.271911209377</v>
      </c>
      <c r="N136">
        <f>N134*N135</f>
        <v>101.271911209377</v>
      </c>
      <c r="O136">
        <f>O134*O135</f>
        <v>101.271911209377</v>
      </c>
      <c r="P136">
        <f>P134*P135</f>
        <v>162.035057935004</v>
      </c>
      <c r="Q136">
        <f>Q134*Q135</f>
        <v>162.035057935004</v>
      </c>
      <c r="R136">
        <f>R134*R135</f>
        <v>162.035057935004</v>
      </c>
      <c r="S136">
        <f>S134*S135</f>
        <v>243.052586902506</v>
      </c>
      <c r="T136">
        <f>T134*T135</f>
        <v>243.052586902506</v>
      </c>
      <c r="U136">
        <f>U134*U135</f>
        <v>243.052586902506</v>
      </c>
      <c r="V136">
        <f>V134*V135</f>
        <v>0</v>
      </c>
      <c r="W136">
        <f>W134*W135</f>
        <v>0</v>
      </c>
      <c r="X136">
        <f>X134*X135</f>
        <v>0</v>
      </c>
    </row>
    <row r="137">
      <c r="A137" t="inlineStr">
        <is>
          <t>trav_kgml</t>
        </is>
      </c>
      <c r="B137" t="inlineStr">
        <is>
          <t>QUANTITATIF_CHARPENTE!H9</t>
        </is>
      </c>
      <c r="D137">
        <f>D57</f>
        <v>22.4</v>
      </c>
      <c r="E137">
        <f>E57</f>
        <v>22.4</v>
      </c>
      <c r="F137">
        <f>F57</f>
        <v>22.4</v>
      </c>
      <c r="G137">
        <f>G57</f>
        <v>30.7</v>
      </c>
      <c r="H137">
        <f>H57</f>
        <v>30.7</v>
      </c>
      <c r="I137">
        <f>I57</f>
        <v>30.7</v>
      </c>
      <c r="J137">
        <f>J57</f>
        <v>30.7</v>
      </c>
      <c r="K137">
        <f>K57</f>
        <v>30.7</v>
      </c>
      <c r="L137">
        <f>L57</f>
        <v>30.7</v>
      </c>
      <c r="M137">
        <f>M57</f>
        <v>42.2</v>
      </c>
      <c r="N137">
        <f>N57</f>
        <v>42.2</v>
      </c>
      <c r="O137">
        <f>O57</f>
        <v>42.2</v>
      </c>
      <c r="P137">
        <f>P57</f>
        <v>42.2</v>
      </c>
      <c r="Q137">
        <f>Q57</f>
        <v>42.2</v>
      </c>
      <c r="R137">
        <f>R57</f>
        <v>42.2</v>
      </c>
      <c r="S137">
        <f>S57</f>
        <v>66.3</v>
      </c>
      <c r="T137">
        <f>T57</f>
        <v>66.3</v>
      </c>
      <c r="U137">
        <f>U57</f>
        <v>66.3</v>
      </c>
      <c r="V137">
        <f>V57</f>
        <v>90.7</v>
      </c>
      <c r="W137">
        <f>W57</f>
        <v>90.7</v>
      </c>
      <c r="X137">
        <f>X57</f>
        <v>90.7</v>
      </c>
    </row>
    <row r="138">
      <c r="A138" t="inlineStr">
        <is>
          <t>trav_kg</t>
        </is>
      </c>
      <c r="B138" t="inlineStr">
        <is>
          <t>QUANTITATIF_CHARPENTE!I9</t>
        </is>
      </c>
      <c r="D138">
        <f>D136*D137</f>
        <v>1361.09448665403</v>
      </c>
      <c r="E138">
        <f>E136*E137</f>
        <v>1361.09448665403</v>
      </c>
      <c r="F138">
        <f>F136*F137</f>
        <v>1361.09448665403</v>
      </c>
      <c r="G138">
        <f>G136*G137</f>
        <v>2331.78575559591</v>
      </c>
      <c r="H138">
        <f>H136*H137</f>
        <v>2331.78575559591</v>
      </c>
      <c r="I138">
        <f>I136*I137</f>
        <v>2331.78575559591</v>
      </c>
      <c r="J138">
        <f>J136*J137</f>
        <v>2798.1429067151</v>
      </c>
      <c r="K138">
        <f>K136*K137</f>
        <v>2798.1429067151</v>
      </c>
      <c r="L138">
        <f>L136*L137</f>
        <v>2798.1429067151</v>
      </c>
      <c r="M138">
        <f>M136*M137</f>
        <v>4273.67465303572</v>
      </c>
      <c r="N138">
        <f>N136*N137</f>
        <v>4273.67465303572</v>
      </c>
      <c r="O138">
        <f>O136*O137</f>
        <v>4273.67465303572</v>
      </c>
      <c r="P138">
        <f>P136*P137</f>
        <v>6837.87944485716</v>
      </c>
      <c r="Q138">
        <f>Q136*Q137</f>
        <v>6837.87944485716</v>
      </c>
      <c r="R138">
        <f>R136*R137</f>
        <v>6837.87944485716</v>
      </c>
      <c r="S138">
        <f>S136*S137</f>
        <v>16114.3865116361</v>
      </c>
      <c r="T138">
        <f>T136*T137</f>
        <v>16114.3865116361</v>
      </c>
      <c r="U138">
        <f>U136*U137</f>
        <v>16114.3865116361</v>
      </c>
      <c r="V138">
        <f>V136*V137</f>
        <v>0</v>
      </c>
      <c r="W138">
        <f>W136*W137</f>
        <v>0</v>
      </c>
      <c r="X138">
        <f>X136*X137</f>
        <v>0</v>
      </c>
    </row>
    <row r="139">
      <c r="A139" t="inlineStr">
        <is>
          <t>jar_p</t>
        </is>
      </c>
      <c r="B139" t="inlineStr">
        <is>
          <t>QUANTITATIF_CHARPENTE!C10</t>
        </is>
      </c>
      <c r="D139" t="str">
        <f>D56</f>
        <v>IPE 200</v>
      </c>
      <c r="E139" t="str">
        <f>E56</f>
        <v>IPE 200</v>
      </c>
      <c r="F139" t="str">
        <f>F56</f>
        <v>IPE 200</v>
      </c>
      <c r="G139" t="str">
        <f>G56</f>
        <v>IPE 240</v>
      </c>
      <c r="H139" t="str">
        <f>H56</f>
        <v>IPE 240</v>
      </c>
      <c r="I139" t="str">
        <f>I56</f>
        <v>IPE 240</v>
      </c>
      <c r="J139" t="str">
        <f>J56</f>
        <v>IPE 240</v>
      </c>
      <c r="K139" t="str">
        <f>K56</f>
        <v>IPE 240</v>
      </c>
      <c r="L139" t="str">
        <f>L56</f>
        <v>IPE 240</v>
      </c>
      <c r="M139" t="str">
        <f>M56</f>
        <v>IPE 300</v>
      </c>
      <c r="N139" t="str">
        <f>N56</f>
        <v>IPE 300</v>
      </c>
      <c r="O139" t="str">
        <f>O56</f>
        <v>IPE 300</v>
      </c>
      <c r="P139" t="str">
        <f>P56</f>
        <v>IPE 300</v>
      </c>
      <c r="Q139" t="str">
        <f>Q56</f>
        <v>IPE 300</v>
      </c>
      <c r="R139" t="str">
        <f>R56</f>
        <v>IPE 300</v>
      </c>
      <c r="S139" t="str">
        <f>S56</f>
        <v>IPE 400</v>
      </c>
      <c r="T139" t="str">
        <f>T56</f>
        <v>IPE 400</v>
      </c>
      <c r="U139" t="str">
        <f>U56</f>
        <v>IPE 400</v>
      </c>
      <c r="V139" t="str">
        <f>V56</f>
        <v>IPE 500</v>
      </c>
      <c r="W139" t="str">
        <f>W56</f>
        <v>IPE 500</v>
      </c>
      <c r="X139" t="str">
        <f>X56</f>
        <v>IPE 500</v>
      </c>
    </row>
    <row r="140">
      <c r="A140" t="inlineStr">
        <is>
          <t>jar_q</t>
        </is>
      </c>
      <c r="B140" t="inlineStr">
        <is>
          <t>QUANTITATIF_CHARPENTE!E10</t>
        </is>
      </c>
      <c r="D140">
        <f>2*D14*(1-D12)</f>
        <v>12</v>
      </c>
      <c r="E140">
        <f>2*E14*(1-E12)</f>
        <v>12</v>
      </c>
      <c r="F140">
        <f>2*F14*(1-F12)</f>
        <v>12</v>
      </c>
      <c r="G140">
        <f>2*G14*(1-G12)</f>
        <v>10</v>
      </c>
      <c r="H140">
        <f>2*H14*(1-H12)</f>
        <v>10</v>
      </c>
      <c r="I140">
        <f>2*I14*(1-I12)</f>
        <v>10</v>
      </c>
      <c r="J140">
        <f>2*J14*(1-J12)</f>
        <v>12</v>
      </c>
      <c r="K140">
        <f>2*K14*(1-K12)</f>
        <v>12</v>
      </c>
      <c r="L140">
        <f>2*L14*(1-L12)</f>
        <v>12</v>
      </c>
      <c r="M140">
        <f>2*M14*(1-M12)</f>
        <v>10</v>
      </c>
      <c r="N140">
        <f>2*N14*(1-N12)</f>
        <v>10</v>
      </c>
      <c r="O140">
        <f>2*O14*(1-O12)</f>
        <v>10</v>
      </c>
      <c r="P140">
        <f>2*P14*(1-P12)</f>
        <v>16</v>
      </c>
      <c r="Q140">
        <f>2*Q14*(1-Q12)</f>
        <v>16</v>
      </c>
      <c r="R140">
        <f>2*R14*(1-R12)</f>
        <v>16</v>
      </c>
      <c r="S140">
        <f>2*S14*(1-S12)</f>
        <v>16</v>
      </c>
      <c r="T140">
        <f>2*T14*(1-T12)</f>
        <v>16</v>
      </c>
      <c r="U140">
        <f>2*U14*(1-U12)</f>
        <v>16</v>
      </c>
      <c r="V140">
        <f>2*V14*(1-V12)</f>
        <v>0</v>
      </c>
      <c r="W140">
        <f>2*W14*(1-W12)</f>
        <v>0</v>
      </c>
      <c r="X140">
        <f>2*X14*(1-X12)</f>
        <v>0</v>
      </c>
    </row>
    <row r="141">
      <c r="A141" t="inlineStr">
        <is>
          <t>jar_lu</t>
        </is>
      </c>
      <c r="B141" t="inlineStr">
        <is>
          <t>QUANTITATIF_CHARPENTE!F10</t>
        </is>
      </c>
      <c r="D141">
        <f>'PARAMÈTRES'!$C$24*D6</f>
        <v>1</v>
      </c>
      <c r="E141">
        <f>'PARAMÈTRES'!$C$24*E6</f>
        <v>1</v>
      </c>
      <c r="F141">
        <f>'PARAMÈTRES'!$C$24*F6</f>
        <v>1</v>
      </c>
      <c r="G141">
        <f>'PARAMÈTRES'!$C$24*G6</f>
        <v>1.5</v>
      </c>
      <c r="H141">
        <f>'PARAMÈTRES'!$C$24*H6</f>
        <v>1.5</v>
      </c>
      <c r="I141">
        <f>'PARAMÈTRES'!$C$24*I6</f>
        <v>1.5</v>
      </c>
      <c r="J141">
        <f>'PARAMÈTRES'!$C$24*J6</f>
        <v>1.5</v>
      </c>
      <c r="K141">
        <f>'PARAMÈTRES'!$C$24*K6</f>
        <v>1.5</v>
      </c>
      <c r="L141">
        <f>'PARAMÈTRES'!$C$24*L6</f>
        <v>1.5</v>
      </c>
      <c r="M141">
        <f>'PARAMÈTRES'!$C$24*M6</f>
        <v>2</v>
      </c>
      <c r="N141">
        <f>'PARAMÈTRES'!$C$24*N6</f>
        <v>2</v>
      </c>
      <c r="O141">
        <f>'PARAMÈTRES'!$C$24*O6</f>
        <v>2</v>
      </c>
      <c r="P141">
        <f>'PARAMÈTRES'!$C$24*P6</f>
        <v>2</v>
      </c>
      <c r="Q141">
        <f>'PARAMÈTRES'!$C$24*Q6</f>
        <v>2</v>
      </c>
      <c r="R141">
        <f>'PARAMÈTRES'!$C$24*R6</f>
        <v>2</v>
      </c>
      <c r="S141">
        <f>'PARAMÈTRES'!$C$24*S6</f>
        <v>3</v>
      </c>
      <c r="T141">
        <f>'PARAMÈTRES'!$C$24*T6</f>
        <v>3</v>
      </c>
      <c r="U141">
        <f>'PARAMÈTRES'!$C$24*U6</f>
        <v>3</v>
      </c>
      <c r="V141">
        <f>'PARAMÈTRES'!$C$24*V6</f>
        <v>4</v>
      </c>
      <c r="W141">
        <f>'PARAMÈTRES'!$C$24*W6</f>
        <v>4</v>
      </c>
      <c r="X141">
        <f>'PARAMÈTRES'!$C$24*X6</f>
        <v>4</v>
      </c>
    </row>
    <row r="142">
      <c r="A142" t="inlineStr">
        <is>
          <t>jar_lt</t>
        </is>
      </c>
      <c r="B142" t="inlineStr">
        <is>
          <t>QUANTITATIF_CHARPENTE!G10</t>
        </is>
      </c>
      <c r="D142">
        <f>D140*D141</f>
        <v>12</v>
      </c>
      <c r="E142">
        <f>E140*E141</f>
        <v>12</v>
      </c>
      <c r="F142">
        <f>F140*F141</f>
        <v>12</v>
      </c>
      <c r="G142">
        <f>G140*G141</f>
        <v>15</v>
      </c>
      <c r="H142">
        <f>H140*H141</f>
        <v>15</v>
      </c>
      <c r="I142">
        <f>I140*I141</f>
        <v>15</v>
      </c>
      <c r="J142">
        <f>J140*J141</f>
        <v>18</v>
      </c>
      <c r="K142">
        <f>K140*K141</f>
        <v>18</v>
      </c>
      <c r="L142">
        <f>L140*L141</f>
        <v>18</v>
      </c>
      <c r="M142">
        <f>M140*M141</f>
        <v>20</v>
      </c>
      <c r="N142">
        <f>N140*N141</f>
        <v>20</v>
      </c>
      <c r="O142">
        <f>O140*O141</f>
        <v>20</v>
      </c>
      <c r="P142">
        <f>P140*P141</f>
        <v>32</v>
      </c>
      <c r="Q142">
        <f>Q140*Q141</f>
        <v>32</v>
      </c>
      <c r="R142">
        <f>R140*R141</f>
        <v>32</v>
      </c>
      <c r="S142">
        <f>S140*S141</f>
        <v>48</v>
      </c>
      <c r="T142">
        <f>T140*T141</f>
        <v>48</v>
      </c>
      <c r="U142">
        <f>U140*U141</f>
        <v>48</v>
      </c>
      <c r="V142">
        <f>V140*V141</f>
        <v>0</v>
      </c>
      <c r="W142">
        <f>W140*W141</f>
        <v>0</v>
      </c>
      <c r="X142">
        <f>X140*X141</f>
        <v>0</v>
      </c>
    </row>
    <row r="143">
      <c r="A143" t="inlineStr">
        <is>
          <t>jar_kgml</t>
        </is>
      </c>
      <c r="B143" t="inlineStr">
        <is>
          <t>QUANTITATIF_CHARPENTE!H10</t>
        </is>
      </c>
      <c r="D143">
        <f>D57</f>
        <v>22.4</v>
      </c>
      <c r="E143">
        <f>E57</f>
        <v>22.4</v>
      </c>
      <c r="F143">
        <f>F57</f>
        <v>22.4</v>
      </c>
      <c r="G143">
        <f>G57</f>
        <v>30.7</v>
      </c>
      <c r="H143">
        <f>H57</f>
        <v>30.7</v>
      </c>
      <c r="I143">
        <f>I57</f>
        <v>30.7</v>
      </c>
      <c r="J143">
        <f>J57</f>
        <v>30.7</v>
      </c>
      <c r="K143">
        <f>K57</f>
        <v>30.7</v>
      </c>
      <c r="L143">
        <f>L57</f>
        <v>30.7</v>
      </c>
      <c r="M143">
        <f>M57</f>
        <v>42.2</v>
      </c>
      <c r="N143">
        <f>N57</f>
        <v>42.2</v>
      </c>
      <c r="O143">
        <f>O57</f>
        <v>42.2</v>
      </c>
      <c r="P143">
        <f>P57</f>
        <v>42.2</v>
      </c>
      <c r="Q143">
        <f>Q57</f>
        <v>42.2</v>
      </c>
      <c r="R143">
        <f>R57</f>
        <v>42.2</v>
      </c>
      <c r="S143">
        <f>S57</f>
        <v>66.3</v>
      </c>
      <c r="T143">
        <f>T57</f>
        <v>66.3</v>
      </c>
      <c r="U143">
        <f>U57</f>
        <v>66.3</v>
      </c>
      <c r="V143">
        <f>V57</f>
        <v>90.7</v>
      </c>
      <c r="W143">
        <f>W57</f>
        <v>90.7</v>
      </c>
      <c r="X143">
        <f>X57</f>
        <v>90.7</v>
      </c>
    </row>
    <row r="144">
      <c r="A144" t="inlineStr">
        <is>
          <t>jar_kg</t>
        </is>
      </c>
      <c r="B144" t="inlineStr">
        <is>
          <t>QUANTITATIF_CHARPENTE!I10</t>
        </is>
      </c>
      <c r="D144">
        <f>D142*D143</f>
        <v>268.8</v>
      </c>
      <c r="E144">
        <f>E142*E143</f>
        <v>268.8</v>
      </c>
      <c r="F144">
        <f>F142*F143</f>
        <v>268.8</v>
      </c>
      <c r="G144">
        <f>G142*G143</f>
        <v>460.5</v>
      </c>
      <c r="H144">
        <f>H142*H143</f>
        <v>460.5</v>
      </c>
      <c r="I144">
        <f>I142*I143</f>
        <v>460.5</v>
      </c>
      <c r="J144">
        <f>J142*J143</f>
        <v>552.6</v>
      </c>
      <c r="K144">
        <f>K142*K143</f>
        <v>552.6</v>
      </c>
      <c r="L144">
        <f>L142*L143</f>
        <v>552.6</v>
      </c>
      <c r="M144">
        <f>M142*M143</f>
        <v>844</v>
      </c>
      <c r="N144">
        <f>N142*N143</f>
        <v>844</v>
      </c>
      <c r="O144">
        <f>O142*O143</f>
        <v>844</v>
      </c>
      <c r="P144">
        <f>P142*P143</f>
        <v>1350.4</v>
      </c>
      <c r="Q144">
        <f>Q142*Q143</f>
        <v>1350.4</v>
      </c>
      <c r="R144">
        <f>R142*R143</f>
        <v>1350.4</v>
      </c>
      <c r="S144">
        <f>S142*S143</f>
        <v>3182.4</v>
      </c>
      <c r="T144">
        <f>T142*T143</f>
        <v>3182.4</v>
      </c>
      <c r="U144">
        <f>U142*U143</f>
        <v>3182.4</v>
      </c>
      <c r="V144">
        <f>V142*V143</f>
        <v>0</v>
      </c>
      <c r="W144">
        <f>W142*W143</f>
        <v>0</v>
      </c>
      <c r="X144">
        <f>X142*X143</f>
        <v>0</v>
      </c>
    </row>
    <row r="145">
      <c r="A145" t="inlineStr">
        <is>
          <t>msup_p</t>
        </is>
      </c>
      <c r="B145" t="inlineStr">
        <is>
          <t>QUANTITATIF_CHARPENTE!C11</t>
        </is>
      </c>
      <c r="D145" t="str">
        <f>D60</f>
        <v>L 50x5</v>
      </c>
      <c r="E145" t="str">
        <f>E60</f>
        <v>L 50x5</v>
      </c>
      <c r="F145" t="str">
        <f>F60</f>
        <v>L 50x5</v>
      </c>
      <c r="G145" t="str">
        <f>G60</f>
        <v>L 60x6</v>
      </c>
      <c r="H145" t="str">
        <f>H60</f>
        <v>L 60x6</v>
      </c>
      <c r="I145" t="str">
        <f>I60</f>
        <v>L 60x6</v>
      </c>
      <c r="J145" t="str">
        <f>J60</f>
        <v>L 60x6</v>
      </c>
      <c r="K145" t="str">
        <f>K60</f>
        <v>L 60x6</v>
      </c>
      <c r="L145" t="str">
        <f>L60</f>
        <v>L 60x6</v>
      </c>
      <c r="M145" t="str">
        <f>M60</f>
        <v>L 70x7</v>
      </c>
      <c r="N145" t="str">
        <f>N60</f>
        <v>L 70x7</v>
      </c>
      <c r="O145" t="str">
        <f>O60</f>
        <v>L 70x7</v>
      </c>
      <c r="P145" t="str">
        <f>P60</f>
        <v>L 70x7</v>
      </c>
      <c r="Q145" t="str">
        <f>Q60</f>
        <v>L 70x7</v>
      </c>
      <c r="R145" t="str">
        <f>R60</f>
        <v>L 70x7</v>
      </c>
      <c r="S145" t="str">
        <f>S60</f>
        <v>L 80x8</v>
      </c>
      <c r="T145" t="str">
        <f>T60</f>
        <v>L 80x8</v>
      </c>
      <c r="U145" t="str">
        <f>U60</f>
        <v>L 80x8</v>
      </c>
      <c r="V145" t="str">
        <f>V60</f>
        <v>L 100x10</v>
      </c>
      <c r="W145" t="str">
        <f>W60</f>
        <v>L 100x10</v>
      </c>
      <c r="X145" t="str">
        <f>X60</f>
        <v>L 100x10</v>
      </c>
    </row>
    <row r="146">
      <c r="A146" t="inlineStr">
        <is>
          <t>msup_q</t>
        </is>
      </c>
      <c r="B146" t="inlineStr">
        <is>
          <t>QUANTITATIF_CHARPENTE!E11</t>
        </is>
      </c>
      <c r="D146">
        <f>D14*D12</f>
        <v>0</v>
      </c>
      <c r="E146">
        <f>E14*E12</f>
        <v>0</v>
      </c>
      <c r="F146">
        <f>F14*F12</f>
        <v>0</v>
      </c>
      <c r="G146">
        <f>G14*G12</f>
        <v>0</v>
      </c>
      <c r="H146">
        <f>H14*H12</f>
        <v>0</v>
      </c>
      <c r="I146">
        <f>I14*I12</f>
        <v>0</v>
      </c>
      <c r="J146">
        <f>J14*J12</f>
        <v>0</v>
      </c>
      <c r="K146">
        <f>K14*K12</f>
        <v>0</v>
      </c>
      <c r="L146">
        <f>L14*L12</f>
        <v>0</v>
      </c>
      <c r="M146">
        <f>M14*M12</f>
        <v>0</v>
      </c>
      <c r="N146">
        <f>N14*N12</f>
        <v>0</v>
      </c>
      <c r="O146">
        <f>O14*O12</f>
        <v>0</v>
      </c>
      <c r="P146">
        <f>P14*P12</f>
        <v>0</v>
      </c>
      <c r="Q146">
        <f>Q14*Q12</f>
        <v>0</v>
      </c>
      <c r="R146">
        <f>R14*R12</f>
        <v>0</v>
      </c>
      <c r="S146">
        <f>S14*S12</f>
        <v>0</v>
      </c>
      <c r="T146">
        <f>T14*T12</f>
        <v>0</v>
      </c>
      <c r="U146">
        <f>U14*U12</f>
        <v>0</v>
      </c>
      <c r="V146">
        <f>V14*V12</f>
        <v>8</v>
      </c>
      <c r="W146">
        <f>W14*W12</f>
        <v>8</v>
      </c>
      <c r="X146">
        <f>X14*X12</f>
        <v>8</v>
      </c>
    </row>
    <row r="147">
      <c r="A147" t="inlineStr">
        <is>
          <t>msup_lu</t>
        </is>
      </c>
      <c r="B147" t="inlineStr">
        <is>
          <t>QUANTITATIF_CHARPENTE!F11</t>
        </is>
      </c>
      <c r="D147">
        <f>2*D16</f>
        <v>10.1271911209377</v>
      </c>
      <c r="E147">
        <f>2*E16</f>
        <v>10.1271911209377</v>
      </c>
      <c r="F147">
        <f>2*F16</f>
        <v>10.1271911209377</v>
      </c>
      <c r="G147">
        <f>2*G16</f>
        <v>15.1907866814066</v>
      </c>
      <c r="H147">
        <f>2*H16</f>
        <v>15.1907866814066</v>
      </c>
      <c r="I147">
        <f>2*I16</f>
        <v>15.1907866814066</v>
      </c>
      <c r="J147">
        <f>2*J16</f>
        <v>15.1907866814066</v>
      </c>
      <c r="K147">
        <f>2*K16</f>
        <v>15.1907866814066</v>
      </c>
      <c r="L147">
        <f>2*L16</f>
        <v>15.1907866814066</v>
      </c>
      <c r="M147">
        <f>2*M16</f>
        <v>20.2543822418755</v>
      </c>
      <c r="N147">
        <f>2*N16</f>
        <v>20.2543822418755</v>
      </c>
      <c r="O147">
        <f>2*O16</f>
        <v>20.2543822418755</v>
      </c>
      <c r="P147">
        <f>2*P16</f>
        <v>20.2543822418755</v>
      </c>
      <c r="Q147">
        <f>2*Q16</f>
        <v>20.2543822418755</v>
      </c>
      <c r="R147">
        <f>2*R16</f>
        <v>20.2543822418755</v>
      </c>
      <c r="S147">
        <f>2*S16</f>
        <v>30.3815733628132</v>
      </c>
      <c r="T147">
        <f>2*T16</f>
        <v>30.3815733628132</v>
      </c>
      <c r="U147">
        <f>2*U16</f>
        <v>30.3815733628132</v>
      </c>
      <c r="V147">
        <f>2*V16</f>
        <v>40.5087644837509</v>
      </c>
      <c r="W147">
        <f>2*W16</f>
        <v>40.5087644837509</v>
      </c>
      <c r="X147">
        <f>2*X16</f>
        <v>40.5087644837509</v>
      </c>
    </row>
    <row r="148">
      <c r="A148" t="inlineStr">
        <is>
          <t>msup_lt</t>
        </is>
      </c>
      <c r="B148" t="inlineStr">
        <is>
          <t>QUANTITATIF_CHARPENTE!G11</t>
        </is>
      </c>
      <c r="D148">
        <f>D146*D147</f>
        <v>0</v>
      </c>
      <c r="E148">
        <f>E146*E147</f>
        <v>0</v>
      </c>
      <c r="F148">
        <f>F146*F147</f>
        <v>0</v>
      </c>
      <c r="G148">
        <f>G146*G147</f>
        <v>0</v>
      </c>
      <c r="H148">
        <f>H146*H147</f>
        <v>0</v>
      </c>
      <c r="I148">
        <f>I146*I147</f>
        <v>0</v>
      </c>
      <c r="J148">
        <f>J146*J147</f>
        <v>0</v>
      </c>
      <c r="K148">
        <f>K146*K147</f>
        <v>0</v>
      </c>
      <c r="L148">
        <f>L146*L147</f>
        <v>0</v>
      </c>
      <c r="M148">
        <f>M146*M147</f>
        <v>0</v>
      </c>
      <c r="N148">
        <f>N146*N147</f>
        <v>0</v>
      </c>
      <c r="O148">
        <f>O146*O147</f>
        <v>0</v>
      </c>
      <c r="P148">
        <f>P146*P147</f>
        <v>0</v>
      </c>
      <c r="Q148">
        <f>Q146*Q147</f>
        <v>0</v>
      </c>
      <c r="R148">
        <f>R146*R147</f>
        <v>0</v>
      </c>
      <c r="S148">
        <f>S146*S147</f>
        <v>0</v>
      </c>
      <c r="T148">
        <f>T146*T147</f>
        <v>0</v>
      </c>
      <c r="U148">
        <f>U146*U147</f>
        <v>0</v>
      </c>
      <c r="V148">
        <f>V146*V147</f>
        <v>324.070115870007</v>
      </c>
      <c r="W148">
        <f>W146*W147</f>
        <v>324.070115870007</v>
      </c>
      <c r="X148">
        <f>X146*X147</f>
        <v>324.070115870007</v>
      </c>
    </row>
    <row r="149">
      <c r="A149" t="inlineStr">
        <is>
          <t>msup_kgml</t>
        </is>
      </c>
      <c r="B149" t="inlineStr">
        <is>
          <t>QUANTITATIF_CHARPENTE!H11</t>
        </is>
      </c>
      <c r="D149">
        <f>D61</f>
        <v>7.54</v>
      </c>
      <c r="E149">
        <f>E61</f>
        <v>7.54</v>
      </c>
      <c r="F149">
        <f>F61</f>
        <v>7.54</v>
      </c>
      <c r="G149">
        <f>G61</f>
        <v>10.84</v>
      </c>
      <c r="H149">
        <f>H61</f>
        <v>10.84</v>
      </c>
      <c r="I149">
        <f>I61</f>
        <v>10.84</v>
      </c>
      <c r="J149">
        <f>J61</f>
        <v>10.84</v>
      </c>
      <c r="K149">
        <f>K61</f>
        <v>10.84</v>
      </c>
      <c r="L149">
        <f>L61</f>
        <v>10.84</v>
      </c>
      <c r="M149">
        <f>M61</f>
        <v>14.76</v>
      </c>
      <c r="N149">
        <f>N61</f>
        <v>14.76</v>
      </c>
      <c r="O149">
        <f>O61</f>
        <v>14.76</v>
      </c>
      <c r="P149">
        <f>P61</f>
        <v>14.76</v>
      </c>
      <c r="Q149">
        <f>Q61</f>
        <v>14.76</v>
      </c>
      <c r="R149">
        <f>R61</f>
        <v>14.76</v>
      </c>
      <c r="S149">
        <f>S61</f>
        <v>19.26</v>
      </c>
      <c r="T149">
        <f>T61</f>
        <v>19.26</v>
      </c>
      <c r="U149">
        <f>U61</f>
        <v>19.26</v>
      </c>
      <c r="V149">
        <f>V61</f>
        <v>30</v>
      </c>
      <c r="W149">
        <f>W61</f>
        <v>30</v>
      </c>
      <c r="X149">
        <f>X61</f>
        <v>30</v>
      </c>
    </row>
    <row r="150">
      <c r="A150" t="inlineStr">
        <is>
          <t>msup_kg</t>
        </is>
      </c>
      <c r="B150" t="inlineStr">
        <is>
          <t>QUANTITATIF_CHARPENTE!I11</t>
        </is>
      </c>
      <c r="D150">
        <f>D148*D149</f>
        <v>0</v>
      </c>
      <c r="E150">
        <f>E148*E149</f>
        <v>0</v>
      </c>
      <c r="F150">
        <f>F148*F149</f>
        <v>0</v>
      </c>
      <c r="G150">
        <f>G148*G149</f>
        <v>0</v>
      </c>
      <c r="H150">
        <f>H148*H149</f>
        <v>0</v>
      </c>
      <c r="I150">
        <f>I148*I149</f>
        <v>0</v>
      </c>
      <c r="J150">
        <f>J148*J149</f>
        <v>0</v>
      </c>
      <c r="K150">
        <f>K148*K149</f>
        <v>0</v>
      </c>
      <c r="L150">
        <f>L148*L149</f>
        <v>0</v>
      </c>
      <c r="M150">
        <f>M148*M149</f>
        <v>0</v>
      </c>
      <c r="N150">
        <f>N148*N149</f>
        <v>0</v>
      </c>
      <c r="O150">
        <f>O148*O149</f>
        <v>0</v>
      </c>
      <c r="P150">
        <f>P148*P149</f>
        <v>0</v>
      </c>
      <c r="Q150">
        <f>Q148*Q149</f>
        <v>0</v>
      </c>
      <c r="R150">
        <f>R148*R149</f>
        <v>0</v>
      </c>
      <c r="S150">
        <f>S148*S149</f>
        <v>0</v>
      </c>
      <c r="T150">
        <f>T148*T149</f>
        <v>0</v>
      </c>
      <c r="U150">
        <f>U148*U149</f>
        <v>0</v>
      </c>
      <c r="V150">
        <f>V148*V149</f>
        <v>9722.10347610022</v>
      </c>
      <c r="W150">
        <f>W148*W149</f>
        <v>9722.10347610022</v>
      </c>
      <c r="X150">
        <f>X148*X149</f>
        <v>9722.10347610022</v>
      </c>
    </row>
    <row r="151">
      <c r="A151" t="inlineStr">
        <is>
          <t>minf_p</t>
        </is>
      </c>
      <c r="B151" t="inlineStr">
        <is>
          <t>QUANTITATIF_CHARPENTE!C12</t>
        </is>
      </c>
      <c r="D151" t="str">
        <f>D64</f>
        <v>L 45x4.5</v>
      </c>
      <c r="E151" t="str">
        <f>E64</f>
        <v>L 45x4.5</v>
      </c>
      <c r="F151" t="str">
        <f>F64</f>
        <v>L 45x4.5</v>
      </c>
      <c r="G151" t="str">
        <f>G64</f>
        <v>L 50x5</v>
      </c>
      <c r="H151" t="str">
        <f>H64</f>
        <v>L 50x5</v>
      </c>
      <c r="I151" t="str">
        <f>I64</f>
        <v>L 50x5</v>
      </c>
      <c r="J151" t="str">
        <f>J64</f>
        <v>L 50x5</v>
      </c>
      <c r="K151" t="str">
        <f>K64</f>
        <v>L 50x5</v>
      </c>
      <c r="L151" t="str">
        <f>L64</f>
        <v>L 50x5</v>
      </c>
      <c r="M151" t="str">
        <f>M64</f>
        <v>L 60x6</v>
      </c>
      <c r="N151" t="str">
        <f>N64</f>
        <v>L 60x6</v>
      </c>
      <c r="O151" t="str">
        <f>O64</f>
        <v>L 60x6</v>
      </c>
      <c r="P151" t="str">
        <f>P64</f>
        <v>L 60x6</v>
      </c>
      <c r="Q151" t="str">
        <f>Q64</f>
        <v>L 60x6</v>
      </c>
      <c r="R151" t="str">
        <f>R64</f>
        <v>L 60x6</v>
      </c>
      <c r="S151" t="str">
        <f>S64</f>
        <v>L 70x7</v>
      </c>
      <c r="T151" t="str">
        <f>T64</f>
        <v>L 70x7</v>
      </c>
      <c r="U151" t="str">
        <f>U64</f>
        <v>L 70x7</v>
      </c>
      <c r="V151" t="str">
        <f>V64</f>
        <v>L 90x9</v>
      </c>
      <c r="W151" t="str">
        <f>W64</f>
        <v>L 90x9</v>
      </c>
      <c r="X151" t="str">
        <f>X64</f>
        <v>L 90x9</v>
      </c>
    </row>
    <row r="152">
      <c r="A152" t="inlineStr">
        <is>
          <t>minf_q</t>
        </is>
      </c>
      <c r="B152" t="inlineStr">
        <is>
          <t>QUANTITATIF_CHARPENTE!E12</t>
        </is>
      </c>
      <c r="D152">
        <f>D14*D12</f>
        <v>0</v>
      </c>
      <c r="E152">
        <f>E14*E12</f>
        <v>0</v>
      </c>
      <c r="F152">
        <f>F14*F12</f>
        <v>0</v>
      </c>
      <c r="G152">
        <f>G14*G12</f>
        <v>0</v>
      </c>
      <c r="H152">
        <f>H14*H12</f>
        <v>0</v>
      </c>
      <c r="I152">
        <f>I14*I12</f>
        <v>0</v>
      </c>
      <c r="J152">
        <f>J14*J12</f>
        <v>0</v>
      </c>
      <c r="K152">
        <f>K14*K12</f>
        <v>0</v>
      </c>
      <c r="L152">
        <f>L14*L12</f>
        <v>0</v>
      </c>
      <c r="M152">
        <f>M14*M12</f>
        <v>0</v>
      </c>
      <c r="N152">
        <f>N14*N12</f>
        <v>0</v>
      </c>
      <c r="O152">
        <f>O14*O12</f>
        <v>0</v>
      </c>
      <c r="P152">
        <f>P14*P12</f>
        <v>0</v>
      </c>
      <c r="Q152">
        <f>Q14*Q12</f>
        <v>0</v>
      </c>
      <c r="R152">
        <f>R14*R12</f>
        <v>0</v>
      </c>
      <c r="S152">
        <f>S14*S12</f>
        <v>0</v>
      </c>
      <c r="T152">
        <f>T14*T12</f>
        <v>0</v>
      </c>
      <c r="U152">
        <f>U14*U12</f>
        <v>0</v>
      </c>
      <c r="V152">
        <f>V14*V12</f>
        <v>8</v>
      </c>
      <c r="W152">
        <f>W14*W12</f>
        <v>8</v>
      </c>
      <c r="X152">
        <f>X14*X12</f>
        <v>8</v>
      </c>
    </row>
    <row r="153">
      <c r="A153" t="inlineStr">
        <is>
          <t>minf_lu</t>
        </is>
      </c>
      <c r="B153" t="inlineStr">
        <is>
          <t>QUANTITATIF_CHARPENTE!F12</t>
        </is>
      </c>
      <c r="D153">
        <f>D6</f>
        <v>10</v>
      </c>
      <c r="E153">
        <f>E6</f>
        <v>10</v>
      </c>
      <c r="F153">
        <f>F6</f>
        <v>10</v>
      </c>
      <c r="G153">
        <f>G6</f>
        <v>15</v>
      </c>
      <c r="H153">
        <f>H6</f>
        <v>15</v>
      </c>
      <c r="I153">
        <f>I6</f>
        <v>15</v>
      </c>
      <c r="J153">
        <f>J6</f>
        <v>15</v>
      </c>
      <c r="K153">
        <f>K6</f>
        <v>15</v>
      </c>
      <c r="L153">
        <f>L6</f>
        <v>15</v>
      </c>
      <c r="M153">
        <f>M6</f>
        <v>20</v>
      </c>
      <c r="N153">
        <f>N6</f>
        <v>20</v>
      </c>
      <c r="O153">
        <f>O6</f>
        <v>20</v>
      </c>
      <c r="P153">
        <f>P6</f>
        <v>20</v>
      </c>
      <c r="Q153">
        <f>Q6</f>
        <v>20</v>
      </c>
      <c r="R153">
        <f>R6</f>
        <v>20</v>
      </c>
      <c r="S153">
        <f>S6</f>
        <v>30</v>
      </c>
      <c r="T153">
        <f>T6</f>
        <v>30</v>
      </c>
      <c r="U153">
        <f>U6</f>
        <v>30</v>
      </c>
      <c r="V153">
        <f>V6</f>
        <v>40</v>
      </c>
      <c r="W153">
        <f>W6</f>
        <v>40</v>
      </c>
      <c r="X153">
        <f>X6</f>
        <v>40</v>
      </c>
    </row>
    <row r="154">
      <c r="A154" t="inlineStr">
        <is>
          <t>minf_lt</t>
        </is>
      </c>
      <c r="B154" t="inlineStr">
        <is>
          <t>QUANTITATIF_CHARPENTE!G12</t>
        </is>
      </c>
      <c r="D154">
        <f>D152*D153</f>
        <v>0</v>
      </c>
      <c r="E154">
        <f>E152*E153</f>
        <v>0</v>
      </c>
      <c r="F154">
        <f>F152*F153</f>
        <v>0</v>
      </c>
      <c r="G154">
        <f>G152*G153</f>
        <v>0</v>
      </c>
      <c r="H154">
        <f>H152*H153</f>
        <v>0</v>
      </c>
      <c r="I154">
        <f>I152*I153</f>
        <v>0</v>
      </c>
      <c r="J154">
        <f>J152*J153</f>
        <v>0</v>
      </c>
      <c r="K154">
        <f>K152*K153</f>
        <v>0</v>
      </c>
      <c r="L154">
        <f>L152*L153</f>
        <v>0</v>
      </c>
      <c r="M154">
        <f>M152*M153</f>
        <v>0</v>
      </c>
      <c r="N154">
        <f>N152*N153</f>
        <v>0</v>
      </c>
      <c r="O154">
        <f>O152*O153</f>
        <v>0</v>
      </c>
      <c r="P154">
        <f>P152*P153</f>
        <v>0</v>
      </c>
      <c r="Q154">
        <f>Q152*Q153</f>
        <v>0</v>
      </c>
      <c r="R154">
        <f>R152*R153</f>
        <v>0</v>
      </c>
      <c r="S154">
        <f>S152*S153</f>
        <v>0</v>
      </c>
      <c r="T154">
        <f>T152*T153</f>
        <v>0</v>
      </c>
      <c r="U154">
        <f>U152*U153</f>
        <v>0</v>
      </c>
      <c r="V154">
        <f>V152*V153</f>
        <v>320</v>
      </c>
      <c r="W154">
        <f>W152*W153</f>
        <v>320</v>
      </c>
      <c r="X154">
        <f>X152*X153</f>
        <v>320</v>
      </c>
    </row>
    <row r="155">
      <c r="A155" t="inlineStr">
        <is>
          <t>minf_kgml</t>
        </is>
      </c>
      <c r="B155" t="inlineStr">
        <is>
          <t>QUANTITATIF_CHARPENTE!H12</t>
        </is>
      </c>
      <c r="D155">
        <f>D65</f>
        <v>6.12</v>
      </c>
      <c r="E155">
        <f>E65</f>
        <v>6.12</v>
      </c>
      <c r="F155">
        <f>F65</f>
        <v>6.12</v>
      </c>
      <c r="G155">
        <f>G65</f>
        <v>7.54</v>
      </c>
      <c r="H155">
        <f>H65</f>
        <v>7.54</v>
      </c>
      <c r="I155">
        <f>I65</f>
        <v>7.54</v>
      </c>
      <c r="J155">
        <f>J65</f>
        <v>7.54</v>
      </c>
      <c r="K155">
        <f>K65</f>
        <v>7.54</v>
      </c>
      <c r="L155">
        <f>L65</f>
        <v>7.54</v>
      </c>
      <c r="M155">
        <f>M65</f>
        <v>10.84</v>
      </c>
      <c r="N155">
        <f>N65</f>
        <v>10.84</v>
      </c>
      <c r="O155">
        <f>O65</f>
        <v>10.84</v>
      </c>
      <c r="P155">
        <f>P65</f>
        <v>10.84</v>
      </c>
      <c r="Q155">
        <f>Q65</f>
        <v>10.84</v>
      </c>
      <c r="R155">
        <f>R65</f>
        <v>10.84</v>
      </c>
      <c r="S155">
        <f>S65</f>
        <v>14.76</v>
      </c>
      <c r="T155">
        <f>T65</f>
        <v>14.76</v>
      </c>
      <c r="U155">
        <f>U65</f>
        <v>14.76</v>
      </c>
      <c r="V155">
        <f>V65</f>
        <v>24.4</v>
      </c>
      <c r="W155">
        <f>W65</f>
        <v>24.4</v>
      </c>
      <c r="X155">
        <f>X65</f>
        <v>24.4</v>
      </c>
    </row>
    <row r="156">
      <c r="A156" t="inlineStr">
        <is>
          <t>minf_kg</t>
        </is>
      </c>
      <c r="B156" t="inlineStr">
        <is>
          <t>QUANTITATIF_CHARPENTE!I12</t>
        </is>
      </c>
      <c r="D156">
        <f>D154*D155</f>
        <v>0</v>
      </c>
      <c r="E156">
        <f>E154*E155</f>
        <v>0</v>
      </c>
      <c r="F156">
        <f>F154*F155</f>
        <v>0</v>
      </c>
      <c r="G156">
        <f>G154*G155</f>
        <v>0</v>
      </c>
      <c r="H156">
        <f>H154*H155</f>
        <v>0</v>
      </c>
      <c r="I156">
        <f>I154*I155</f>
        <v>0</v>
      </c>
      <c r="J156">
        <f>J154*J155</f>
        <v>0</v>
      </c>
      <c r="K156">
        <f>K154*K155</f>
        <v>0</v>
      </c>
      <c r="L156">
        <f>L154*L155</f>
        <v>0</v>
      </c>
      <c r="M156">
        <f>M154*M155</f>
        <v>0</v>
      </c>
      <c r="N156">
        <f>N154*N155</f>
        <v>0</v>
      </c>
      <c r="O156">
        <f>O154*O155</f>
        <v>0</v>
      </c>
      <c r="P156">
        <f>P154*P155</f>
        <v>0</v>
      </c>
      <c r="Q156">
        <f>Q154*Q155</f>
        <v>0</v>
      </c>
      <c r="R156">
        <f>R154*R155</f>
        <v>0</v>
      </c>
      <c r="S156">
        <f>S154*S155</f>
        <v>0</v>
      </c>
      <c r="T156">
        <f>T154*T155</f>
        <v>0</v>
      </c>
      <c r="U156">
        <f>U154*U155</f>
        <v>0</v>
      </c>
      <c r="V156">
        <f>V154*V155</f>
        <v>7808</v>
      </c>
      <c r="W156">
        <f>W154*W155</f>
        <v>7808</v>
      </c>
      <c r="X156">
        <f>X154*X155</f>
        <v>7808</v>
      </c>
    </row>
    <row r="157">
      <c r="A157" t="inlineStr">
        <is>
          <t>mont_p</t>
        </is>
      </c>
      <c r="B157" t="inlineStr">
        <is>
          <t>QUANTITATIF_CHARPENTE!C13</t>
        </is>
      </c>
      <c r="D157" t="str">
        <f>D68</f>
        <v>L 40x4</v>
      </c>
      <c r="E157" t="str">
        <f>E68</f>
        <v>L 40x4</v>
      </c>
      <c r="F157" t="str">
        <f>F68</f>
        <v>L 40x4</v>
      </c>
      <c r="G157" t="str">
        <f>G68</f>
        <v>L 40x4</v>
      </c>
      <c r="H157" t="str">
        <f>H68</f>
        <v>L 40x4</v>
      </c>
      <c r="I157" t="str">
        <f>I68</f>
        <v>L 40x4</v>
      </c>
      <c r="J157" t="str">
        <f>J68</f>
        <v>L 40x4</v>
      </c>
      <c r="K157" t="str">
        <f>K68</f>
        <v>L 40x4</v>
      </c>
      <c r="L157" t="str">
        <f>L68</f>
        <v>L 40x4</v>
      </c>
      <c r="M157" t="str">
        <f>M68</f>
        <v>L 45x4.5</v>
      </c>
      <c r="N157" t="str">
        <f>N68</f>
        <v>L 45x4.5</v>
      </c>
      <c r="O157" t="str">
        <f>O68</f>
        <v>L 45x4.5</v>
      </c>
      <c r="P157" t="str">
        <f>P68</f>
        <v>L 45x4.5</v>
      </c>
      <c r="Q157" t="str">
        <f>Q68</f>
        <v>L 45x4.5</v>
      </c>
      <c r="R157" t="str">
        <f>R68</f>
        <v>L 45x4.5</v>
      </c>
      <c r="S157" t="str">
        <f>S68</f>
        <v>L 50x5</v>
      </c>
      <c r="T157" t="str">
        <f>T68</f>
        <v>L 50x5</v>
      </c>
      <c r="U157" t="str">
        <f>U68</f>
        <v>L 50x5</v>
      </c>
      <c r="V157" t="str">
        <f>V68</f>
        <v>L 60x6</v>
      </c>
      <c r="W157" t="str">
        <f>W68</f>
        <v>L 60x6</v>
      </c>
      <c r="X157" t="str">
        <f>X68</f>
        <v>L 60x6</v>
      </c>
    </row>
    <row r="158">
      <c r="A158" t="inlineStr">
        <is>
          <t>mont_q</t>
        </is>
      </c>
      <c r="B158" t="inlineStr">
        <is>
          <t>QUANTITATIF_CHARPENTE!E13</t>
        </is>
      </c>
      <c r="D158">
        <f>D14*D12*(D24+1)</f>
        <v>0</v>
      </c>
      <c r="E158">
        <f>E14*E12*(E24+1)</f>
        <v>0</v>
      </c>
      <c r="F158">
        <f>F14*F12*(F24+1)</f>
        <v>0</v>
      </c>
      <c r="G158">
        <f>G14*G12*(G24+1)</f>
        <v>0</v>
      </c>
      <c r="H158">
        <f>H14*H12*(H24+1)</f>
        <v>0</v>
      </c>
      <c r="I158">
        <f>I14*I12*(I24+1)</f>
        <v>0</v>
      </c>
      <c r="J158">
        <f>J14*J12*(J24+1)</f>
        <v>0</v>
      </c>
      <c r="K158">
        <f>K14*K12*(K24+1)</f>
        <v>0</v>
      </c>
      <c r="L158">
        <f>L14*L12*(L24+1)</f>
        <v>0</v>
      </c>
      <c r="M158">
        <f>M14*M12*(M24+1)</f>
        <v>0</v>
      </c>
      <c r="N158">
        <f>N14*N12*(N24+1)</f>
        <v>0</v>
      </c>
      <c r="O158">
        <f>O14*O12*(O24+1)</f>
        <v>0</v>
      </c>
      <c r="P158">
        <f>P14*P12*(P24+1)</f>
        <v>0</v>
      </c>
      <c r="Q158">
        <f>Q14*Q12*(Q24+1)</f>
        <v>0</v>
      </c>
      <c r="R158">
        <f>R14*R12*(R24+1)</f>
        <v>0</v>
      </c>
      <c r="S158">
        <f>S14*S12*(S24+1)</f>
        <v>0</v>
      </c>
      <c r="T158">
        <f>T14*T12*(T24+1)</f>
        <v>0</v>
      </c>
      <c r="U158">
        <f>U14*U12*(U24+1)</f>
        <v>0</v>
      </c>
      <c r="V158">
        <f>V14*V12*(V24+1)</f>
        <v>168</v>
      </c>
      <c r="W158">
        <f>W14*W12*(W24+1)</f>
        <v>168</v>
      </c>
      <c r="X158">
        <f>X14*X12*(X24+1)</f>
        <v>168</v>
      </c>
    </row>
    <row r="159">
      <c r="A159" t="inlineStr">
        <is>
          <t>mont_lu</t>
        </is>
      </c>
      <c r="B159" t="inlineStr">
        <is>
          <t>QUANTITATIF_CHARPENTE!F13</t>
        </is>
      </c>
      <c r="D159">
        <f>IF(D158&gt;0,D160/D158,0)</f>
        <v>0</v>
      </c>
      <c r="E159">
        <f>IF(E158&gt;0,E160/E158,0)</f>
        <v>0</v>
      </c>
      <c r="F159">
        <f>IF(F158&gt;0,F160/F158,0)</f>
        <v>0</v>
      </c>
      <c r="G159">
        <f>IF(G158&gt;0,G160/G158,0)</f>
        <v>0</v>
      </c>
      <c r="H159">
        <f>IF(H158&gt;0,H160/H158,0)</f>
        <v>0</v>
      </c>
      <c r="I159">
        <f>IF(I158&gt;0,I160/I158,0)</f>
        <v>0</v>
      </c>
      <c r="J159">
        <f>IF(J158&gt;0,J160/J158,0)</f>
        <v>0</v>
      </c>
      <c r="K159">
        <f>IF(K158&gt;0,K160/K158,0)</f>
        <v>0</v>
      </c>
      <c r="L159">
        <f>IF(L158&gt;0,L160/L158,0)</f>
        <v>0</v>
      </c>
      <c r="M159">
        <f>IF(M158&gt;0,M160/M158,0)</f>
        <v>0</v>
      </c>
      <c r="N159">
        <f>IF(N158&gt;0,N160/N158,0)</f>
        <v>0</v>
      </c>
      <c r="O159">
        <f>IF(O158&gt;0,O160/O158,0)</f>
        <v>0</v>
      </c>
      <c r="P159">
        <f>IF(P158&gt;0,P160/P158,0)</f>
        <v>0</v>
      </c>
      <c r="Q159">
        <f>IF(Q158&gt;0,Q160/Q158,0)</f>
        <v>0</v>
      </c>
      <c r="R159">
        <f>IF(R158&gt;0,R160/R158,0)</f>
        <v>0</v>
      </c>
      <c r="S159">
        <f>IF(S158&gt;0,S160/S158,0)</f>
        <v>0</v>
      </c>
      <c r="T159">
        <f>IF(T158&gt;0,T160/T158,0)</f>
        <v>0</v>
      </c>
      <c r="U159">
        <f>IF(U158&gt;0,U160/U158,0)</f>
        <v>0</v>
      </c>
      <c r="V159">
        <f>IF(V158&gt;0,V160/V158,0)</f>
        <v>2.85714285714286</v>
      </c>
      <c r="W159">
        <f>IF(W158&gt;0,W160/W158,0)</f>
        <v>2.85714285714286</v>
      </c>
      <c r="X159">
        <f>IF(X158&gt;0,X160/X158,0)</f>
        <v>2.85714285714286</v>
      </c>
    </row>
    <row r="160">
      <c r="A160" t="inlineStr">
        <is>
          <t>mont_lt</t>
        </is>
      </c>
      <c r="B160" t="inlineStr">
        <is>
          <t>QUANTITATIF_CHARPENTE!G13</t>
        </is>
      </c>
      <c r="D160">
        <f>D14*D12*((D24+1)*D17+D9*(D6/D37)*INT(D24^2/4))</f>
        <v>0</v>
      </c>
      <c r="E160">
        <f>E14*E12*((E24+1)*E17+E9*(E6/E37)*INT(E24^2/4))</f>
        <v>0</v>
      </c>
      <c r="F160">
        <f>F14*F12*((F24+1)*F17+F9*(F6/F37)*INT(F24^2/4))</f>
        <v>0</v>
      </c>
      <c r="G160">
        <f>G14*G12*((G24+1)*G17+G9*(G6/G37)*INT(G24^2/4))</f>
        <v>0</v>
      </c>
      <c r="H160">
        <f>H14*H12*((H24+1)*H17+H9*(H6/H37)*INT(H24^2/4))</f>
        <v>0</v>
      </c>
      <c r="I160">
        <f>I14*I12*((I24+1)*I17+I9*(I6/I37)*INT(I24^2/4))</f>
        <v>0</v>
      </c>
      <c r="J160">
        <f>J14*J12*((J24+1)*J17+J9*(J6/J37)*INT(J24^2/4))</f>
        <v>0</v>
      </c>
      <c r="K160">
        <f>K14*K12*((K24+1)*K17+K9*(K6/K37)*INT(K24^2/4))</f>
        <v>0</v>
      </c>
      <c r="L160">
        <f>L14*L12*((L24+1)*L17+L9*(L6/L37)*INT(L24^2/4))</f>
        <v>0</v>
      </c>
      <c r="M160">
        <f>M14*M12*((M24+1)*M17+M9*(M6/M37)*INT(M24^2/4))</f>
        <v>0</v>
      </c>
      <c r="N160">
        <f>N14*N12*((N24+1)*N17+N9*(N6/N37)*INT(N24^2/4))</f>
        <v>0</v>
      </c>
      <c r="O160">
        <f>O14*O12*((O24+1)*O17+O9*(O6/O37)*INT(O24^2/4))</f>
        <v>0</v>
      </c>
      <c r="P160">
        <f>P14*P12*((P24+1)*P17+P9*(P6/P37)*INT(P24^2/4))</f>
        <v>0</v>
      </c>
      <c r="Q160">
        <f>Q14*Q12*((Q24+1)*Q17+Q9*(Q6/Q37)*INT(Q24^2/4))</f>
        <v>0</v>
      </c>
      <c r="R160">
        <f>R14*R12*((R24+1)*R17+R9*(R6/R37)*INT(R24^2/4))</f>
        <v>0</v>
      </c>
      <c r="S160">
        <f>S14*S12*((S24+1)*S17+S9*(S6/S37)*INT(S24^2/4))</f>
        <v>0</v>
      </c>
      <c r="T160">
        <f>T14*T12*((T24+1)*T17+T9*(T6/T37)*INT(T24^2/4))</f>
        <v>0</v>
      </c>
      <c r="U160">
        <f>U14*U12*((U24+1)*U17+U9*(U6/U37)*INT(U24^2/4))</f>
        <v>0</v>
      </c>
      <c r="V160">
        <f>V14*V12*((V24+1)*V17+V9*(V6/V37)*INT(V24^2/4))</f>
        <v>480</v>
      </c>
      <c r="W160">
        <f>W14*W12*((W24+1)*W17+W9*(W6/W37)*INT(W24^2/4))</f>
        <v>480</v>
      </c>
      <c r="X160">
        <f>X14*X12*((X24+1)*X17+X9*(X6/X37)*INT(X24^2/4))</f>
        <v>480</v>
      </c>
    </row>
    <row r="161">
      <c r="A161" t="inlineStr">
        <is>
          <t>mont_kgml</t>
        </is>
      </c>
      <c r="B161" t="inlineStr">
        <is>
          <t>QUANTITATIF_CHARPENTE!H13</t>
        </is>
      </c>
      <c r="D161">
        <f>D69</f>
        <v>2.42</v>
      </c>
      <c r="E161">
        <f>E69</f>
        <v>2.42</v>
      </c>
      <c r="F161">
        <f>F69</f>
        <v>2.42</v>
      </c>
      <c r="G161">
        <f>G69</f>
        <v>2.42</v>
      </c>
      <c r="H161">
        <f>H69</f>
        <v>2.42</v>
      </c>
      <c r="I161">
        <f>I69</f>
        <v>2.42</v>
      </c>
      <c r="J161">
        <f>J69</f>
        <v>2.42</v>
      </c>
      <c r="K161">
        <f>K69</f>
        <v>2.42</v>
      </c>
      <c r="L161">
        <f>L69</f>
        <v>2.42</v>
      </c>
      <c r="M161">
        <f>M69</f>
        <v>3.06</v>
      </c>
      <c r="N161">
        <f>N69</f>
        <v>3.06</v>
      </c>
      <c r="O161">
        <f>O69</f>
        <v>3.06</v>
      </c>
      <c r="P161">
        <f>P69</f>
        <v>3.06</v>
      </c>
      <c r="Q161">
        <f>Q69</f>
        <v>3.06</v>
      </c>
      <c r="R161">
        <f>R69</f>
        <v>3.06</v>
      </c>
      <c r="S161">
        <f>S69</f>
        <v>3.77</v>
      </c>
      <c r="T161">
        <f>T69</f>
        <v>3.77</v>
      </c>
      <c r="U161">
        <f>U69</f>
        <v>3.77</v>
      </c>
      <c r="V161">
        <f>V69</f>
        <v>5.42</v>
      </c>
      <c r="W161">
        <f>W69</f>
        <v>5.42</v>
      </c>
      <c r="X161">
        <f>X69</f>
        <v>5.42</v>
      </c>
    </row>
    <row r="162">
      <c r="A162" t="inlineStr">
        <is>
          <t>mont_kg</t>
        </is>
      </c>
      <c r="B162" t="inlineStr">
        <is>
          <t>QUANTITATIF_CHARPENTE!I13</t>
        </is>
      </c>
      <c r="D162">
        <f>D160*D161</f>
        <v>0</v>
      </c>
      <c r="E162">
        <f>E160*E161</f>
        <v>0</v>
      </c>
      <c r="F162">
        <f>F160*F161</f>
        <v>0</v>
      </c>
      <c r="G162">
        <f>G160*G161</f>
        <v>0</v>
      </c>
      <c r="H162">
        <f>H160*H161</f>
        <v>0</v>
      </c>
      <c r="I162">
        <f>I160*I161</f>
        <v>0</v>
      </c>
      <c r="J162">
        <f>J160*J161</f>
        <v>0</v>
      </c>
      <c r="K162">
        <f>K160*K161</f>
        <v>0</v>
      </c>
      <c r="L162">
        <f>L160*L161</f>
        <v>0</v>
      </c>
      <c r="M162">
        <f>M160*M161</f>
        <v>0</v>
      </c>
      <c r="N162">
        <f>N160*N161</f>
        <v>0</v>
      </c>
      <c r="O162">
        <f>O160*O161</f>
        <v>0</v>
      </c>
      <c r="P162">
        <f>P160*P161</f>
        <v>0</v>
      </c>
      <c r="Q162">
        <f>Q160*Q161</f>
        <v>0</v>
      </c>
      <c r="R162">
        <f>R160*R161</f>
        <v>0</v>
      </c>
      <c r="S162">
        <f>S160*S161</f>
        <v>0</v>
      </c>
      <c r="T162">
        <f>T160*T161</f>
        <v>0</v>
      </c>
      <c r="U162">
        <f>U160*U161</f>
        <v>0</v>
      </c>
      <c r="V162">
        <f>V160*V161</f>
        <v>2601.6</v>
      </c>
      <c r="W162">
        <f>W160*W161</f>
        <v>2601.6</v>
      </c>
      <c r="X162">
        <f>X160*X161</f>
        <v>2601.6</v>
      </c>
    </row>
    <row r="163">
      <c r="A163" t="inlineStr">
        <is>
          <t>diag_p</t>
        </is>
      </c>
      <c r="B163" t="inlineStr">
        <is>
          <t>QUANTITATIF_CHARPENTE!C14</t>
        </is>
      </c>
      <c r="D163" t="str">
        <f>D72</f>
        <v>L 40x4</v>
      </c>
      <c r="E163" t="str">
        <f>E72</f>
        <v>L 40x4</v>
      </c>
      <c r="F163" t="str">
        <f>F72</f>
        <v>L 40x4</v>
      </c>
      <c r="G163" t="str">
        <f>G72</f>
        <v>L 45x4.5</v>
      </c>
      <c r="H163" t="str">
        <f>H72</f>
        <v>L 45x4.5</v>
      </c>
      <c r="I163" t="str">
        <f>I72</f>
        <v>L 45x4.5</v>
      </c>
      <c r="J163" t="str">
        <f>J72</f>
        <v>L 45x4.5</v>
      </c>
      <c r="K163" t="str">
        <f>K72</f>
        <v>L 45x4.5</v>
      </c>
      <c r="L163" t="str">
        <f>L72</f>
        <v>L 45x4.5</v>
      </c>
      <c r="M163" t="str">
        <f>M72</f>
        <v>L 50x5</v>
      </c>
      <c r="N163" t="str">
        <f>N72</f>
        <v>L 50x5</v>
      </c>
      <c r="O163" t="str">
        <f>O72</f>
        <v>L 50x5</v>
      </c>
      <c r="P163" t="str">
        <f>P72</f>
        <v>L 50x5</v>
      </c>
      <c r="Q163" t="str">
        <f>Q72</f>
        <v>L 50x5</v>
      </c>
      <c r="R163" t="str">
        <f>R72</f>
        <v>L 50x5</v>
      </c>
      <c r="S163" t="str">
        <f>S72</f>
        <v>L 60x6</v>
      </c>
      <c r="T163" t="str">
        <f>T72</f>
        <v>L 60x6</v>
      </c>
      <c r="U163" t="str">
        <f>U72</f>
        <v>L 60x6</v>
      </c>
      <c r="V163" t="str">
        <f>V72</f>
        <v>L 70x7</v>
      </c>
      <c r="W163" t="str">
        <f>W72</f>
        <v>L 70x7</v>
      </c>
      <c r="X163" t="str">
        <f>X72</f>
        <v>L 70x7</v>
      </c>
    </row>
    <row r="164">
      <c r="A164" t="inlineStr">
        <is>
          <t>diag_q</t>
        </is>
      </c>
      <c r="B164" t="inlineStr">
        <is>
          <t>QUANTITATIF_CHARPENTE!E14</t>
        </is>
      </c>
      <c r="D164">
        <f>D14*D12*D24</f>
        <v>0</v>
      </c>
      <c r="E164">
        <f>E14*E12*E24</f>
        <v>0</v>
      </c>
      <c r="F164">
        <f>F14*F12*F24</f>
        <v>0</v>
      </c>
      <c r="G164">
        <f>G14*G12*G24</f>
        <v>0</v>
      </c>
      <c r="H164">
        <f>H14*H12*H24</f>
        <v>0</v>
      </c>
      <c r="I164">
        <f>I14*I12*I24</f>
        <v>0</v>
      </c>
      <c r="J164">
        <f>J14*J12*J24</f>
        <v>0</v>
      </c>
      <c r="K164">
        <f>K14*K12*K24</f>
        <v>0</v>
      </c>
      <c r="L164">
        <f>L14*L12*L24</f>
        <v>0</v>
      </c>
      <c r="M164">
        <f>M14*M12*M24</f>
        <v>0</v>
      </c>
      <c r="N164">
        <f>N14*N12*N24</f>
        <v>0</v>
      </c>
      <c r="O164">
        <f>O14*O12*O24</f>
        <v>0</v>
      </c>
      <c r="P164">
        <f>P14*P12*P24</f>
        <v>0</v>
      </c>
      <c r="Q164">
        <f>Q14*Q12*Q24</f>
        <v>0</v>
      </c>
      <c r="R164">
        <f>R14*R12*R24</f>
        <v>0</v>
      </c>
      <c r="S164">
        <f>S14*S12*S24</f>
        <v>0</v>
      </c>
      <c r="T164">
        <f>T14*T12*T24</f>
        <v>0</v>
      </c>
      <c r="U164">
        <f>U14*U12*U24</f>
        <v>0</v>
      </c>
      <c r="V164">
        <f>V14*V12*V24</f>
        <v>160</v>
      </c>
      <c r="W164">
        <f>W14*W12*W24</f>
        <v>160</v>
      </c>
      <c r="X164">
        <f>X14*X12*X24</f>
        <v>160</v>
      </c>
    </row>
    <row r="165">
      <c r="A165" t="inlineStr">
        <is>
          <t>diag_lu</t>
        </is>
      </c>
      <c r="B165" t="inlineStr">
        <is>
          <t>QUANTITATIF_CHARPENTE!F14</t>
        </is>
      </c>
      <c r="D165">
        <f>D12*SQRT((D6/D37)^2+(D17+D9*D6/4)^2)</f>
        <v>0</v>
      </c>
      <c r="E165">
        <f>E12*SQRT((E6/E37)^2+(E17+E9*E6/4)^2)</f>
        <v>0</v>
      </c>
      <c r="F165">
        <f>F12*SQRT((F6/F37)^2+(F17+F9*F6/4)^2)</f>
        <v>0</v>
      </c>
      <c r="G165">
        <f>G12*SQRT((G6/G37)^2+(G17+G9*G6/4)^2)</f>
        <v>0</v>
      </c>
      <c r="H165">
        <f>H12*SQRT((H6/H37)^2+(H17+H9*H6/4)^2)</f>
        <v>0</v>
      </c>
      <c r="I165">
        <f>I12*SQRT((I6/I37)^2+(I17+I9*I6/4)^2)</f>
        <v>0</v>
      </c>
      <c r="J165">
        <f>J12*SQRT((J6/J37)^2+(J17+J9*J6/4)^2)</f>
        <v>0</v>
      </c>
      <c r="K165">
        <f>K12*SQRT((K6/K37)^2+(K17+K9*K6/4)^2)</f>
        <v>0</v>
      </c>
      <c r="L165">
        <f>L12*SQRT((L6/L37)^2+(L17+L9*L6/4)^2)</f>
        <v>0</v>
      </c>
      <c r="M165">
        <f>M12*SQRT((M6/M37)^2+(M17+M9*M6/4)^2)</f>
        <v>0</v>
      </c>
      <c r="N165">
        <f>N12*SQRT((N6/N37)^2+(N17+N9*N6/4)^2)</f>
        <v>0</v>
      </c>
      <c r="O165">
        <f>O12*SQRT((O6/O37)^2+(O17+O9*O6/4)^2)</f>
        <v>0</v>
      </c>
      <c r="P165">
        <f>P12*SQRT((P6/P37)^2+(P17+P9*P6/4)^2)</f>
        <v>0</v>
      </c>
      <c r="Q165">
        <f>Q12*SQRT((Q6/Q37)^2+(Q17+Q9*Q6/4)^2)</f>
        <v>0</v>
      </c>
      <c r="R165">
        <f>R12*SQRT((R6/R37)^2+(R17+R9*R6/4)^2)</f>
        <v>0</v>
      </c>
      <c r="S165">
        <f>S12*SQRT((S6/S37)^2+(S17+S9*S6/4)^2)</f>
        <v>0</v>
      </c>
      <c r="T165">
        <f>T12*SQRT((T6/T37)^2+(T17+T9*T6/4)^2)</f>
        <v>0</v>
      </c>
      <c r="U165">
        <f>U12*SQRT((U6/U37)^2+(U17+U9*U6/4)^2)</f>
        <v>0</v>
      </c>
      <c r="V165">
        <f>V12*SQRT((V6/V37)^2+(V17+V9*V6/4)^2)</f>
        <v>3.55027385485183</v>
      </c>
      <c r="W165">
        <f>W12*SQRT((W6/W37)^2+(W17+W9*W6/4)^2)</f>
        <v>3.55027385485183</v>
      </c>
      <c r="X165">
        <f>X12*SQRT((X6/X37)^2+(X17+X9*X6/4)^2)</f>
        <v>3.55027385485183</v>
      </c>
    </row>
    <row r="166">
      <c r="A166" t="inlineStr">
        <is>
          <t>diag_lt</t>
        </is>
      </c>
      <c r="B166" t="inlineStr">
        <is>
          <t>QUANTITATIF_CHARPENTE!G14</t>
        </is>
      </c>
      <c r="D166">
        <f>D164*D165</f>
        <v>0</v>
      </c>
      <c r="E166">
        <f>E164*E165</f>
        <v>0</v>
      </c>
      <c r="F166">
        <f>F164*F165</f>
        <v>0</v>
      </c>
      <c r="G166">
        <f>G164*G165</f>
        <v>0</v>
      </c>
      <c r="H166">
        <f>H164*H165</f>
        <v>0</v>
      </c>
      <c r="I166">
        <f>I164*I165</f>
        <v>0</v>
      </c>
      <c r="J166">
        <f>J164*J165</f>
        <v>0</v>
      </c>
      <c r="K166">
        <f>K164*K165</f>
        <v>0</v>
      </c>
      <c r="L166">
        <f>L164*L165</f>
        <v>0</v>
      </c>
      <c r="M166">
        <f>M164*M165</f>
        <v>0</v>
      </c>
      <c r="N166">
        <f>N164*N165</f>
        <v>0</v>
      </c>
      <c r="O166">
        <f>O164*O165</f>
        <v>0</v>
      </c>
      <c r="P166">
        <f>P164*P165</f>
        <v>0</v>
      </c>
      <c r="Q166">
        <f>Q164*Q165</f>
        <v>0</v>
      </c>
      <c r="R166">
        <f>R164*R165</f>
        <v>0</v>
      </c>
      <c r="S166">
        <f>S164*S165</f>
        <v>0</v>
      </c>
      <c r="T166">
        <f>T164*T165</f>
        <v>0</v>
      </c>
      <c r="U166">
        <f>U164*U165</f>
        <v>0</v>
      </c>
      <c r="V166">
        <f>V164*V165</f>
        <v>568.043816776292</v>
      </c>
      <c r="W166">
        <f>W164*W165</f>
        <v>568.043816776292</v>
      </c>
      <c r="X166">
        <f>X164*X165</f>
        <v>568.043816776292</v>
      </c>
    </row>
    <row r="167">
      <c r="A167" t="inlineStr">
        <is>
          <t>diag_kgml</t>
        </is>
      </c>
      <c r="B167" t="inlineStr">
        <is>
          <t>QUANTITATIF_CHARPENTE!H14</t>
        </is>
      </c>
      <c r="D167">
        <f>D73</f>
        <v>2.42</v>
      </c>
      <c r="E167">
        <f>E73</f>
        <v>2.42</v>
      </c>
      <c r="F167">
        <f>F73</f>
        <v>2.42</v>
      </c>
      <c r="G167">
        <f>G73</f>
        <v>3.06</v>
      </c>
      <c r="H167">
        <f>H73</f>
        <v>3.06</v>
      </c>
      <c r="I167">
        <f>I73</f>
        <v>3.06</v>
      </c>
      <c r="J167">
        <f>J73</f>
        <v>3.06</v>
      </c>
      <c r="K167">
        <f>K73</f>
        <v>3.06</v>
      </c>
      <c r="L167">
        <f>L73</f>
        <v>3.06</v>
      </c>
      <c r="M167">
        <f>M73</f>
        <v>3.77</v>
      </c>
      <c r="N167">
        <f>N73</f>
        <v>3.77</v>
      </c>
      <c r="O167">
        <f>O73</f>
        <v>3.77</v>
      </c>
      <c r="P167">
        <f>P73</f>
        <v>3.77</v>
      </c>
      <c r="Q167">
        <f>Q73</f>
        <v>3.77</v>
      </c>
      <c r="R167">
        <f>R73</f>
        <v>3.77</v>
      </c>
      <c r="S167">
        <f>S73</f>
        <v>5.42</v>
      </c>
      <c r="T167">
        <f>T73</f>
        <v>5.42</v>
      </c>
      <c r="U167">
        <f>U73</f>
        <v>5.42</v>
      </c>
      <c r="V167">
        <f>V73</f>
        <v>7.38</v>
      </c>
      <c r="W167">
        <f>W73</f>
        <v>7.38</v>
      </c>
      <c r="X167">
        <f>X73</f>
        <v>7.38</v>
      </c>
    </row>
    <row r="168">
      <c r="A168" t="inlineStr">
        <is>
          <t>diag_kg</t>
        </is>
      </c>
      <c r="B168" t="inlineStr">
        <is>
          <t>QUANTITATIF_CHARPENTE!I14</t>
        </is>
      </c>
      <c r="D168">
        <f>D166*D167</f>
        <v>0</v>
      </c>
      <c r="E168">
        <f>E166*E167</f>
        <v>0</v>
      </c>
      <c r="F168">
        <f>F166*F167</f>
        <v>0</v>
      </c>
      <c r="G168">
        <f>G166*G167</f>
        <v>0</v>
      </c>
      <c r="H168">
        <f>H166*H167</f>
        <v>0</v>
      </c>
      <c r="I168">
        <f>I166*I167</f>
        <v>0</v>
      </c>
      <c r="J168">
        <f>J166*J167</f>
        <v>0</v>
      </c>
      <c r="K168">
        <f>K166*K167</f>
        <v>0</v>
      </c>
      <c r="L168">
        <f>L166*L167</f>
        <v>0</v>
      </c>
      <c r="M168">
        <f>M166*M167</f>
        <v>0</v>
      </c>
      <c r="N168">
        <f>N166*N167</f>
        <v>0</v>
      </c>
      <c r="O168">
        <f>O166*O167</f>
        <v>0</v>
      </c>
      <c r="P168">
        <f>P166*P167</f>
        <v>0</v>
      </c>
      <c r="Q168">
        <f>Q166*Q167</f>
        <v>0</v>
      </c>
      <c r="R168">
        <f>R166*R167</f>
        <v>0</v>
      </c>
      <c r="S168">
        <f>S166*S167</f>
        <v>0</v>
      </c>
      <c r="T168">
        <f>T166*T167</f>
        <v>0</v>
      </c>
      <c r="U168">
        <f>U166*U167</f>
        <v>0</v>
      </c>
      <c r="V168">
        <f>V166*V167</f>
        <v>4192.16336780904</v>
      </c>
      <c r="W168">
        <f>W166*W167</f>
        <v>4192.16336780904</v>
      </c>
      <c r="X168">
        <f>X166*X167</f>
        <v>4192.16336780904</v>
      </c>
    </row>
    <row r="169">
      <c r="A169" t="inlineStr">
        <is>
          <t>pl_pp_p</t>
        </is>
      </c>
      <c r="B169" t="inlineStr">
        <is>
          <t>QUANTITATIF_CHARPENTE!C15</t>
        </is>
      </c>
      <c r="D169" t="str">
        <f>"PL"</f>
        <v>PL</v>
      </c>
      <c r="E169" t="str">
        <f>"PL"</f>
        <v>PL</v>
      </c>
      <c r="F169" t="str">
        <f>"PL"</f>
        <v>PL</v>
      </c>
      <c r="G169" t="str">
        <f>"PL"</f>
        <v>PL</v>
      </c>
      <c r="H169" t="str">
        <f>"PL"</f>
        <v>PL</v>
      </c>
      <c r="I169" t="str">
        <f>"PL"</f>
        <v>PL</v>
      </c>
      <c r="J169" t="str">
        <f>"PL"</f>
        <v>PL</v>
      </c>
      <c r="K169" t="str">
        <f>"PL"</f>
        <v>PL</v>
      </c>
      <c r="L169" t="str">
        <f>"PL"</f>
        <v>PL</v>
      </c>
      <c r="M169" t="str">
        <f>"PL"</f>
        <v>PL</v>
      </c>
      <c r="N169" t="str">
        <f>"PL"</f>
        <v>PL</v>
      </c>
      <c r="O169" t="str">
        <f>"PL"</f>
        <v>PL</v>
      </c>
      <c r="P169" t="str">
        <f>"PL"</f>
        <v>PL</v>
      </c>
      <c r="Q169" t="str">
        <f>"PL"</f>
        <v>PL</v>
      </c>
      <c r="R169" t="str">
        <f>"PL"</f>
        <v>PL</v>
      </c>
      <c r="S169" t="str">
        <f>"PL"</f>
        <v>PL</v>
      </c>
      <c r="T169" t="str">
        <f>"PL"</f>
        <v>PL</v>
      </c>
      <c r="U169" t="str">
        <f>"PL"</f>
        <v>PL</v>
      </c>
      <c r="V169" t="str">
        <f>"PL"</f>
        <v>PL</v>
      </c>
      <c r="W169" t="str">
        <f>"PL"</f>
        <v>PL</v>
      </c>
      <c r="X169" t="str">
        <f>"PL"</f>
        <v>PL</v>
      </c>
    </row>
    <row r="170">
      <c r="A170" t="inlineStr">
        <is>
          <t>pl_pp_q</t>
        </is>
      </c>
      <c r="B170" t="inlineStr">
        <is>
          <t>QUANTITATIF_CHARPENTE!E15</t>
        </is>
      </c>
      <c r="D170">
        <f>2*D14+D23</f>
        <v>12</v>
      </c>
      <c r="E170">
        <f>2*E14+E23</f>
        <v>12</v>
      </c>
      <c r="F170">
        <f>2*F14+F23</f>
        <v>12</v>
      </c>
      <c r="G170">
        <f>2*G14+G23</f>
        <v>10</v>
      </c>
      <c r="H170">
        <f>2*H14+H23</f>
        <v>10</v>
      </c>
      <c r="I170">
        <f>2*I14+I23</f>
        <v>10</v>
      </c>
      <c r="J170">
        <f>2*J14+J23</f>
        <v>12</v>
      </c>
      <c r="K170">
        <f>2*K14+K23</f>
        <v>12</v>
      </c>
      <c r="L170">
        <f>2*L14+L23</f>
        <v>12</v>
      </c>
      <c r="M170">
        <f>2*M14+M23</f>
        <v>10</v>
      </c>
      <c r="N170">
        <f>2*N14+N23</f>
        <v>10</v>
      </c>
      <c r="O170">
        <f>2*O14+O23</f>
        <v>10</v>
      </c>
      <c r="P170">
        <f>2*P14+P23</f>
        <v>16</v>
      </c>
      <c r="Q170">
        <f>2*Q14+Q23</f>
        <v>16</v>
      </c>
      <c r="R170">
        <f>2*R14+R23</f>
        <v>16</v>
      </c>
      <c r="S170">
        <f>2*S14+S23</f>
        <v>16</v>
      </c>
      <c r="T170">
        <f>2*T14+T23</f>
        <v>16</v>
      </c>
      <c r="U170">
        <f>2*U14+U23</f>
        <v>16</v>
      </c>
      <c r="V170">
        <f>2*V14+V23</f>
        <v>16</v>
      </c>
      <c r="W170">
        <f>2*W14+W23</f>
        <v>16</v>
      </c>
      <c r="X170">
        <f>2*X14+X23</f>
        <v>16</v>
      </c>
    </row>
    <row r="171">
      <c r="A171" t="inlineStr">
        <is>
          <t>pl_pp_kgml</t>
        </is>
      </c>
      <c r="B171" t="inlineStr">
        <is>
          <t>QUANTITATIF_CHARPENTE!H15</t>
        </is>
      </c>
      <c r="D171">
        <f>'PARAMÈTRES'!$K$18</f>
        <v>24.7275</v>
      </c>
      <c r="E171">
        <f>'PARAMÈTRES'!$K$18</f>
        <v>24.7275</v>
      </c>
      <c r="F171">
        <f>'PARAMÈTRES'!$K$18</f>
        <v>24.7275</v>
      </c>
      <c r="G171">
        <f>'PARAMÈTRES'!$K$18</f>
        <v>24.7275</v>
      </c>
      <c r="H171">
        <f>'PARAMÈTRES'!$K$18</f>
        <v>24.7275</v>
      </c>
      <c r="I171">
        <f>'PARAMÈTRES'!$K$18</f>
        <v>24.7275</v>
      </c>
      <c r="J171">
        <f>'PARAMÈTRES'!$K$18</f>
        <v>24.7275</v>
      </c>
      <c r="K171">
        <f>'PARAMÈTRES'!$K$18</f>
        <v>24.7275</v>
      </c>
      <c r="L171">
        <f>'PARAMÈTRES'!$K$18</f>
        <v>24.7275</v>
      </c>
      <c r="M171">
        <f>'PARAMÈTRES'!$K$18</f>
        <v>24.7275</v>
      </c>
      <c r="N171">
        <f>'PARAMÈTRES'!$K$18</f>
        <v>24.7275</v>
      </c>
      <c r="O171">
        <f>'PARAMÈTRES'!$K$18</f>
        <v>24.7275</v>
      </c>
      <c r="P171">
        <f>'PARAMÈTRES'!$K$18</f>
        <v>24.7275</v>
      </c>
      <c r="Q171">
        <f>'PARAMÈTRES'!$K$18</f>
        <v>24.7275</v>
      </c>
      <c r="R171">
        <f>'PARAMÈTRES'!$K$18</f>
        <v>24.7275</v>
      </c>
      <c r="S171">
        <f>'PARAMÈTRES'!$K$18</f>
        <v>24.7275</v>
      </c>
      <c r="T171">
        <f>'PARAMÈTRES'!$K$18</f>
        <v>24.7275</v>
      </c>
      <c r="U171">
        <f>'PARAMÈTRES'!$K$18</f>
        <v>24.7275</v>
      </c>
      <c r="V171">
        <f>'PARAMÈTRES'!$K$18</f>
        <v>24.7275</v>
      </c>
      <c r="W171">
        <f>'PARAMÈTRES'!$K$18</f>
        <v>24.7275</v>
      </c>
      <c r="X171">
        <f>'PARAMÈTRES'!$K$18</f>
        <v>24.7275</v>
      </c>
    </row>
    <row r="172">
      <c r="A172" t="inlineStr">
        <is>
          <t>pl_pp_kg</t>
        </is>
      </c>
      <c r="B172" t="inlineStr">
        <is>
          <t>QUANTITATIF_CHARPENTE!I15</t>
        </is>
      </c>
      <c r="D172">
        <f>D170*D171</f>
        <v>296.73</v>
      </c>
      <c r="E172">
        <f>E170*E171</f>
        <v>296.73</v>
      </c>
      <c r="F172">
        <f>F170*F171</f>
        <v>296.73</v>
      </c>
      <c r="G172">
        <f>G170*G171</f>
        <v>247.275</v>
      </c>
      <c r="H172">
        <f>H170*H171</f>
        <v>247.275</v>
      </c>
      <c r="I172">
        <f>I170*I171</f>
        <v>247.275</v>
      </c>
      <c r="J172">
        <f>J170*J171</f>
        <v>296.73</v>
      </c>
      <c r="K172">
        <f>K170*K171</f>
        <v>296.73</v>
      </c>
      <c r="L172">
        <f>L170*L171</f>
        <v>296.73</v>
      </c>
      <c r="M172">
        <f>M170*M171</f>
        <v>247.275</v>
      </c>
      <c r="N172">
        <f>N170*N171</f>
        <v>247.275</v>
      </c>
      <c r="O172">
        <f>O170*O171</f>
        <v>247.275</v>
      </c>
      <c r="P172">
        <f>P170*P171</f>
        <v>395.64</v>
      </c>
      <c r="Q172">
        <f>Q170*Q171</f>
        <v>395.64</v>
      </c>
      <c r="R172">
        <f>R170*R171</f>
        <v>395.64</v>
      </c>
      <c r="S172">
        <f>S170*S171</f>
        <v>395.64</v>
      </c>
      <c r="T172">
        <f>T170*T171</f>
        <v>395.64</v>
      </c>
      <c r="U172">
        <f>U170*U171</f>
        <v>395.64</v>
      </c>
      <c r="V172">
        <f>V170*V171</f>
        <v>395.64</v>
      </c>
      <c r="W172">
        <f>W170*W171</f>
        <v>395.64</v>
      </c>
      <c r="X172">
        <f>X170*X171</f>
        <v>395.64</v>
      </c>
    </row>
    <row r="173">
      <c r="A173" t="inlineStr">
        <is>
          <t>pl_pg_p</t>
        </is>
      </c>
      <c r="B173" t="inlineStr">
        <is>
          <t>QUANTITATIF_CHARPENTE!C16</t>
        </is>
      </c>
      <c r="D173" t="str">
        <f>"PL"</f>
        <v>PL</v>
      </c>
      <c r="E173" t="str">
        <f>"PL"</f>
        <v>PL</v>
      </c>
      <c r="F173" t="str">
        <f>"PL"</f>
        <v>PL</v>
      </c>
      <c r="G173" t="str">
        <f>"PL"</f>
        <v>PL</v>
      </c>
      <c r="H173" t="str">
        <f>"PL"</f>
        <v>PL</v>
      </c>
      <c r="I173" t="str">
        <f>"PL"</f>
        <v>PL</v>
      </c>
      <c r="J173" t="str">
        <f>"PL"</f>
        <v>PL</v>
      </c>
      <c r="K173" t="str">
        <f>"PL"</f>
        <v>PL</v>
      </c>
      <c r="L173" t="str">
        <f>"PL"</f>
        <v>PL</v>
      </c>
      <c r="M173" t="str">
        <f>"PL"</f>
        <v>PL</v>
      </c>
      <c r="N173" t="str">
        <f>"PL"</f>
        <v>PL</v>
      </c>
      <c r="O173" t="str">
        <f>"PL"</f>
        <v>PL</v>
      </c>
      <c r="P173" t="str">
        <f>"PL"</f>
        <v>PL</v>
      </c>
      <c r="Q173" t="str">
        <f>"PL"</f>
        <v>PL</v>
      </c>
      <c r="R173" t="str">
        <f>"PL"</f>
        <v>PL</v>
      </c>
      <c r="S173" t="str">
        <f>"PL"</f>
        <v>PL</v>
      </c>
      <c r="T173" t="str">
        <f>"PL"</f>
        <v>PL</v>
      </c>
      <c r="U173" t="str">
        <f>"PL"</f>
        <v>PL</v>
      </c>
      <c r="V173" t="str">
        <f>"PL"</f>
        <v>PL</v>
      </c>
      <c r="W173" t="str">
        <f>"PL"</f>
        <v>PL</v>
      </c>
      <c r="X173" t="str">
        <f>"PL"</f>
        <v>PL</v>
      </c>
    </row>
    <row r="174">
      <c r="A174" t="inlineStr">
        <is>
          <t>pl_pg_q</t>
        </is>
      </c>
      <c r="B174" t="inlineStr">
        <is>
          <t>QUANTITATIF_CHARPENTE!E16</t>
        </is>
      </c>
      <c r="D174">
        <f>D22</f>
        <v>2</v>
      </c>
      <c r="E174">
        <f>E22</f>
        <v>2</v>
      </c>
      <c r="F174">
        <f>F22</f>
        <v>2</v>
      </c>
      <c r="G174">
        <f>G22</f>
        <v>4</v>
      </c>
      <c r="H174">
        <f>H22</f>
        <v>4</v>
      </c>
      <c r="I174">
        <f>I22</f>
        <v>4</v>
      </c>
      <c r="J174">
        <f>J22</f>
        <v>4</v>
      </c>
      <c r="K174">
        <f>K22</f>
        <v>4</v>
      </c>
      <c r="L174">
        <f>L22</f>
        <v>4</v>
      </c>
      <c r="M174">
        <f>M22</f>
        <v>6</v>
      </c>
      <c r="N174">
        <f>N22</f>
        <v>6</v>
      </c>
      <c r="O174">
        <f>O22</f>
        <v>6</v>
      </c>
      <c r="P174">
        <f>P22</f>
        <v>6</v>
      </c>
      <c r="Q174">
        <f>Q22</f>
        <v>6</v>
      </c>
      <c r="R174">
        <f>R22</f>
        <v>6</v>
      </c>
      <c r="S174">
        <f>S22</f>
        <v>8</v>
      </c>
      <c r="T174">
        <f>T22</f>
        <v>8</v>
      </c>
      <c r="U174">
        <f>U22</f>
        <v>8</v>
      </c>
      <c r="V174">
        <f>V22</f>
        <v>12</v>
      </c>
      <c r="W174">
        <f>W22</f>
        <v>12</v>
      </c>
      <c r="X174">
        <f>X22</f>
        <v>12</v>
      </c>
    </row>
    <row r="175">
      <c r="A175" t="inlineStr">
        <is>
          <t>pl_pg_kgml</t>
        </is>
      </c>
      <c r="B175" t="inlineStr">
        <is>
          <t>QUANTITATIF_CHARPENTE!H16</t>
        </is>
      </c>
      <c r="D175">
        <f>'PARAMÈTRES'!$K$19</f>
        <v>8.83125</v>
      </c>
      <c r="E175">
        <f>'PARAMÈTRES'!$K$19</f>
        <v>8.83125</v>
      </c>
      <c r="F175">
        <f>'PARAMÈTRES'!$K$19</f>
        <v>8.83125</v>
      </c>
      <c r="G175">
        <f>'PARAMÈTRES'!$K$19</f>
        <v>8.83125</v>
      </c>
      <c r="H175">
        <f>'PARAMÈTRES'!$K$19</f>
        <v>8.83125</v>
      </c>
      <c r="I175">
        <f>'PARAMÈTRES'!$K$19</f>
        <v>8.83125</v>
      </c>
      <c r="J175">
        <f>'PARAMÈTRES'!$K$19</f>
        <v>8.83125</v>
      </c>
      <c r="K175">
        <f>'PARAMÈTRES'!$K$19</f>
        <v>8.83125</v>
      </c>
      <c r="L175">
        <f>'PARAMÈTRES'!$K$19</f>
        <v>8.83125</v>
      </c>
      <c r="M175">
        <f>'PARAMÈTRES'!$K$19</f>
        <v>8.83125</v>
      </c>
      <c r="N175">
        <f>'PARAMÈTRES'!$K$19</f>
        <v>8.83125</v>
      </c>
      <c r="O175">
        <f>'PARAMÈTRES'!$K$19</f>
        <v>8.83125</v>
      </c>
      <c r="P175">
        <f>'PARAMÈTRES'!$K$19</f>
        <v>8.83125</v>
      </c>
      <c r="Q175">
        <f>'PARAMÈTRES'!$K$19</f>
        <v>8.83125</v>
      </c>
      <c r="R175">
        <f>'PARAMÈTRES'!$K$19</f>
        <v>8.83125</v>
      </c>
      <c r="S175">
        <f>'PARAMÈTRES'!$K$19</f>
        <v>8.83125</v>
      </c>
      <c r="T175">
        <f>'PARAMÈTRES'!$K$19</f>
        <v>8.83125</v>
      </c>
      <c r="U175">
        <f>'PARAMÈTRES'!$K$19</f>
        <v>8.83125</v>
      </c>
      <c r="V175">
        <f>'PARAMÈTRES'!$K$19</f>
        <v>8.83125</v>
      </c>
      <c r="W175">
        <f>'PARAMÈTRES'!$K$19</f>
        <v>8.83125</v>
      </c>
      <c r="X175">
        <f>'PARAMÈTRES'!$K$19</f>
        <v>8.83125</v>
      </c>
    </row>
    <row r="176">
      <c r="A176" t="inlineStr">
        <is>
          <t>pl_pg_kg</t>
        </is>
      </c>
      <c r="B176" t="inlineStr">
        <is>
          <t>QUANTITATIF_CHARPENTE!I16</t>
        </is>
      </c>
      <c r="D176">
        <f>D174*D175</f>
        <v>17.6625</v>
      </c>
      <c r="E176">
        <f>E174*E175</f>
        <v>17.6625</v>
      </c>
      <c r="F176">
        <f>F174*F175</f>
        <v>17.6625</v>
      </c>
      <c r="G176">
        <f>G174*G175</f>
        <v>35.325</v>
      </c>
      <c r="H176">
        <f>H174*H175</f>
        <v>35.325</v>
      </c>
      <c r="I176">
        <f>I174*I175</f>
        <v>35.325</v>
      </c>
      <c r="J176">
        <f>J174*J175</f>
        <v>35.325</v>
      </c>
      <c r="K176">
        <f>K174*K175</f>
        <v>35.325</v>
      </c>
      <c r="L176">
        <f>L174*L175</f>
        <v>35.325</v>
      </c>
      <c r="M176">
        <f>M174*M175</f>
        <v>52.9875</v>
      </c>
      <c r="N176">
        <f>N174*N175</f>
        <v>52.9875</v>
      </c>
      <c r="O176">
        <f>O174*O175</f>
        <v>52.9875</v>
      </c>
      <c r="P176">
        <f>P174*P175</f>
        <v>52.9875</v>
      </c>
      <c r="Q176">
        <f>Q174*Q175</f>
        <v>52.9875</v>
      </c>
      <c r="R176">
        <f>R174*R175</f>
        <v>52.9875</v>
      </c>
      <c r="S176">
        <f>S174*S175</f>
        <v>70.65</v>
      </c>
      <c r="T176">
        <f>T174*T175</f>
        <v>70.65</v>
      </c>
      <c r="U176">
        <f>U174*U175</f>
        <v>70.65</v>
      </c>
      <c r="V176">
        <f>V174*V175</f>
        <v>105.975</v>
      </c>
      <c r="W176">
        <f>W174*W175</f>
        <v>105.975</v>
      </c>
      <c r="X176">
        <f>X174*X175</f>
        <v>105.975</v>
      </c>
    </row>
    <row r="177">
      <c r="A177" t="inlineStr">
        <is>
          <t>pl_tt_p</t>
        </is>
      </c>
      <c r="B177" t="inlineStr">
        <is>
          <t>QUANTITATIF_CHARPENTE!C17</t>
        </is>
      </c>
      <c r="D177" t="str">
        <f>"PL"</f>
        <v>PL</v>
      </c>
      <c r="E177" t="str">
        <f>"PL"</f>
        <v>PL</v>
      </c>
      <c r="F177" t="str">
        <f>"PL"</f>
        <v>PL</v>
      </c>
      <c r="G177" t="str">
        <f>"PL"</f>
        <v>PL</v>
      </c>
      <c r="H177" t="str">
        <f>"PL"</f>
        <v>PL</v>
      </c>
      <c r="I177" t="str">
        <f>"PL"</f>
        <v>PL</v>
      </c>
      <c r="J177" t="str">
        <f>"PL"</f>
        <v>PL</v>
      </c>
      <c r="K177" t="str">
        <f>"PL"</f>
        <v>PL</v>
      </c>
      <c r="L177" t="str">
        <f>"PL"</f>
        <v>PL</v>
      </c>
      <c r="M177" t="str">
        <f>"PL"</f>
        <v>PL</v>
      </c>
      <c r="N177" t="str">
        <f>"PL"</f>
        <v>PL</v>
      </c>
      <c r="O177" t="str">
        <f>"PL"</f>
        <v>PL</v>
      </c>
      <c r="P177" t="str">
        <f>"PL"</f>
        <v>PL</v>
      </c>
      <c r="Q177" t="str">
        <f>"PL"</f>
        <v>PL</v>
      </c>
      <c r="R177" t="str">
        <f>"PL"</f>
        <v>PL</v>
      </c>
      <c r="S177" t="str">
        <f>"PL"</f>
        <v>PL</v>
      </c>
      <c r="T177" t="str">
        <f>"PL"</f>
        <v>PL</v>
      </c>
      <c r="U177" t="str">
        <f>"PL"</f>
        <v>PL</v>
      </c>
      <c r="V177" t="str">
        <f>"PL"</f>
        <v>PL</v>
      </c>
      <c r="W177" t="str">
        <f>"PL"</f>
        <v>PL</v>
      </c>
      <c r="X177" t="str">
        <f>"PL"</f>
        <v>PL</v>
      </c>
    </row>
    <row r="178">
      <c r="A178" t="inlineStr">
        <is>
          <t>pl_tt_q</t>
        </is>
      </c>
      <c r="B178" t="inlineStr">
        <is>
          <t>QUANTITATIF_CHARPENTE!E17</t>
        </is>
      </c>
      <c r="D178">
        <f>IF(D12=1,2,4)*D14</f>
        <v>24</v>
      </c>
      <c r="E178">
        <f>IF(E12=1,2,4)*E14</f>
        <v>24</v>
      </c>
      <c r="F178">
        <f>IF(F12=1,2,4)*F14</f>
        <v>24</v>
      </c>
      <c r="G178">
        <f>IF(G12=1,2,4)*G14</f>
        <v>20</v>
      </c>
      <c r="H178">
        <f>IF(H12=1,2,4)*H14</f>
        <v>20</v>
      </c>
      <c r="I178">
        <f>IF(I12=1,2,4)*I14</f>
        <v>20</v>
      </c>
      <c r="J178">
        <f>IF(J12=1,2,4)*J14</f>
        <v>24</v>
      </c>
      <c r="K178">
        <f>IF(K12=1,2,4)*K14</f>
        <v>24</v>
      </c>
      <c r="L178">
        <f>IF(L12=1,2,4)*L14</f>
        <v>24</v>
      </c>
      <c r="M178">
        <f>IF(M12=1,2,4)*M14</f>
        <v>20</v>
      </c>
      <c r="N178">
        <f>IF(N12=1,2,4)*N14</f>
        <v>20</v>
      </c>
      <c r="O178">
        <f>IF(O12=1,2,4)*O14</f>
        <v>20</v>
      </c>
      <c r="P178">
        <f>IF(P12=1,2,4)*P14</f>
        <v>32</v>
      </c>
      <c r="Q178">
        <f>IF(Q12=1,2,4)*Q14</f>
        <v>32</v>
      </c>
      <c r="R178">
        <f>IF(R12=1,2,4)*R14</f>
        <v>32</v>
      </c>
      <c r="S178">
        <f>IF(S12=1,2,4)*S14</f>
        <v>32</v>
      </c>
      <c r="T178">
        <f>IF(T12=1,2,4)*T14</f>
        <v>32</v>
      </c>
      <c r="U178">
        <f>IF(U12=1,2,4)*U14</f>
        <v>32</v>
      </c>
      <c r="V178">
        <f>IF(V12=1,2,4)*V14</f>
        <v>16</v>
      </c>
      <c r="W178">
        <f>IF(W12=1,2,4)*W14</f>
        <v>16</v>
      </c>
      <c r="X178">
        <f>IF(X12=1,2,4)*X14</f>
        <v>16</v>
      </c>
    </row>
    <row r="179">
      <c r="A179" t="inlineStr">
        <is>
          <t>pl_tt_kgml</t>
        </is>
      </c>
      <c r="B179" t="inlineStr">
        <is>
          <t>QUANTITATIF_CHARPENTE!H17</t>
        </is>
      </c>
      <c r="D179">
        <f>'PARAMÈTRES'!$K$20</f>
        <v>21.5875</v>
      </c>
      <c r="E179">
        <f>'PARAMÈTRES'!$K$20</f>
        <v>21.5875</v>
      </c>
      <c r="F179">
        <f>'PARAMÈTRES'!$K$20</f>
        <v>21.5875</v>
      </c>
      <c r="G179">
        <f>'PARAMÈTRES'!$K$20</f>
        <v>21.5875</v>
      </c>
      <c r="H179">
        <f>'PARAMÈTRES'!$K$20</f>
        <v>21.5875</v>
      </c>
      <c r="I179">
        <f>'PARAMÈTRES'!$K$20</f>
        <v>21.5875</v>
      </c>
      <c r="J179">
        <f>'PARAMÈTRES'!$K$20</f>
        <v>21.5875</v>
      </c>
      <c r="K179">
        <f>'PARAMÈTRES'!$K$20</f>
        <v>21.5875</v>
      </c>
      <c r="L179">
        <f>'PARAMÈTRES'!$K$20</f>
        <v>21.5875</v>
      </c>
      <c r="M179">
        <f>'PARAMÈTRES'!$K$20</f>
        <v>21.5875</v>
      </c>
      <c r="N179">
        <f>'PARAMÈTRES'!$K$20</f>
        <v>21.5875</v>
      </c>
      <c r="O179">
        <f>'PARAMÈTRES'!$K$20</f>
        <v>21.5875</v>
      </c>
      <c r="P179">
        <f>'PARAMÈTRES'!$K$20</f>
        <v>21.5875</v>
      </c>
      <c r="Q179">
        <f>'PARAMÈTRES'!$K$20</f>
        <v>21.5875</v>
      </c>
      <c r="R179">
        <f>'PARAMÈTRES'!$K$20</f>
        <v>21.5875</v>
      </c>
      <c r="S179">
        <f>'PARAMÈTRES'!$K$20</f>
        <v>21.5875</v>
      </c>
      <c r="T179">
        <f>'PARAMÈTRES'!$K$20</f>
        <v>21.5875</v>
      </c>
      <c r="U179">
        <f>'PARAMÈTRES'!$K$20</f>
        <v>21.5875</v>
      </c>
      <c r="V179">
        <f>'PARAMÈTRES'!$K$20</f>
        <v>21.5875</v>
      </c>
      <c r="W179">
        <f>'PARAMÈTRES'!$K$20</f>
        <v>21.5875</v>
      </c>
      <c r="X179">
        <f>'PARAMÈTRES'!$K$20</f>
        <v>21.5875</v>
      </c>
    </row>
    <row r="180">
      <c r="A180" t="inlineStr">
        <is>
          <t>pl_tt_kg</t>
        </is>
      </c>
      <c r="B180" t="inlineStr">
        <is>
          <t>QUANTITATIF_CHARPENTE!I17</t>
        </is>
      </c>
      <c r="D180">
        <f>D178*D179</f>
        <v>518.1</v>
      </c>
      <c r="E180">
        <f>E178*E179</f>
        <v>518.1</v>
      </c>
      <c r="F180">
        <f>F178*F179</f>
        <v>518.1</v>
      </c>
      <c r="G180">
        <f>G178*G179</f>
        <v>431.75</v>
      </c>
      <c r="H180">
        <f>H178*H179</f>
        <v>431.75</v>
      </c>
      <c r="I180">
        <f>I178*I179</f>
        <v>431.75</v>
      </c>
      <c r="J180">
        <f>J178*J179</f>
        <v>518.1</v>
      </c>
      <c r="K180">
        <f>K178*K179</f>
        <v>518.1</v>
      </c>
      <c r="L180">
        <f>L178*L179</f>
        <v>518.1</v>
      </c>
      <c r="M180">
        <f>M178*M179</f>
        <v>431.75</v>
      </c>
      <c r="N180">
        <f>N178*N179</f>
        <v>431.75</v>
      </c>
      <c r="O180">
        <f>O178*O179</f>
        <v>431.75</v>
      </c>
      <c r="P180">
        <f>P178*P179</f>
        <v>690.8</v>
      </c>
      <c r="Q180">
        <f>Q178*Q179</f>
        <v>690.8</v>
      </c>
      <c r="R180">
        <f>R178*R179</f>
        <v>690.8</v>
      </c>
      <c r="S180">
        <f>S178*S179</f>
        <v>690.8</v>
      </c>
      <c r="T180">
        <f>T178*T179</f>
        <v>690.8</v>
      </c>
      <c r="U180">
        <f>U178*U179</f>
        <v>690.8</v>
      </c>
      <c r="V180">
        <f>V178*V179</f>
        <v>345.4</v>
      </c>
      <c r="W180">
        <f>W178*W179</f>
        <v>345.4</v>
      </c>
      <c r="X180">
        <f>X178*X179</f>
        <v>345.4</v>
      </c>
    </row>
    <row r="181">
      <c r="A181" t="inlineStr">
        <is>
          <t>pl_tg_p</t>
        </is>
      </c>
      <c r="B181" t="inlineStr">
        <is>
          <t>QUANTITATIF_CHARPENTE!C18</t>
        </is>
      </c>
      <c r="D181" t="str">
        <f>"PL"</f>
        <v>PL</v>
      </c>
      <c r="E181" t="str">
        <f>"PL"</f>
        <v>PL</v>
      </c>
      <c r="F181" t="str">
        <f>"PL"</f>
        <v>PL</v>
      </c>
      <c r="G181" t="str">
        <f>"PL"</f>
        <v>PL</v>
      </c>
      <c r="H181" t="str">
        <f>"PL"</f>
        <v>PL</v>
      </c>
      <c r="I181" t="str">
        <f>"PL"</f>
        <v>PL</v>
      </c>
      <c r="J181" t="str">
        <f>"PL"</f>
        <v>PL</v>
      </c>
      <c r="K181" t="str">
        <f>"PL"</f>
        <v>PL</v>
      </c>
      <c r="L181" t="str">
        <f>"PL"</f>
        <v>PL</v>
      </c>
      <c r="M181" t="str">
        <f>"PL"</f>
        <v>PL</v>
      </c>
      <c r="N181" t="str">
        <f>"PL"</f>
        <v>PL</v>
      </c>
      <c r="O181" t="str">
        <f>"PL"</f>
        <v>PL</v>
      </c>
      <c r="P181" t="str">
        <f>"PL"</f>
        <v>PL</v>
      </c>
      <c r="Q181" t="str">
        <f>"PL"</f>
        <v>PL</v>
      </c>
      <c r="R181" t="str">
        <f>"PL"</f>
        <v>PL</v>
      </c>
      <c r="S181" t="str">
        <f>"PL"</f>
        <v>PL</v>
      </c>
      <c r="T181" t="str">
        <f>"PL"</f>
        <v>PL</v>
      </c>
      <c r="U181" t="str">
        <f>"PL"</f>
        <v>PL</v>
      </c>
      <c r="V181" t="str">
        <f>"PL"</f>
        <v>PL</v>
      </c>
      <c r="W181" t="str">
        <f>"PL"</f>
        <v>PL</v>
      </c>
      <c r="X181" t="str">
        <f>"PL"</f>
        <v>PL</v>
      </c>
    </row>
    <row r="182">
      <c r="A182" t="inlineStr">
        <is>
          <t>pl_tg_q</t>
        </is>
      </c>
      <c r="B182" t="inlineStr">
        <is>
          <t>QUANTITATIF_CHARPENTE!E18</t>
        </is>
      </c>
      <c r="D182">
        <f>D22</f>
        <v>2</v>
      </c>
      <c r="E182">
        <f>E22</f>
        <v>2</v>
      </c>
      <c r="F182">
        <f>F22</f>
        <v>2</v>
      </c>
      <c r="G182">
        <f>G22</f>
        <v>4</v>
      </c>
      <c r="H182">
        <f>H22</f>
        <v>4</v>
      </c>
      <c r="I182">
        <f>I22</f>
        <v>4</v>
      </c>
      <c r="J182">
        <f>J22</f>
        <v>4</v>
      </c>
      <c r="K182">
        <f>K22</f>
        <v>4</v>
      </c>
      <c r="L182">
        <f>L22</f>
        <v>4</v>
      </c>
      <c r="M182">
        <f>M22</f>
        <v>6</v>
      </c>
      <c r="N182">
        <f>N22</f>
        <v>6</v>
      </c>
      <c r="O182">
        <f>O22</f>
        <v>6</v>
      </c>
      <c r="P182">
        <f>P22</f>
        <v>6</v>
      </c>
      <c r="Q182">
        <f>Q22</f>
        <v>6</v>
      </c>
      <c r="R182">
        <f>R22</f>
        <v>6</v>
      </c>
      <c r="S182">
        <f>S22</f>
        <v>8</v>
      </c>
      <c r="T182">
        <f>T22</f>
        <v>8</v>
      </c>
      <c r="U182">
        <f>U22</f>
        <v>8</v>
      </c>
      <c r="V182">
        <f>V22</f>
        <v>12</v>
      </c>
      <c r="W182">
        <f>W22</f>
        <v>12</v>
      </c>
      <c r="X182">
        <f>X22</f>
        <v>12</v>
      </c>
    </row>
    <row r="183">
      <c r="A183" t="inlineStr">
        <is>
          <t>pl_tg_kgml</t>
        </is>
      </c>
      <c r="B183" t="inlineStr">
        <is>
          <t>QUANTITATIF_CHARPENTE!H18</t>
        </is>
      </c>
      <c r="D183">
        <f>'PARAMÈTRES'!$K$21</f>
        <v>4.71</v>
      </c>
      <c r="E183">
        <f>'PARAMÈTRES'!$K$21</f>
        <v>4.71</v>
      </c>
      <c r="F183">
        <f>'PARAMÈTRES'!$K$21</f>
        <v>4.71</v>
      </c>
      <c r="G183">
        <f>'PARAMÈTRES'!$K$21</f>
        <v>4.71</v>
      </c>
      <c r="H183">
        <f>'PARAMÈTRES'!$K$21</f>
        <v>4.71</v>
      </c>
      <c r="I183">
        <f>'PARAMÈTRES'!$K$21</f>
        <v>4.71</v>
      </c>
      <c r="J183">
        <f>'PARAMÈTRES'!$K$21</f>
        <v>4.71</v>
      </c>
      <c r="K183">
        <f>'PARAMÈTRES'!$K$21</f>
        <v>4.71</v>
      </c>
      <c r="L183">
        <f>'PARAMÈTRES'!$K$21</f>
        <v>4.71</v>
      </c>
      <c r="M183">
        <f>'PARAMÈTRES'!$K$21</f>
        <v>4.71</v>
      </c>
      <c r="N183">
        <f>'PARAMÈTRES'!$K$21</f>
        <v>4.71</v>
      </c>
      <c r="O183">
        <f>'PARAMÈTRES'!$K$21</f>
        <v>4.71</v>
      </c>
      <c r="P183">
        <f>'PARAMÈTRES'!$K$21</f>
        <v>4.71</v>
      </c>
      <c r="Q183">
        <f>'PARAMÈTRES'!$K$21</f>
        <v>4.71</v>
      </c>
      <c r="R183">
        <f>'PARAMÈTRES'!$K$21</f>
        <v>4.71</v>
      </c>
      <c r="S183">
        <f>'PARAMÈTRES'!$K$21</f>
        <v>4.71</v>
      </c>
      <c r="T183">
        <f>'PARAMÈTRES'!$K$21</f>
        <v>4.71</v>
      </c>
      <c r="U183">
        <f>'PARAMÈTRES'!$K$21</f>
        <v>4.71</v>
      </c>
      <c r="V183">
        <f>'PARAMÈTRES'!$K$21</f>
        <v>4.71</v>
      </c>
      <c r="W183">
        <f>'PARAMÈTRES'!$K$21</f>
        <v>4.71</v>
      </c>
      <c r="X183">
        <f>'PARAMÈTRES'!$K$21</f>
        <v>4.71</v>
      </c>
    </row>
    <row r="184">
      <c r="A184" t="inlineStr">
        <is>
          <t>pl_tg_kg</t>
        </is>
      </c>
      <c r="B184" t="inlineStr">
        <is>
          <t>QUANTITATIF_CHARPENTE!I18</t>
        </is>
      </c>
      <c r="D184">
        <f>D182*D183</f>
        <v>9.42</v>
      </c>
      <c r="E184">
        <f>E182*E183</f>
        <v>9.42</v>
      </c>
      <c r="F184">
        <f>F182*F183</f>
        <v>9.42</v>
      </c>
      <c r="G184">
        <f>G182*G183</f>
        <v>18.84</v>
      </c>
      <c r="H184">
        <f>H182*H183</f>
        <v>18.84</v>
      </c>
      <c r="I184">
        <f>I182*I183</f>
        <v>18.84</v>
      </c>
      <c r="J184">
        <f>J182*J183</f>
        <v>18.84</v>
      </c>
      <c r="K184">
        <f>K182*K183</f>
        <v>18.84</v>
      </c>
      <c r="L184">
        <f>L182*L183</f>
        <v>18.84</v>
      </c>
      <c r="M184">
        <f>M182*M183</f>
        <v>28.26</v>
      </c>
      <c r="N184">
        <f>N182*N183</f>
        <v>28.26</v>
      </c>
      <c r="O184">
        <f>O182*O183</f>
        <v>28.26</v>
      </c>
      <c r="P184">
        <f>P182*P183</f>
        <v>28.26</v>
      </c>
      <c r="Q184">
        <f>Q182*Q183</f>
        <v>28.26</v>
      </c>
      <c r="R184">
        <f>R182*R183</f>
        <v>28.26</v>
      </c>
      <c r="S184">
        <f>S182*S183</f>
        <v>37.68</v>
      </c>
      <c r="T184">
        <f>T182*T183</f>
        <v>37.68</v>
      </c>
      <c r="U184">
        <f>U182*U183</f>
        <v>37.68</v>
      </c>
      <c r="V184">
        <f>V182*V183</f>
        <v>56.52</v>
      </c>
      <c r="W184">
        <f>W182*W183</f>
        <v>56.52</v>
      </c>
      <c r="X184">
        <f>X182*X183</f>
        <v>56.52</v>
      </c>
    </row>
    <row r="185">
      <c r="A185" t="inlineStr">
        <is>
          <t>gous_p</t>
        </is>
      </c>
      <c r="B185" t="inlineStr">
        <is>
          <t>QUANTITATIF_CHARPENTE!C19</t>
        </is>
      </c>
      <c r="D185" t="str">
        <f>"PL"</f>
        <v>PL</v>
      </c>
      <c r="E185" t="str">
        <f>"PL"</f>
        <v>PL</v>
      </c>
      <c r="F185" t="str">
        <f>"PL"</f>
        <v>PL</v>
      </c>
      <c r="G185" t="str">
        <f>"PL"</f>
        <v>PL</v>
      </c>
      <c r="H185" t="str">
        <f>"PL"</f>
        <v>PL</v>
      </c>
      <c r="I185" t="str">
        <f>"PL"</f>
        <v>PL</v>
      </c>
      <c r="J185" t="str">
        <f>"PL"</f>
        <v>PL</v>
      </c>
      <c r="K185" t="str">
        <f>"PL"</f>
        <v>PL</v>
      </c>
      <c r="L185" t="str">
        <f>"PL"</f>
        <v>PL</v>
      </c>
      <c r="M185" t="str">
        <f>"PL"</f>
        <v>PL</v>
      </c>
      <c r="N185" t="str">
        <f>"PL"</f>
        <v>PL</v>
      </c>
      <c r="O185" t="str">
        <f>"PL"</f>
        <v>PL</v>
      </c>
      <c r="P185" t="str">
        <f>"PL"</f>
        <v>PL</v>
      </c>
      <c r="Q185" t="str">
        <f>"PL"</f>
        <v>PL</v>
      </c>
      <c r="R185" t="str">
        <f>"PL"</f>
        <v>PL</v>
      </c>
      <c r="S185" t="str">
        <f>"PL"</f>
        <v>PL</v>
      </c>
      <c r="T185" t="str">
        <f>"PL"</f>
        <v>PL</v>
      </c>
      <c r="U185" t="str">
        <f>"PL"</f>
        <v>PL</v>
      </c>
      <c r="V185" t="str">
        <f>"PL"</f>
        <v>PL</v>
      </c>
      <c r="W185" t="str">
        <f>"PL"</f>
        <v>PL</v>
      </c>
      <c r="X185" t="str">
        <f>"PL"</f>
        <v>PL</v>
      </c>
    </row>
    <row r="186">
      <c r="A186" t="inlineStr">
        <is>
          <t>gous_q</t>
        </is>
      </c>
      <c r="B186" t="inlineStr">
        <is>
          <t>QUANTITATIF_CHARPENTE!E19</t>
        </is>
      </c>
      <c r="D186">
        <f>D14*D12*(2*D24+2)</f>
        <v>0</v>
      </c>
      <c r="E186">
        <f>E14*E12*(2*E24+2)</f>
        <v>0</v>
      </c>
      <c r="F186">
        <f>F14*F12*(2*F24+2)</f>
        <v>0</v>
      </c>
      <c r="G186">
        <f>G14*G12*(2*G24+2)</f>
        <v>0</v>
      </c>
      <c r="H186">
        <f>H14*H12*(2*H24+2)</f>
        <v>0</v>
      </c>
      <c r="I186">
        <f>I14*I12*(2*I24+2)</f>
        <v>0</v>
      </c>
      <c r="J186">
        <f>J14*J12*(2*J24+2)</f>
        <v>0</v>
      </c>
      <c r="K186">
        <f>K14*K12*(2*K24+2)</f>
        <v>0</v>
      </c>
      <c r="L186">
        <f>L14*L12*(2*L24+2)</f>
        <v>0</v>
      </c>
      <c r="M186">
        <f>M14*M12*(2*M24+2)</f>
        <v>0</v>
      </c>
      <c r="N186">
        <f>N14*N12*(2*N24+2)</f>
        <v>0</v>
      </c>
      <c r="O186">
        <f>O14*O12*(2*O24+2)</f>
        <v>0</v>
      </c>
      <c r="P186">
        <f>P14*P12*(2*P24+2)</f>
        <v>0</v>
      </c>
      <c r="Q186">
        <f>Q14*Q12*(2*Q24+2)</f>
        <v>0</v>
      </c>
      <c r="R186">
        <f>R14*R12*(2*R24+2)</f>
        <v>0</v>
      </c>
      <c r="S186">
        <f>S14*S12*(2*S24+2)</f>
        <v>0</v>
      </c>
      <c r="T186">
        <f>T14*T12*(2*T24+2)</f>
        <v>0</v>
      </c>
      <c r="U186">
        <f>U14*U12*(2*U24+2)</f>
        <v>0</v>
      </c>
      <c r="V186">
        <f>V14*V12*(2*V24+2)</f>
        <v>336</v>
      </c>
      <c r="W186">
        <f>W14*W12*(2*W24+2)</f>
        <v>336</v>
      </c>
      <c r="X186">
        <f>X14*X12*(2*X24+2)</f>
        <v>336</v>
      </c>
    </row>
    <row r="187">
      <c r="A187" t="inlineStr">
        <is>
          <t>gous_kgml</t>
        </is>
      </c>
      <c r="B187" t="inlineStr">
        <is>
          <t>QUANTITATIF_CHARPENTE!H19</t>
        </is>
      </c>
      <c r="D187">
        <f>'PARAMÈTRES'!$K$23</f>
        <v>7.065</v>
      </c>
      <c r="E187">
        <f>'PARAMÈTRES'!$K$23</f>
        <v>7.065</v>
      </c>
      <c r="F187">
        <f>'PARAMÈTRES'!$K$23</f>
        <v>7.065</v>
      </c>
      <c r="G187">
        <f>'PARAMÈTRES'!$K$23</f>
        <v>7.065</v>
      </c>
      <c r="H187">
        <f>'PARAMÈTRES'!$K$23</f>
        <v>7.065</v>
      </c>
      <c r="I187">
        <f>'PARAMÈTRES'!$K$23</f>
        <v>7.065</v>
      </c>
      <c r="J187">
        <f>'PARAMÈTRES'!$K$23</f>
        <v>7.065</v>
      </c>
      <c r="K187">
        <f>'PARAMÈTRES'!$K$23</f>
        <v>7.065</v>
      </c>
      <c r="L187">
        <f>'PARAMÈTRES'!$K$23</f>
        <v>7.065</v>
      </c>
      <c r="M187">
        <f>'PARAMÈTRES'!$K$23</f>
        <v>7.065</v>
      </c>
      <c r="N187">
        <f>'PARAMÈTRES'!$K$23</f>
        <v>7.065</v>
      </c>
      <c r="O187">
        <f>'PARAMÈTRES'!$K$23</f>
        <v>7.065</v>
      </c>
      <c r="P187">
        <f>'PARAMÈTRES'!$K$23</f>
        <v>7.065</v>
      </c>
      <c r="Q187">
        <f>'PARAMÈTRES'!$K$23</f>
        <v>7.065</v>
      </c>
      <c r="R187">
        <f>'PARAMÈTRES'!$K$23</f>
        <v>7.065</v>
      </c>
      <c r="S187">
        <f>'PARAMÈTRES'!$K$23</f>
        <v>7.065</v>
      </c>
      <c r="T187">
        <f>'PARAMÈTRES'!$K$23</f>
        <v>7.065</v>
      </c>
      <c r="U187">
        <f>'PARAMÈTRES'!$K$23</f>
        <v>7.065</v>
      </c>
      <c r="V187">
        <f>'PARAMÈTRES'!$K$23</f>
        <v>7.065</v>
      </c>
      <c r="W187">
        <f>'PARAMÈTRES'!$K$23</f>
        <v>7.065</v>
      </c>
      <c r="X187">
        <f>'PARAMÈTRES'!$K$23</f>
        <v>7.065</v>
      </c>
    </row>
    <row r="188">
      <c r="A188" t="inlineStr">
        <is>
          <t>gous_kg</t>
        </is>
      </c>
      <c r="B188" t="inlineStr">
        <is>
          <t>QUANTITATIF_CHARPENTE!I19</t>
        </is>
      </c>
      <c r="D188">
        <f>D186*D187</f>
        <v>0</v>
      </c>
      <c r="E188">
        <f>E186*E187</f>
        <v>0</v>
      </c>
      <c r="F188">
        <f>F186*F187</f>
        <v>0</v>
      </c>
      <c r="G188">
        <f>G186*G187</f>
        <v>0</v>
      </c>
      <c r="H188">
        <f>H186*H187</f>
        <v>0</v>
      </c>
      <c r="I188">
        <f>I186*I187</f>
        <v>0</v>
      </c>
      <c r="J188">
        <f>J186*J187</f>
        <v>0</v>
      </c>
      <c r="K188">
        <f>K186*K187</f>
        <v>0</v>
      </c>
      <c r="L188">
        <f>L186*L187</f>
        <v>0</v>
      </c>
      <c r="M188">
        <f>M186*M187</f>
        <v>0</v>
      </c>
      <c r="N188">
        <f>N186*N187</f>
        <v>0</v>
      </c>
      <c r="O188">
        <f>O186*O187</f>
        <v>0</v>
      </c>
      <c r="P188">
        <f>P186*P187</f>
        <v>0</v>
      </c>
      <c r="Q188">
        <f>Q186*Q187</f>
        <v>0</v>
      </c>
      <c r="R188">
        <f>R186*R187</f>
        <v>0</v>
      </c>
      <c r="S188">
        <f>S186*S187</f>
        <v>0</v>
      </c>
      <c r="T188">
        <f>T186*T187</f>
        <v>0</v>
      </c>
      <c r="U188">
        <f>U186*U187</f>
        <v>0</v>
      </c>
      <c r="V188">
        <f>V186*V187</f>
        <v>2373.84</v>
      </c>
      <c r="W188">
        <f>W186*W187</f>
        <v>2373.84</v>
      </c>
      <c r="X188">
        <f>X186*X187</f>
        <v>2373.84</v>
      </c>
    </row>
    <row r="189">
      <c r="A189" t="inlineStr">
        <is>
          <t>ecf_p</t>
        </is>
      </c>
      <c r="B189" t="inlineStr">
        <is>
          <t>QUANTITATIF_CHARPENTE!C20</t>
        </is>
      </c>
      <c r="D189" t="str">
        <f>"PL"</f>
        <v>PL</v>
      </c>
      <c r="E189" t="str">
        <f>"PL"</f>
        <v>PL</v>
      </c>
      <c r="F189" t="str">
        <f>"PL"</f>
        <v>PL</v>
      </c>
      <c r="G189" t="str">
        <f>"PL"</f>
        <v>PL</v>
      </c>
      <c r="H189" t="str">
        <f>"PL"</f>
        <v>PL</v>
      </c>
      <c r="I189" t="str">
        <f>"PL"</f>
        <v>PL</v>
      </c>
      <c r="J189" t="str">
        <f>"PL"</f>
        <v>PL</v>
      </c>
      <c r="K189" t="str">
        <f>"PL"</f>
        <v>PL</v>
      </c>
      <c r="L189" t="str">
        <f>"PL"</f>
        <v>PL</v>
      </c>
      <c r="M189" t="str">
        <f>"PL"</f>
        <v>PL</v>
      </c>
      <c r="N189" t="str">
        <f>"PL"</f>
        <v>PL</v>
      </c>
      <c r="O189" t="str">
        <f>"PL"</f>
        <v>PL</v>
      </c>
      <c r="P189" t="str">
        <f>"PL"</f>
        <v>PL</v>
      </c>
      <c r="Q189" t="str">
        <f>"PL"</f>
        <v>PL</v>
      </c>
      <c r="R189" t="str">
        <f>"PL"</f>
        <v>PL</v>
      </c>
      <c r="S189" t="str">
        <f>"PL"</f>
        <v>PL</v>
      </c>
      <c r="T189" t="str">
        <f>"PL"</f>
        <v>PL</v>
      </c>
      <c r="U189" t="str">
        <f>"PL"</f>
        <v>PL</v>
      </c>
      <c r="V189" t="str">
        <f>"PL"</f>
        <v>PL</v>
      </c>
      <c r="W189" t="str">
        <f>"PL"</f>
        <v>PL</v>
      </c>
      <c r="X189" t="str">
        <f>"PL"</f>
        <v>PL</v>
      </c>
    </row>
    <row r="190">
      <c r="A190" t="inlineStr">
        <is>
          <t>ecf_q</t>
        </is>
      </c>
      <c r="B190" t="inlineStr">
        <is>
          <t>QUANTITATIF_CHARPENTE!E20</t>
        </is>
      </c>
      <c r="D190">
        <f>D14</f>
        <v>6</v>
      </c>
      <c r="E190">
        <f>E14</f>
        <v>6</v>
      </c>
      <c r="F190">
        <f>F14</f>
        <v>6</v>
      </c>
      <c r="G190">
        <f>G14</f>
        <v>5</v>
      </c>
      <c r="H190">
        <f>H14</f>
        <v>5</v>
      </c>
      <c r="I190">
        <f>I14</f>
        <v>5</v>
      </c>
      <c r="J190">
        <f>J14</f>
        <v>6</v>
      </c>
      <c r="K190">
        <f>K14</f>
        <v>6</v>
      </c>
      <c r="L190">
        <f>L14</f>
        <v>6</v>
      </c>
      <c r="M190">
        <f>M14</f>
        <v>5</v>
      </c>
      <c r="N190">
        <f>N14</f>
        <v>5</v>
      </c>
      <c r="O190">
        <f>O14</f>
        <v>5</v>
      </c>
      <c r="P190">
        <f>P14</f>
        <v>8</v>
      </c>
      <c r="Q190">
        <f>Q14</f>
        <v>8</v>
      </c>
      <c r="R190">
        <f>R14</f>
        <v>8</v>
      </c>
      <c r="S190">
        <f>S14</f>
        <v>8</v>
      </c>
      <c r="T190">
        <f>T14</f>
        <v>8</v>
      </c>
      <c r="U190">
        <f>U14</f>
        <v>8</v>
      </c>
      <c r="V190">
        <f>V14</f>
        <v>8</v>
      </c>
      <c r="W190">
        <f>W14</f>
        <v>8</v>
      </c>
      <c r="X190">
        <f>X14</f>
        <v>8</v>
      </c>
    </row>
    <row r="191">
      <c r="A191" t="inlineStr">
        <is>
          <t>ecf_kgml</t>
        </is>
      </c>
      <c r="B191" t="inlineStr">
        <is>
          <t>QUANTITATIF_CHARPENTE!H20</t>
        </is>
      </c>
      <c r="D191">
        <f>2*'PARAMÈTRES'!$K$22</f>
        <v>29.4375</v>
      </c>
      <c r="E191">
        <f>2*'PARAMÈTRES'!$K$22</f>
        <v>29.4375</v>
      </c>
      <c r="F191">
        <f>2*'PARAMÈTRES'!$K$22</f>
        <v>29.4375</v>
      </c>
      <c r="G191">
        <f>2*'PARAMÈTRES'!$K$22</f>
        <v>29.4375</v>
      </c>
      <c r="H191">
        <f>2*'PARAMÈTRES'!$K$22</f>
        <v>29.4375</v>
      </c>
      <c r="I191">
        <f>2*'PARAMÈTRES'!$K$22</f>
        <v>29.4375</v>
      </c>
      <c r="J191">
        <f>2*'PARAMÈTRES'!$K$22</f>
        <v>29.4375</v>
      </c>
      <c r="K191">
        <f>2*'PARAMÈTRES'!$K$22</f>
        <v>29.4375</v>
      </c>
      <c r="L191">
        <f>2*'PARAMÈTRES'!$K$22</f>
        <v>29.4375</v>
      </c>
      <c r="M191">
        <f>2*'PARAMÈTRES'!$K$22</f>
        <v>29.4375</v>
      </c>
      <c r="N191">
        <f>2*'PARAMÈTRES'!$K$22</f>
        <v>29.4375</v>
      </c>
      <c r="O191">
        <f>2*'PARAMÈTRES'!$K$22</f>
        <v>29.4375</v>
      </c>
      <c r="P191">
        <f>2*'PARAMÈTRES'!$K$22</f>
        <v>29.4375</v>
      </c>
      <c r="Q191">
        <f>2*'PARAMÈTRES'!$K$22</f>
        <v>29.4375</v>
      </c>
      <c r="R191">
        <f>2*'PARAMÈTRES'!$K$22</f>
        <v>29.4375</v>
      </c>
      <c r="S191">
        <f>2*'PARAMÈTRES'!$K$22</f>
        <v>29.4375</v>
      </c>
      <c r="T191">
        <f>2*'PARAMÈTRES'!$K$22</f>
        <v>29.4375</v>
      </c>
      <c r="U191">
        <f>2*'PARAMÈTRES'!$K$22</f>
        <v>29.4375</v>
      </c>
      <c r="V191">
        <f>2*'PARAMÈTRES'!$K$22</f>
        <v>29.4375</v>
      </c>
      <c r="W191">
        <f>2*'PARAMÈTRES'!$K$22</f>
        <v>29.4375</v>
      </c>
      <c r="X191">
        <f>2*'PARAMÈTRES'!$K$22</f>
        <v>29.4375</v>
      </c>
    </row>
    <row r="192">
      <c r="A192" t="inlineStr">
        <is>
          <t>ecf_kg</t>
        </is>
      </c>
      <c r="B192" t="inlineStr">
        <is>
          <t>QUANTITATIF_CHARPENTE!I20</t>
        </is>
      </c>
      <c r="D192">
        <f>D190*D191</f>
        <v>176.625</v>
      </c>
      <c r="E192">
        <f>E190*E191</f>
        <v>176.625</v>
      </c>
      <c r="F192">
        <f>F190*F191</f>
        <v>176.625</v>
      </c>
      <c r="G192">
        <f>G190*G191</f>
        <v>147.1875</v>
      </c>
      <c r="H192">
        <f>H190*H191</f>
        <v>147.1875</v>
      </c>
      <c r="I192">
        <f>I190*I191</f>
        <v>147.1875</v>
      </c>
      <c r="J192">
        <f>J190*J191</f>
        <v>176.625</v>
      </c>
      <c r="K192">
        <f>K190*K191</f>
        <v>176.625</v>
      </c>
      <c r="L192">
        <f>L190*L191</f>
        <v>176.625</v>
      </c>
      <c r="M192">
        <f>M190*M191</f>
        <v>147.1875</v>
      </c>
      <c r="N192">
        <f>N190*N191</f>
        <v>147.1875</v>
      </c>
      <c r="O192">
        <f>O190*O191</f>
        <v>147.1875</v>
      </c>
      <c r="P192">
        <f>P190*P191</f>
        <v>235.5</v>
      </c>
      <c r="Q192">
        <f>Q190*Q191</f>
        <v>235.5</v>
      </c>
      <c r="R192">
        <f>R190*R191</f>
        <v>235.5</v>
      </c>
      <c r="S192">
        <f>S190*S191</f>
        <v>235.5</v>
      </c>
      <c r="T192">
        <f>T190*T191</f>
        <v>235.5</v>
      </c>
      <c r="U192">
        <f>U190*U191</f>
        <v>235.5</v>
      </c>
      <c r="V192">
        <f>V190*V191</f>
        <v>235.5</v>
      </c>
      <c r="W192">
        <f>W190*W191</f>
        <v>235.5</v>
      </c>
      <c r="X192">
        <f>X190*X191</f>
        <v>235.5</v>
      </c>
    </row>
    <row r="193">
      <c r="A193" t="inlineStr">
        <is>
          <t>ecp_p</t>
        </is>
      </c>
      <c r="B193" t="inlineStr">
        <is>
          <t>QUANTITATIF_CHARPENTE!C21</t>
        </is>
      </c>
      <c r="D193" t="str">
        <f>"PL"</f>
        <v>PL</v>
      </c>
      <c r="E193" t="str">
        <f>"PL"</f>
        <v>PL</v>
      </c>
      <c r="F193" t="str">
        <f>"PL"</f>
        <v>PL</v>
      </c>
      <c r="G193" t="str">
        <f>"PL"</f>
        <v>PL</v>
      </c>
      <c r="H193" t="str">
        <f>"PL"</f>
        <v>PL</v>
      </c>
      <c r="I193" t="str">
        <f>"PL"</f>
        <v>PL</v>
      </c>
      <c r="J193" t="str">
        <f>"PL"</f>
        <v>PL</v>
      </c>
      <c r="K193" t="str">
        <f>"PL"</f>
        <v>PL</v>
      </c>
      <c r="L193" t="str">
        <f>"PL"</f>
        <v>PL</v>
      </c>
      <c r="M193" t="str">
        <f>"PL"</f>
        <v>PL</v>
      </c>
      <c r="N193" t="str">
        <f>"PL"</f>
        <v>PL</v>
      </c>
      <c r="O193" t="str">
        <f>"PL"</f>
        <v>PL</v>
      </c>
      <c r="P193" t="str">
        <f>"PL"</f>
        <v>PL</v>
      </c>
      <c r="Q193" t="str">
        <f>"PL"</f>
        <v>PL</v>
      </c>
      <c r="R193" t="str">
        <f>"PL"</f>
        <v>PL</v>
      </c>
      <c r="S193" t="str">
        <f>"PL"</f>
        <v>PL</v>
      </c>
      <c r="T193" t="str">
        <f>"PL"</f>
        <v>PL</v>
      </c>
      <c r="U193" t="str">
        <f>"PL"</f>
        <v>PL</v>
      </c>
      <c r="V193" t="str">
        <f>"PL"</f>
        <v>PL</v>
      </c>
      <c r="W193" t="str">
        <f>"PL"</f>
        <v>PL</v>
      </c>
      <c r="X193" t="str">
        <f>"PL"</f>
        <v>PL</v>
      </c>
    </row>
    <row r="194">
      <c r="A194" t="inlineStr">
        <is>
          <t>ecp_q</t>
        </is>
      </c>
      <c r="B194" t="inlineStr">
        <is>
          <t>QUANTITATIF_CHARPENTE!E21</t>
        </is>
      </c>
      <c r="D194">
        <f>2*D25*MAX(0,ROUNDUP(D27/'PARAMÈTRES'!$C$58,0)-1)</f>
        <v>20</v>
      </c>
      <c r="E194">
        <f>2*E25*MAX(0,ROUNDUP(E27/'PARAMÈTRES'!$C$58,0)-1)</f>
        <v>20</v>
      </c>
      <c r="F194">
        <f>2*F25*MAX(0,ROUNDUP(F27/'PARAMÈTRES'!$C$58,0)-1)</f>
        <v>20</v>
      </c>
      <c r="G194">
        <f>2*G25*MAX(0,ROUNDUP(G27/'PARAMÈTRES'!$C$58,0)-1)</f>
        <v>14</v>
      </c>
      <c r="H194">
        <f>2*H25*MAX(0,ROUNDUP(H27/'PARAMÈTRES'!$C$58,0)-1)</f>
        <v>14</v>
      </c>
      <c r="I194">
        <f>2*I25*MAX(0,ROUNDUP(I27/'PARAMÈTRES'!$C$58,0)-1)</f>
        <v>14</v>
      </c>
      <c r="J194">
        <f>2*J25*MAX(0,ROUNDUP(J27/'PARAMÈTRES'!$C$58,0)-1)</f>
        <v>28</v>
      </c>
      <c r="K194">
        <f>2*K25*MAX(0,ROUNDUP(K27/'PARAMÈTRES'!$C$58,0)-1)</f>
        <v>28</v>
      </c>
      <c r="L194">
        <f>2*L25*MAX(0,ROUNDUP(L27/'PARAMÈTRES'!$C$58,0)-1)</f>
        <v>28</v>
      </c>
      <c r="M194">
        <f>2*M25*MAX(0,ROUNDUP(M27/'PARAMÈTRES'!$C$58,0)-1)</f>
        <v>18</v>
      </c>
      <c r="N194">
        <f>2*N25*MAX(0,ROUNDUP(N27/'PARAMÈTRES'!$C$58,0)-1)</f>
        <v>18</v>
      </c>
      <c r="O194">
        <f>2*O25*MAX(0,ROUNDUP(O27/'PARAMÈTRES'!$C$58,0)-1)</f>
        <v>18</v>
      </c>
      <c r="P194">
        <f>2*P25*MAX(0,ROUNDUP(P27/'PARAMÈTRES'!$C$58,0)-1)</f>
        <v>54</v>
      </c>
      <c r="Q194">
        <f>2*Q25*MAX(0,ROUNDUP(Q27/'PARAMÈTRES'!$C$58,0)-1)</f>
        <v>54</v>
      </c>
      <c r="R194">
        <f>2*R25*MAX(0,ROUNDUP(R27/'PARAMÈTRES'!$C$58,0)-1)</f>
        <v>54</v>
      </c>
      <c r="S194">
        <f>2*S25*MAX(0,ROUNDUP(S27/'PARAMÈTRES'!$C$58,0)-1)</f>
        <v>78</v>
      </c>
      <c r="T194">
        <f>2*T25*MAX(0,ROUNDUP(T27/'PARAMÈTRES'!$C$58,0)-1)</f>
        <v>78</v>
      </c>
      <c r="U194">
        <f>2*U25*MAX(0,ROUNDUP(U27/'PARAMÈTRES'!$C$58,0)-1)</f>
        <v>78</v>
      </c>
      <c r="V194">
        <f>2*V25*MAX(0,ROUNDUP(V27/'PARAMÈTRES'!$C$58,0)-1)</f>
        <v>102</v>
      </c>
      <c r="W194">
        <f>2*W25*MAX(0,ROUNDUP(W27/'PARAMÈTRES'!$C$58,0)-1)</f>
        <v>102</v>
      </c>
      <c r="X194">
        <f>2*X25*MAX(0,ROUNDUP(X27/'PARAMÈTRES'!$C$58,0)-1)</f>
        <v>102</v>
      </c>
    </row>
    <row r="195">
      <c r="A195" t="inlineStr">
        <is>
          <t>ecp_kgml</t>
        </is>
      </c>
      <c r="B195" t="inlineStr">
        <is>
          <t>QUANTITATIF_CHARPENTE!H21</t>
        </is>
      </c>
      <c r="D195">
        <f>'PARAMÈTRES'!$C$62</f>
        <v>2.5</v>
      </c>
      <c r="E195">
        <f>'PARAMÈTRES'!$C$62</f>
        <v>2.5</v>
      </c>
      <c r="F195">
        <f>'PARAMÈTRES'!$C$62</f>
        <v>2.5</v>
      </c>
      <c r="G195">
        <f>'PARAMÈTRES'!$C$62</f>
        <v>2.5</v>
      </c>
      <c r="H195">
        <f>'PARAMÈTRES'!$C$62</f>
        <v>2.5</v>
      </c>
      <c r="I195">
        <f>'PARAMÈTRES'!$C$62</f>
        <v>2.5</v>
      </c>
      <c r="J195">
        <f>'PARAMÈTRES'!$C$62</f>
        <v>2.5</v>
      </c>
      <c r="K195">
        <f>'PARAMÈTRES'!$C$62</f>
        <v>2.5</v>
      </c>
      <c r="L195">
        <f>'PARAMÈTRES'!$C$62</f>
        <v>2.5</v>
      </c>
      <c r="M195">
        <f>'PARAMÈTRES'!$C$62</f>
        <v>2.5</v>
      </c>
      <c r="N195">
        <f>'PARAMÈTRES'!$C$62</f>
        <v>2.5</v>
      </c>
      <c r="O195">
        <f>'PARAMÈTRES'!$C$62</f>
        <v>2.5</v>
      </c>
      <c r="P195">
        <f>'PARAMÈTRES'!$C$62</f>
        <v>2.5</v>
      </c>
      <c r="Q195">
        <f>'PARAMÈTRES'!$C$62</f>
        <v>2.5</v>
      </c>
      <c r="R195">
        <f>'PARAMÈTRES'!$C$62</f>
        <v>2.5</v>
      </c>
      <c r="S195">
        <f>'PARAMÈTRES'!$C$62</f>
        <v>2.5</v>
      </c>
      <c r="T195">
        <f>'PARAMÈTRES'!$C$62</f>
        <v>2.5</v>
      </c>
      <c r="U195">
        <f>'PARAMÈTRES'!$C$62</f>
        <v>2.5</v>
      </c>
      <c r="V195">
        <f>'PARAMÈTRES'!$C$62</f>
        <v>2.5</v>
      </c>
      <c r="W195">
        <f>'PARAMÈTRES'!$C$62</f>
        <v>2.5</v>
      </c>
      <c r="X195">
        <f>'PARAMÈTRES'!$C$62</f>
        <v>2.5</v>
      </c>
    </row>
    <row r="196">
      <c r="A196" t="inlineStr">
        <is>
          <t>ecp_kg</t>
        </is>
      </c>
      <c r="B196" t="inlineStr">
        <is>
          <t>QUANTITATIF_CHARPENTE!I21</t>
        </is>
      </c>
      <c r="D196">
        <f>D194*D195</f>
        <v>50</v>
      </c>
      <c r="E196">
        <f>E194*E195</f>
        <v>50</v>
      </c>
      <c r="F196">
        <f>F194*F195</f>
        <v>50</v>
      </c>
      <c r="G196">
        <f>G194*G195</f>
        <v>35</v>
      </c>
      <c r="H196">
        <f>H194*H195</f>
        <v>35</v>
      </c>
      <c r="I196">
        <f>I194*I195</f>
        <v>35</v>
      </c>
      <c r="J196">
        <f>J194*J195</f>
        <v>70</v>
      </c>
      <c r="K196">
        <f>K194*K195</f>
        <v>70</v>
      </c>
      <c r="L196">
        <f>L194*L195</f>
        <v>70</v>
      </c>
      <c r="M196">
        <f>M194*M195</f>
        <v>45</v>
      </c>
      <c r="N196">
        <f>N194*N195</f>
        <v>45</v>
      </c>
      <c r="O196">
        <f>O194*O195</f>
        <v>45</v>
      </c>
      <c r="P196">
        <f>P194*P195</f>
        <v>135</v>
      </c>
      <c r="Q196">
        <f>Q194*Q195</f>
        <v>135</v>
      </c>
      <c r="R196">
        <f>R194*R195</f>
        <v>135</v>
      </c>
      <c r="S196">
        <f>S194*S195</f>
        <v>195</v>
      </c>
      <c r="T196">
        <f>T194*T195</f>
        <v>195</v>
      </c>
      <c r="U196">
        <f>U194*U195</f>
        <v>195</v>
      </c>
      <c r="V196">
        <f>V194*V195</f>
        <v>255</v>
      </c>
      <c r="W196">
        <f>W194*W195</f>
        <v>255</v>
      </c>
      <c r="X196">
        <f>X194*X195</f>
        <v>255</v>
      </c>
    </row>
    <row r="197">
      <c r="A197" t="inlineStr">
        <is>
          <t>cvv_p</t>
        </is>
      </c>
      <c r="B197" t="inlineStr">
        <is>
          <t>QUANTITATIF_CHARPENTE!C24</t>
        </is>
      </c>
      <c r="D197" t="str">
        <f>D92</f>
        <v>L 70x7</v>
      </c>
      <c r="E197" t="str">
        <f>E92</f>
        <v>L 70x7</v>
      </c>
      <c r="F197" t="str">
        <f>F92</f>
        <v>L 70x7</v>
      </c>
      <c r="G197" t="str">
        <f>G92</f>
        <v>L 70x7</v>
      </c>
      <c r="H197" t="str">
        <f>H92</f>
        <v>L 70x7</v>
      </c>
      <c r="I197" t="str">
        <f>I92</f>
        <v>L 70x7</v>
      </c>
      <c r="J197" t="str">
        <f>J92</f>
        <v>L 70x7</v>
      </c>
      <c r="K197" t="str">
        <f>K92</f>
        <v>L 70x7</v>
      </c>
      <c r="L197" t="str">
        <f>L92</f>
        <v>L 70x7</v>
      </c>
      <c r="M197" t="str">
        <f>M92</f>
        <v>L 70x7</v>
      </c>
      <c r="N197" t="str">
        <f>N92</f>
        <v>L 70x7</v>
      </c>
      <c r="O197" t="str">
        <f>O92</f>
        <v>L 70x7</v>
      </c>
      <c r="P197" t="str">
        <f>P92</f>
        <v>L 70x7</v>
      </c>
      <c r="Q197" t="str">
        <f>Q92</f>
        <v>L 70x7</v>
      </c>
      <c r="R197" t="str">
        <f>R92</f>
        <v>L 70x7</v>
      </c>
      <c r="S197" t="str">
        <f>S92</f>
        <v>L 70x7</v>
      </c>
      <c r="T197" t="str">
        <f>T92</f>
        <v>L 70x7</v>
      </c>
      <c r="U197" t="str">
        <f>U92</f>
        <v>L 70x7</v>
      </c>
      <c r="V197" t="str">
        <f>V92</f>
        <v>L 70x7</v>
      </c>
      <c r="W197" t="str">
        <f>W92</f>
        <v>L 70x7</v>
      </c>
      <c r="X197" t="str">
        <f>X92</f>
        <v>L 70x7</v>
      </c>
    </row>
    <row r="198">
      <c r="A198" t="inlineStr">
        <is>
          <t>cvv_q</t>
        </is>
      </c>
      <c r="B198" t="inlineStr">
        <is>
          <t>QUANTITATIF_CHARPENTE!E24</t>
        </is>
      </c>
      <c r="D198">
        <f>D29*2*2</f>
        <v>8</v>
      </c>
      <c r="E198">
        <f>E29*2*2</f>
        <v>8</v>
      </c>
      <c r="F198">
        <f>F29*2*2</f>
        <v>8</v>
      </c>
      <c r="G198">
        <f>G29*2*2</f>
        <v>8</v>
      </c>
      <c r="H198">
        <f>H29*2*2</f>
        <v>8</v>
      </c>
      <c r="I198">
        <f>I29*2*2</f>
        <v>8</v>
      </c>
      <c r="J198">
        <f>J29*2*2</f>
        <v>8</v>
      </c>
      <c r="K198">
        <f>K29*2*2</f>
        <v>8</v>
      </c>
      <c r="L198">
        <f>L29*2*2</f>
        <v>8</v>
      </c>
      <c r="M198">
        <f>M29*2*2</f>
        <v>8</v>
      </c>
      <c r="N198">
        <f>N29*2*2</f>
        <v>8</v>
      </c>
      <c r="O198">
        <f>O29*2*2</f>
        <v>8</v>
      </c>
      <c r="P198">
        <f>P29*2*2</f>
        <v>12</v>
      </c>
      <c r="Q198">
        <f>Q29*2*2</f>
        <v>12</v>
      </c>
      <c r="R198">
        <f>R29*2*2</f>
        <v>12</v>
      </c>
      <c r="S198">
        <f>S29*2*2</f>
        <v>12</v>
      </c>
      <c r="T198">
        <f>T29*2*2</f>
        <v>12</v>
      </c>
      <c r="U198">
        <f>U29*2*2</f>
        <v>12</v>
      </c>
      <c r="V198">
        <f>V29*2*2</f>
        <v>12</v>
      </c>
      <c r="W198">
        <f>W29*2*2</f>
        <v>12</v>
      </c>
      <c r="X198">
        <f>X29*2*2</f>
        <v>12</v>
      </c>
    </row>
    <row r="199">
      <c r="A199" t="inlineStr">
        <is>
          <t>cvv_lu</t>
        </is>
      </c>
      <c r="B199" t="inlineStr">
        <is>
          <t>QUANTITATIF_CHARPENTE!F24</t>
        </is>
      </c>
      <c r="D199">
        <f>SQRT(D15^2+D18^2)</f>
        <v>8.48528137423857</v>
      </c>
      <c r="E199">
        <f>SQRT(E15^2+E18^2)</f>
        <v>8.48528137423857</v>
      </c>
      <c r="F199">
        <f>SQRT(F15^2+F18^2)</f>
        <v>8.48528137423857</v>
      </c>
      <c r="G199">
        <f>SQRT(G15^2+G18^2)</f>
        <v>7.81024967590665</v>
      </c>
      <c r="H199">
        <f>SQRT(H15^2+H18^2)</f>
        <v>7.81024967590665</v>
      </c>
      <c r="I199">
        <f>SQRT(I15^2+I18^2)</f>
        <v>7.81024967590665</v>
      </c>
      <c r="J199">
        <f>SQRT(J15^2+J18^2)</f>
        <v>8.48528137423857</v>
      </c>
      <c r="K199">
        <f>SQRT(K15^2+K18^2)</f>
        <v>8.48528137423857</v>
      </c>
      <c r="L199">
        <f>SQRT(L15^2+L18^2)</f>
        <v>8.48528137423857</v>
      </c>
      <c r="M199">
        <f>SQRT(M15^2+M18^2)</f>
        <v>7.81024967590665</v>
      </c>
      <c r="N199">
        <f>SQRT(N15^2+N18^2)</f>
        <v>7.81024967590665</v>
      </c>
      <c r="O199">
        <f>SQRT(O15^2+O18^2)</f>
        <v>7.81024967590665</v>
      </c>
      <c r="P199">
        <f>SQRT(P15^2+P18^2)</f>
        <v>8.28571428571429</v>
      </c>
      <c r="Q199">
        <f>SQRT(Q15^2+Q18^2)</f>
        <v>8.28571428571429</v>
      </c>
      <c r="R199">
        <f>SQRT(R15^2+R18^2)</f>
        <v>8.28571428571429</v>
      </c>
      <c r="S199">
        <f>SQRT(S15^2+S18^2)</f>
        <v>8.28571428571429</v>
      </c>
      <c r="T199">
        <f>SQRT(T15^2+T18^2)</f>
        <v>8.28571428571429</v>
      </c>
      <c r="U199">
        <f>SQRT(U15^2+U18^2)</f>
        <v>8.28571428571429</v>
      </c>
      <c r="V199">
        <f>SQRT(V15^2+V18^2)</f>
        <v>9.29681875709469</v>
      </c>
      <c r="W199">
        <f>SQRT(W15^2+W18^2)</f>
        <v>9.29681875709469</v>
      </c>
      <c r="X199">
        <f>SQRT(X15^2+X18^2)</f>
        <v>9.29681875709469</v>
      </c>
    </row>
    <row r="200">
      <c r="A200" t="inlineStr">
        <is>
          <t>cvv_lt</t>
        </is>
      </c>
      <c r="B200" t="inlineStr">
        <is>
          <t>QUANTITATIF_CHARPENTE!G24</t>
        </is>
      </c>
      <c r="D200">
        <f>D198*D199</f>
        <v>67.8822509939086</v>
      </c>
      <c r="E200">
        <f>E198*E199</f>
        <v>67.8822509939086</v>
      </c>
      <c r="F200">
        <f>F198*F199</f>
        <v>67.8822509939086</v>
      </c>
      <c r="G200">
        <f>G198*G199</f>
        <v>62.4819974072532</v>
      </c>
      <c r="H200">
        <f>H198*H199</f>
        <v>62.4819974072532</v>
      </c>
      <c r="I200">
        <f>I198*I199</f>
        <v>62.4819974072532</v>
      </c>
      <c r="J200">
        <f>J198*J199</f>
        <v>67.8822509939086</v>
      </c>
      <c r="K200">
        <f>K198*K199</f>
        <v>67.8822509939086</v>
      </c>
      <c r="L200">
        <f>L198*L199</f>
        <v>67.8822509939086</v>
      </c>
      <c r="M200">
        <f>M198*M199</f>
        <v>62.4819974072532</v>
      </c>
      <c r="N200">
        <f>N198*N199</f>
        <v>62.4819974072532</v>
      </c>
      <c r="O200">
        <f>O198*O199</f>
        <v>62.4819974072532</v>
      </c>
      <c r="P200">
        <f>P198*P199</f>
        <v>99.4285714285714</v>
      </c>
      <c r="Q200">
        <f>Q198*Q199</f>
        <v>99.4285714285714</v>
      </c>
      <c r="R200">
        <f>R198*R199</f>
        <v>99.4285714285714</v>
      </c>
      <c r="S200">
        <f>S198*S199</f>
        <v>99.4285714285714</v>
      </c>
      <c r="T200">
        <f>T198*T199</f>
        <v>99.4285714285714</v>
      </c>
      <c r="U200">
        <f>U198*U199</f>
        <v>99.4285714285714</v>
      </c>
      <c r="V200">
        <f>V198*V199</f>
        <v>111.561825085136</v>
      </c>
      <c r="W200">
        <f>W198*W199</f>
        <v>111.561825085136</v>
      </c>
      <c r="X200">
        <f>X198*X199</f>
        <v>111.561825085136</v>
      </c>
    </row>
    <row r="201">
      <c r="A201" t="inlineStr">
        <is>
          <t>cvv_kgml</t>
        </is>
      </c>
      <c r="B201" t="inlineStr">
        <is>
          <t>QUANTITATIF_CHARPENTE!H24</t>
        </is>
      </c>
      <c r="D201">
        <f>D93</f>
        <v>7.38</v>
      </c>
      <c r="E201">
        <f>E93</f>
        <v>7.38</v>
      </c>
      <c r="F201">
        <f>F93</f>
        <v>7.38</v>
      </c>
      <c r="G201">
        <f>G93</f>
        <v>7.38</v>
      </c>
      <c r="H201">
        <f>H93</f>
        <v>7.38</v>
      </c>
      <c r="I201">
        <f>I93</f>
        <v>7.38</v>
      </c>
      <c r="J201">
        <f>J93</f>
        <v>7.38</v>
      </c>
      <c r="K201">
        <f>K93</f>
        <v>7.38</v>
      </c>
      <c r="L201">
        <f>L93</f>
        <v>7.38</v>
      </c>
      <c r="M201">
        <f>M93</f>
        <v>7.38</v>
      </c>
      <c r="N201">
        <f>N93</f>
        <v>7.38</v>
      </c>
      <c r="O201">
        <f>O93</f>
        <v>7.38</v>
      </c>
      <c r="P201">
        <f>P93</f>
        <v>7.38</v>
      </c>
      <c r="Q201">
        <f>Q93</f>
        <v>7.38</v>
      </c>
      <c r="R201">
        <f>R93</f>
        <v>7.38</v>
      </c>
      <c r="S201">
        <f>S93</f>
        <v>7.38</v>
      </c>
      <c r="T201">
        <f>T93</f>
        <v>7.38</v>
      </c>
      <c r="U201">
        <f>U93</f>
        <v>7.38</v>
      </c>
      <c r="V201">
        <f>V93</f>
        <v>7.38</v>
      </c>
      <c r="W201">
        <f>W93</f>
        <v>7.38</v>
      </c>
      <c r="X201">
        <f>X93</f>
        <v>7.38</v>
      </c>
    </row>
    <row r="202">
      <c r="A202" t="inlineStr">
        <is>
          <t>cvv_kg</t>
        </is>
      </c>
      <c r="B202" t="inlineStr">
        <is>
          <t>QUANTITATIF_CHARPENTE!I24</t>
        </is>
      </c>
      <c r="D202">
        <f>D200*D201</f>
        <v>500.971012335045</v>
      </c>
      <c r="E202">
        <f>E200*E201</f>
        <v>500.971012335045</v>
      </c>
      <c r="F202">
        <f>F200*F201</f>
        <v>500.971012335045</v>
      </c>
      <c r="G202">
        <f>G200*G201</f>
        <v>461.117140865529</v>
      </c>
      <c r="H202">
        <f>H200*H201</f>
        <v>461.117140865529</v>
      </c>
      <c r="I202">
        <f>I200*I201</f>
        <v>461.117140865529</v>
      </c>
      <c r="J202">
        <f>J200*J201</f>
        <v>500.971012335045</v>
      </c>
      <c r="K202">
        <f>K200*K201</f>
        <v>500.971012335045</v>
      </c>
      <c r="L202">
        <f>L200*L201</f>
        <v>500.971012335045</v>
      </c>
      <c r="M202">
        <f>M200*M201</f>
        <v>461.117140865529</v>
      </c>
      <c r="N202">
        <f>N200*N201</f>
        <v>461.117140865529</v>
      </c>
      <c r="O202">
        <f>O200*O201</f>
        <v>461.117140865529</v>
      </c>
      <c r="P202">
        <f>P200*P201</f>
        <v>733.782857142857</v>
      </c>
      <c r="Q202">
        <f>Q200*Q201</f>
        <v>733.782857142857</v>
      </c>
      <c r="R202">
        <f>R200*R201</f>
        <v>733.782857142857</v>
      </c>
      <c r="S202">
        <f>S200*S201</f>
        <v>733.782857142857</v>
      </c>
      <c r="T202">
        <f>T200*T201</f>
        <v>733.782857142857</v>
      </c>
      <c r="U202">
        <f>U200*U201</f>
        <v>733.782857142857</v>
      </c>
      <c r="V202">
        <f>V200*V201</f>
        <v>823.326269128305</v>
      </c>
      <c r="W202">
        <f>W200*W201</f>
        <v>823.326269128305</v>
      </c>
      <c r="X202">
        <f>X200*X201</f>
        <v>823.326269128305</v>
      </c>
    </row>
    <row r="203">
      <c r="A203" t="inlineStr">
        <is>
          <t>cvt_p</t>
        </is>
      </c>
      <c r="B203" t="inlineStr">
        <is>
          <t>QUANTITATIF_CHARPENTE!C25</t>
        </is>
      </c>
      <c r="D203" t="str">
        <f>D96</f>
        <v>L 60x6</v>
      </c>
      <c r="E203" t="str">
        <f>E96</f>
        <v>L 60x6</v>
      </c>
      <c r="F203" t="str">
        <f>F96</f>
        <v>L 60x6</v>
      </c>
      <c r="G203" t="str">
        <f>G96</f>
        <v>L 60x6</v>
      </c>
      <c r="H203" t="str">
        <f>H96</f>
        <v>L 60x6</v>
      </c>
      <c r="I203" t="str">
        <f>I96</f>
        <v>L 60x6</v>
      </c>
      <c r="J203" t="str">
        <f>J96</f>
        <v>L 60x6</v>
      </c>
      <c r="K203" t="str">
        <f>K96</f>
        <v>L 60x6</v>
      </c>
      <c r="L203" t="str">
        <f>L96</f>
        <v>L 60x6</v>
      </c>
      <c r="M203" t="str">
        <f>M96</f>
        <v>L 60x6</v>
      </c>
      <c r="N203" t="str">
        <f>N96</f>
        <v>L 60x6</v>
      </c>
      <c r="O203" t="str">
        <f>O96</f>
        <v>L 60x6</v>
      </c>
      <c r="P203" t="str">
        <f>P96</f>
        <v>L 60x6</v>
      </c>
      <c r="Q203" t="str">
        <f>Q96</f>
        <v>L 60x6</v>
      </c>
      <c r="R203" t="str">
        <f>R96</f>
        <v>L 60x6</v>
      </c>
      <c r="S203" t="str">
        <f>S96</f>
        <v>L 60x6</v>
      </c>
      <c r="T203" t="str">
        <f>T96</f>
        <v>L 60x6</v>
      </c>
      <c r="U203" t="str">
        <f>U96</f>
        <v>L 60x6</v>
      </c>
      <c r="V203" t="str">
        <f>V96</f>
        <v>L 60x6</v>
      </c>
      <c r="W203" t="str">
        <f>W96</f>
        <v>L 60x6</v>
      </c>
      <c r="X203" t="str">
        <f>X96</f>
        <v>L 60x6</v>
      </c>
    </row>
    <row r="204">
      <c r="A204" t="inlineStr">
        <is>
          <t>cvt_q</t>
        </is>
      </c>
      <c r="B204" t="inlineStr">
        <is>
          <t>QUANTITATIF_CHARPENTE!E25</t>
        </is>
      </c>
      <c r="D204">
        <f>D29*2*D30*2</f>
        <v>8</v>
      </c>
      <c r="E204">
        <f>E29*2*E30*2</f>
        <v>8</v>
      </c>
      <c r="F204">
        <f>F29*2*F30*2</f>
        <v>8</v>
      </c>
      <c r="G204">
        <f>G29*2*G30*2</f>
        <v>16</v>
      </c>
      <c r="H204">
        <f>H29*2*H30*2</f>
        <v>16</v>
      </c>
      <c r="I204">
        <f>I29*2*I30*2</f>
        <v>16</v>
      </c>
      <c r="J204">
        <f>J29*2*J30*2</f>
        <v>8</v>
      </c>
      <c r="K204">
        <f>K29*2*K30*2</f>
        <v>8</v>
      </c>
      <c r="L204">
        <f>L29*2*L30*2</f>
        <v>8</v>
      </c>
      <c r="M204">
        <f>M29*2*M30*2</f>
        <v>16</v>
      </c>
      <c r="N204">
        <f>N29*2*N30*2</f>
        <v>16</v>
      </c>
      <c r="O204">
        <f>O29*2*O30*2</f>
        <v>16</v>
      </c>
      <c r="P204">
        <f>P29*2*P30*2</f>
        <v>24</v>
      </c>
      <c r="Q204">
        <f>Q29*2*Q30*2</f>
        <v>24</v>
      </c>
      <c r="R204">
        <f>R29*2*R30*2</f>
        <v>24</v>
      </c>
      <c r="S204">
        <f>S29*2*S30*2</f>
        <v>36</v>
      </c>
      <c r="T204">
        <f>T29*2*T30*2</f>
        <v>36</v>
      </c>
      <c r="U204">
        <f>U29*2*U30*2</f>
        <v>36</v>
      </c>
      <c r="V204">
        <f>V29*2*V30*2</f>
        <v>48</v>
      </c>
      <c r="W204">
        <f>W29*2*W30*2</f>
        <v>48</v>
      </c>
      <c r="X204">
        <f>X29*2*X30*2</f>
        <v>48</v>
      </c>
    </row>
    <row r="205">
      <c r="A205" t="inlineStr">
        <is>
          <t>cvt_lu</t>
        </is>
      </c>
      <c r="B205" t="inlineStr">
        <is>
          <t>QUANTITATIF_CHARPENTE!F25</t>
        </is>
      </c>
      <c r="D205">
        <f>SQRT(D15^2+(D16/D30)^2)</f>
        <v>7.85111457055621</v>
      </c>
      <c r="E205">
        <f>SQRT(E15^2+(E16/E30)^2)</f>
        <v>7.85111457055621</v>
      </c>
      <c r="F205">
        <f>SQRT(F15^2+(F16/F30)^2)</f>
        <v>7.85111457055621</v>
      </c>
      <c r="G205">
        <f>SQRT(G15^2+(G16/G30)^2)</f>
        <v>6.27873394881484</v>
      </c>
      <c r="H205">
        <f>SQRT(H15^2+(H16/H30)^2)</f>
        <v>6.27873394881484</v>
      </c>
      <c r="I205">
        <f>SQRT(I15^2+(I16/I30)^2)</f>
        <v>6.27873394881484</v>
      </c>
      <c r="J205">
        <f>SQRT(J15^2+(J16/J30)^2)</f>
        <v>9.67935948294101</v>
      </c>
      <c r="K205">
        <f>SQRT(K15^2+(K16/K30)^2)</f>
        <v>9.67935948294101</v>
      </c>
      <c r="L205">
        <f>SQRT(L15^2+(L16/L30)^2)</f>
        <v>9.67935948294101</v>
      </c>
      <c r="M205">
        <f>SQRT(M15^2+(M16/M30)^2)</f>
        <v>7.11617874986288</v>
      </c>
      <c r="N205">
        <f>SQRT(N15^2+(N16/N30)^2)</f>
        <v>7.11617874986288</v>
      </c>
      <c r="O205">
        <f>SQRT(O15^2+(O16/O30)^2)</f>
        <v>7.11617874986288</v>
      </c>
      <c r="P205">
        <f>SQRT(P15^2+(P16/P30)^2)</f>
        <v>7.63498927468073</v>
      </c>
      <c r="Q205">
        <f>SQRT(Q15^2+(Q16/Q30)^2)</f>
        <v>7.63498927468073</v>
      </c>
      <c r="R205">
        <f>SQRT(R15^2+(R16/R30)^2)</f>
        <v>7.63498927468073</v>
      </c>
      <c r="S205">
        <f>SQRT(S15^2+(S16/S30)^2)</f>
        <v>7.63498927468073</v>
      </c>
      <c r="T205">
        <f>SQRT(T15^2+(T16/T30)^2)</f>
        <v>7.63498927468073</v>
      </c>
      <c r="U205">
        <f>SQRT(U15^2+(U16/U30)^2)</f>
        <v>7.63498927468073</v>
      </c>
      <c r="V205">
        <f>SQRT(V15^2+(V16/V30)^2)</f>
        <v>7.63498927468073</v>
      </c>
      <c r="W205">
        <f>SQRT(W15^2+(W16/W30)^2)</f>
        <v>7.63498927468073</v>
      </c>
      <c r="X205">
        <f>SQRT(X15^2+(X16/X30)^2)</f>
        <v>7.63498927468073</v>
      </c>
    </row>
    <row r="206">
      <c r="A206" t="inlineStr">
        <is>
          <t>cvt_lt</t>
        </is>
      </c>
      <c r="B206" t="inlineStr">
        <is>
          <t>QUANTITATIF_CHARPENTE!G25</t>
        </is>
      </c>
      <c r="D206">
        <f>D204*D205</f>
        <v>62.8089165644497</v>
      </c>
      <c r="E206">
        <f>E204*E205</f>
        <v>62.8089165644497</v>
      </c>
      <c r="F206">
        <f>F204*F205</f>
        <v>62.8089165644497</v>
      </c>
      <c r="G206">
        <f>G204*G205</f>
        <v>100.459743181037</v>
      </c>
      <c r="H206">
        <f>H204*H205</f>
        <v>100.459743181037</v>
      </c>
      <c r="I206">
        <f>I204*I205</f>
        <v>100.459743181037</v>
      </c>
      <c r="J206">
        <f>J204*J205</f>
        <v>77.4348758635281</v>
      </c>
      <c r="K206">
        <f>K204*K205</f>
        <v>77.4348758635281</v>
      </c>
      <c r="L206">
        <f>L204*L205</f>
        <v>77.4348758635281</v>
      </c>
      <c r="M206">
        <f>M204*M205</f>
        <v>113.858859997806</v>
      </c>
      <c r="N206">
        <f>N204*N205</f>
        <v>113.858859997806</v>
      </c>
      <c r="O206">
        <f>O204*O205</f>
        <v>113.858859997806</v>
      </c>
      <c r="P206">
        <f>P204*P205</f>
        <v>183.239742592338</v>
      </c>
      <c r="Q206">
        <f>Q204*Q205</f>
        <v>183.239742592338</v>
      </c>
      <c r="R206">
        <f>R204*R205</f>
        <v>183.239742592338</v>
      </c>
      <c r="S206">
        <f>S204*S205</f>
        <v>274.859613888506</v>
      </c>
      <c r="T206">
        <f>T204*T205</f>
        <v>274.859613888506</v>
      </c>
      <c r="U206">
        <f>U204*U205</f>
        <v>274.859613888506</v>
      </c>
      <c r="V206">
        <f>V204*V205</f>
        <v>366.479485184675</v>
      </c>
      <c r="W206">
        <f>W204*W205</f>
        <v>366.479485184675</v>
      </c>
      <c r="X206">
        <f>X204*X205</f>
        <v>366.479485184675</v>
      </c>
    </row>
    <row r="207">
      <c r="A207" t="inlineStr">
        <is>
          <t>cvt_kgml</t>
        </is>
      </c>
      <c r="B207" t="inlineStr">
        <is>
          <t>QUANTITATIF_CHARPENTE!H25</t>
        </is>
      </c>
      <c r="D207">
        <f>D97</f>
        <v>5.42</v>
      </c>
      <c r="E207">
        <f>E97</f>
        <v>5.42</v>
      </c>
      <c r="F207">
        <f>F97</f>
        <v>5.42</v>
      </c>
      <c r="G207">
        <f>G97</f>
        <v>5.42</v>
      </c>
      <c r="H207">
        <f>H97</f>
        <v>5.42</v>
      </c>
      <c r="I207">
        <f>I97</f>
        <v>5.42</v>
      </c>
      <c r="J207">
        <f>J97</f>
        <v>5.42</v>
      </c>
      <c r="K207">
        <f>K97</f>
        <v>5.42</v>
      </c>
      <c r="L207">
        <f>L97</f>
        <v>5.42</v>
      </c>
      <c r="M207">
        <f>M97</f>
        <v>5.42</v>
      </c>
      <c r="N207">
        <f>N97</f>
        <v>5.42</v>
      </c>
      <c r="O207">
        <f>O97</f>
        <v>5.42</v>
      </c>
      <c r="P207">
        <f>P97</f>
        <v>5.42</v>
      </c>
      <c r="Q207">
        <f>Q97</f>
        <v>5.42</v>
      </c>
      <c r="R207">
        <f>R97</f>
        <v>5.42</v>
      </c>
      <c r="S207">
        <f>S97</f>
        <v>5.42</v>
      </c>
      <c r="T207">
        <f>T97</f>
        <v>5.42</v>
      </c>
      <c r="U207">
        <f>U97</f>
        <v>5.42</v>
      </c>
      <c r="V207">
        <f>V97</f>
        <v>5.42</v>
      </c>
      <c r="W207">
        <f>W97</f>
        <v>5.42</v>
      </c>
      <c r="X207">
        <f>X97</f>
        <v>5.42</v>
      </c>
    </row>
    <row r="208">
      <c r="A208" t="inlineStr">
        <is>
          <t>cvt_kg</t>
        </is>
      </c>
      <c r="B208" t="inlineStr">
        <is>
          <t>QUANTITATIF_CHARPENTE!I25</t>
        </is>
      </c>
      <c r="D208">
        <f>D206*D207</f>
        <v>340.424327779317</v>
      </c>
      <c r="E208">
        <f>E206*E207</f>
        <v>340.424327779317</v>
      </c>
      <c r="F208">
        <f>F206*F207</f>
        <v>340.424327779317</v>
      </c>
      <c r="G208">
        <f>G206*G207</f>
        <v>544.491808041223</v>
      </c>
      <c r="H208">
        <f>H206*H207</f>
        <v>544.491808041223</v>
      </c>
      <c r="I208">
        <f>I206*I207</f>
        <v>544.491808041223</v>
      </c>
      <c r="J208">
        <f>J206*J207</f>
        <v>419.697027180322</v>
      </c>
      <c r="K208">
        <f>K206*K207</f>
        <v>419.697027180322</v>
      </c>
      <c r="L208">
        <f>L206*L207</f>
        <v>419.697027180322</v>
      </c>
      <c r="M208">
        <f>M206*M207</f>
        <v>617.115021188109</v>
      </c>
      <c r="N208">
        <f>N206*N207</f>
        <v>617.115021188109</v>
      </c>
      <c r="O208">
        <f>O206*O207</f>
        <v>617.115021188109</v>
      </c>
      <c r="P208">
        <f>P206*P207</f>
        <v>993.159404850469</v>
      </c>
      <c r="Q208">
        <f>Q206*Q207</f>
        <v>993.159404850469</v>
      </c>
      <c r="R208">
        <f>R206*R207</f>
        <v>993.159404850469</v>
      </c>
      <c r="S208">
        <f>S206*S207</f>
        <v>1489.7391072757</v>
      </c>
      <c r="T208">
        <f>T206*T207</f>
        <v>1489.7391072757</v>
      </c>
      <c r="U208">
        <f>U206*U207</f>
        <v>1489.7391072757</v>
      </c>
      <c r="V208">
        <f>V206*V207</f>
        <v>1986.31880970094</v>
      </c>
      <c r="W208">
        <f>W206*W207</f>
        <v>1986.31880970094</v>
      </c>
      <c r="X208">
        <f>X206*X207</f>
        <v>1986.31880970094</v>
      </c>
    </row>
    <row r="209">
      <c r="A209" t="inlineStr">
        <is>
          <t>lier_p</t>
        </is>
      </c>
      <c r="B209" t="inlineStr">
        <is>
          <t>QUANTITATIF_CHARPENTE!C26</t>
        </is>
      </c>
      <c r="D209" t="str">
        <f>D100</f>
        <v>Rond 12</v>
      </c>
      <c r="E209" t="str">
        <f>E100</f>
        <v>Rond 12</v>
      </c>
      <c r="F209" t="str">
        <f>F100</f>
        <v>Rond 12</v>
      </c>
      <c r="G209" t="str">
        <f>G100</f>
        <v>Rond 12</v>
      </c>
      <c r="H209" t="str">
        <f>H100</f>
        <v>Rond 12</v>
      </c>
      <c r="I209" t="str">
        <f>I100</f>
        <v>Rond 12</v>
      </c>
      <c r="J209" t="str">
        <f>J100</f>
        <v>Rond 12</v>
      </c>
      <c r="K209" t="str">
        <f>K100</f>
        <v>Rond 12</v>
      </c>
      <c r="L209" t="str">
        <f>L100</f>
        <v>Rond 12</v>
      </c>
      <c r="M209" t="str">
        <f>M100</f>
        <v>Rond 12</v>
      </c>
      <c r="N209" t="str">
        <f>N100</f>
        <v>Rond 12</v>
      </c>
      <c r="O209" t="str">
        <f>O100</f>
        <v>Rond 12</v>
      </c>
      <c r="P209" t="str">
        <f>P100</f>
        <v>Rond 12</v>
      </c>
      <c r="Q209" t="str">
        <f>Q100</f>
        <v>Rond 12</v>
      </c>
      <c r="R209" t="str">
        <f>R100</f>
        <v>Rond 12</v>
      </c>
      <c r="S209" t="str">
        <f>S100</f>
        <v>Rond 12</v>
      </c>
      <c r="T209" t="str">
        <f>T100</f>
        <v>Rond 12</v>
      </c>
      <c r="U209" t="str">
        <f>U100</f>
        <v>Rond 12</v>
      </c>
      <c r="V209" t="str">
        <f>V100</f>
        <v>Rond 12</v>
      </c>
      <c r="W209" t="str">
        <f>W100</f>
        <v>Rond 12</v>
      </c>
      <c r="X209" t="str">
        <f>X100</f>
        <v>Rond 12</v>
      </c>
    </row>
    <row r="210">
      <c r="A210" t="inlineStr">
        <is>
          <t>lier_q</t>
        </is>
      </c>
      <c r="B210" t="inlineStr">
        <is>
          <t>QUANTITATIF_CHARPENTE!E26</t>
        </is>
      </c>
      <c r="D210">
        <f>D13*D28*2*(D25-1)</f>
        <v>40</v>
      </c>
      <c r="E210">
        <f>E13*E28*2*(E25-1)</f>
        <v>40</v>
      </c>
      <c r="F210">
        <f>F13*F28*2*(F25-1)</f>
        <v>40</v>
      </c>
      <c r="G210">
        <f>G13*G28*2*(G25-1)</f>
        <v>48</v>
      </c>
      <c r="H210">
        <f>H13*H28*2*(H25-1)</f>
        <v>48</v>
      </c>
      <c r="I210">
        <f>I13*I28*2*(I25-1)</f>
        <v>48</v>
      </c>
      <c r="J210">
        <f>J13*J28*2*(J25-1)</f>
        <v>60</v>
      </c>
      <c r="K210">
        <f>K13*K28*2*(K25-1)</f>
        <v>60</v>
      </c>
      <c r="L210">
        <f>L13*L28*2*(L25-1)</f>
        <v>60</v>
      </c>
      <c r="M210">
        <f>M13*M28*2*(M25-1)</f>
        <v>64</v>
      </c>
      <c r="N210">
        <f>N13*N28*2*(N25-1)</f>
        <v>64</v>
      </c>
      <c r="O210">
        <f>O13*O28*2*(O25-1)</f>
        <v>64</v>
      </c>
      <c r="P210">
        <f>P13*P28*2*(P25-1)</f>
        <v>112</v>
      </c>
      <c r="Q210">
        <f>Q13*Q28*2*(Q25-1)</f>
        <v>112</v>
      </c>
      <c r="R210">
        <f>R13*R28*2*(R25-1)</f>
        <v>112</v>
      </c>
      <c r="S210">
        <f>S13*S28*2*(S25-1)</f>
        <v>168</v>
      </c>
      <c r="T210">
        <f>T13*T28*2*(T25-1)</f>
        <v>168</v>
      </c>
      <c r="U210">
        <f>U13*U28*2*(U25-1)</f>
        <v>168</v>
      </c>
      <c r="V210">
        <f>V13*V28*2*(V25-1)</f>
        <v>224</v>
      </c>
      <c r="W210">
        <f>W13*W28*2*(W25-1)</f>
        <v>224</v>
      </c>
      <c r="X210">
        <f>X13*X28*2*(X25-1)</f>
        <v>224</v>
      </c>
    </row>
    <row r="211">
      <c r="A211" t="inlineStr">
        <is>
          <t>lier_lu</t>
        </is>
      </c>
      <c r="B211" t="inlineStr">
        <is>
          <t>QUANTITATIF_CHARPENTE!F26</t>
        </is>
      </c>
      <c r="D211">
        <f>D26</f>
        <v>1.26589889011722</v>
      </c>
      <c r="E211">
        <f>E26</f>
        <v>1.26589889011722</v>
      </c>
      <c r="F211">
        <f>F26</f>
        <v>1.26589889011722</v>
      </c>
      <c r="G211">
        <f>G26</f>
        <v>1.26589889011722</v>
      </c>
      <c r="H211">
        <f>H26</f>
        <v>1.26589889011722</v>
      </c>
      <c r="I211">
        <f>I26</f>
        <v>1.26589889011722</v>
      </c>
      <c r="J211">
        <f>J26</f>
        <v>1.26589889011722</v>
      </c>
      <c r="K211">
        <f>K26</f>
        <v>1.26589889011722</v>
      </c>
      <c r="L211">
        <f>L26</f>
        <v>1.26589889011722</v>
      </c>
      <c r="M211">
        <f>M26</f>
        <v>1.26589889011722</v>
      </c>
      <c r="N211">
        <f>N26</f>
        <v>1.26589889011722</v>
      </c>
      <c r="O211">
        <f>O26</f>
        <v>1.26589889011722</v>
      </c>
      <c r="P211">
        <f>P26</f>
        <v>1.26589889011722</v>
      </c>
      <c r="Q211">
        <f>Q26</f>
        <v>1.26589889011722</v>
      </c>
      <c r="R211">
        <f>R26</f>
        <v>1.26589889011722</v>
      </c>
      <c r="S211">
        <f>S26</f>
        <v>1.26589889011722</v>
      </c>
      <c r="T211">
        <f>T26</f>
        <v>1.26589889011722</v>
      </c>
      <c r="U211">
        <f>U26</f>
        <v>1.26589889011722</v>
      </c>
      <c r="V211">
        <f>V26</f>
        <v>1.26589889011722</v>
      </c>
      <c r="W211">
        <f>W26</f>
        <v>1.26589889011722</v>
      </c>
      <c r="X211">
        <f>X26</f>
        <v>1.26589889011722</v>
      </c>
    </row>
    <row r="212">
      <c r="A212" t="inlineStr">
        <is>
          <t>lier_lt</t>
        </is>
      </c>
      <c r="B212" t="inlineStr">
        <is>
          <t>QUANTITATIF_CHARPENTE!G26</t>
        </is>
      </c>
      <c r="D212">
        <f>D210*D211</f>
        <v>50.6359556046887</v>
      </c>
      <c r="E212">
        <f>E210*E211</f>
        <v>50.6359556046887</v>
      </c>
      <c r="F212">
        <f>F210*F211</f>
        <v>50.6359556046887</v>
      </c>
      <c r="G212">
        <f>G210*G211</f>
        <v>60.7631467256264</v>
      </c>
      <c r="H212">
        <f>H210*H211</f>
        <v>60.7631467256264</v>
      </c>
      <c r="I212">
        <f>I210*I211</f>
        <v>60.7631467256264</v>
      </c>
      <c r="J212">
        <f>J210*J211</f>
        <v>75.953933407033</v>
      </c>
      <c r="K212">
        <f>K210*K211</f>
        <v>75.953933407033</v>
      </c>
      <c r="L212">
        <f>L210*L211</f>
        <v>75.953933407033</v>
      </c>
      <c r="M212">
        <f>M210*M211</f>
        <v>81.0175289675018</v>
      </c>
      <c r="N212">
        <f>N210*N211</f>
        <v>81.0175289675018</v>
      </c>
      <c r="O212">
        <f>O210*O211</f>
        <v>81.0175289675018</v>
      </c>
      <c r="P212">
        <f>P210*P211</f>
        <v>141.780675693128</v>
      </c>
      <c r="Q212">
        <f>Q210*Q211</f>
        <v>141.780675693128</v>
      </c>
      <c r="R212">
        <f>R210*R211</f>
        <v>141.780675693128</v>
      </c>
      <c r="S212">
        <f>S210*S211</f>
        <v>212.671013539692</v>
      </c>
      <c r="T212">
        <f>T210*T211</f>
        <v>212.671013539692</v>
      </c>
      <c r="U212">
        <f>U210*U211</f>
        <v>212.671013539692</v>
      </c>
      <c r="V212">
        <f>V210*V211</f>
        <v>283.561351386256</v>
      </c>
      <c r="W212">
        <f>W210*W211</f>
        <v>283.561351386256</v>
      </c>
      <c r="X212">
        <f>X210*X211</f>
        <v>283.561351386256</v>
      </c>
    </row>
    <row r="213">
      <c r="A213" t="inlineStr">
        <is>
          <t>lier_kgml</t>
        </is>
      </c>
      <c r="B213" t="inlineStr">
        <is>
          <t>QUANTITATIF_CHARPENTE!H26</t>
        </is>
      </c>
      <c r="D213">
        <f>D101</f>
        <v>0.888</v>
      </c>
      <c r="E213">
        <f>E101</f>
        <v>0.888</v>
      </c>
      <c r="F213">
        <f>F101</f>
        <v>0.888</v>
      </c>
      <c r="G213">
        <f>G101</f>
        <v>0.888</v>
      </c>
      <c r="H213">
        <f>H101</f>
        <v>0.888</v>
      </c>
      <c r="I213">
        <f>I101</f>
        <v>0.888</v>
      </c>
      <c r="J213">
        <f>J101</f>
        <v>0.888</v>
      </c>
      <c r="K213">
        <f>K101</f>
        <v>0.888</v>
      </c>
      <c r="L213">
        <f>L101</f>
        <v>0.888</v>
      </c>
      <c r="M213">
        <f>M101</f>
        <v>0.888</v>
      </c>
      <c r="N213">
        <f>N101</f>
        <v>0.888</v>
      </c>
      <c r="O213">
        <f>O101</f>
        <v>0.888</v>
      </c>
      <c r="P213">
        <f>P101</f>
        <v>0.888</v>
      </c>
      <c r="Q213">
        <f>Q101</f>
        <v>0.888</v>
      </c>
      <c r="R213">
        <f>R101</f>
        <v>0.888</v>
      </c>
      <c r="S213">
        <f>S101</f>
        <v>0.888</v>
      </c>
      <c r="T213">
        <f>T101</f>
        <v>0.888</v>
      </c>
      <c r="U213">
        <f>U101</f>
        <v>0.888</v>
      </c>
      <c r="V213">
        <f>V101</f>
        <v>0.888</v>
      </c>
      <c r="W213">
        <f>W101</f>
        <v>0.888</v>
      </c>
      <c r="X213">
        <f>X101</f>
        <v>0.888</v>
      </c>
    </row>
    <row r="214">
      <c r="A214" t="inlineStr">
        <is>
          <t>lier_kg</t>
        </is>
      </c>
      <c r="B214" t="inlineStr">
        <is>
          <t>QUANTITATIF_CHARPENTE!I26</t>
        </is>
      </c>
      <c r="D214">
        <f>D212*D213</f>
        <v>44.9647285769635</v>
      </c>
      <c r="E214">
        <f>E212*E213</f>
        <v>44.9647285769635</v>
      </c>
      <c r="F214">
        <f>F212*F213</f>
        <v>44.9647285769635</v>
      </c>
      <c r="G214">
        <f>G212*G213</f>
        <v>53.9576742923562</v>
      </c>
      <c r="H214">
        <f>H212*H213</f>
        <v>53.9576742923562</v>
      </c>
      <c r="I214">
        <f>I212*I213</f>
        <v>53.9576742923562</v>
      </c>
      <c r="J214">
        <f>J212*J213</f>
        <v>67.4470928654453</v>
      </c>
      <c r="K214">
        <f>K212*K213</f>
        <v>67.4470928654453</v>
      </c>
      <c r="L214">
        <f>L212*L213</f>
        <v>67.4470928654453</v>
      </c>
      <c r="M214">
        <f>M212*M213</f>
        <v>71.9435657231416</v>
      </c>
      <c r="N214">
        <f>N212*N213</f>
        <v>71.9435657231416</v>
      </c>
      <c r="O214">
        <f>O212*O213</f>
        <v>71.9435657231416</v>
      </c>
      <c r="P214">
        <f>P212*P213</f>
        <v>125.901240015498</v>
      </c>
      <c r="Q214">
        <f>Q212*Q213</f>
        <v>125.901240015498</v>
      </c>
      <c r="R214">
        <f>R212*R213</f>
        <v>125.901240015498</v>
      </c>
      <c r="S214">
        <f>S212*S213</f>
        <v>188.851860023247</v>
      </c>
      <c r="T214">
        <f>T212*T213</f>
        <v>188.851860023247</v>
      </c>
      <c r="U214">
        <f>U212*U213</f>
        <v>188.851860023247</v>
      </c>
      <c r="V214">
        <f>V212*V213</f>
        <v>251.802480030996</v>
      </c>
      <c r="W214">
        <f>W212*W213</f>
        <v>251.802480030996</v>
      </c>
      <c r="X214">
        <f>X212*X213</f>
        <v>251.802480030996</v>
      </c>
    </row>
    <row r="215">
      <c r="A215" t="inlineStr">
        <is>
          <t>bret_p</t>
        </is>
      </c>
      <c r="B215" t="inlineStr">
        <is>
          <t>QUANTITATIF_CHARPENTE!C27</t>
        </is>
      </c>
      <c r="D215" t="str">
        <f>D100</f>
        <v>Rond 12</v>
      </c>
      <c r="E215" t="str">
        <f>E100</f>
        <v>Rond 12</v>
      </c>
      <c r="F215" t="str">
        <f>F100</f>
        <v>Rond 12</v>
      </c>
      <c r="G215" t="str">
        <f>G100</f>
        <v>Rond 12</v>
      </c>
      <c r="H215" t="str">
        <f>H100</f>
        <v>Rond 12</v>
      </c>
      <c r="I215" t="str">
        <f>I100</f>
        <v>Rond 12</v>
      </c>
      <c r="J215" t="str">
        <f>J100</f>
        <v>Rond 12</v>
      </c>
      <c r="K215" t="str">
        <f>K100</f>
        <v>Rond 12</v>
      </c>
      <c r="L215" t="str">
        <f>L100</f>
        <v>Rond 12</v>
      </c>
      <c r="M215" t="str">
        <f>M100</f>
        <v>Rond 12</v>
      </c>
      <c r="N215" t="str">
        <f>N100</f>
        <v>Rond 12</v>
      </c>
      <c r="O215" t="str">
        <f>O100</f>
        <v>Rond 12</v>
      </c>
      <c r="P215" t="str">
        <f>P100</f>
        <v>Rond 12</v>
      </c>
      <c r="Q215" t="str">
        <f>Q100</f>
        <v>Rond 12</v>
      </c>
      <c r="R215" t="str">
        <f>R100</f>
        <v>Rond 12</v>
      </c>
      <c r="S215" t="str">
        <f>S100</f>
        <v>Rond 12</v>
      </c>
      <c r="T215" t="str">
        <f>T100</f>
        <v>Rond 12</v>
      </c>
      <c r="U215" t="str">
        <f>U100</f>
        <v>Rond 12</v>
      </c>
      <c r="V215" t="str">
        <f>V100</f>
        <v>Rond 12</v>
      </c>
      <c r="W215" t="str">
        <f>W100</f>
        <v>Rond 12</v>
      </c>
      <c r="X215" t="str">
        <f>X100</f>
        <v>Rond 12</v>
      </c>
    </row>
    <row r="216">
      <c r="A216" t="inlineStr">
        <is>
          <t>bret_q</t>
        </is>
      </c>
      <c r="B216" t="inlineStr">
        <is>
          <t>QUANTITATIF_CHARPENTE!E27</t>
        </is>
      </c>
      <c r="D216">
        <f>D13*D28*2</f>
        <v>10</v>
      </c>
      <c r="E216">
        <f>E13*E28*2</f>
        <v>10</v>
      </c>
      <c r="F216">
        <f>F13*F28*2</f>
        <v>10</v>
      </c>
      <c r="G216">
        <f>G13*G28*2</f>
        <v>8</v>
      </c>
      <c r="H216">
        <f>H13*H28*2</f>
        <v>8</v>
      </c>
      <c r="I216">
        <f>I13*I28*2</f>
        <v>8</v>
      </c>
      <c r="J216">
        <f>J13*J28*2</f>
        <v>10</v>
      </c>
      <c r="K216">
        <f>K13*K28*2</f>
        <v>10</v>
      </c>
      <c r="L216">
        <f>L13*L28*2</f>
        <v>10</v>
      </c>
      <c r="M216">
        <f>M13*M28*2</f>
        <v>8</v>
      </c>
      <c r="N216">
        <f>N13*N28*2</f>
        <v>8</v>
      </c>
      <c r="O216">
        <f>O13*O28*2</f>
        <v>8</v>
      </c>
      <c r="P216">
        <f>P13*P28*2</f>
        <v>14</v>
      </c>
      <c r="Q216">
        <f>Q13*Q28*2</f>
        <v>14</v>
      </c>
      <c r="R216">
        <f>R13*R28*2</f>
        <v>14</v>
      </c>
      <c r="S216">
        <f>S13*S28*2</f>
        <v>14</v>
      </c>
      <c r="T216">
        <f>T13*T28*2</f>
        <v>14</v>
      </c>
      <c r="U216">
        <f>U13*U28*2</f>
        <v>14</v>
      </c>
      <c r="V216">
        <f>V13*V28*2</f>
        <v>14</v>
      </c>
      <c r="W216">
        <f>W13*W28*2</f>
        <v>14</v>
      </c>
      <c r="X216">
        <f>X13*X28*2</f>
        <v>14</v>
      </c>
    </row>
    <row r="217">
      <c r="A217" t="inlineStr">
        <is>
          <t>bret_lu</t>
        </is>
      </c>
      <c r="B217" t="inlineStr">
        <is>
          <t>QUANTITATIF_CHARPENTE!F27</t>
        </is>
      </c>
      <c r="D217">
        <f>SQRT((D15/(D28+1))^2+D26^2)</f>
        <v>3.25614803103299</v>
      </c>
      <c r="E217">
        <f>SQRT((E15/(E28+1))^2+E26^2)</f>
        <v>3.25614803103299</v>
      </c>
      <c r="F217">
        <f>SQRT((F15/(F28+1))^2+F26^2)</f>
        <v>3.25614803103299</v>
      </c>
      <c r="G217">
        <f>SQRT((G15/(G28+1))^2+G26^2)</f>
        <v>2.80223125384041</v>
      </c>
      <c r="H217">
        <f>SQRT((H15/(H28+1))^2+H26^2)</f>
        <v>2.80223125384041</v>
      </c>
      <c r="I217">
        <f>SQRT((I15/(I28+1))^2+I26^2)</f>
        <v>2.80223125384041</v>
      </c>
      <c r="J217">
        <f>SQRT((J15/(J28+1))^2+J26^2)</f>
        <v>3.25614803103299</v>
      </c>
      <c r="K217">
        <f>SQRT((K15/(K28+1))^2+K26^2)</f>
        <v>3.25614803103299</v>
      </c>
      <c r="L217">
        <f>SQRT((L15/(L28+1))^2+L26^2)</f>
        <v>3.25614803103299</v>
      </c>
      <c r="M217">
        <f>SQRT((M15/(M28+1))^2+M26^2)</f>
        <v>2.80223125384041</v>
      </c>
      <c r="N217">
        <f>SQRT((N15/(N28+1))^2+N26^2)</f>
        <v>2.80223125384041</v>
      </c>
      <c r="O217">
        <f>SQRT((O15/(O28+1))^2+O26^2)</f>
        <v>2.80223125384041</v>
      </c>
      <c r="P217">
        <f>SQRT((P15/(P28+1))^2+P26^2)</f>
        <v>3.12502244889896</v>
      </c>
      <c r="Q217">
        <f>SQRT((Q15/(Q28+1))^2+Q26^2)</f>
        <v>3.12502244889896</v>
      </c>
      <c r="R217">
        <f>SQRT((R15/(R28+1))^2+R26^2)</f>
        <v>3.12502244889896</v>
      </c>
      <c r="S217">
        <f>SQRT((S15/(S28+1))^2+S26^2)</f>
        <v>3.12502244889896</v>
      </c>
      <c r="T217">
        <f>SQRT((T15/(T28+1))^2+T26^2)</f>
        <v>3.12502244889896</v>
      </c>
      <c r="U217">
        <f>SQRT((U15/(U28+1))^2+U26^2)</f>
        <v>3.12502244889896</v>
      </c>
      <c r="V217">
        <f>SQRT((V15/(V28+1))^2+V26^2)</f>
        <v>3.12502244889896</v>
      </c>
      <c r="W217">
        <f>SQRT((W15/(W28+1))^2+W26^2)</f>
        <v>3.12502244889896</v>
      </c>
      <c r="X217">
        <f>SQRT((X15/(X28+1))^2+X26^2)</f>
        <v>3.12502244889896</v>
      </c>
    </row>
    <row r="218">
      <c r="A218" t="inlineStr">
        <is>
          <t>bret_lt</t>
        </is>
      </c>
      <c r="B218" t="inlineStr">
        <is>
          <t>QUANTITATIF_CHARPENTE!G27</t>
        </is>
      </c>
      <c r="D218">
        <f>D216*D217</f>
        <v>32.5614803103299</v>
      </c>
      <c r="E218">
        <f>E216*E217</f>
        <v>32.5614803103299</v>
      </c>
      <c r="F218">
        <f>F216*F217</f>
        <v>32.5614803103299</v>
      </c>
      <c r="G218">
        <f>G216*G217</f>
        <v>22.4178500307233</v>
      </c>
      <c r="H218">
        <f>H216*H217</f>
        <v>22.4178500307233</v>
      </c>
      <c r="I218">
        <f>I216*I217</f>
        <v>22.4178500307233</v>
      </c>
      <c r="J218">
        <f>J216*J217</f>
        <v>32.5614803103299</v>
      </c>
      <c r="K218">
        <f>K216*K217</f>
        <v>32.5614803103299</v>
      </c>
      <c r="L218">
        <f>L216*L217</f>
        <v>32.5614803103299</v>
      </c>
      <c r="M218">
        <f>M216*M217</f>
        <v>22.4178500307233</v>
      </c>
      <c r="N218">
        <f>N216*N217</f>
        <v>22.4178500307233</v>
      </c>
      <c r="O218">
        <f>O216*O217</f>
        <v>22.4178500307233</v>
      </c>
      <c r="P218">
        <f>P216*P217</f>
        <v>43.7503142845854</v>
      </c>
      <c r="Q218">
        <f>Q216*Q217</f>
        <v>43.7503142845854</v>
      </c>
      <c r="R218">
        <f>R216*R217</f>
        <v>43.7503142845854</v>
      </c>
      <c r="S218">
        <f>S216*S217</f>
        <v>43.7503142845854</v>
      </c>
      <c r="T218">
        <f>T216*T217</f>
        <v>43.7503142845854</v>
      </c>
      <c r="U218">
        <f>U216*U217</f>
        <v>43.7503142845854</v>
      </c>
      <c r="V218">
        <f>V216*V217</f>
        <v>43.7503142845854</v>
      </c>
      <c r="W218">
        <f>W216*W217</f>
        <v>43.7503142845854</v>
      </c>
      <c r="X218">
        <f>X216*X217</f>
        <v>43.7503142845854</v>
      </c>
    </row>
    <row r="219">
      <c r="A219" t="inlineStr">
        <is>
          <t>bret_kgml</t>
        </is>
      </c>
      <c r="B219" t="inlineStr">
        <is>
          <t>QUANTITATIF_CHARPENTE!H27</t>
        </is>
      </c>
      <c r="D219">
        <f>D101</f>
        <v>0.888</v>
      </c>
      <c r="E219">
        <f>E101</f>
        <v>0.888</v>
      </c>
      <c r="F219">
        <f>F101</f>
        <v>0.888</v>
      </c>
      <c r="G219">
        <f>G101</f>
        <v>0.888</v>
      </c>
      <c r="H219">
        <f>H101</f>
        <v>0.888</v>
      </c>
      <c r="I219">
        <f>I101</f>
        <v>0.888</v>
      </c>
      <c r="J219">
        <f>J101</f>
        <v>0.888</v>
      </c>
      <c r="K219">
        <f>K101</f>
        <v>0.888</v>
      </c>
      <c r="L219">
        <f>L101</f>
        <v>0.888</v>
      </c>
      <c r="M219">
        <f>M101</f>
        <v>0.888</v>
      </c>
      <c r="N219">
        <f>N101</f>
        <v>0.888</v>
      </c>
      <c r="O219">
        <f>O101</f>
        <v>0.888</v>
      </c>
      <c r="P219">
        <f>P101</f>
        <v>0.888</v>
      </c>
      <c r="Q219">
        <f>Q101</f>
        <v>0.888</v>
      </c>
      <c r="R219">
        <f>R101</f>
        <v>0.888</v>
      </c>
      <c r="S219">
        <f>S101</f>
        <v>0.888</v>
      </c>
      <c r="T219">
        <f>T101</f>
        <v>0.888</v>
      </c>
      <c r="U219">
        <f>U101</f>
        <v>0.888</v>
      </c>
      <c r="V219">
        <f>V101</f>
        <v>0.888</v>
      </c>
      <c r="W219">
        <f>W101</f>
        <v>0.888</v>
      </c>
      <c r="X219">
        <f>X101</f>
        <v>0.888</v>
      </c>
    </row>
    <row r="220">
      <c r="A220" t="inlineStr">
        <is>
          <t>bret_kg</t>
        </is>
      </c>
      <c r="B220" t="inlineStr">
        <is>
          <t>QUANTITATIF_CHARPENTE!I27</t>
        </is>
      </c>
      <c r="D220">
        <f>D218*D219</f>
        <v>28.9145945155729</v>
      </c>
      <c r="E220">
        <f>E218*E219</f>
        <v>28.9145945155729</v>
      </c>
      <c r="F220">
        <f>F218*F219</f>
        <v>28.9145945155729</v>
      </c>
      <c r="G220">
        <f>G218*G219</f>
        <v>19.9070508272823</v>
      </c>
      <c r="H220">
        <f>H218*H219</f>
        <v>19.9070508272823</v>
      </c>
      <c r="I220">
        <f>I218*I219</f>
        <v>19.9070508272823</v>
      </c>
      <c r="J220">
        <f>J218*J219</f>
        <v>28.9145945155729</v>
      </c>
      <c r="K220">
        <f>K218*K219</f>
        <v>28.9145945155729</v>
      </c>
      <c r="L220">
        <f>L218*L219</f>
        <v>28.9145945155729</v>
      </c>
      <c r="M220">
        <f>M218*M219</f>
        <v>19.9070508272823</v>
      </c>
      <c r="N220">
        <f>N218*N219</f>
        <v>19.9070508272823</v>
      </c>
      <c r="O220">
        <f>O218*O219</f>
        <v>19.9070508272823</v>
      </c>
      <c r="P220">
        <f>P218*P219</f>
        <v>38.8502790847119</v>
      </c>
      <c r="Q220">
        <f>Q218*Q219</f>
        <v>38.8502790847119</v>
      </c>
      <c r="R220">
        <f>R218*R219</f>
        <v>38.8502790847119</v>
      </c>
      <c r="S220">
        <f>S218*S219</f>
        <v>38.8502790847119</v>
      </c>
      <c r="T220">
        <f>T218*T219</f>
        <v>38.8502790847119</v>
      </c>
      <c r="U220">
        <f>U218*U219</f>
        <v>38.8502790847119</v>
      </c>
      <c r="V220">
        <f>V218*V219</f>
        <v>38.8502790847119</v>
      </c>
      <c r="W220">
        <f>W218*W219</f>
        <v>38.8502790847119</v>
      </c>
      <c r="X220">
        <f>X218*X219</f>
        <v>38.8502790847119</v>
      </c>
    </row>
    <row r="221">
      <c r="A221" t="inlineStr">
        <is>
          <t>lll_p</t>
        </is>
      </c>
      <c r="B221" t="inlineStr">
        <is>
          <t>QUANTITATIF_CHARPENTE!C28</t>
        </is>
      </c>
      <c r="D221" t="str">
        <f>D100</f>
        <v>Rond 12</v>
      </c>
      <c r="E221" t="str">
        <f>E100</f>
        <v>Rond 12</v>
      </c>
      <c r="F221" t="str">
        <f>F100</f>
        <v>Rond 12</v>
      </c>
      <c r="G221" t="str">
        <f>G100</f>
        <v>Rond 12</v>
      </c>
      <c r="H221" t="str">
        <f>H100</f>
        <v>Rond 12</v>
      </c>
      <c r="I221" t="str">
        <f>I100</f>
        <v>Rond 12</v>
      </c>
      <c r="J221" t="str">
        <f>J100</f>
        <v>Rond 12</v>
      </c>
      <c r="K221" t="str">
        <f>K100</f>
        <v>Rond 12</v>
      </c>
      <c r="L221" t="str">
        <f>L100</f>
        <v>Rond 12</v>
      </c>
      <c r="M221" t="str">
        <f>M100</f>
        <v>Rond 12</v>
      </c>
      <c r="N221" t="str">
        <f>N100</f>
        <v>Rond 12</v>
      </c>
      <c r="O221" t="str">
        <f>O100</f>
        <v>Rond 12</v>
      </c>
      <c r="P221" t="str">
        <f>P100</f>
        <v>Rond 12</v>
      </c>
      <c r="Q221" t="str">
        <f>Q100</f>
        <v>Rond 12</v>
      </c>
      <c r="R221" t="str">
        <f>R100</f>
        <v>Rond 12</v>
      </c>
      <c r="S221" t="str">
        <f>S100</f>
        <v>Rond 12</v>
      </c>
      <c r="T221" t="str">
        <f>T100</f>
        <v>Rond 12</v>
      </c>
      <c r="U221" t="str">
        <f>U100</f>
        <v>Rond 12</v>
      </c>
      <c r="V221" t="str">
        <f>V100</f>
        <v>Rond 12</v>
      </c>
      <c r="W221" t="str">
        <f>W100</f>
        <v>Rond 12</v>
      </c>
      <c r="X221" t="str">
        <f>X100</f>
        <v>Rond 12</v>
      </c>
    </row>
    <row r="222">
      <c r="A222" t="inlineStr">
        <is>
          <t>lll_q</t>
        </is>
      </c>
      <c r="B222" t="inlineStr">
        <is>
          <t>QUANTITATIF_CHARPENTE!E28</t>
        </is>
      </c>
      <c r="D222">
        <f>D13*D28*2*D44</f>
        <v>40</v>
      </c>
      <c r="E222">
        <f>E13*E28*2*E44</f>
        <v>40</v>
      </c>
      <c r="F222">
        <f>F13*F28*2*F44</f>
        <v>0</v>
      </c>
      <c r="G222">
        <f>G13*G28*2*G44</f>
        <v>32</v>
      </c>
      <c r="H222">
        <f>H13*H28*2*H44</f>
        <v>32</v>
      </c>
      <c r="I222">
        <f>I13*I28*2*I44</f>
        <v>0</v>
      </c>
      <c r="J222">
        <f>J13*J28*2*J44</f>
        <v>40</v>
      </c>
      <c r="K222">
        <f>K13*K28*2*K44</f>
        <v>40</v>
      </c>
      <c r="L222">
        <f>L13*L28*2*L44</f>
        <v>0</v>
      </c>
      <c r="M222">
        <f>M13*M28*2*M44</f>
        <v>32</v>
      </c>
      <c r="N222">
        <f>N13*N28*2*N44</f>
        <v>32</v>
      </c>
      <c r="O222">
        <f>O13*O28*2*O44</f>
        <v>0</v>
      </c>
      <c r="P222">
        <f>P13*P28*2*P44</f>
        <v>56</v>
      </c>
      <c r="Q222">
        <f>Q13*Q28*2*Q44</f>
        <v>56</v>
      </c>
      <c r="R222">
        <f>R13*R28*2*R44</f>
        <v>0</v>
      </c>
      <c r="S222">
        <f>S13*S28*2*S44</f>
        <v>56</v>
      </c>
      <c r="T222">
        <f>T13*T28*2*T44</f>
        <v>56</v>
      </c>
      <c r="U222">
        <f>U13*U28*2*U44</f>
        <v>0</v>
      </c>
      <c r="V222">
        <f>V13*V28*2*V44</f>
        <v>70</v>
      </c>
      <c r="W222">
        <f>W13*W28*2*W44</f>
        <v>70</v>
      </c>
      <c r="X222">
        <f>X13*X28*2*X44</f>
        <v>0</v>
      </c>
    </row>
    <row r="223">
      <c r="A223" t="inlineStr">
        <is>
          <t>lll_lu</t>
        </is>
      </c>
      <c r="B223" t="inlineStr">
        <is>
          <t>QUANTITATIF_CHARPENTE!F28</t>
        </is>
      </c>
      <c r="D223">
        <f>IF(D44&gt;0,(D18-D34)/D44,0)</f>
        <v>1.5</v>
      </c>
      <c r="E223">
        <f>IF(E44&gt;0,(E18-E34)/E44,0)</f>
        <v>1.5</v>
      </c>
      <c r="F223">
        <f>IF(F44&gt;0,(F18-F34)/F44,0)</f>
        <v>0</v>
      </c>
      <c r="G223">
        <f>IF(G44&gt;0,(G18-G34)/G44,0)</f>
        <v>1.5</v>
      </c>
      <c r="H223">
        <f>IF(H44&gt;0,(H18-H34)/H44,0)</f>
        <v>1.5</v>
      </c>
      <c r="I223">
        <f>IF(I44&gt;0,(I18-I34)/I44,0)</f>
        <v>0</v>
      </c>
      <c r="J223">
        <f>IF(J44&gt;0,(J18-J34)/J44,0)</f>
        <v>1.5</v>
      </c>
      <c r="K223">
        <f>IF(K44&gt;0,(K18-K34)/K44,0)</f>
        <v>1.5</v>
      </c>
      <c r="L223">
        <f>IF(L44&gt;0,(L18-L34)/L44,0)</f>
        <v>0</v>
      </c>
      <c r="M223">
        <f>IF(M44&gt;0,(M18-M34)/M44,0)</f>
        <v>1.5</v>
      </c>
      <c r="N223">
        <f>IF(N44&gt;0,(N18-N34)/N44,0)</f>
        <v>1.5</v>
      </c>
      <c r="O223">
        <f>IF(O44&gt;0,(O18-O34)/O44,0)</f>
        <v>0</v>
      </c>
      <c r="P223">
        <f>IF(P44&gt;0,(P18-P34)/P44,0)</f>
        <v>1.5</v>
      </c>
      <c r="Q223">
        <f>IF(Q44&gt;0,(Q18-Q34)/Q44,0)</f>
        <v>1.5</v>
      </c>
      <c r="R223">
        <f>IF(R44&gt;0,(R18-R34)/R44,0)</f>
        <v>0</v>
      </c>
      <c r="S223">
        <f>IF(S44&gt;0,(S18-S34)/S44,0)</f>
        <v>1.5</v>
      </c>
      <c r="T223">
        <f>IF(T44&gt;0,(T18-T34)/T44,0)</f>
        <v>1.5</v>
      </c>
      <c r="U223">
        <f>IF(U44&gt;0,(U18-U34)/U44,0)</f>
        <v>0</v>
      </c>
      <c r="V223">
        <f>IF(V44&gt;0,(V18-V34)/V44,0)</f>
        <v>1.46666666666667</v>
      </c>
      <c r="W223">
        <f>IF(W44&gt;0,(W18-W34)/W44,0)</f>
        <v>1.46666666666667</v>
      </c>
      <c r="X223">
        <f>IF(X44&gt;0,(X18-X34)/X44,0)</f>
        <v>0</v>
      </c>
    </row>
    <row r="224">
      <c r="A224" t="inlineStr">
        <is>
          <t>lll_lt</t>
        </is>
      </c>
      <c r="B224" t="inlineStr">
        <is>
          <t>QUANTITATIF_CHARPENTE!G28</t>
        </is>
      </c>
      <c r="D224">
        <f>D222*D223</f>
        <v>60</v>
      </c>
      <c r="E224">
        <f>E222*E223</f>
        <v>60</v>
      </c>
      <c r="F224">
        <f>F222*F223</f>
        <v>0</v>
      </c>
      <c r="G224">
        <f>G222*G223</f>
        <v>48</v>
      </c>
      <c r="H224">
        <f>H222*H223</f>
        <v>48</v>
      </c>
      <c r="I224">
        <f>I222*I223</f>
        <v>0</v>
      </c>
      <c r="J224">
        <f>J222*J223</f>
        <v>60</v>
      </c>
      <c r="K224">
        <f>K222*K223</f>
        <v>60</v>
      </c>
      <c r="L224">
        <f>L222*L223</f>
        <v>0</v>
      </c>
      <c r="M224">
        <f>M222*M223</f>
        <v>48</v>
      </c>
      <c r="N224">
        <f>N222*N223</f>
        <v>48</v>
      </c>
      <c r="O224">
        <f>O222*O223</f>
        <v>0</v>
      </c>
      <c r="P224">
        <f>P222*P223</f>
        <v>84</v>
      </c>
      <c r="Q224">
        <f>Q222*Q223</f>
        <v>84</v>
      </c>
      <c r="R224">
        <f>R222*R223</f>
        <v>0</v>
      </c>
      <c r="S224">
        <f>S222*S223</f>
        <v>84</v>
      </c>
      <c r="T224">
        <f>T222*T223</f>
        <v>84</v>
      </c>
      <c r="U224">
        <f>U222*U223</f>
        <v>0</v>
      </c>
      <c r="V224">
        <f>V222*V223</f>
        <v>102.666666666667</v>
      </c>
      <c r="W224">
        <f>W222*W223</f>
        <v>102.666666666667</v>
      </c>
      <c r="X224">
        <f>X222*X223</f>
        <v>0</v>
      </c>
    </row>
    <row r="225">
      <c r="A225" t="inlineStr">
        <is>
          <t>lll_kgml</t>
        </is>
      </c>
      <c r="B225" t="inlineStr">
        <is>
          <t>QUANTITATIF_CHARPENTE!H28</t>
        </is>
      </c>
      <c r="D225">
        <f>D101</f>
        <v>0.888</v>
      </c>
      <c r="E225">
        <f>E101</f>
        <v>0.888</v>
      </c>
      <c r="F225">
        <f>F101</f>
        <v>0.888</v>
      </c>
      <c r="G225">
        <f>G101</f>
        <v>0.888</v>
      </c>
      <c r="H225">
        <f>H101</f>
        <v>0.888</v>
      </c>
      <c r="I225">
        <f>I101</f>
        <v>0.888</v>
      </c>
      <c r="J225">
        <f>J101</f>
        <v>0.888</v>
      </c>
      <c r="K225">
        <f>K101</f>
        <v>0.888</v>
      </c>
      <c r="L225">
        <f>L101</f>
        <v>0.888</v>
      </c>
      <c r="M225">
        <f>M101</f>
        <v>0.888</v>
      </c>
      <c r="N225">
        <f>N101</f>
        <v>0.888</v>
      </c>
      <c r="O225">
        <f>O101</f>
        <v>0.888</v>
      </c>
      <c r="P225">
        <f>P101</f>
        <v>0.888</v>
      </c>
      <c r="Q225">
        <f>Q101</f>
        <v>0.888</v>
      </c>
      <c r="R225">
        <f>R101</f>
        <v>0.888</v>
      </c>
      <c r="S225">
        <f>S101</f>
        <v>0.888</v>
      </c>
      <c r="T225">
        <f>T101</f>
        <v>0.888</v>
      </c>
      <c r="U225">
        <f>U101</f>
        <v>0.888</v>
      </c>
      <c r="V225">
        <f>V101</f>
        <v>0.888</v>
      </c>
      <c r="W225">
        <f>W101</f>
        <v>0.888</v>
      </c>
      <c r="X225">
        <f>X101</f>
        <v>0.888</v>
      </c>
    </row>
    <row r="226">
      <c r="A226" t="inlineStr">
        <is>
          <t>lll_kg</t>
        </is>
      </c>
      <c r="B226" t="inlineStr">
        <is>
          <t>QUANTITATIF_CHARPENTE!I28</t>
        </is>
      </c>
      <c r="D226">
        <f>D224*D225</f>
        <v>53.28</v>
      </c>
      <c r="E226">
        <f>E224*E225</f>
        <v>53.28</v>
      </c>
      <c r="F226">
        <f>F224*F225</f>
        <v>0</v>
      </c>
      <c r="G226">
        <f>G224*G225</f>
        <v>42.624</v>
      </c>
      <c r="H226">
        <f>H224*H225</f>
        <v>42.624</v>
      </c>
      <c r="I226">
        <f>I224*I225</f>
        <v>0</v>
      </c>
      <c r="J226">
        <f>J224*J225</f>
        <v>53.28</v>
      </c>
      <c r="K226">
        <f>K224*K225</f>
        <v>53.28</v>
      </c>
      <c r="L226">
        <f>L224*L225</f>
        <v>0</v>
      </c>
      <c r="M226">
        <f>M224*M225</f>
        <v>42.624</v>
      </c>
      <c r="N226">
        <f>N224*N225</f>
        <v>42.624</v>
      </c>
      <c r="O226">
        <f>O224*O225</f>
        <v>0</v>
      </c>
      <c r="P226">
        <f>P224*P225</f>
        <v>74.592</v>
      </c>
      <c r="Q226">
        <f>Q224*Q225</f>
        <v>74.592</v>
      </c>
      <c r="R226">
        <f>R224*R225</f>
        <v>0</v>
      </c>
      <c r="S226">
        <f>S224*S225</f>
        <v>74.592</v>
      </c>
      <c r="T226">
        <f>T224*T225</f>
        <v>74.592</v>
      </c>
      <c r="U226">
        <f>U224*U225</f>
        <v>0</v>
      </c>
      <c r="V226">
        <f>V224*V225</f>
        <v>91.168</v>
      </c>
      <c r="W226">
        <f>W224*W225</f>
        <v>91.168</v>
      </c>
      <c r="X226">
        <f>X224*X225</f>
        <v>0</v>
      </c>
    </row>
    <row r="227">
      <c r="A227" t="inlineStr">
        <is>
          <t>llp_p</t>
        </is>
      </c>
      <c r="B227" t="inlineStr">
        <is>
          <t>QUANTITATIF_CHARPENTE!C29</t>
        </is>
      </c>
      <c r="D227" t="str">
        <f>D100</f>
        <v>Rond 12</v>
      </c>
      <c r="E227" t="str">
        <f>E100</f>
        <v>Rond 12</v>
      </c>
      <c r="F227" t="str">
        <f>F100</f>
        <v>Rond 12</v>
      </c>
      <c r="G227" t="str">
        <f>G100</f>
        <v>Rond 12</v>
      </c>
      <c r="H227" t="str">
        <f>H100</f>
        <v>Rond 12</v>
      </c>
      <c r="I227" t="str">
        <f>I100</f>
        <v>Rond 12</v>
      </c>
      <c r="J227" t="str">
        <f>J100</f>
        <v>Rond 12</v>
      </c>
      <c r="K227" t="str">
        <f>K100</f>
        <v>Rond 12</v>
      </c>
      <c r="L227" t="str">
        <f>L100</f>
        <v>Rond 12</v>
      </c>
      <c r="M227" t="str">
        <f>M100</f>
        <v>Rond 12</v>
      </c>
      <c r="N227" t="str">
        <f>N100</f>
        <v>Rond 12</v>
      </c>
      <c r="O227" t="str">
        <f>O100</f>
        <v>Rond 12</v>
      </c>
      <c r="P227" t="str">
        <f>P100</f>
        <v>Rond 12</v>
      </c>
      <c r="Q227" t="str">
        <f>Q100</f>
        <v>Rond 12</v>
      </c>
      <c r="R227" t="str">
        <f>R100</f>
        <v>Rond 12</v>
      </c>
      <c r="S227" t="str">
        <f>S100</f>
        <v>Rond 12</v>
      </c>
      <c r="T227" t="str">
        <f>T100</f>
        <v>Rond 12</v>
      </c>
      <c r="U227" t="str">
        <f>U100</f>
        <v>Rond 12</v>
      </c>
      <c r="V227" t="str">
        <f>V100</f>
        <v>Rond 12</v>
      </c>
      <c r="W227" t="str">
        <f>W100</f>
        <v>Rond 12</v>
      </c>
      <c r="X227" t="str">
        <f>X100</f>
        <v>Rond 12</v>
      </c>
    </row>
    <row r="228">
      <c r="A228" t="inlineStr">
        <is>
          <t>llp_q</t>
        </is>
      </c>
      <c r="B228" t="inlineStr">
        <is>
          <t>QUANTITATIF_CHARPENTE!E29</t>
        </is>
      </c>
      <c r="D228">
        <f>D35*2*D20</f>
        <v>4</v>
      </c>
      <c r="E228">
        <f>E35*2*E20</f>
        <v>4</v>
      </c>
      <c r="F228">
        <f>F35*2*F20</f>
        <v>0</v>
      </c>
      <c r="G228">
        <f>G35*2*G20</f>
        <v>6</v>
      </c>
      <c r="H228">
        <f>H35*2*H20</f>
        <v>6</v>
      </c>
      <c r="I228">
        <f>I35*2*I20</f>
        <v>0</v>
      </c>
      <c r="J228">
        <f>J35*2*J20</f>
        <v>6</v>
      </c>
      <c r="K228">
        <f>K35*2*K20</f>
        <v>6</v>
      </c>
      <c r="L228">
        <f>L35*2*L20</f>
        <v>0</v>
      </c>
      <c r="M228">
        <f>M35*2*M20</f>
        <v>8</v>
      </c>
      <c r="N228">
        <f>N35*2*N20</f>
        <v>8</v>
      </c>
      <c r="O228">
        <f>O35*2*O20</f>
        <v>0</v>
      </c>
      <c r="P228">
        <f>P35*2*P20</f>
        <v>8</v>
      </c>
      <c r="Q228">
        <f>Q35*2*Q20</f>
        <v>8</v>
      </c>
      <c r="R228">
        <f>R35*2*R20</f>
        <v>0</v>
      </c>
      <c r="S228">
        <f>S35*2*S20</f>
        <v>10</v>
      </c>
      <c r="T228">
        <f>T35*2*T20</f>
        <v>10</v>
      </c>
      <c r="U228">
        <f>U35*2*U20</f>
        <v>0</v>
      </c>
      <c r="V228">
        <f>V35*2*V20</f>
        <v>14</v>
      </c>
      <c r="W228">
        <f>W35*2*W20</f>
        <v>14</v>
      </c>
      <c r="X228">
        <f>X35*2*X20</f>
        <v>0</v>
      </c>
    </row>
    <row r="229">
      <c r="A229" t="inlineStr">
        <is>
          <t>llp_lu</t>
        </is>
      </c>
      <c r="B229" t="inlineStr">
        <is>
          <t>QUANTITATIF_CHARPENTE!F29</t>
        </is>
      </c>
      <c r="D229">
        <f>IF(D228&gt;0,D230/D228,0)</f>
        <v>6.4</v>
      </c>
      <c r="E229">
        <f>IF(E228&gt;0,E230/E228,0)</f>
        <v>6.4</v>
      </c>
      <c r="F229">
        <f>IF(F228&gt;0,F230/F228,0)</f>
        <v>0</v>
      </c>
      <c r="G229">
        <f>IF(G228&gt;0,G230/G228,0)</f>
        <v>6.6</v>
      </c>
      <c r="H229">
        <f>IF(H228&gt;0,H230/H228,0)</f>
        <v>6.6</v>
      </c>
      <c r="I229">
        <f>IF(I228&gt;0,I230/I228,0)</f>
        <v>0</v>
      </c>
      <c r="J229">
        <f>IF(J228&gt;0,J230/J228,0)</f>
        <v>6.6</v>
      </c>
      <c r="K229">
        <f>IF(K228&gt;0,K230/K228,0)</f>
        <v>6.6</v>
      </c>
      <c r="L229">
        <f>IF(L228&gt;0,L230/L228,0)</f>
        <v>0</v>
      </c>
      <c r="M229">
        <f>IF(M228&gt;0,M230/M228,0)</f>
        <v>6.8</v>
      </c>
      <c r="N229">
        <f>IF(N228&gt;0,N230/N228,0)</f>
        <v>6.8</v>
      </c>
      <c r="O229">
        <f>IF(O228&gt;0,O230/O228,0)</f>
        <v>0</v>
      </c>
      <c r="P229">
        <f>IF(P228&gt;0,P230/P228,0)</f>
        <v>6.8</v>
      </c>
      <c r="Q229">
        <f>IF(Q228&gt;0,Q230/Q228,0)</f>
        <v>6.8</v>
      </c>
      <c r="R229">
        <f>IF(R228&gt;0,R230/R228,0)</f>
        <v>0</v>
      </c>
      <c r="S229">
        <f>IF(S228&gt;0,S230/S228,0)</f>
        <v>7.2</v>
      </c>
      <c r="T229">
        <f>IF(T228&gt;0,T230/T228,0)</f>
        <v>7.2</v>
      </c>
      <c r="U229">
        <f>IF(U228&gt;0,U230/U228,0)</f>
        <v>0</v>
      </c>
      <c r="V229">
        <f>IF(V228&gt;0,V230/V228,0)</f>
        <v>8.93333333333333</v>
      </c>
      <c r="W229">
        <f>IF(W228&gt;0,W230/W228,0)</f>
        <v>8.93333333333333</v>
      </c>
      <c r="X229">
        <f>IF(X228&gt;0,X230/X228,0)</f>
        <v>0</v>
      </c>
    </row>
    <row r="230">
      <c r="A230" t="inlineStr">
        <is>
          <t>llp_lt</t>
        </is>
      </c>
      <c r="B230" t="inlineStr">
        <is>
          <t>QUANTITATIF_CHARPENTE!G29</t>
        </is>
      </c>
      <c r="D230">
        <f>D35*2*D20*((D18-D34)+D9*D6/4)</f>
        <v>25.6</v>
      </c>
      <c r="E230">
        <f>E35*2*E20*((E18-E34)+E9*E6/4)</f>
        <v>25.6</v>
      </c>
      <c r="F230">
        <f>F35*2*F20*((F18-F34)+F9*F6/4)</f>
        <v>0</v>
      </c>
      <c r="G230">
        <f>G35*2*G20*((G18-G34)+G9*G6/4)</f>
        <v>39.6</v>
      </c>
      <c r="H230">
        <f>H35*2*H20*((H18-H34)+H9*H6/4)</f>
        <v>39.6</v>
      </c>
      <c r="I230">
        <f>I35*2*I20*((I18-I34)+I9*I6/4)</f>
        <v>0</v>
      </c>
      <c r="J230">
        <f>J35*2*J20*((J18-J34)+J9*J6/4)</f>
        <v>39.6</v>
      </c>
      <c r="K230">
        <f>K35*2*K20*((K18-K34)+K9*K6/4)</f>
        <v>39.6</v>
      </c>
      <c r="L230">
        <f>L35*2*L20*((L18-L34)+L9*L6/4)</f>
        <v>0</v>
      </c>
      <c r="M230">
        <f>M35*2*M20*((M18-M34)+M9*M6/4)</f>
        <v>54.4</v>
      </c>
      <c r="N230">
        <f>N35*2*N20*((N18-N34)+N9*N6/4)</f>
        <v>54.4</v>
      </c>
      <c r="O230">
        <f>O35*2*O20*((O18-O34)+O9*O6/4)</f>
        <v>0</v>
      </c>
      <c r="P230">
        <f>P35*2*P20*((P18-P34)+P9*P6/4)</f>
        <v>54.4</v>
      </c>
      <c r="Q230">
        <f>Q35*2*Q20*((Q18-Q34)+Q9*Q6/4)</f>
        <v>54.4</v>
      </c>
      <c r="R230">
        <f>R35*2*R20*((R18-R34)+R9*R6/4)</f>
        <v>0</v>
      </c>
      <c r="S230">
        <f>S35*2*S20*((S18-S34)+S9*S6/4)</f>
        <v>72</v>
      </c>
      <c r="T230">
        <f>T35*2*T20*((T18-T34)+T9*T6/4)</f>
        <v>72</v>
      </c>
      <c r="U230">
        <f>U35*2*U20*((U18-U34)+U9*U6/4)</f>
        <v>0</v>
      </c>
      <c r="V230">
        <f>V35*2*V20*((V18-V34)+V9*V6/4)</f>
        <v>125.066666666667</v>
      </c>
      <c r="W230">
        <f>W35*2*W20*((W18-W34)+W9*W6/4)</f>
        <v>125.066666666667</v>
      </c>
      <c r="X230">
        <f>X35*2*X20*((X18-X34)+X9*X6/4)</f>
        <v>0</v>
      </c>
    </row>
    <row r="231">
      <c r="A231" t="inlineStr">
        <is>
          <t>llp_kgml</t>
        </is>
      </c>
      <c r="B231" t="inlineStr">
        <is>
          <t>QUANTITATIF_CHARPENTE!H29</t>
        </is>
      </c>
      <c r="D231">
        <f>D101</f>
        <v>0.888</v>
      </c>
      <c r="E231">
        <f>E101</f>
        <v>0.888</v>
      </c>
      <c r="F231">
        <f>F101</f>
        <v>0.888</v>
      </c>
      <c r="G231">
        <f>G101</f>
        <v>0.888</v>
      </c>
      <c r="H231">
        <f>H101</f>
        <v>0.888</v>
      </c>
      <c r="I231">
        <f>I101</f>
        <v>0.888</v>
      </c>
      <c r="J231">
        <f>J101</f>
        <v>0.888</v>
      </c>
      <c r="K231">
        <f>K101</f>
        <v>0.888</v>
      </c>
      <c r="L231">
        <f>L101</f>
        <v>0.888</v>
      </c>
      <c r="M231">
        <f>M101</f>
        <v>0.888</v>
      </c>
      <c r="N231">
        <f>N101</f>
        <v>0.888</v>
      </c>
      <c r="O231">
        <f>O101</f>
        <v>0.888</v>
      </c>
      <c r="P231">
        <f>P101</f>
        <v>0.888</v>
      </c>
      <c r="Q231">
        <f>Q101</f>
        <v>0.888</v>
      </c>
      <c r="R231">
        <f>R101</f>
        <v>0.888</v>
      </c>
      <c r="S231">
        <f>S101</f>
        <v>0.888</v>
      </c>
      <c r="T231">
        <f>T101</f>
        <v>0.888</v>
      </c>
      <c r="U231">
        <f>U101</f>
        <v>0.888</v>
      </c>
      <c r="V231">
        <f>V101</f>
        <v>0.888</v>
      </c>
      <c r="W231">
        <f>W101</f>
        <v>0.888</v>
      </c>
      <c r="X231">
        <f>X101</f>
        <v>0.888</v>
      </c>
    </row>
    <row r="232">
      <c r="A232" t="inlineStr">
        <is>
          <t>llp_kg</t>
        </is>
      </c>
      <c r="B232" t="inlineStr">
        <is>
          <t>QUANTITATIF_CHARPENTE!I29</t>
        </is>
      </c>
      <c r="D232">
        <f>D230*D231</f>
        <v>22.7328</v>
      </c>
      <c r="E232">
        <f>E230*E231</f>
        <v>22.7328</v>
      </c>
      <c r="F232">
        <f>F230*F231</f>
        <v>0</v>
      </c>
      <c r="G232">
        <f>G230*G231</f>
        <v>35.1648</v>
      </c>
      <c r="H232">
        <f>H230*H231</f>
        <v>35.1648</v>
      </c>
      <c r="I232">
        <f>I230*I231</f>
        <v>0</v>
      </c>
      <c r="J232">
        <f>J230*J231</f>
        <v>35.1648</v>
      </c>
      <c r="K232">
        <f>K230*K231</f>
        <v>35.1648</v>
      </c>
      <c r="L232">
        <f>L230*L231</f>
        <v>0</v>
      </c>
      <c r="M232">
        <f>M230*M231</f>
        <v>48.3072</v>
      </c>
      <c r="N232">
        <f>N230*N231</f>
        <v>48.3072</v>
      </c>
      <c r="O232">
        <f>O230*O231</f>
        <v>0</v>
      </c>
      <c r="P232">
        <f>P230*P231</f>
        <v>48.3072</v>
      </c>
      <c r="Q232">
        <f>Q230*Q231</f>
        <v>48.3072</v>
      </c>
      <c r="R232">
        <f>R230*R231</f>
        <v>0</v>
      </c>
      <c r="S232">
        <f>S230*S231</f>
        <v>63.936</v>
      </c>
      <c r="T232">
        <f>T230*T231</f>
        <v>63.936</v>
      </c>
      <c r="U232">
        <f>U230*U231</f>
        <v>0</v>
      </c>
      <c r="V232">
        <f>V230*V231</f>
        <v>111.0592</v>
      </c>
      <c r="W232">
        <f>W230*W231</f>
        <v>111.0592</v>
      </c>
      <c r="X232">
        <f>X230*X231</f>
        <v>0</v>
      </c>
    </row>
    <row r="233">
      <c r="A233" t="inlineStr">
        <is>
          <t>pan_p</t>
        </is>
      </c>
      <c r="B233" t="inlineStr">
        <is>
          <t>QUANTITATIF_CHARPENTE!C32</t>
        </is>
      </c>
      <c r="D233" t="str">
        <f>D84</f>
        <v>Z 200</v>
      </c>
      <c r="E233" t="str">
        <f>E84</f>
        <v>Z 200</v>
      </c>
      <c r="F233" t="str">
        <f>F84</f>
        <v>Z 200</v>
      </c>
      <c r="G233" t="str">
        <f>G84</f>
        <v>Z 160</v>
      </c>
      <c r="H233" t="str">
        <f>H84</f>
        <v>Z 160</v>
      </c>
      <c r="I233" t="str">
        <f>I84</f>
        <v>Z 160</v>
      </c>
      <c r="J233" t="str">
        <f>J84</f>
        <v>Z 200</v>
      </c>
      <c r="K233" t="str">
        <f>K84</f>
        <v>Z 200</v>
      </c>
      <c r="L233" t="str">
        <f>L84</f>
        <v>Z 200</v>
      </c>
      <c r="M233" t="str">
        <f>M84</f>
        <v>Z 160</v>
      </c>
      <c r="N233" t="str">
        <f>N84</f>
        <v>Z 160</v>
      </c>
      <c r="O233" t="str">
        <f>O84</f>
        <v>Z 160</v>
      </c>
      <c r="P233" t="str">
        <f>P84</f>
        <v>Z 200</v>
      </c>
      <c r="Q233" t="str">
        <f>Q84</f>
        <v>Z 200</v>
      </c>
      <c r="R233" t="str">
        <f>R84</f>
        <v>Z 200</v>
      </c>
      <c r="S233" t="str">
        <f>S84</f>
        <v>Z 200</v>
      </c>
      <c r="T233" t="str">
        <f>T84</f>
        <v>Z 200</v>
      </c>
      <c r="U233" t="str">
        <f>U84</f>
        <v>Z 200</v>
      </c>
      <c r="V233" t="str">
        <f>V84</f>
        <v>Z 200</v>
      </c>
      <c r="W233" t="str">
        <f>W84</f>
        <v>Z 200</v>
      </c>
      <c r="X233" t="str">
        <f>X84</f>
        <v>Z 200</v>
      </c>
    </row>
    <row r="234">
      <c r="A234" t="inlineStr">
        <is>
          <t>pan_q</t>
        </is>
      </c>
      <c r="B234" t="inlineStr">
        <is>
          <t>QUANTITATIF_CHARPENTE!E32</t>
        </is>
      </c>
      <c r="D234">
        <f>2*D25</f>
        <v>10</v>
      </c>
      <c r="E234">
        <f>2*E25</f>
        <v>10</v>
      </c>
      <c r="F234">
        <f>2*F25</f>
        <v>10</v>
      </c>
      <c r="G234">
        <f>2*G25</f>
        <v>14</v>
      </c>
      <c r="H234">
        <f>2*H25</f>
        <v>14</v>
      </c>
      <c r="I234">
        <f>2*I25</f>
        <v>14</v>
      </c>
      <c r="J234">
        <f>2*J25</f>
        <v>14</v>
      </c>
      <c r="K234">
        <f>2*K25</f>
        <v>14</v>
      </c>
      <c r="L234">
        <f>2*L25</f>
        <v>14</v>
      </c>
      <c r="M234">
        <f>2*M25</f>
        <v>18</v>
      </c>
      <c r="N234">
        <f>2*N25</f>
        <v>18</v>
      </c>
      <c r="O234">
        <f>2*O25</f>
        <v>18</v>
      </c>
      <c r="P234">
        <f>2*P25</f>
        <v>18</v>
      </c>
      <c r="Q234">
        <f>2*Q25</f>
        <v>18</v>
      </c>
      <c r="R234">
        <f>2*R25</f>
        <v>18</v>
      </c>
      <c r="S234">
        <f>2*S25</f>
        <v>26</v>
      </c>
      <c r="T234">
        <f>2*T25</f>
        <v>26</v>
      </c>
      <c r="U234">
        <f>2*U25</f>
        <v>26</v>
      </c>
      <c r="V234">
        <f>2*V25</f>
        <v>34</v>
      </c>
      <c r="W234">
        <f>2*W25</f>
        <v>34</v>
      </c>
      <c r="X234">
        <f>2*X25</f>
        <v>34</v>
      </c>
    </row>
    <row r="235">
      <c r="A235" t="inlineStr">
        <is>
          <t>pan_lu</t>
        </is>
      </c>
      <c r="B235" t="inlineStr">
        <is>
          <t>QUANTITATIF_CHARPENTE!F32</t>
        </is>
      </c>
      <c r="D235">
        <f>D27</f>
        <v>30.6</v>
      </c>
      <c r="E235">
        <f>E27</f>
        <v>30.6</v>
      </c>
      <c r="F235">
        <f>F27</f>
        <v>30.6</v>
      </c>
      <c r="G235">
        <f>G27</f>
        <v>20.6</v>
      </c>
      <c r="H235">
        <f>H27</f>
        <v>20.6</v>
      </c>
      <c r="I235">
        <f>I27</f>
        <v>20.6</v>
      </c>
      <c r="J235">
        <f>J27</f>
        <v>30.6</v>
      </c>
      <c r="K235">
        <f>K27</f>
        <v>30.6</v>
      </c>
      <c r="L235">
        <f>L27</f>
        <v>30.6</v>
      </c>
      <c r="M235">
        <f>M27</f>
        <v>20.6</v>
      </c>
      <c r="N235">
        <f>N27</f>
        <v>20.6</v>
      </c>
      <c r="O235">
        <f>O27</f>
        <v>20.6</v>
      </c>
      <c r="P235">
        <f>P27</f>
        <v>40.6</v>
      </c>
      <c r="Q235">
        <f>Q27</f>
        <v>40.6</v>
      </c>
      <c r="R235">
        <f>R27</f>
        <v>40.6</v>
      </c>
      <c r="S235">
        <f>S27</f>
        <v>40.6</v>
      </c>
      <c r="T235">
        <f>T27</f>
        <v>40.6</v>
      </c>
      <c r="U235">
        <f>U27</f>
        <v>40.6</v>
      </c>
      <c r="V235">
        <f>V27</f>
        <v>40.6</v>
      </c>
      <c r="W235">
        <f>W27</f>
        <v>40.6</v>
      </c>
      <c r="X235">
        <f>X27</f>
        <v>40.6</v>
      </c>
    </row>
    <row r="236">
      <c r="A236" t="inlineStr">
        <is>
          <t>pan_lt</t>
        </is>
      </c>
      <c r="B236" t="inlineStr">
        <is>
          <t>QUANTITATIF_CHARPENTE!G32</t>
        </is>
      </c>
      <c r="D236">
        <f>D234*D235</f>
        <v>306</v>
      </c>
      <c r="E236">
        <f>E234*E235</f>
        <v>306</v>
      </c>
      <c r="F236">
        <f>F234*F235</f>
        <v>306</v>
      </c>
      <c r="G236">
        <f>G234*G235</f>
        <v>288.4</v>
      </c>
      <c r="H236">
        <f>H234*H235</f>
        <v>288.4</v>
      </c>
      <c r="I236">
        <f>I234*I235</f>
        <v>288.4</v>
      </c>
      <c r="J236">
        <f>J234*J235</f>
        <v>428.4</v>
      </c>
      <c r="K236">
        <f>K234*K235</f>
        <v>428.4</v>
      </c>
      <c r="L236">
        <f>L234*L235</f>
        <v>428.4</v>
      </c>
      <c r="M236">
        <f>M234*M235</f>
        <v>370.8</v>
      </c>
      <c r="N236">
        <f>N234*N235</f>
        <v>370.8</v>
      </c>
      <c r="O236">
        <f>O234*O235</f>
        <v>370.8</v>
      </c>
      <c r="P236">
        <f>P234*P235</f>
        <v>730.8</v>
      </c>
      <c r="Q236">
        <f>Q234*Q235</f>
        <v>730.8</v>
      </c>
      <c r="R236">
        <f>R234*R235</f>
        <v>730.8</v>
      </c>
      <c r="S236">
        <f>S234*S235</f>
        <v>1055.6</v>
      </c>
      <c r="T236">
        <f>T234*T235</f>
        <v>1055.6</v>
      </c>
      <c r="U236">
        <f>U234*U235</f>
        <v>1055.6</v>
      </c>
      <c r="V236">
        <f>V234*V235</f>
        <v>1380.4</v>
      </c>
      <c r="W236">
        <f>W234*W235</f>
        <v>1380.4</v>
      </c>
      <c r="X236">
        <f>X234*X235</f>
        <v>1380.4</v>
      </c>
    </row>
    <row r="237">
      <c r="A237" t="inlineStr">
        <is>
          <t>pan_kgml</t>
        </is>
      </c>
      <c r="B237" t="inlineStr">
        <is>
          <t>QUANTITATIF_CHARPENTE!H32</t>
        </is>
      </c>
      <c r="D237">
        <f>D85</f>
        <v>5.2</v>
      </c>
      <c r="E237">
        <f>E85</f>
        <v>5.2</v>
      </c>
      <c r="F237">
        <f>F85</f>
        <v>5.2</v>
      </c>
      <c r="G237">
        <f>G85</f>
        <v>4.35</v>
      </c>
      <c r="H237">
        <f>H85</f>
        <v>4.35</v>
      </c>
      <c r="I237">
        <f>I85</f>
        <v>4.35</v>
      </c>
      <c r="J237">
        <f>J85</f>
        <v>5.2</v>
      </c>
      <c r="K237">
        <f>K85</f>
        <v>5.2</v>
      </c>
      <c r="L237">
        <f>L85</f>
        <v>5.2</v>
      </c>
      <c r="M237">
        <f>M85</f>
        <v>4.35</v>
      </c>
      <c r="N237">
        <f>N85</f>
        <v>4.35</v>
      </c>
      <c r="O237">
        <f>O85</f>
        <v>4.35</v>
      </c>
      <c r="P237">
        <f>P85</f>
        <v>5.2</v>
      </c>
      <c r="Q237">
        <f>Q85</f>
        <v>5.2</v>
      </c>
      <c r="R237">
        <f>R85</f>
        <v>5.2</v>
      </c>
      <c r="S237">
        <f>S85</f>
        <v>5.2</v>
      </c>
      <c r="T237">
        <f>T85</f>
        <v>5.2</v>
      </c>
      <c r="U237">
        <f>U85</f>
        <v>5.2</v>
      </c>
      <c r="V237">
        <f>V85</f>
        <v>5.2</v>
      </c>
      <c r="W237">
        <f>W85</f>
        <v>5.2</v>
      </c>
      <c r="X237">
        <f>X85</f>
        <v>5.2</v>
      </c>
    </row>
    <row r="238">
      <c r="A238" t="inlineStr">
        <is>
          <t>pan_kg</t>
        </is>
      </c>
      <c r="B238" t="inlineStr">
        <is>
          <t>QUANTITATIF_CHARPENTE!I32</t>
        </is>
      </c>
      <c r="D238">
        <f>D236*D237</f>
        <v>1591.2</v>
      </c>
      <c r="E238">
        <f>E236*E237</f>
        <v>1591.2</v>
      </c>
      <c r="F238">
        <f>F236*F237</f>
        <v>1591.2</v>
      </c>
      <c r="G238">
        <f>G236*G237</f>
        <v>1254.54</v>
      </c>
      <c r="H238">
        <f>H236*H237</f>
        <v>1254.54</v>
      </c>
      <c r="I238">
        <f>I236*I237</f>
        <v>1254.54</v>
      </c>
      <c r="J238">
        <f>J236*J237</f>
        <v>2227.68</v>
      </c>
      <c r="K238">
        <f>K236*K237</f>
        <v>2227.68</v>
      </c>
      <c r="L238">
        <f>L236*L237</f>
        <v>2227.68</v>
      </c>
      <c r="M238">
        <f>M236*M237</f>
        <v>1612.98</v>
      </c>
      <c r="N238">
        <f>N236*N237</f>
        <v>1612.98</v>
      </c>
      <c r="O238">
        <f>O236*O237</f>
        <v>1612.98</v>
      </c>
      <c r="P238">
        <f>P236*P237</f>
        <v>3800.16</v>
      </c>
      <c r="Q238">
        <f>Q236*Q237</f>
        <v>3800.16</v>
      </c>
      <c r="R238">
        <f>R236*R237</f>
        <v>3800.16</v>
      </c>
      <c r="S238">
        <f>S236*S237</f>
        <v>5489.12</v>
      </c>
      <c r="T238">
        <f>T236*T237</f>
        <v>5489.12</v>
      </c>
      <c r="U238">
        <f>U236*U237</f>
        <v>5489.12</v>
      </c>
      <c r="V238">
        <f>V236*V237</f>
        <v>7178.08</v>
      </c>
      <c r="W238">
        <f>W236*W237</f>
        <v>7178.08</v>
      </c>
      <c r="X238">
        <f>X236*X237</f>
        <v>7178.08</v>
      </c>
    </row>
    <row r="239">
      <c r="A239" t="inlineStr">
        <is>
          <t>ech_p</t>
        </is>
      </c>
      <c r="B239" t="inlineStr">
        <is>
          <t>QUANTITATIF_CHARPENTE!C33</t>
        </is>
      </c>
      <c r="D239" t="str">
        <f>"Taquet"</f>
        <v>Taquet</v>
      </c>
      <c r="E239" t="str">
        <f>"Taquet"</f>
        <v>Taquet</v>
      </c>
      <c r="F239" t="str">
        <f>"Taquet"</f>
        <v>Taquet</v>
      </c>
      <c r="G239" t="str">
        <f>"Taquet"</f>
        <v>Taquet</v>
      </c>
      <c r="H239" t="str">
        <f>"Taquet"</f>
        <v>Taquet</v>
      </c>
      <c r="I239" t="str">
        <f>"Taquet"</f>
        <v>Taquet</v>
      </c>
      <c r="J239" t="str">
        <f>"Taquet"</f>
        <v>Taquet</v>
      </c>
      <c r="K239" t="str">
        <f>"Taquet"</f>
        <v>Taquet</v>
      </c>
      <c r="L239" t="str">
        <f>"Taquet"</f>
        <v>Taquet</v>
      </c>
      <c r="M239" t="str">
        <f>"Taquet"</f>
        <v>Taquet</v>
      </c>
      <c r="N239" t="str">
        <f>"Taquet"</f>
        <v>Taquet</v>
      </c>
      <c r="O239" t="str">
        <f>"Taquet"</f>
        <v>Taquet</v>
      </c>
      <c r="P239" t="str">
        <f>"Taquet"</f>
        <v>Taquet</v>
      </c>
      <c r="Q239" t="str">
        <f>"Taquet"</f>
        <v>Taquet</v>
      </c>
      <c r="R239" t="str">
        <f>"Taquet"</f>
        <v>Taquet</v>
      </c>
      <c r="S239" t="str">
        <f>"Taquet"</f>
        <v>Taquet</v>
      </c>
      <c r="T239" t="str">
        <f>"Taquet"</f>
        <v>Taquet</v>
      </c>
      <c r="U239" t="str">
        <f>"Taquet"</f>
        <v>Taquet</v>
      </c>
      <c r="V239" t="str">
        <f>"Taquet"</f>
        <v>Taquet</v>
      </c>
      <c r="W239" t="str">
        <f>"Taquet"</f>
        <v>Taquet</v>
      </c>
      <c r="X239" t="str">
        <f>"Taquet"</f>
        <v>Taquet</v>
      </c>
    </row>
    <row r="240">
      <c r="A240" t="inlineStr">
        <is>
          <t>ech_q</t>
        </is>
      </c>
      <c r="B240" t="inlineStr">
        <is>
          <t>QUANTITATIF_CHARPENTE!E33</t>
        </is>
      </c>
      <c r="D240">
        <f>2*D25*D14</f>
        <v>60</v>
      </c>
      <c r="E240">
        <f>2*E25*E14</f>
        <v>60</v>
      </c>
      <c r="F240">
        <f>2*F25*F14</f>
        <v>60</v>
      </c>
      <c r="G240">
        <f>2*G25*G14</f>
        <v>70</v>
      </c>
      <c r="H240">
        <f>2*H25*H14</f>
        <v>70</v>
      </c>
      <c r="I240">
        <f>2*I25*I14</f>
        <v>70</v>
      </c>
      <c r="J240">
        <f>2*J25*J14</f>
        <v>84</v>
      </c>
      <c r="K240">
        <f>2*K25*K14</f>
        <v>84</v>
      </c>
      <c r="L240">
        <f>2*L25*L14</f>
        <v>84</v>
      </c>
      <c r="M240">
        <f>2*M25*M14</f>
        <v>90</v>
      </c>
      <c r="N240">
        <f>2*N25*N14</f>
        <v>90</v>
      </c>
      <c r="O240">
        <f>2*O25*O14</f>
        <v>90</v>
      </c>
      <c r="P240">
        <f>2*P25*P14</f>
        <v>144</v>
      </c>
      <c r="Q240">
        <f>2*Q25*Q14</f>
        <v>144</v>
      </c>
      <c r="R240">
        <f>2*R25*R14</f>
        <v>144</v>
      </c>
      <c r="S240">
        <f>2*S25*S14</f>
        <v>208</v>
      </c>
      <c r="T240">
        <f>2*T25*T14</f>
        <v>208</v>
      </c>
      <c r="U240">
        <f>2*U25*U14</f>
        <v>208</v>
      </c>
      <c r="V240">
        <f>2*V25*V14</f>
        <v>272</v>
      </c>
      <c r="W240">
        <f>2*W25*W14</f>
        <v>272</v>
      </c>
      <c r="X240">
        <f>2*X25*X14</f>
        <v>272</v>
      </c>
    </row>
    <row r="241">
      <c r="A241" t="inlineStr">
        <is>
          <t>ech_kgml</t>
        </is>
      </c>
      <c r="B241" t="inlineStr">
        <is>
          <t>QUANTITATIF_CHARPENTE!H33</t>
        </is>
      </c>
      <c r="D241">
        <f>'PARAMÈTRES'!$C$61</f>
        <v>1.8</v>
      </c>
      <c r="E241">
        <f>'PARAMÈTRES'!$C$61</f>
        <v>1.8</v>
      </c>
      <c r="F241">
        <f>'PARAMÈTRES'!$C$61</f>
        <v>1.8</v>
      </c>
      <c r="G241">
        <f>'PARAMÈTRES'!$C$61</f>
        <v>1.8</v>
      </c>
      <c r="H241">
        <f>'PARAMÈTRES'!$C$61</f>
        <v>1.8</v>
      </c>
      <c r="I241">
        <f>'PARAMÈTRES'!$C$61</f>
        <v>1.8</v>
      </c>
      <c r="J241">
        <f>'PARAMÈTRES'!$C$61</f>
        <v>1.8</v>
      </c>
      <c r="K241">
        <f>'PARAMÈTRES'!$C$61</f>
        <v>1.8</v>
      </c>
      <c r="L241">
        <f>'PARAMÈTRES'!$C$61</f>
        <v>1.8</v>
      </c>
      <c r="M241">
        <f>'PARAMÈTRES'!$C$61</f>
        <v>1.8</v>
      </c>
      <c r="N241">
        <f>'PARAMÈTRES'!$C$61</f>
        <v>1.8</v>
      </c>
      <c r="O241">
        <f>'PARAMÈTRES'!$C$61</f>
        <v>1.8</v>
      </c>
      <c r="P241">
        <f>'PARAMÈTRES'!$C$61</f>
        <v>1.8</v>
      </c>
      <c r="Q241">
        <f>'PARAMÈTRES'!$C$61</f>
        <v>1.8</v>
      </c>
      <c r="R241">
        <f>'PARAMÈTRES'!$C$61</f>
        <v>1.8</v>
      </c>
      <c r="S241">
        <f>'PARAMÈTRES'!$C$61</f>
        <v>1.8</v>
      </c>
      <c r="T241">
        <f>'PARAMÈTRES'!$C$61</f>
        <v>1.8</v>
      </c>
      <c r="U241">
        <f>'PARAMÈTRES'!$C$61</f>
        <v>1.8</v>
      </c>
      <c r="V241">
        <f>'PARAMÈTRES'!$C$61</f>
        <v>1.8</v>
      </c>
      <c r="W241">
        <f>'PARAMÈTRES'!$C$61</f>
        <v>1.8</v>
      </c>
      <c r="X241">
        <f>'PARAMÈTRES'!$C$61</f>
        <v>1.8</v>
      </c>
    </row>
    <row r="242">
      <c r="A242" t="inlineStr">
        <is>
          <t>ech_kg</t>
        </is>
      </c>
      <c r="B242" t="inlineStr">
        <is>
          <t>QUANTITATIF_CHARPENTE!I33</t>
        </is>
      </c>
      <c r="D242">
        <f>D240*D241</f>
        <v>108</v>
      </c>
      <c r="E242">
        <f>E240*E241</f>
        <v>108</v>
      </c>
      <c r="F242">
        <f>F240*F241</f>
        <v>108</v>
      </c>
      <c r="G242">
        <f>G240*G241</f>
        <v>126</v>
      </c>
      <c r="H242">
        <f>H240*H241</f>
        <v>126</v>
      </c>
      <c r="I242">
        <f>I240*I241</f>
        <v>126</v>
      </c>
      <c r="J242">
        <f>J240*J241</f>
        <v>151.2</v>
      </c>
      <c r="K242">
        <f>K240*K241</f>
        <v>151.2</v>
      </c>
      <c r="L242">
        <f>L240*L241</f>
        <v>151.2</v>
      </c>
      <c r="M242">
        <f>M240*M241</f>
        <v>162</v>
      </c>
      <c r="N242">
        <f>N240*N241</f>
        <v>162</v>
      </c>
      <c r="O242">
        <f>O240*O241</f>
        <v>162</v>
      </c>
      <c r="P242">
        <f>P240*P241</f>
        <v>259.2</v>
      </c>
      <c r="Q242">
        <f>Q240*Q241</f>
        <v>259.2</v>
      </c>
      <c r="R242">
        <f>R240*R241</f>
        <v>259.2</v>
      </c>
      <c r="S242">
        <f>S240*S241</f>
        <v>374.4</v>
      </c>
      <c r="T242">
        <f>T240*T241</f>
        <v>374.4</v>
      </c>
      <c r="U242">
        <f>U240*U241</f>
        <v>374.4</v>
      </c>
      <c r="V242">
        <f>V240*V241</f>
        <v>489.6</v>
      </c>
      <c r="W242">
        <f>W240*W241</f>
        <v>489.6</v>
      </c>
      <c r="X242">
        <f>X240*X241</f>
        <v>489.6</v>
      </c>
    </row>
    <row r="243">
      <c r="A243" t="inlineStr">
        <is>
          <t>chev_p</t>
        </is>
      </c>
      <c r="B243" t="inlineStr">
        <is>
          <t>QUANTITATIF_CHARPENTE!C34</t>
        </is>
      </c>
      <c r="D243" t="str">
        <f>D104</f>
        <v>L 60x6</v>
      </c>
      <c r="E243" t="str">
        <f>E104</f>
        <v>L 60x6</v>
      </c>
      <c r="F243" t="str">
        <f>F104</f>
        <v>L 60x6</v>
      </c>
      <c r="G243" t="str">
        <f>G104</f>
        <v>L 60x6</v>
      </c>
      <c r="H243" t="str">
        <f>H104</f>
        <v>L 60x6</v>
      </c>
      <c r="I243" t="str">
        <f>I104</f>
        <v>L 60x6</v>
      </c>
      <c r="J243" t="str">
        <f>J104</f>
        <v>L 60x6</v>
      </c>
      <c r="K243" t="str">
        <f>K104</f>
        <v>L 60x6</v>
      </c>
      <c r="L243" t="str">
        <f>L104</f>
        <v>L 60x6</v>
      </c>
      <c r="M243" t="str">
        <f>M104</f>
        <v>L 60x6</v>
      </c>
      <c r="N243" t="str">
        <f>N104</f>
        <v>L 60x6</v>
      </c>
      <c r="O243" t="str">
        <f>O104</f>
        <v>L 60x6</v>
      </c>
      <c r="P243" t="str">
        <f>P104</f>
        <v>L 60x6</v>
      </c>
      <c r="Q243" t="str">
        <f>Q104</f>
        <v>L 60x6</v>
      </c>
      <c r="R243" t="str">
        <f>R104</f>
        <v>L 60x6</v>
      </c>
      <c r="S243" t="str">
        <f>S104</f>
        <v>L 60x6</v>
      </c>
      <c r="T243" t="str">
        <f>T104</f>
        <v>L 60x6</v>
      </c>
      <c r="U243" t="str">
        <f>U104</f>
        <v>L 60x6</v>
      </c>
      <c r="V243" t="str">
        <f>V104</f>
        <v>L 60x6</v>
      </c>
      <c r="W243" t="str">
        <f>W104</f>
        <v>L 60x6</v>
      </c>
      <c r="X243" t="str">
        <f>X104</f>
        <v>L 60x6</v>
      </c>
    </row>
    <row r="244">
      <c r="A244" t="inlineStr">
        <is>
          <t>chev_q</t>
        </is>
      </c>
      <c r="B244" t="inlineStr">
        <is>
          <t>QUANTITATIF_CHARPENTE!E34</t>
        </is>
      </c>
      <c r="D244">
        <f>'PARAMÈTRES'!$C$37</f>
        <v>4</v>
      </c>
      <c r="E244">
        <f>'PARAMÈTRES'!$C$37</f>
        <v>4</v>
      </c>
      <c r="F244">
        <f>'PARAMÈTRES'!$C$37</f>
        <v>4</v>
      </c>
      <c r="G244">
        <f>'PARAMÈTRES'!$C$37</f>
        <v>4</v>
      </c>
      <c r="H244">
        <f>'PARAMÈTRES'!$C$37</f>
        <v>4</v>
      </c>
      <c r="I244">
        <f>'PARAMÈTRES'!$C$37</f>
        <v>4</v>
      </c>
      <c r="J244">
        <f>'PARAMÈTRES'!$C$37</f>
        <v>4</v>
      </c>
      <c r="K244">
        <f>'PARAMÈTRES'!$C$37</f>
        <v>4</v>
      </c>
      <c r="L244">
        <f>'PARAMÈTRES'!$C$37</f>
        <v>4</v>
      </c>
      <c r="M244">
        <f>'PARAMÈTRES'!$C$37</f>
        <v>4</v>
      </c>
      <c r="N244">
        <f>'PARAMÈTRES'!$C$37</f>
        <v>4</v>
      </c>
      <c r="O244">
        <f>'PARAMÈTRES'!$C$37</f>
        <v>4</v>
      </c>
      <c r="P244">
        <f>'PARAMÈTRES'!$C$37</f>
        <v>4</v>
      </c>
      <c r="Q244">
        <f>'PARAMÈTRES'!$C$37</f>
        <v>4</v>
      </c>
      <c r="R244">
        <f>'PARAMÈTRES'!$C$37</f>
        <v>4</v>
      </c>
      <c r="S244">
        <f>'PARAMÈTRES'!$C$37</f>
        <v>4</v>
      </c>
      <c r="T244">
        <f>'PARAMÈTRES'!$C$37</f>
        <v>4</v>
      </c>
      <c r="U244">
        <f>'PARAMÈTRES'!$C$37</f>
        <v>4</v>
      </c>
      <c r="V244">
        <f>'PARAMÈTRES'!$C$37</f>
        <v>4</v>
      </c>
      <c r="W244">
        <f>'PARAMÈTRES'!$C$37</f>
        <v>4</v>
      </c>
      <c r="X244">
        <f>'PARAMÈTRES'!$C$37</f>
        <v>4</v>
      </c>
    </row>
    <row r="245">
      <c r="A245" t="inlineStr">
        <is>
          <t>chev_lu</t>
        </is>
      </c>
      <c r="B245" t="inlineStr">
        <is>
          <t>QUANTITATIF_CHARPENTE!F34</t>
        </is>
      </c>
      <c r="D245">
        <f>2*('PARAMÈTRES'!$C$38+'PARAMÈTRES'!$C$39)</f>
        <v>4.8</v>
      </c>
      <c r="E245">
        <f>2*('PARAMÈTRES'!$C$38+'PARAMÈTRES'!$C$39)</f>
        <v>4.8</v>
      </c>
      <c r="F245">
        <f>2*('PARAMÈTRES'!$C$38+'PARAMÈTRES'!$C$39)</f>
        <v>4.8</v>
      </c>
      <c r="G245">
        <f>2*('PARAMÈTRES'!$C$38+'PARAMÈTRES'!$C$39)</f>
        <v>4.8</v>
      </c>
      <c r="H245">
        <f>2*('PARAMÈTRES'!$C$38+'PARAMÈTRES'!$C$39)</f>
        <v>4.8</v>
      </c>
      <c r="I245">
        <f>2*('PARAMÈTRES'!$C$38+'PARAMÈTRES'!$C$39)</f>
        <v>4.8</v>
      </c>
      <c r="J245">
        <f>2*('PARAMÈTRES'!$C$38+'PARAMÈTRES'!$C$39)</f>
        <v>4.8</v>
      </c>
      <c r="K245">
        <f>2*('PARAMÈTRES'!$C$38+'PARAMÈTRES'!$C$39)</f>
        <v>4.8</v>
      </c>
      <c r="L245">
        <f>2*('PARAMÈTRES'!$C$38+'PARAMÈTRES'!$C$39)</f>
        <v>4.8</v>
      </c>
      <c r="M245">
        <f>2*('PARAMÈTRES'!$C$38+'PARAMÈTRES'!$C$39)</f>
        <v>4.8</v>
      </c>
      <c r="N245">
        <f>2*('PARAMÈTRES'!$C$38+'PARAMÈTRES'!$C$39)</f>
        <v>4.8</v>
      </c>
      <c r="O245">
        <f>2*('PARAMÈTRES'!$C$38+'PARAMÈTRES'!$C$39)</f>
        <v>4.8</v>
      </c>
      <c r="P245">
        <f>2*('PARAMÈTRES'!$C$38+'PARAMÈTRES'!$C$39)</f>
        <v>4.8</v>
      </c>
      <c r="Q245">
        <f>2*('PARAMÈTRES'!$C$38+'PARAMÈTRES'!$C$39)</f>
        <v>4.8</v>
      </c>
      <c r="R245">
        <f>2*('PARAMÈTRES'!$C$38+'PARAMÈTRES'!$C$39)</f>
        <v>4.8</v>
      </c>
      <c r="S245">
        <f>2*('PARAMÈTRES'!$C$38+'PARAMÈTRES'!$C$39)</f>
        <v>4.8</v>
      </c>
      <c r="T245">
        <f>2*('PARAMÈTRES'!$C$38+'PARAMÈTRES'!$C$39)</f>
        <v>4.8</v>
      </c>
      <c r="U245">
        <f>2*('PARAMÈTRES'!$C$38+'PARAMÈTRES'!$C$39)</f>
        <v>4.8</v>
      </c>
      <c r="V245">
        <f>2*('PARAMÈTRES'!$C$38+'PARAMÈTRES'!$C$39)</f>
        <v>4.8</v>
      </c>
      <c r="W245">
        <f>2*('PARAMÈTRES'!$C$38+'PARAMÈTRES'!$C$39)</f>
        <v>4.8</v>
      </c>
      <c r="X245">
        <f>2*('PARAMÈTRES'!$C$38+'PARAMÈTRES'!$C$39)</f>
        <v>4.8</v>
      </c>
    </row>
    <row r="246">
      <c r="A246" t="inlineStr">
        <is>
          <t>chev_lt</t>
        </is>
      </c>
      <c r="B246" t="inlineStr">
        <is>
          <t>QUANTITATIF_CHARPENTE!G34</t>
        </is>
      </c>
      <c r="D246">
        <f>D244*D245</f>
        <v>19.2</v>
      </c>
      <c r="E246">
        <f>E244*E245</f>
        <v>19.2</v>
      </c>
      <c r="F246">
        <f>F244*F245</f>
        <v>19.2</v>
      </c>
      <c r="G246">
        <f>G244*G245</f>
        <v>19.2</v>
      </c>
      <c r="H246">
        <f>H244*H245</f>
        <v>19.2</v>
      </c>
      <c r="I246">
        <f>I244*I245</f>
        <v>19.2</v>
      </c>
      <c r="J246">
        <f>J244*J245</f>
        <v>19.2</v>
      </c>
      <c r="K246">
        <f>K244*K245</f>
        <v>19.2</v>
      </c>
      <c r="L246">
        <f>L244*L245</f>
        <v>19.2</v>
      </c>
      <c r="M246">
        <f>M244*M245</f>
        <v>19.2</v>
      </c>
      <c r="N246">
        <f>N244*N245</f>
        <v>19.2</v>
      </c>
      <c r="O246">
        <f>O244*O245</f>
        <v>19.2</v>
      </c>
      <c r="P246">
        <f>P244*P245</f>
        <v>19.2</v>
      </c>
      <c r="Q246">
        <f>Q244*Q245</f>
        <v>19.2</v>
      </c>
      <c r="R246">
        <f>R244*R245</f>
        <v>19.2</v>
      </c>
      <c r="S246">
        <f>S244*S245</f>
        <v>19.2</v>
      </c>
      <c r="T246">
        <f>T244*T245</f>
        <v>19.2</v>
      </c>
      <c r="U246">
        <f>U244*U245</f>
        <v>19.2</v>
      </c>
      <c r="V246">
        <f>V244*V245</f>
        <v>19.2</v>
      </c>
      <c r="W246">
        <f>W244*W245</f>
        <v>19.2</v>
      </c>
      <c r="X246">
        <f>X244*X245</f>
        <v>19.2</v>
      </c>
    </row>
    <row r="247">
      <c r="A247" t="inlineStr">
        <is>
          <t>chev_kgml</t>
        </is>
      </c>
      <c r="B247" t="inlineStr">
        <is>
          <t>QUANTITATIF_CHARPENTE!H34</t>
        </is>
      </c>
      <c r="D247">
        <f>D105</f>
        <v>5.42</v>
      </c>
      <c r="E247">
        <f>E105</f>
        <v>5.42</v>
      </c>
      <c r="F247">
        <f>F105</f>
        <v>5.42</v>
      </c>
      <c r="G247">
        <f>G105</f>
        <v>5.42</v>
      </c>
      <c r="H247">
        <f>H105</f>
        <v>5.42</v>
      </c>
      <c r="I247">
        <f>I105</f>
        <v>5.42</v>
      </c>
      <c r="J247">
        <f>J105</f>
        <v>5.42</v>
      </c>
      <c r="K247">
        <f>K105</f>
        <v>5.42</v>
      </c>
      <c r="L247">
        <f>L105</f>
        <v>5.42</v>
      </c>
      <c r="M247">
        <f>M105</f>
        <v>5.42</v>
      </c>
      <c r="N247">
        <f>N105</f>
        <v>5.42</v>
      </c>
      <c r="O247">
        <f>O105</f>
        <v>5.42</v>
      </c>
      <c r="P247">
        <f>P105</f>
        <v>5.42</v>
      </c>
      <c r="Q247">
        <f>Q105</f>
        <v>5.42</v>
      </c>
      <c r="R247">
        <f>R105</f>
        <v>5.42</v>
      </c>
      <c r="S247">
        <f>S105</f>
        <v>5.42</v>
      </c>
      <c r="T247">
        <f>T105</f>
        <v>5.42</v>
      </c>
      <c r="U247">
        <f>U105</f>
        <v>5.42</v>
      </c>
      <c r="V247">
        <f>V105</f>
        <v>5.42</v>
      </c>
      <c r="W247">
        <f>W105</f>
        <v>5.42</v>
      </c>
      <c r="X247">
        <f>X105</f>
        <v>5.42</v>
      </c>
    </row>
    <row r="248">
      <c r="A248" t="inlineStr">
        <is>
          <t>chev_kg</t>
        </is>
      </c>
      <c r="B248" t="inlineStr">
        <is>
          <t>QUANTITATIF_CHARPENTE!I34</t>
        </is>
      </c>
      <c r="D248">
        <f>D246*D247</f>
        <v>104.064</v>
      </c>
      <c r="E248">
        <f>E246*E247</f>
        <v>104.064</v>
      </c>
      <c r="F248">
        <f>F246*F247</f>
        <v>104.064</v>
      </c>
      <c r="G248">
        <f>G246*G247</f>
        <v>104.064</v>
      </c>
      <c r="H248">
        <f>H246*H247</f>
        <v>104.064</v>
      </c>
      <c r="I248">
        <f>I246*I247</f>
        <v>104.064</v>
      </c>
      <c r="J248">
        <f>J246*J247</f>
        <v>104.064</v>
      </c>
      <c r="K248">
        <f>K246*K247</f>
        <v>104.064</v>
      </c>
      <c r="L248">
        <f>L246*L247</f>
        <v>104.064</v>
      </c>
      <c r="M248">
        <f>M246*M247</f>
        <v>104.064</v>
      </c>
      <c r="N248">
        <f>N246*N247</f>
        <v>104.064</v>
      </c>
      <c r="O248">
        <f>O246*O247</f>
        <v>104.064</v>
      </c>
      <c r="P248">
        <f>P246*P247</f>
        <v>104.064</v>
      </c>
      <c r="Q248">
        <f>Q246*Q247</f>
        <v>104.064</v>
      </c>
      <c r="R248">
        <f>R246*R247</f>
        <v>104.064</v>
      </c>
      <c r="S248">
        <f>S246*S247</f>
        <v>104.064</v>
      </c>
      <c r="T248">
        <f>T246*T247</f>
        <v>104.064</v>
      </c>
      <c r="U248">
        <f>U246*U247</f>
        <v>104.064</v>
      </c>
      <c r="V248">
        <f>V246*V247</f>
        <v>104.064</v>
      </c>
      <c r="W248">
        <f>W246*W247</f>
        <v>104.064</v>
      </c>
      <c r="X248">
        <f>X246*X247</f>
        <v>104.064</v>
      </c>
    </row>
    <row r="249">
      <c r="A249" t="inlineStr">
        <is>
          <t>baio_p</t>
        </is>
      </c>
      <c r="B249" t="inlineStr">
        <is>
          <t>QUANTITATIF_CHARPENTE!C35</t>
        </is>
      </c>
      <c r="D249" t="str">
        <f>D108</f>
        <v>L 50x5</v>
      </c>
      <c r="E249" t="str">
        <f>E108</f>
        <v>L 50x5</v>
      </c>
      <c r="F249" t="str">
        <f>F108</f>
        <v>L 50x5</v>
      </c>
      <c r="G249" t="str">
        <f>G108</f>
        <v>L 50x5</v>
      </c>
      <c r="H249" t="str">
        <f>H108</f>
        <v>L 50x5</v>
      </c>
      <c r="I249" t="str">
        <f>I108</f>
        <v>L 50x5</v>
      </c>
      <c r="J249" t="str">
        <f>J108</f>
        <v>L 50x5</v>
      </c>
      <c r="K249" t="str">
        <f>K108</f>
        <v>L 50x5</v>
      </c>
      <c r="L249" t="str">
        <f>L108</f>
        <v>L 50x5</v>
      </c>
      <c r="M249" t="str">
        <f>M108</f>
        <v>L 50x5</v>
      </c>
      <c r="N249" t="str">
        <f>N108</f>
        <v>L 50x5</v>
      </c>
      <c r="O249" t="str">
        <f>O108</f>
        <v>L 50x5</v>
      </c>
      <c r="P249" t="str">
        <f>P108</f>
        <v>L 50x5</v>
      </c>
      <c r="Q249" t="str">
        <f>Q108</f>
        <v>L 50x5</v>
      </c>
      <c r="R249" t="str">
        <f>R108</f>
        <v>L 50x5</v>
      </c>
      <c r="S249" t="str">
        <f>S108</f>
        <v>L 50x5</v>
      </c>
      <c r="T249" t="str">
        <f>T108</f>
        <v>L 50x5</v>
      </c>
      <c r="U249" t="str">
        <f>U108</f>
        <v>L 50x5</v>
      </c>
      <c r="V249" t="str">
        <f>V108</f>
        <v>L 50x5</v>
      </c>
      <c r="W249" t="str">
        <f>W108</f>
        <v>L 50x5</v>
      </c>
      <c r="X249" t="str">
        <f>X108</f>
        <v>L 50x5</v>
      </c>
    </row>
    <row r="250">
      <c r="A250" t="inlineStr">
        <is>
          <t>baio_q</t>
        </is>
      </c>
      <c r="B250" t="inlineStr">
        <is>
          <t>QUANTITATIF_CHARPENTE!E35</t>
        </is>
      </c>
      <c r="D250">
        <f>IF('PARAMÈTRES'!$C$42="Oui",ROUNDUP(D32/'PARAMÈTRES'!$C$44,0),0)</f>
        <v>0</v>
      </c>
      <c r="E250">
        <f>IF('PARAMÈTRES'!$C$42="Oui",ROUNDUP(E32/'PARAMÈTRES'!$C$44,0),0)</f>
        <v>0</v>
      </c>
      <c r="F250">
        <f>IF('PARAMÈTRES'!$C$42="Oui",ROUNDUP(F32/'PARAMÈTRES'!$C$44,0),0)</f>
        <v>0</v>
      </c>
      <c r="G250">
        <f>IF('PARAMÈTRES'!$C$42="Oui",ROUNDUP(G32/'PARAMÈTRES'!$C$44,0),0)</f>
        <v>0</v>
      </c>
      <c r="H250">
        <f>IF('PARAMÈTRES'!$C$42="Oui",ROUNDUP(H32/'PARAMÈTRES'!$C$44,0),0)</f>
        <v>0</v>
      </c>
      <c r="I250">
        <f>IF('PARAMÈTRES'!$C$42="Oui",ROUNDUP(I32/'PARAMÈTRES'!$C$44,0),0)</f>
        <v>0</v>
      </c>
      <c r="J250">
        <f>IF('PARAMÈTRES'!$C$42="Oui",ROUNDUP(J32/'PARAMÈTRES'!$C$44,0),0)</f>
        <v>0</v>
      </c>
      <c r="K250">
        <f>IF('PARAMÈTRES'!$C$42="Oui",ROUNDUP(K32/'PARAMÈTRES'!$C$44,0),0)</f>
        <v>0</v>
      </c>
      <c r="L250">
        <f>IF('PARAMÈTRES'!$C$42="Oui",ROUNDUP(L32/'PARAMÈTRES'!$C$44,0),0)</f>
        <v>0</v>
      </c>
      <c r="M250">
        <f>IF('PARAMÈTRES'!$C$42="Oui",ROUNDUP(M32/'PARAMÈTRES'!$C$44,0),0)</f>
        <v>0</v>
      </c>
      <c r="N250">
        <f>IF('PARAMÈTRES'!$C$42="Oui",ROUNDUP(N32/'PARAMÈTRES'!$C$44,0),0)</f>
        <v>0</v>
      </c>
      <c r="O250">
        <f>IF('PARAMÈTRES'!$C$42="Oui",ROUNDUP(O32/'PARAMÈTRES'!$C$44,0),0)</f>
        <v>0</v>
      </c>
      <c r="P250">
        <f>IF('PARAMÈTRES'!$C$42="Oui",ROUNDUP(P32/'PARAMÈTRES'!$C$44,0),0)</f>
        <v>0</v>
      </c>
      <c r="Q250">
        <f>IF('PARAMÈTRES'!$C$42="Oui",ROUNDUP(Q32/'PARAMÈTRES'!$C$44,0),0)</f>
        <v>0</v>
      </c>
      <c r="R250">
        <f>IF('PARAMÈTRES'!$C$42="Oui",ROUNDUP(R32/'PARAMÈTRES'!$C$44,0),0)</f>
        <v>0</v>
      </c>
      <c r="S250">
        <f>IF('PARAMÈTRES'!$C$42="Oui",ROUNDUP(S32/'PARAMÈTRES'!$C$44,0),0)</f>
        <v>0</v>
      </c>
      <c r="T250">
        <f>IF('PARAMÈTRES'!$C$42="Oui",ROUNDUP(T32/'PARAMÈTRES'!$C$44,0),0)</f>
        <v>0</v>
      </c>
      <c r="U250">
        <f>IF('PARAMÈTRES'!$C$42="Oui",ROUNDUP(U32/'PARAMÈTRES'!$C$44,0),0)</f>
        <v>0</v>
      </c>
      <c r="V250">
        <f>IF('PARAMÈTRES'!$C$42="Oui",ROUNDUP(V32/'PARAMÈTRES'!$C$44,0),0)</f>
        <v>0</v>
      </c>
      <c r="W250">
        <f>IF('PARAMÈTRES'!$C$42="Oui",ROUNDUP(W32/'PARAMÈTRES'!$C$44,0),0)</f>
        <v>0</v>
      </c>
      <c r="X250">
        <f>IF('PARAMÈTRES'!$C$42="Oui",ROUNDUP(X32/'PARAMÈTRES'!$C$44,0),0)</f>
        <v>0</v>
      </c>
    </row>
    <row r="251">
      <c r="A251" t="inlineStr">
        <is>
          <t>baio_lu</t>
        </is>
      </c>
      <c r="B251" t="inlineStr">
        <is>
          <t>QUANTITATIF_CHARPENTE!F35</t>
        </is>
      </c>
      <c r="D251">
        <f>'PARAMÈTRES'!$C$43</f>
        <v>1</v>
      </c>
      <c r="E251">
        <f>'PARAMÈTRES'!$C$43</f>
        <v>1</v>
      </c>
      <c r="F251">
        <f>'PARAMÈTRES'!$C$43</f>
        <v>1</v>
      </c>
      <c r="G251">
        <f>'PARAMÈTRES'!$C$43</f>
        <v>1</v>
      </c>
      <c r="H251">
        <f>'PARAMÈTRES'!$C$43</f>
        <v>1</v>
      </c>
      <c r="I251">
        <f>'PARAMÈTRES'!$C$43</f>
        <v>1</v>
      </c>
      <c r="J251">
        <f>'PARAMÈTRES'!$C$43</f>
        <v>1</v>
      </c>
      <c r="K251">
        <f>'PARAMÈTRES'!$C$43</f>
        <v>1</v>
      </c>
      <c r="L251">
        <f>'PARAMÈTRES'!$C$43</f>
        <v>1</v>
      </c>
      <c r="M251">
        <f>'PARAMÈTRES'!$C$43</f>
        <v>1</v>
      </c>
      <c r="N251">
        <f>'PARAMÈTRES'!$C$43</f>
        <v>1</v>
      </c>
      <c r="O251">
        <f>'PARAMÈTRES'!$C$43</f>
        <v>1</v>
      </c>
      <c r="P251">
        <f>'PARAMÈTRES'!$C$43</f>
        <v>1</v>
      </c>
      <c r="Q251">
        <f>'PARAMÈTRES'!$C$43</f>
        <v>1</v>
      </c>
      <c r="R251">
        <f>'PARAMÈTRES'!$C$43</f>
        <v>1</v>
      </c>
      <c r="S251">
        <f>'PARAMÈTRES'!$C$43</f>
        <v>1</v>
      </c>
      <c r="T251">
        <f>'PARAMÈTRES'!$C$43</f>
        <v>1</v>
      </c>
      <c r="U251">
        <f>'PARAMÈTRES'!$C$43</f>
        <v>1</v>
      </c>
      <c r="V251">
        <f>'PARAMÈTRES'!$C$43</f>
        <v>1</v>
      </c>
      <c r="W251">
        <f>'PARAMÈTRES'!$C$43</f>
        <v>1</v>
      </c>
      <c r="X251">
        <f>'PARAMÈTRES'!$C$43</f>
        <v>1</v>
      </c>
    </row>
    <row r="252">
      <c r="A252" t="inlineStr">
        <is>
          <t>baio_lt</t>
        </is>
      </c>
      <c r="B252" t="inlineStr">
        <is>
          <t>QUANTITATIF_CHARPENTE!G35</t>
        </is>
      </c>
      <c r="D252">
        <f>D250*D251</f>
        <v>0</v>
      </c>
      <c r="E252">
        <f>E250*E251</f>
        <v>0</v>
      </c>
      <c r="F252">
        <f>F250*F251</f>
        <v>0</v>
      </c>
      <c r="G252">
        <f>G250*G251</f>
        <v>0</v>
      </c>
      <c r="H252">
        <f>H250*H251</f>
        <v>0</v>
      </c>
      <c r="I252">
        <f>I250*I251</f>
        <v>0</v>
      </c>
      <c r="J252">
        <f>J250*J251</f>
        <v>0</v>
      </c>
      <c r="K252">
        <f>K250*K251</f>
        <v>0</v>
      </c>
      <c r="L252">
        <f>L250*L251</f>
        <v>0</v>
      </c>
      <c r="M252">
        <f>M250*M251</f>
        <v>0</v>
      </c>
      <c r="N252">
        <f>N250*N251</f>
        <v>0</v>
      </c>
      <c r="O252">
        <f>O250*O251</f>
        <v>0</v>
      </c>
      <c r="P252">
        <f>P250*P251</f>
        <v>0</v>
      </c>
      <c r="Q252">
        <f>Q250*Q251</f>
        <v>0</v>
      </c>
      <c r="R252">
        <f>R250*R251</f>
        <v>0</v>
      </c>
      <c r="S252">
        <f>S250*S251</f>
        <v>0</v>
      </c>
      <c r="T252">
        <f>T250*T251</f>
        <v>0</v>
      </c>
      <c r="U252">
        <f>U250*U251</f>
        <v>0</v>
      </c>
      <c r="V252">
        <f>V250*V251</f>
        <v>0</v>
      </c>
      <c r="W252">
        <f>W250*W251</f>
        <v>0</v>
      </c>
      <c r="X252">
        <f>X250*X251</f>
        <v>0</v>
      </c>
    </row>
    <row r="253">
      <c r="A253" t="inlineStr">
        <is>
          <t>baio_kgml</t>
        </is>
      </c>
      <c r="B253" t="inlineStr">
        <is>
          <t>QUANTITATIF_CHARPENTE!H35</t>
        </is>
      </c>
      <c r="D253">
        <f>D109</f>
        <v>3.77</v>
      </c>
      <c r="E253">
        <f>E109</f>
        <v>3.77</v>
      </c>
      <c r="F253">
        <f>F109</f>
        <v>3.77</v>
      </c>
      <c r="G253">
        <f>G109</f>
        <v>3.77</v>
      </c>
      <c r="H253">
        <f>H109</f>
        <v>3.77</v>
      </c>
      <c r="I253">
        <f>I109</f>
        <v>3.77</v>
      </c>
      <c r="J253">
        <f>J109</f>
        <v>3.77</v>
      </c>
      <c r="K253">
        <f>K109</f>
        <v>3.77</v>
      </c>
      <c r="L253">
        <f>L109</f>
        <v>3.77</v>
      </c>
      <c r="M253">
        <f>M109</f>
        <v>3.77</v>
      </c>
      <c r="N253">
        <f>N109</f>
        <v>3.77</v>
      </c>
      <c r="O253">
        <f>O109</f>
        <v>3.77</v>
      </c>
      <c r="P253">
        <f>P109</f>
        <v>3.77</v>
      </c>
      <c r="Q253">
        <f>Q109</f>
        <v>3.77</v>
      </c>
      <c r="R253">
        <f>R109</f>
        <v>3.77</v>
      </c>
      <c r="S253">
        <f>S109</f>
        <v>3.77</v>
      </c>
      <c r="T253">
        <f>T109</f>
        <v>3.77</v>
      </c>
      <c r="U253">
        <f>U109</f>
        <v>3.77</v>
      </c>
      <c r="V253">
        <f>V109</f>
        <v>3.77</v>
      </c>
      <c r="W253">
        <f>W109</f>
        <v>3.77</v>
      </c>
      <c r="X253">
        <f>X109</f>
        <v>3.77</v>
      </c>
    </row>
    <row r="254">
      <c r="A254" t="inlineStr">
        <is>
          <t>baio_kg</t>
        </is>
      </c>
      <c r="B254" t="inlineStr">
        <is>
          <t>QUANTITATIF_CHARPENTE!I35</t>
        </is>
      </c>
      <c r="D254">
        <f>D252*D253</f>
        <v>0</v>
      </c>
      <c r="E254">
        <f>E252*E253</f>
        <v>0</v>
      </c>
      <c r="F254">
        <f>F252*F253</f>
        <v>0</v>
      </c>
      <c r="G254">
        <f>G252*G253</f>
        <v>0</v>
      </c>
      <c r="H254">
        <f>H252*H253</f>
        <v>0</v>
      </c>
      <c r="I254">
        <f>I252*I253</f>
        <v>0</v>
      </c>
      <c r="J254">
        <f>J252*J253</f>
        <v>0</v>
      </c>
      <c r="K254">
        <f>K252*K253</f>
        <v>0</v>
      </c>
      <c r="L254">
        <f>L252*L253</f>
        <v>0</v>
      </c>
      <c r="M254">
        <f>M252*M253</f>
        <v>0</v>
      </c>
      <c r="N254">
        <f>N252*N253</f>
        <v>0</v>
      </c>
      <c r="O254">
        <f>O252*O253</f>
        <v>0</v>
      </c>
      <c r="P254">
        <f>P252*P253</f>
        <v>0</v>
      </c>
      <c r="Q254">
        <f>Q252*Q253</f>
        <v>0</v>
      </c>
      <c r="R254">
        <f>R252*R253</f>
        <v>0</v>
      </c>
      <c r="S254">
        <f>S252*S253</f>
        <v>0</v>
      </c>
      <c r="T254">
        <f>T252*T253</f>
        <v>0</v>
      </c>
      <c r="U254">
        <f>U252*U253</f>
        <v>0</v>
      </c>
      <c r="V254">
        <f>V252*V253</f>
        <v>0</v>
      </c>
      <c r="W254">
        <f>W252*W253</f>
        <v>0</v>
      </c>
      <c r="X254">
        <f>X252*X253</f>
        <v>0</v>
      </c>
    </row>
    <row r="255">
      <c r="A255" t="inlineStr">
        <is>
          <t>tole_p</t>
        </is>
      </c>
      <c r="B255" t="inlineStr">
        <is>
          <t>QUANTITATIF_CHARPENTE!C36</t>
        </is>
      </c>
      <c r="D255" t="str">
        <f>"Bac acier "&amp;FIXED('PARAMÈTRES'!$C$47,2,TRUE)&amp;" mm"</f>
        <v>Bac acier 0.45 mm</v>
      </c>
      <c r="E255" t="str">
        <f>"Bac acier "&amp;FIXED('PARAMÈTRES'!$C$47,2,TRUE)&amp;" mm"</f>
        <v>Bac acier 0.45 mm</v>
      </c>
      <c r="F255" t="str">
        <f>"Bac acier "&amp;FIXED('PARAMÈTRES'!$C$47,2,TRUE)&amp;" mm"</f>
        <v>Bac acier 0.45 mm</v>
      </c>
      <c r="G255" t="str">
        <f>"Bac acier "&amp;FIXED('PARAMÈTRES'!$C$47,2,TRUE)&amp;" mm"</f>
        <v>Bac acier 0.45 mm</v>
      </c>
      <c r="H255" t="str">
        <f>"Bac acier "&amp;FIXED('PARAMÈTRES'!$C$47,2,TRUE)&amp;" mm"</f>
        <v>Bac acier 0.45 mm</v>
      </c>
      <c r="I255" t="str">
        <f>"Bac acier "&amp;FIXED('PARAMÈTRES'!$C$47,2,TRUE)&amp;" mm"</f>
        <v>Bac acier 0.45 mm</v>
      </c>
      <c r="J255" t="str">
        <f>"Bac acier "&amp;FIXED('PARAMÈTRES'!$C$47,2,TRUE)&amp;" mm"</f>
        <v>Bac acier 0.45 mm</v>
      </c>
      <c r="K255" t="str">
        <f>"Bac acier "&amp;FIXED('PARAMÈTRES'!$C$47,2,TRUE)&amp;" mm"</f>
        <v>Bac acier 0.45 mm</v>
      </c>
      <c r="L255" t="str">
        <f>"Bac acier "&amp;FIXED('PARAMÈTRES'!$C$47,2,TRUE)&amp;" mm"</f>
        <v>Bac acier 0.45 mm</v>
      </c>
      <c r="M255" t="str">
        <f>"Bac acier "&amp;FIXED('PARAMÈTRES'!$C$47,2,TRUE)&amp;" mm"</f>
        <v>Bac acier 0.45 mm</v>
      </c>
      <c r="N255" t="str">
        <f>"Bac acier "&amp;FIXED('PARAMÈTRES'!$C$47,2,TRUE)&amp;" mm"</f>
        <v>Bac acier 0.45 mm</v>
      </c>
      <c r="O255" t="str">
        <f>"Bac acier "&amp;FIXED('PARAMÈTRES'!$C$47,2,TRUE)&amp;" mm"</f>
        <v>Bac acier 0.45 mm</v>
      </c>
      <c r="P255" t="str">
        <f>"Bac acier "&amp;FIXED('PARAMÈTRES'!$C$47,2,TRUE)&amp;" mm"</f>
        <v>Bac acier 0.45 mm</v>
      </c>
      <c r="Q255" t="str">
        <f>"Bac acier "&amp;FIXED('PARAMÈTRES'!$C$47,2,TRUE)&amp;" mm"</f>
        <v>Bac acier 0.45 mm</v>
      </c>
      <c r="R255" t="str">
        <f>"Bac acier "&amp;FIXED('PARAMÈTRES'!$C$47,2,TRUE)&amp;" mm"</f>
        <v>Bac acier 0.45 mm</v>
      </c>
      <c r="S255" t="str">
        <f>"Bac acier "&amp;FIXED('PARAMÈTRES'!$C$47,2,TRUE)&amp;" mm"</f>
        <v>Bac acier 0.45 mm</v>
      </c>
      <c r="T255" t="str">
        <f>"Bac acier "&amp;FIXED('PARAMÈTRES'!$C$47,2,TRUE)&amp;" mm"</f>
        <v>Bac acier 0.45 mm</v>
      </c>
      <c r="U255" t="str">
        <f>"Bac acier "&amp;FIXED('PARAMÈTRES'!$C$47,2,TRUE)&amp;" mm"</f>
        <v>Bac acier 0.45 mm</v>
      </c>
      <c r="V255" t="str">
        <f>"Bac acier "&amp;FIXED('PARAMÈTRES'!$C$47,2,TRUE)&amp;" mm"</f>
        <v>Bac acier 0.45 mm</v>
      </c>
      <c r="W255" t="str">
        <f>"Bac acier "&amp;FIXED('PARAMÈTRES'!$C$47,2,TRUE)&amp;" mm"</f>
        <v>Bac acier 0.45 mm</v>
      </c>
      <c r="X255" t="str">
        <f>"Bac acier "&amp;FIXED('PARAMÈTRES'!$C$47,2,TRUE)&amp;" mm"</f>
        <v>Bac acier 0.45 mm</v>
      </c>
    </row>
    <row r="256">
      <c r="A256" t="inlineStr">
        <is>
          <t>tole_q</t>
        </is>
      </c>
      <c r="B256" t="inlineStr">
        <is>
          <t>QUANTITATIF_CHARPENTE!E36</t>
        </is>
      </c>
      <c r="D256">
        <f>D48*(1+'PARAMÈTRES'!$C$46)-'PARAMÈTRES'!$C$45*D48-'PARAMÈTRES'!$C$37*'PARAMÈTRES'!$C$38*'PARAMÈTRES'!$C$39</f>
        <v>304.132048300695</v>
      </c>
      <c r="E256">
        <f>E48*(1+'PARAMÈTRES'!$C$46)-'PARAMÈTRES'!$C$45*E48-'PARAMÈTRES'!$C$37*'PARAMÈTRES'!$C$38*'PARAMÈTRES'!$C$39</f>
        <v>304.132048300695</v>
      </c>
      <c r="F256">
        <f>F48*(1+'PARAMÈTRES'!$C$46)-'PARAMÈTRES'!$C$45*F48-'PARAMÈTRES'!$C$37*'PARAMÈTRES'!$C$38*'PARAMÈTRES'!$C$39</f>
        <v>304.132048300695</v>
      </c>
      <c r="G256">
        <f>G48*(1+'PARAMÈTRES'!$C$46)-'PARAMÈTRES'!$C$45*G48-'PARAMÈTRES'!$C$37*'PARAMÈTRES'!$C$38*'PARAMÈTRES'!$C$39</f>
        <v>307.170205636976</v>
      </c>
      <c r="H256">
        <f>H48*(1+'PARAMÈTRES'!$C$46)-'PARAMÈTRES'!$C$45*H48-'PARAMÈTRES'!$C$37*'PARAMÈTRES'!$C$38*'PARAMÈTRES'!$C$39</f>
        <v>307.170205636976</v>
      </c>
      <c r="I256">
        <f>I48*(1+'PARAMÈTRES'!$C$46)-'PARAMÈTRES'!$C$45*I48-'PARAMÈTRES'!$C$37*'PARAMÈTRES'!$C$38*'PARAMÈTRES'!$C$39</f>
        <v>307.170205636976</v>
      </c>
      <c r="J256">
        <f>J48*(1+'PARAMÈTRES'!$C$46)-'PARAMÈTRES'!$C$45*J48-'PARAMÈTRES'!$C$37*'PARAMÈTRES'!$C$38*'PARAMÈTRES'!$C$39</f>
        <v>459.078072451042</v>
      </c>
      <c r="K256">
        <f>K48*(1+'PARAMÈTRES'!$C$46)-'PARAMÈTRES'!$C$45*K48-'PARAMÈTRES'!$C$37*'PARAMÈTRES'!$C$38*'PARAMÈTRES'!$C$39</f>
        <v>459.078072451042</v>
      </c>
      <c r="L256">
        <f>L48*(1+'PARAMÈTRES'!$C$46)-'PARAMÈTRES'!$C$45*L48-'PARAMÈTRES'!$C$37*'PARAMÈTRES'!$C$38*'PARAMÈTRES'!$C$39</f>
        <v>459.078072451042</v>
      </c>
      <c r="M256">
        <f>M48*(1+'PARAMÈTRES'!$C$46)-'PARAMÈTRES'!$C$45*M48-'PARAMÈTRES'!$C$37*'PARAMÈTRES'!$C$38*'PARAMÈTRES'!$C$39</f>
        <v>411.480274182634</v>
      </c>
      <c r="N256">
        <f>N48*(1+'PARAMÈTRES'!$C$46)-'PARAMÈTRES'!$C$45*N48-'PARAMÈTRES'!$C$37*'PARAMÈTRES'!$C$38*'PARAMÈTRES'!$C$39</f>
        <v>411.480274182634</v>
      </c>
      <c r="O256">
        <f>O48*(1+'PARAMÈTRES'!$C$46)-'PARAMÈTRES'!$C$45*O48-'PARAMÈTRES'!$C$37*'PARAMÈTRES'!$C$38*'PARAMÈTRES'!$C$39</f>
        <v>411.480274182634</v>
      </c>
      <c r="P256">
        <f>P48*(1+'PARAMÈTRES'!$C$46)-'PARAMÈTRES'!$C$45*P48-'PARAMÈTRES'!$C$37*'PARAMÈTRES'!$C$38*'PARAMÈTRES'!$C$39</f>
        <v>816.567919020144</v>
      </c>
      <c r="Q256">
        <f>Q48*(1+'PARAMÈTRES'!$C$46)-'PARAMÈTRES'!$C$45*Q48-'PARAMÈTRES'!$C$37*'PARAMÈTRES'!$C$38*'PARAMÈTRES'!$C$39</f>
        <v>816.567919020144</v>
      </c>
      <c r="R256">
        <f>R48*(1+'PARAMÈTRES'!$C$46)-'PARAMÈTRES'!$C$45*R48-'PARAMÈTRES'!$C$37*'PARAMÈTRES'!$C$38*'PARAMÈTRES'!$C$39</f>
        <v>816.567919020144</v>
      </c>
      <c r="S256">
        <f>S48*(1+'PARAMÈTRES'!$C$46)-'PARAMÈTRES'!$C$45*S48-'PARAMÈTRES'!$C$37*'PARAMÈTRES'!$C$38*'PARAMÈTRES'!$C$39</f>
        <v>1227.73187853022</v>
      </c>
      <c r="T256">
        <f>T48*(1+'PARAMÈTRES'!$C$46)-'PARAMÈTRES'!$C$45*T48-'PARAMÈTRES'!$C$37*'PARAMÈTRES'!$C$38*'PARAMÈTRES'!$C$39</f>
        <v>1227.73187853022</v>
      </c>
      <c r="U256">
        <f>U48*(1+'PARAMÈTRES'!$C$46)-'PARAMÈTRES'!$C$45*U48-'PARAMÈTRES'!$C$37*'PARAMÈTRES'!$C$38*'PARAMÈTRES'!$C$39</f>
        <v>1227.73187853022</v>
      </c>
      <c r="V256">
        <f>V48*(1+'PARAMÈTRES'!$C$46)-'PARAMÈTRES'!$C$45*V48-'PARAMÈTRES'!$C$37*'PARAMÈTRES'!$C$38*'PARAMÈTRES'!$C$39</f>
        <v>1638.89583804029</v>
      </c>
      <c r="W256">
        <f>W48*(1+'PARAMÈTRES'!$C$46)-'PARAMÈTRES'!$C$45*W48-'PARAMÈTRES'!$C$37*'PARAMÈTRES'!$C$38*'PARAMÈTRES'!$C$39</f>
        <v>1638.89583804029</v>
      </c>
      <c r="X256">
        <f>X48*(1+'PARAMÈTRES'!$C$46)-'PARAMÈTRES'!$C$45*X48-'PARAMÈTRES'!$C$37*'PARAMÈTRES'!$C$38*'PARAMÈTRES'!$C$39</f>
        <v>1638.89583804029</v>
      </c>
    </row>
    <row r="257">
      <c r="A257" t="inlineStr">
        <is>
          <t>transl_p</t>
        </is>
      </c>
      <c r="B257" t="inlineStr">
        <is>
          <t>QUANTITATIF_CHARPENTE!C37</t>
        </is>
      </c>
      <c r="D257" t="str">
        <f>"Translucide"</f>
        <v>Translucide</v>
      </c>
      <c r="E257" t="str">
        <f>"Translucide"</f>
        <v>Translucide</v>
      </c>
      <c r="F257" t="str">
        <f>"Translucide"</f>
        <v>Translucide</v>
      </c>
      <c r="G257" t="str">
        <f>"Translucide"</f>
        <v>Translucide</v>
      </c>
      <c r="H257" t="str">
        <f>"Translucide"</f>
        <v>Translucide</v>
      </c>
      <c r="I257" t="str">
        <f>"Translucide"</f>
        <v>Translucide</v>
      </c>
      <c r="J257" t="str">
        <f>"Translucide"</f>
        <v>Translucide</v>
      </c>
      <c r="K257" t="str">
        <f>"Translucide"</f>
        <v>Translucide</v>
      </c>
      <c r="L257" t="str">
        <f>"Translucide"</f>
        <v>Translucide</v>
      </c>
      <c r="M257" t="str">
        <f>"Translucide"</f>
        <v>Translucide</v>
      </c>
      <c r="N257" t="str">
        <f>"Translucide"</f>
        <v>Translucide</v>
      </c>
      <c r="O257" t="str">
        <f>"Translucide"</f>
        <v>Translucide</v>
      </c>
      <c r="P257" t="str">
        <f>"Translucide"</f>
        <v>Translucide</v>
      </c>
      <c r="Q257" t="str">
        <f>"Translucide"</f>
        <v>Translucide</v>
      </c>
      <c r="R257" t="str">
        <f>"Translucide"</f>
        <v>Translucide</v>
      </c>
      <c r="S257" t="str">
        <f>"Translucide"</f>
        <v>Translucide</v>
      </c>
      <c r="T257" t="str">
        <f>"Translucide"</f>
        <v>Translucide</v>
      </c>
      <c r="U257" t="str">
        <f>"Translucide"</f>
        <v>Translucide</v>
      </c>
      <c r="V257" t="str">
        <f>"Translucide"</f>
        <v>Translucide</v>
      </c>
      <c r="W257" t="str">
        <f>"Translucide"</f>
        <v>Translucide</v>
      </c>
      <c r="X257" t="str">
        <f>"Translucide"</f>
        <v>Translucide</v>
      </c>
    </row>
    <row r="258">
      <c r="A258" t="inlineStr">
        <is>
          <t>transl_q</t>
        </is>
      </c>
      <c r="B258" t="inlineStr">
        <is>
          <t>QUANTITATIF_CHARPENTE!E37</t>
        </is>
      </c>
      <c r="D258">
        <f>'PARAMÈTRES'!$C$45*D48</f>
        <v>30.9892048300695</v>
      </c>
      <c r="E258">
        <f>'PARAMÈTRES'!$C$45*E48</f>
        <v>30.9892048300695</v>
      </c>
      <c r="F258">
        <f>'PARAMÈTRES'!$C$45*F48</f>
        <v>30.9892048300695</v>
      </c>
      <c r="G258">
        <f>'PARAMÈTRES'!$C$45*G48</f>
        <v>31.2930205636976</v>
      </c>
      <c r="H258">
        <f>'PARAMÈTRES'!$C$45*H48</f>
        <v>31.2930205636976</v>
      </c>
      <c r="I258">
        <f>'PARAMÈTRES'!$C$45*I48</f>
        <v>31.2930205636976</v>
      </c>
      <c r="J258">
        <f>'PARAMÈTRES'!$C$45*J48</f>
        <v>46.4838072451042</v>
      </c>
      <c r="K258">
        <f>'PARAMÈTRES'!$C$45*K48</f>
        <v>46.4838072451042</v>
      </c>
      <c r="L258">
        <f>'PARAMÈTRES'!$C$45*L48</f>
        <v>46.4838072451042</v>
      </c>
      <c r="M258">
        <f>'PARAMÈTRES'!$C$45*M48</f>
        <v>41.7240274182635</v>
      </c>
      <c r="N258">
        <f>'PARAMÈTRES'!$C$45*N48</f>
        <v>41.7240274182635</v>
      </c>
      <c r="O258">
        <f>'PARAMÈTRES'!$C$45*O48</f>
        <v>41.7240274182635</v>
      </c>
      <c r="P258">
        <f>'PARAMÈTRES'!$C$45*P48</f>
        <v>82.2327919020144</v>
      </c>
      <c r="Q258">
        <f>'PARAMÈTRES'!$C$45*Q48</f>
        <v>82.2327919020144</v>
      </c>
      <c r="R258">
        <f>'PARAMÈTRES'!$C$45*R48</f>
        <v>82.2327919020144</v>
      </c>
      <c r="S258">
        <f>'PARAMÈTRES'!$C$45*S48</f>
        <v>123.349187853022</v>
      </c>
      <c r="T258">
        <f>'PARAMÈTRES'!$C$45*T48</f>
        <v>123.349187853022</v>
      </c>
      <c r="U258">
        <f>'PARAMÈTRES'!$C$45*U48</f>
        <v>123.349187853022</v>
      </c>
      <c r="V258">
        <f>'PARAMÈTRES'!$C$45*V48</f>
        <v>164.465583804029</v>
      </c>
      <c r="W258">
        <f>'PARAMÈTRES'!$C$45*W48</f>
        <v>164.465583804029</v>
      </c>
      <c r="X258">
        <f>'PARAMÈTRES'!$C$45*X48</f>
        <v>164.465583804029</v>
      </c>
    </row>
    <row r="259">
      <c r="A259" t="inlineStr">
        <is>
          <t>fait_p</t>
        </is>
      </c>
      <c r="B259" t="inlineStr">
        <is>
          <t>QUANTITATIF_CHARPENTE!C38</t>
        </is>
      </c>
      <c r="D259" t="str">
        <f>"Faîtière"</f>
        <v>Faîtière</v>
      </c>
      <c r="E259" t="str">
        <f>"Faîtière"</f>
        <v>Faîtière</v>
      </c>
      <c r="F259" t="str">
        <f>"Faîtière"</f>
        <v>Faîtière</v>
      </c>
      <c r="G259" t="str">
        <f>"Faîtière"</f>
        <v>Faîtière</v>
      </c>
      <c r="H259" t="str">
        <f>"Faîtière"</f>
        <v>Faîtière</v>
      </c>
      <c r="I259" t="str">
        <f>"Faîtière"</f>
        <v>Faîtière</v>
      </c>
      <c r="J259" t="str">
        <f>"Faîtière"</f>
        <v>Faîtière</v>
      </c>
      <c r="K259" t="str">
        <f>"Faîtière"</f>
        <v>Faîtière</v>
      </c>
      <c r="L259" t="str">
        <f>"Faîtière"</f>
        <v>Faîtière</v>
      </c>
      <c r="M259" t="str">
        <f>"Faîtière"</f>
        <v>Faîtière</v>
      </c>
      <c r="N259" t="str">
        <f>"Faîtière"</f>
        <v>Faîtière</v>
      </c>
      <c r="O259" t="str">
        <f>"Faîtière"</f>
        <v>Faîtière</v>
      </c>
      <c r="P259" t="str">
        <f>"Faîtière"</f>
        <v>Faîtière</v>
      </c>
      <c r="Q259" t="str">
        <f>"Faîtière"</f>
        <v>Faîtière</v>
      </c>
      <c r="R259" t="str">
        <f>"Faîtière"</f>
        <v>Faîtière</v>
      </c>
      <c r="S259" t="str">
        <f>"Faîtière"</f>
        <v>Faîtière</v>
      </c>
      <c r="T259" t="str">
        <f>"Faîtière"</f>
        <v>Faîtière</v>
      </c>
      <c r="U259" t="str">
        <f>"Faîtière"</f>
        <v>Faîtière</v>
      </c>
      <c r="V259" t="str">
        <f>"Faîtière"</f>
        <v>Faîtière</v>
      </c>
      <c r="W259" t="str">
        <f>"Faîtière"</f>
        <v>Faîtière</v>
      </c>
      <c r="X259" t="str">
        <f>"Faîtière"</f>
        <v>Faîtière</v>
      </c>
    </row>
    <row r="260">
      <c r="A260" t="inlineStr">
        <is>
          <t>fait_q</t>
        </is>
      </c>
      <c r="B260" t="inlineStr">
        <is>
          <t>QUANTITATIF_CHARPENTE!E38</t>
        </is>
      </c>
      <c r="D260">
        <f>D27</f>
        <v>30.6</v>
      </c>
      <c r="E260">
        <f>E27</f>
        <v>30.6</v>
      </c>
      <c r="F260">
        <f>F27</f>
        <v>30.6</v>
      </c>
      <c r="G260">
        <f>G27</f>
        <v>20.6</v>
      </c>
      <c r="H260">
        <f>H27</f>
        <v>20.6</v>
      </c>
      <c r="I260">
        <f>I27</f>
        <v>20.6</v>
      </c>
      <c r="J260">
        <f>J27</f>
        <v>30.6</v>
      </c>
      <c r="K260">
        <f>K27</f>
        <v>30.6</v>
      </c>
      <c r="L260">
        <f>L27</f>
        <v>30.6</v>
      </c>
      <c r="M260">
        <f>M27</f>
        <v>20.6</v>
      </c>
      <c r="N260">
        <f>N27</f>
        <v>20.6</v>
      </c>
      <c r="O260">
        <f>O27</f>
        <v>20.6</v>
      </c>
      <c r="P260">
        <f>P27</f>
        <v>40.6</v>
      </c>
      <c r="Q260">
        <f>Q27</f>
        <v>40.6</v>
      </c>
      <c r="R260">
        <f>R27</f>
        <v>40.6</v>
      </c>
      <c r="S260">
        <f>S27</f>
        <v>40.6</v>
      </c>
      <c r="T260">
        <f>T27</f>
        <v>40.6</v>
      </c>
      <c r="U260">
        <f>U27</f>
        <v>40.6</v>
      </c>
      <c r="V260">
        <f>V27</f>
        <v>40.6</v>
      </c>
      <c r="W260">
        <f>W27</f>
        <v>40.6</v>
      </c>
      <c r="X260">
        <f>X27</f>
        <v>40.6</v>
      </c>
    </row>
    <row r="261">
      <c r="A261" t="inlineStr">
        <is>
          <t>rive_p</t>
        </is>
      </c>
      <c r="B261" t="inlineStr">
        <is>
          <t>QUANTITATIF_CHARPENTE!C39</t>
        </is>
      </c>
      <c r="D261" t="str">
        <f>"Rive"</f>
        <v>Rive</v>
      </c>
      <c r="E261" t="str">
        <f>"Rive"</f>
        <v>Rive</v>
      </c>
      <c r="F261" t="str">
        <f>"Rive"</f>
        <v>Rive</v>
      </c>
      <c r="G261" t="str">
        <f>"Rive"</f>
        <v>Rive</v>
      </c>
      <c r="H261" t="str">
        <f>"Rive"</f>
        <v>Rive</v>
      </c>
      <c r="I261" t="str">
        <f>"Rive"</f>
        <v>Rive</v>
      </c>
      <c r="J261" t="str">
        <f>"Rive"</f>
        <v>Rive</v>
      </c>
      <c r="K261" t="str">
        <f>"Rive"</f>
        <v>Rive</v>
      </c>
      <c r="L261" t="str">
        <f>"Rive"</f>
        <v>Rive</v>
      </c>
      <c r="M261" t="str">
        <f>"Rive"</f>
        <v>Rive</v>
      </c>
      <c r="N261" t="str">
        <f>"Rive"</f>
        <v>Rive</v>
      </c>
      <c r="O261" t="str">
        <f>"Rive"</f>
        <v>Rive</v>
      </c>
      <c r="P261" t="str">
        <f>"Rive"</f>
        <v>Rive</v>
      </c>
      <c r="Q261" t="str">
        <f>"Rive"</f>
        <v>Rive</v>
      </c>
      <c r="R261" t="str">
        <f>"Rive"</f>
        <v>Rive</v>
      </c>
      <c r="S261" t="str">
        <f>"Rive"</f>
        <v>Rive</v>
      </c>
      <c r="T261" t="str">
        <f>"Rive"</f>
        <v>Rive</v>
      </c>
      <c r="U261" t="str">
        <f>"Rive"</f>
        <v>Rive</v>
      </c>
      <c r="V261" t="str">
        <f>"Rive"</f>
        <v>Rive</v>
      </c>
      <c r="W261" t="str">
        <f>"Rive"</f>
        <v>Rive</v>
      </c>
      <c r="X261" t="str">
        <f>"Rive"</f>
        <v>Rive</v>
      </c>
    </row>
    <row r="262">
      <c r="A262" t="inlineStr">
        <is>
          <t>rive_q</t>
        </is>
      </c>
      <c r="B262" t="inlineStr">
        <is>
          <t>QUANTITATIF_CHARPENTE!E39</t>
        </is>
      </c>
      <c r="D262">
        <f>4*D16</f>
        <v>20.2543822418755</v>
      </c>
      <c r="E262">
        <f>4*E16</f>
        <v>20.2543822418755</v>
      </c>
      <c r="F262">
        <f>4*F16</f>
        <v>20.2543822418755</v>
      </c>
      <c r="G262">
        <f>4*G16</f>
        <v>30.3815733628132</v>
      </c>
      <c r="H262">
        <f>4*H16</f>
        <v>30.3815733628132</v>
      </c>
      <c r="I262">
        <f>4*I16</f>
        <v>30.3815733628132</v>
      </c>
      <c r="J262">
        <f>4*J16</f>
        <v>30.3815733628132</v>
      </c>
      <c r="K262">
        <f>4*K16</f>
        <v>30.3815733628132</v>
      </c>
      <c r="L262">
        <f>4*L16</f>
        <v>30.3815733628132</v>
      </c>
      <c r="M262">
        <f>4*M16</f>
        <v>40.5087644837509</v>
      </c>
      <c r="N262">
        <f>4*N16</f>
        <v>40.5087644837509</v>
      </c>
      <c r="O262">
        <f>4*O16</f>
        <v>40.5087644837509</v>
      </c>
      <c r="P262">
        <f>4*P16</f>
        <v>40.5087644837509</v>
      </c>
      <c r="Q262">
        <f>4*Q16</f>
        <v>40.5087644837509</v>
      </c>
      <c r="R262">
        <f>4*R16</f>
        <v>40.5087644837509</v>
      </c>
      <c r="S262">
        <f>4*S16</f>
        <v>60.7631467256264</v>
      </c>
      <c r="T262">
        <f>4*T16</f>
        <v>60.7631467256264</v>
      </c>
      <c r="U262">
        <f>4*U16</f>
        <v>60.7631467256264</v>
      </c>
      <c r="V262">
        <f>4*V16</f>
        <v>81.0175289675018</v>
      </c>
      <c r="W262">
        <f>4*W16</f>
        <v>81.0175289675018</v>
      </c>
      <c r="X262">
        <f>4*X16</f>
        <v>81.0175289675018</v>
      </c>
    </row>
    <row r="263">
      <c r="A263" t="inlineStr">
        <is>
          <t>larm_p</t>
        </is>
      </c>
      <c r="B263" t="inlineStr">
        <is>
          <t>QUANTITATIF_CHARPENTE!C40</t>
        </is>
      </c>
      <c r="D263" t="str">
        <f>"Bavette"</f>
        <v>Bavette</v>
      </c>
      <c r="E263" t="str">
        <f>"Bavette"</f>
        <v>Bavette</v>
      </c>
      <c r="F263" t="str">
        <f>"Bavette"</f>
        <v>Bavette</v>
      </c>
      <c r="G263" t="str">
        <f>"Bavette"</f>
        <v>Bavette</v>
      </c>
      <c r="H263" t="str">
        <f>"Bavette"</f>
        <v>Bavette</v>
      </c>
      <c r="I263" t="str">
        <f>"Bavette"</f>
        <v>Bavette</v>
      </c>
      <c r="J263" t="str">
        <f>"Bavette"</f>
        <v>Bavette</v>
      </c>
      <c r="K263" t="str">
        <f>"Bavette"</f>
        <v>Bavette</v>
      </c>
      <c r="L263" t="str">
        <f>"Bavette"</f>
        <v>Bavette</v>
      </c>
      <c r="M263" t="str">
        <f>"Bavette"</f>
        <v>Bavette</v>
      </c>
      <c r="N263" t="str">
        <f>"Bavette"</f>
        <v>Bavette</v>
      </c>
      <c r="O263" t="str">
        <f>"Bavette"</f>
        <v>Bavette</v>
      </c>
      <c r="P263" t="str">
        <f>"Bavette"</f>
        <v>Bavette</v>
      </c>
      <c r="Q263" t="str">
        <f>"Bavette"</f>
        <v>Bavette</v>
      </c>
      <c r="R263" t="str">
        <f>"Bavette"</f>
        <v>Bavette</v>
      </c>
      <c r="S263" t="str">
        <f>"Bavette"</f>
        <v>Bavette</v>
      </c>
      <c r="T263" t="str">
        <f>"Bavette"</f>
        <v>Bavette</v>
      </c>
      <c r="U263" t="str">
        <f>"Bavette"</f>
        <v>Bavette</v>
      </c>
      <c r="V263" t="str">
        <f>"Bavette"</f>
        <v>Bavette</v>
      </c>
      <c r="W263" t="str">
        <f>"Bavette"</f>
        <v>Bavette</v>
      </c>
      <c r="X263" t="str">
        <f>"Bavette"</f>
        <v>Bavette</v>
      </c>
    </row>
    <row r="264">
      <c r="A264" t="inlineStr">
        <is>
          <t>larm_q</t>
        </is>
      </c>
      <c r="B264" t="inlineStr">
        <is>
          <t>QUANTITATIF_CHARPENTE!E40</t>
        </is>
      </c>
      <c r="D264">
        <f>2*D27</f>
        <v>61.2</v>
      </c>
      <c r="E264">
        <f>2*E27</f>
        <v>61.2</v>
      </c>
      <c r="F264">
        <f>2*F27</f>
        <v>61.2</v>
      </c>
      <c r="G264">
        <f>2*G27</f>
        <v>41.2</v>
      </c>
      <c r="H264">
        <f>2*H27</f>
        <v>41.2</v>
      </c>
      <c r="I264">
        <f>2*I27</f>
        <v>41.2</v>
      </c>
      <c r="J264">
        <f>2*J27</f>
        <v>61.2</v>
      </c>
      <c r="K264">
        <f>2*K27</f>
        <v>61.2</v>
      </c>
      <c r="L264">
        <f>2*L27</f>
        <v>61.2</v>
      </c>
      <c r="M264">
        <f>2*M27</f>
        <v>41.2</v>
      </c>
      <c r="N264">
        <f>2*N27</f>
        <v>41.2</v>
      </c>
      <c r="O264">
        <f>2*O27</f>
        <v>41.2</v>
      </c>
      <c r="P264">
        <f>2*P27</f>
        <v>81.2</v>
      </c>
      <c r="Q264">
        <f>2*Q27</f>
        <v>81.2</v>
      </c>
      <c r="R264">
        <f>2*R27</f>
        <v>81.2</v>
      </c>
      <c r="S264">
        <f>2*S27</f>
        <v>81.2</v>
      </c>
      <c r="T264">
        <f>2*T27</f>
        <v>81.2</v>
      </c>
      <c r="U264">
        <f>2*U27</f>
        <v>81.2</v>
      </c>
      <c r="V264">
        <f>2*V27</f>
        <v>81.2</v>
      </c>
      <c r="W264">
        <f>2*W27</f>
        <v>81.2</v>
      </c>
      <c r="X264">
        <f>2*X27</f>
        <v>81.2</v>
      </c>
    </row>
    <row r="265">
      <c r="A265" t="inlineStr">
        <is>
          <t>chen_p</t>
        </is>
      </c>
      <c r="B265" t="inlineStr">
        <is>
          <t>QUANTITATIF_CHARPENTE!C41</t>
        </is>
      </c>
      <c r="D265" t="str">
        <f>"Chéneau"</f>
        <v>Chéneau</v>
      </c>
      <c r="E265" t="str">
        <f>"Chéneau"</f>
        <v>Chéneau</v>
      </c>
      <c r="F265" t="str">
        <f>"Chéneau"</f>
        <v>Chéneau</v>
      </c>
      <c r="G265" t="str">
        <f>"Chéneau"</f>
        <v>Chéneau</v>
      </c>
      <c r="H265" t="str">
        <f>"Chéneau"</f>
        <v>Chéneau</v>
      </c>
      <c r="I265" t="str">
        <f>"Chéneau"</f>
        <v>Chéneau</v>
      </c>
      <c r="J265" t="str">
        <f>"Chéneau"</f>
        <v>Chéneau</v>
      </c>
      <c r="K265" t="str">
        <f>"Chéneau"</f>
        <v>Chéneau</v>
      </c>
      <c r="L265" t="str">
        <f>"Chéneau"</f>
        <v>Chéneau</v>
      </c>
      <c r="M265" t="str">
        <f>"Chéneau"</f>
        <v>Chéneau</v>
      </c>
      <c r="N265" t="str">
        <f>"Chéneau"</f>
        <v>Chéneau</v>
      </c>
      <c r="O265" t="str">
        <f>"Chéneau"</f>
        <v>Chéneau</v>
      </c>
      <c r="P265" t="str">
        <f>"Chéneau"</f>
        <v>Chéneau</v>
      </c>
      <c r="Q265" t="str">
        <f>"Chéneau"</f>
        <v>Chéneau</v>
      </c>
      <c r="R265" t="str">
        <f>"Chéneau"</f>
        <v>Chéneau</v>
      </c>
      <c r="S265" t="str">
        <f>"Chéneau"</f>
        <v>Chéneau</v>
      </c>
      <c r="T265" t="str">
        <f>"Chéneau"</f>
        <v>Chéneau</v>
      </c>
      <c r="U265" t="str">
        <f>"Chéneau"</f>
        <v>Chéneau</v>
      </c>
      <c r="V265" t="str">
        <f>"Chéneau"</f>
        <v>Chéneau</v>
      </c>
      <c r="W265" t="str">
        <f>"Chéneau"</f>
        <v>Chéneau</v>
      </c>
      <c r="X265" t="str">
        <f>"Chéneau"</f>
        <v>Chéneau</v>
      </c>
    </row>
    <row r="266">
      <c r="A266" t="inlineStr">
        <is>
          <t>chen_q</t>
        </is>
      </c>
      <c r="B266" t="inlineStr">
        <is>
          <t>QUANTITATIF_CHARPENTE!E41</t>
        </is>
      </c>
      <c r="D266">
        <f>2*D7</f>
        <v>60</v>
      </c>
      <c r="E266">
        <f>2*E7</f>
        <v>60</v>
      </c>
      <c r="F266">
        <f>2*F7</f>
        <v>60</v>
      </c>
      <c r="G266">
        <f>2*G7</f>
        <v>40</v>
      </c>
      <c r="H266">
        <f>2*H7</f>
        <v>40</v>
      </c>
      <c r="I266">
        <f>2*I7</f>
        <v>40</v>
      </c>
      <c r="J266">
        <f>2*J7</f>
        <v>60</v>
      </c>
      <c r="K266">
        <f>2*K7</f>
        <v>60</v>
      </c>
      <c r="L266">
        <f>2*L7</f>
        <v>60</v>
      </c>
      <c r="M266">
        <f>2*M7</f>
        <v>40</v>
      </c>
      <c r="N266">
        <f>2*N7</f>
        <v>40</v>
      </c>
      <c r="O266">
        <f>2*O7</f>
        <v>40</v>
      </c>
      <c r="P266">
        <f>2*P7</f>
        <v>80</v>
      </c>
      <c r="Q266">
        <f>2*Q7</f>
        <v>80</v>
      </c>
      <c r="R266">
        <f>2*R7</f>
        <v>80</v>
      </c>
      <c r="S266">
        <f>2*S7</f>
        <v>80</v>
      </c>
      <c r="T266">
        <f>2*T7</f>
        <v>80</v>
      </c>
      <c r="U266">
        <f>2*U7</f>
        <v>80</v>
      </c>
      <c r="V266">
        <f>2*V7</f>
        <v>80</v>
      </c>
      <c r="W266">
        <f>2*W7</f>
        <v>80</v>
      </c>
      <c r="X266">
        <f>2*X7</f>
        <v>80</v>
      </c>
    </row>
    <row r="267">
      <c r="A267" t="inlineStr">
        <is>
          <t>naiss_p</t>
        </is>
      </c>
      <c r="B267" t="inlineStr">
        <is>
          <t>QUANTITATIF_CHARPENTE!C42</t>
        </is>
      </c>
      <c r="D267" t="str">
        <f>"Naissance"</f>
        <v>Naissance</v>
      </c>
      <c r="E267" t="str">
        <f>"Naissance"</f>
        <v>Naissance</v>
      </c>
      <c r="F267" t="str">
        <f>"Naissance"</f>
        <v>Naissance</v>
      </c>
      <c r="G267" t="str">
        <f>"Naissance"</f>
        <v>Naissance</v>
      </c>
      <c r="H267" t="str">
        <f>"Naissance"</f>
        <v>Naissance</v>
      </c>
      <c r="I267" t="str">
        <f>"Naissance"</f>
        <v>Naissance</v>
      </c>
      <c r="J267" t="str">
        <f>"Naissance"</f>
        <v>Naissance</v>
      </c>
      <c r="K267" t="str">
        <f>"Naissance"</f>
        <v>Naissance</v>
      </c>
      <c r="L267" t="str">
        <f>"Naissance"</f>
        <v>Naissance</v>
      </c>
      <c r="M267" t="str">
        <f>"Naissance"</f>
        <v>Naissance</v>
      </c>
      <c r="N267" t="str">
        <f>"Naissance"</f>
        <v>Naissance</v>
      </c>
      <c r="O267" t="str">
        <f>"Naissance"</f>
        <v>Naissance</v>
      </c>
      <c r="P267" t="str">
        <f>"Naissance"</f>
        <v>Naissance</v>
      </c>
      <c r="Q267" t="str">
        <f>"Naissance"</f>
        <v>Naissance</v>
      </c>
      <c r="R267" t="str">
        <f>"Naissance"</f>
        <v>Naissance</v>
      </c>
      <c r="S267" t="str">
        <f>"Naissance"</f>
        <v>Naissance</v>
      </c>
      <c r="T267" t="str">
        <f>"Naissance"</f>
        <v>Naissance</v>
      </c>
      <c r="U267" t="str">
        <f>"Naissance"</f>
        <v>Naissance</v>
      </c>
      <c r="V267" t="str">
        <f>"Naissance"</f>
        <v>Naissance</v>
      </c>
      <c r="W267" t="str">
        <f>"Naissance"</f>
        <v>Naissance</v>
      </c>
      <c r="X267" t="str">
        <f>"Naissance"</f>
        <v>Naissance</v>
      </c>
    </row>
    <row r="268">
      <c r="A268" t="inlineStr">
        <is>
          <t>naiss_q</t>
        </is>
      </c>
      <c r="B268" t="inlineStr">
        <is>
          <t>QUANTITATIF_CHARPENTE!E42</t>
        </is>
      </c>
      <c r="D268">
        <f>D49</f>
        <v>2</v>
      </c>
      <c r="E268">
        <f>E49</f>
        <v>2</v>
      </c>
      <c r="F268">
        <f>F49</f>
        <v>2</v>
      </c>
      <c r="G268">
        <f>G49</f>
        <v>2</v>
      </c>
      <c r="H268">
        <f>H49</f>
        <v>2</v>
      </c>
      <c r="I268">
        <f>I49</f>
        <v>2</v>
      </c>
      <c r="J268">
        <f>J49</f>
        <v>4</v>
      </c>
      <c r="K268">
        <f>K49</f>
        <v>4</v>
      </c>
      <c r="L268">
        <f>L49</f>
        <v>4</v>
      </c>
      <c r="M268">
        <f>M49</f>
        <v>4</v>
      </c>
      <c r="N268">
        <f>N49</f>
        <v>4</v>
      </c>
      <c r="O268">
        <f>O49</f>
        <v>4</v>
      </c>
      <c r="P268">
        <f>P49</f>
        <v>6</v>
      </c>
      <c r="Q268">
        <f>Q49</f>
        <v>6</v>
      </c>
      <c r="R268">
        <f>R49</f>
        <v>6</v>
      </c>
      <c r="S268">
        <f>S49</f>
        <v>8</v>
      </c>
      <c r="T268">
        <f>T49</f>
        <v>8</v>
      </c>
      <c r="U268">
        <f>U49</f>
        <v>8</v>
      </c>
      <c r="V268">
        <f>V49</f>
        <v>10</v>
      </c>
      <c r="W268">
        <f>W49</f>
        <v>10</v>
      </c>
      <c r="X268">
        <f>X49</f>
        <v>10</v>
      </c>
    </row>
    <row r="269">
      <c r="A269" t="inlineStr">
        <is>
          <t>desc_p</t>
        </is>
      </c>
      <c r="B269" t="inlineStr">
        <is>
          <t>QUANTITATIF_CHARPENTE!C43</t>
        </is>
      </c>
      <c r="D269" t="str">
        <f>"PVC Ø110"</f>
        <v>PVC Ø110</v>
      </c>
      <c r="E269" t="str">
        <f>"PVC Ø110"</f>
        <v>PVC Ø110</v>
      </c>
      <c r="F269" t="str">
        <f>"PVC Ø110"</f>
        <v>PVC Ø110</v>
      </c>
      <c r="G269" t="str">
        <f>"PVC Ø110"</f>
        <v>PVC Ø110</v>
      </c>
      <c r="H269" t="str">
        <f>"PVC Ø110"</f>
        <v>PVC Ø110</v>
      </c>
      <c r="I269" t="str">
        <f>"PVC Ø110"</f>
        <v>PVC Ø110</v>
      </c>
      <c r="J269" t="str">
        <f>"PVC Ø110"</f>
        <v>PVC Ø110</v>
      </c>
      <c r="K269" t="str">
        <f>"PVC Ø110"</f>
        <v>PVC Ø110</v>
      </c>
      <c r="L269" t="str">
        <f>"PVC Ø110"</f>
        <v>PVC Ø110</v>
      </c>
      <c r="M269" t="str">
        <f>"PVC Ø110"</f>
        <v>PVC Ø110</v>
      </c>
      <c r="N269" t="str">
        <f>"PVC Ø110"</f>
        <v>PVC Ø110</v>
      </c>
      <c r="O269" t="str">
        <f>"PVC Ø110"</f>
        <v>PVC Ø110</v>
      </c>
      <c r="P269" t="str">
        <f>"PVC Ø110"</f>
        <v>PVC Ø110</v>
      </c>
      <c r="Q269" t="str">
        <f>"PVC Ø110"</f>
        <v>PVC Ø110</v>
      </c>
      <c r="R269" t="str">
        <f>"PVC Ø110"</f>
        <v>PVC Ø110</v>
      </c>
      <c r="S269" t="str">
        <f>"PVC Ø110"</f>
        <v>PVC Ø110</v>
      </c>
      <c r="T269" t="str">
        <f>"PVC Ø110"</f>
        <v>PVC Ø110</v>
      </c>
      <c r="U269" t="str">
        <f>"PVC Ø110"</f>
        <v>PVC Ø110</v>
      </c>
      <c r="V269" t="str">
        <f>"PVC Ø110"</f>
        <v>PVC Ø110</v>
      </c>
      <c r="W269" t="str">
        <f>"PVC Ø110"</f>
        <v>PVC Ø110</v>
      </c>
      <c r="X269" t="str">
        <f>"PVC Ø110"</f>
        <v>PVC Ø110</v>
      </c>
    </row>
    <row r="270">
      <c r="A270" t="inlineStr">
        <is>
          <t>desc_q</t>
        </is>
      </c>
      <c r="B270" t="inlineStr">
        <is>
          <t>QUANTITATIF_CHARPENTE!E43</t>
        </is>
      </c>
      <c r="D270">
        <f>D49*D18</f>
        <v>12</v>
      </c>
      <c r="E270">
        <f>E49*E18</f>
        <v>12</v>
      </c>
      <c r="F270">
        <f>F49*F18</f>
        <v>12</v>
      </c>
      <c r="G270">
        <f>G49*G18</f>
        <v>12</v>
      </c>
      <c r="H270">
        <f>H49*H18</f>
        <v>12</v>
      </c>
      <c r="I270">
        <f>I49*I18</f>
        <v>12</v>
      </c>
      <c r="J270">
        <f>J49*J18</f>
        <v>24</v>
      </c>
      <c r="K270">
        <f>K49*K18</f>
        <v>24</v>
      </c>
      <c r="L270">
        <f>L49*L18</f>
        <v>24</v>
      </c>
      <c r="M270">
        <f>M49*M18</f>
        <v>24</v>
      </c>
      <c r="N270">
        <f>N49*N18</f>
        <v>24</v>
      </c>
      <c r="O270">
        <f>O49*O18</f>
        <v>24</v>
      </c>
      <c r="P270">
        <f>P49*P18</f>
        <v>36</v>
      </c>
      <c r="Q270">
        <f>Q49*Q18</f>
        <v>36</v>
      </c>
      <c r="R270">
        <f>R49*R18</f>
        <v>36</v>
      </c>
      <c r="S270">
        <f>S49*S18</f>
        <v>48</v>
      </c>
      <c r="T270">
        <f>T49*T18</f>
        <v>48</v>
      </c>
      <c r="U270">
        <f>U49*U18</f>
        <v>48</v>
      </c>
      <c r="V270">
        <f>V49*V18</f>
        <v>73.3333333333333</v>
      </c>
      <c r="W270">
        <f>W49*W18</f>
        <v>73.3333333333333</v>
      </c>
      <c r="X270">
        <f>X49*X18</f>
        <v>73.3333333333333</v>
      </c>
    </row>
    <row r="271">
      <c r="A271" t="inlineStr">
        <is>
          <t>sky_p</t>
        </is>
      </c>
      <c r="B271" t="inlineStr">
        <is>
          <t>QUANTITATIF_CHARPENTE!C44</t>
        </is>
      </c>
      <c r="D271" t="str">
        <f>"Skydome"</f>
        <v>Skydome</v>
      </c>
      <c r="E271" t="str">
        <f>"Skydome"</f>
        <v>Skydome</v>
      </c>
      <c r="F271" t="str">
        <f>"Skydome"</f>
        <v>Skydome</v>
      </c>
      <c r="G271" t="str">
        <f>"Skydome"</f>
        <v>Skydome</v>
      </c>
      <c r="H271" t="str">
        <f>"Skydome"</f>
        <v>Skydome</v>
      </c>
      <c r="I271" t="str">
        <f>"Skydome"</f>
        <v>Skydome</v>
      </c>
      <c r="J271" t="str">
        <f>"Skydome"</f>
        <v>Skydome</v>
      </c>
      <c r="K271" t="str">
        <f>"Skydome"</f>
        <v>Skydome</v>
      </c>
      <c r="L271" t="str">
        <f>"Skydome"</f>
        <v>Skydome</v>
      </c>
      <c r="M271" t="str">
        <f>"Skydome"</f>
        <v>Skydome</v>
      </c>
      <c r="N271" t="str">
        <f>"Skydome"</f>
        <v>Skydome</v>
      </c>
      <c r="O271" t="str">
        <f>"Skydome"</f>
        <v>Skydome</v>
      </c>
      <c r="P271" t="str">
        <f>"Skydome"</f>
        <v>Skydome</v>
      </c>
      <c r="Q271" t="str">
        <f>"Skydome"</f>
        <v>Skydome</v>
      </c>
      <c r="R271" t="str">
        <f>"Skydome"</f>
        <v>Skydome</v>
      </c>
      <c r="S271" t="str">
        <f>"Skydome"</f>
        <v>Skydome</v>
      </c>
      <c r="T271" t="str">
        <f>"Skydome"</f>
        <v>Skydome</v>
      </c>
      <c r="U271" t="str">
        <f>"Skydome"</f>
        <v>Skydome</v>
      </c>
      <c r="V271" t="str">
        <f>"Skydome"</f>
        <v>Skydome</v>
      </c>
      <c r="W271" t="str">
        <f>"Skydome"</f>
        <v>Skydome</v>
      </c>
      <c r="X271" t="str">
        <f>"Skydome"</f>
        <v>Skydome</v>
      </c>
    </row>
    <row r="272">
      <c r="A272" t="inlineStr">
        <is>
          <t>sky_q</t>
        </is>
      </c>
      <c r="B272" t="inlineStr">
        <is>
          <t>QUANTITATIF_CHARPENTE!E44</t>
        </is>
      </c>
      <c r="D272">
        <f>'PARAMÈTRES'!$C$37</f>
        <v>4</v>
      </c>
      <c r="E272">
        <f>'PARAMÈTRES'!$C$37</f>
        <v>4</v>
      </c>
      <c r="F272">
        <f>'PARAMÈTRES'!$C$37</f>
        <v>4</v>
      </c>
      <c r="G272">
        <f>'PARAMÈTRES'!$C$37</f>
        <v>4</v>
      </c>
      <c r="H272">
        <f>'PARAMÈTRES'!$C$37</f>
        <v>4</v>
      </c>
      <c r="I272">
        <f>'PARAMÈTRES'!$C$37</f>
        <v>4</v>
      </c>
      <c r="J272">
        <f>'PARAMÈTRES'!$C$37</f>
        <v>4</v>
      </c>
      <c r="K272">
        <f>'PARAMÈTRES'!$C$37</f>
        <v>4</v>
      </c>
      <c r="L272">
        <f>'PARAMÈTRES'!$C$37</f>
        <v>4</v>
      </c>
      <c r="M272">
        <f>'PARAMÈTRES'!$C$37</f>
        <v>4</v>
      </c>
      <c r="N272">
        <f>'PARAMÈTRES'!$C$37</f>
        <v>4</v>
      </c>
      <c r="O272">
        <f>'PARAMÈTRES'!$C$37</f>
        <v>4</v>
      </c>
      <c r="P272">
        <f>'PARAMÈTRES'!$C$37</f>
        <v>4</v>
      </c>
      <c r="Q272">
        <f>'PARAMÈTRES'!$C$37</f>
        <v>4</v>
      </c>
      <c r="R272">
        <f>'PARAMÈTRES'!$C$37</f>
        <v>4</v>
      </c>
      <c r="S272">
        <f>'PARAMÈTRES'!$C$37</f>
        <v>4</v>
      </c>
      <c r="T272">
        <f>'PARAMÈTRES'!$C$37</f>
        <v>4</v>
      </c>
      <c r="U272">
        <f>'PARAMÈTRES'!$C$37</f>
        <v>4</v>
      </c>
      <c r="V272">
        <f>'PARAMÈTRES'!$C$37</f>
        <v>4</v>
      </c>
      <c r="W272">
        <f>'PARAMÈTRES'!$C$37</f>
        <v>4</v>
      </c>
      <c r="X272">
        <f>'PARAMÈTRES'!$C$37</f>
        <v>4</v>
      </c>
    </row>
    <row r="273">
      <c r="A273" t="inlineStr">
        <is>
          <t>riv_p</t>
        </is>
      </c>
      <c r="B273" t="inlineStr">
        <is>
          <t>QUANTITATIF_CHARPENTE!C45</t>
        </is>
      </c>
      <c r="D273" t="str">
        <f>"Rivet"</f>
        <v>Rivet</v>
      </c>
      <c r="E273" t="str">
        <f>"Rivet"</f>
        <v>Rivet</v>
      </c>
      <c r="F273" t="str">
        <f>"Rivet"</f>
        <v>Rivet</v>
      </c>
      <c r="G273" t="str">
        <f>"Rivet"</f>
        <v>Rivet</v>
      </c>
      <c r="H273" t="str">
        <f>"Rivet"</f>
        <v>Rivet</v>
      </c>
      <c r="I273" t="str">
        <f>"Rivet"</f>
        <v>Rivet</v>
      </c>
      <c r="J273" t="str">
        <f>"Rivet"</f>
        <v>Rivet</v>
      </c>
      <c r="K273" t="str">
        <f>"Rivet"</f>
        <v>Rivet</v>
      </c>
      <c r="L273" t="str">
        <f>"Rivet"</f>
        <v>Rivet</v>
      </c>
      <c r="M273" t="str">
        <f>"Rivet"</f>
        <v>Rivet</v>
      </c>
      <c r="N273" t="str">
        <f>"Rivet"</f>
        <v>Rivet</v>
      </c>
      <c r="O273" t="str">
        <f>"Rivet"</f>
        <v>Rivet</v>
      </c>
      <c r="P273" t="str">
        <f>"Rivet"</f>
        <v>Rivet</v>
      </c>
      <c r="Q273" t="str">
        <f>"Rivet"</f>
        <v>Rivet</v>
      </c>
      <c r="R273" t="str">
        <f>"Rivet"</f>
        <v>Rivet</v>
      </c>
      <c r="S273" t="str">
        <f>"Rivet"</f>
        <v>Rivet</v>
      </c>
      <c r="T273" t="str">
        <f>"Rivet"</f>
        <v>Rivet</v>
      </c>
      <c r="U273" t="str">
        <f>"Rivet"</f>
        <v>Rivet</v>
      </c>
      <c r="V273" t="str">
        <f>"Rivet"</f>
        <v>Rivet</v>
      </c>
      <c r="W273" t="str">
        <f>"Rivet"</f>
        <v>Rivet</v>
      </c>
      <c r="X273" t="str">
        <f>"Rivet"</f>
        <v>Rivet</v>
      </c>
    </row>
    <row r="274">
      <c r="A274" t="inlineStr">
        <is>
          <t>riv_q</t>
        </is>
      </c>
      <c r="B274" t="inlineStr">
        <is>
          <t>QUANTITATIF_CHARPENTE!E45</t>
        </is>
      </c>
      <c r="D274">
        <f>D266*'PARAMÈTRES'!$C$50</f>
        <v>300</v>
      </c>
      <c r="E274">
        <f>E266*'PARAMÈTRES'!$C$50</f>
        <v>300</v>
      </c>
      <c r="F274">
        <f>F266*'PARAMÈTRES'!$C$50</f>
        <v>300</v>
      </c>
      <c r="G274">
        <f>G266*'PARAMÈTRES'!$C$50</f>
        <v>200</v>
      </c>
      <c r="H274">
        <f>H266*'PARAMÈTRES'!$C$50</f>
        <v>200</v>
      </c>
      <c r="I274">
        <f>I266*'PARAMÈTRES'!$C$50</f>
        <v>200</v>
      </c>
      <c r="J274">
        <f>J266*'PARAMÈTRES'!$C$50</f>
        <v>300</v>
      </c>
      <c r="K274">
        <f>K266*'PARAMÈTRES'!$C$50</f>
        <v>300</v>
      </c>
      <c r="L274">
        <f>L266*'PARAMÈTRES'!$C$50</f>
        <v>300</v>
      </c>
      <c r="M274">
        <f>M266*'PARAMÈTRES'!$C$50</f>
        <v>200</v>
      </c>
      <c r="N274">
        <f>N266*'PARAMÈTRES'!$C$50</f>
        <v>200</v>
      </c>
      <c r="O274">
        <f>O266*'PARAMÈTRES'!$C$50</f>
        <v>200</v>
      </c>
      <c r="P274">
        <f>P266*'PARAMÈTRES'!$C$50</f>
        <v>400</v>
      </c>
      <c r="Q274">
        <f>Q266*'PARAMÈTRES'!$C$50</f>
        <v>400</v>
      </c>
      <c r="R274">
        <f>R266*'PARAMÈTRES'!$C$50</f>
        <v>400</v>
      </c>
      <c r="S274">
        <f>S266*'PARAMÈTRES'!$C$50</f>
        <v>400</v>
      </c>
      <c r="T274">
        <f>T266*'PARAMÈTRES'!$C$50</f>
        <v>400</v>
      </c>
      <c r="U274">
        <f>U266*'PARAMÈTRES'!$C$50</f>
        <v>400</v>
      </c>
      <c r="V274">
        <f>V266*'PARAMÈTRES'!$C$50</f>
        <v>400</v>
      </c>
      <c r="W274">
        <f>W266*'PARAMÈTRES'!$C$50</f>
        <v>400</v>
      </c>
      <c r="X274">
        <f>X266*'PARAMÈTRES'!$C$50</f>
        <v>400</v>
      </c>
    </row>
    <row r="275">
      <c r="A275" t="inlineStr">
        <is>
          <t>lis_lp_p</t>
        </is>
      </c>
      <c r="B275" t="inlineStr">
        <is>
          <t>QUANTITATIF_CHARPENTE!C48</t>
        </is>
      </c>
      <c r="D275" t="str">
        <f>D88</f>
        <v>C 160</v>
      </c>
      <c r="E275" t="str">
        <f>E88</f>
        <v>C 160</v>
      </c>
      <c r="F275" t="str">
        <f>F88</f>
        <v>C 160</v>
      </c>
      <c r="G275" t="str">
        <f>G88</f>
        <v>C 140</v>
      </c>
      <c r="H275" t="str">
        <f>H88</f>
        <v>C 140</v>
      </c>
      <c r="I275" t="str">
        <f>I88</f>
        <v>C 140</v>
      </c>
      <c r="J275" t="str">
        <f>J88</f>
        <v>C 160</v>
      </c>
      <c r="K275" t="str">
        <f>K88</f>
        <v>C 160</v>
      </c>
      <c r="L275" t="str">
        <f>L88</f>
        <v>C 160</v>
      </c>
      <c r="M275" t="str">
        <f>M88</f>
        <v>C 140</v>
      </c>
      <c r="N275" t="str">
        <f>N88</f>
        <v>C 140</v>
      </c>
      <c r="O275" t="str">
        <f>O88</f>
        <v>C 140</v>
      </c>
      <c r="P275" t="str">
        <f>P88</f>
        <v>C 160</v>
      </c>
      <c r="Q275" t="str">
        <f>Q88</f>
        <v>C 160</v>
      </c>
      <c r="R275" t="str">
        <f>R88</f>
        <v>C 160</v>
      </c>
      <c r="S275" t="str">
        <f>S88</f>
        <v>C 160</v>
      </c>
      <c r="T275" t="str">
        <f>T88</f>
        <v>C 160</v>
      </c>
      <c r="U275" t="str">
        <f>U88</f>
        <v>C 160</v>
      </c>
      <c r="V275" t="str">
        <f>V88</f>
        <v>C 160</v>
      </c>
      <c r="W275" t="str">
        <f>W88</f>
        <v>C 160</v>
      </c>
      <c r="X275" t="str">
        <f>X88</f>
        <v>C 160</v>
      </c>
    </row>
    <row r="276">
      <c r="A276" t="inlineStr">
        <is>
          <t>lis_lp_q</t>
        </is>
      </c>
      <c r="B276" t="inlineStr">
        <is>
          <t>QUANTITATIF_CHARPENTE!E48</t>
        </is>
      </c>
      <c r="D276">
        <f>2*D44*D13</f>
        <v>40</v>
      </c>
      <c r="E276">
        <f>2*E44*E13</f>
        <v>40</v>
      </c>
      <c r="F276">
        <f>2*F44*F13</f>
        <v>0</v>
      </c>
      <c r="G276">
        <f>2*G44*G13</f>
        <v>32</v>
      </c>
      <c r="H276">
        <f>2*H44*H13</f>
        <v>32</v>
      </c>
      <c r="I276">
        <f>2*I44*I13</f>
        <v>0</v>
      </c>
      <c r="J276">
        <f>2*J44*J13</f>
        <v>40</v>
      </c>
      <c r="K276">
        <f>2*K44*K13</f>
        <v>40</v>
      </c>
      <c r="L276">
        <f>2*L44*L13</f>
        <v>0</v>
      </c>
      <c r="M276">
        <f>2*M44*M13</f>
        <v>32</v>
      </c>
      <c r="N276">
        <f>2*N44*N13</f>
        <v>32</v>
      </c>
      <c r="O276">
        <f>2*O44*O13</f>
        <v>0</v>
      </c>
      <c r="P276">
        <f>2*P44*P13</f>
        <v>56</v>
      </c>
      <c r="Q276">
        <f>2*Q44*Q13</f>
        <v>56</v>
      </c>
      <c r="R276">
        <f>2*R44*R13</f>
        <v>0</v>
      </c>
      <c r="S276">
        <f>2*S44*S13</f>
        <v>56</v>
      </c>
      <c r="T276">
        <f>2*T44*T13</f>
        <v>56</v>
      </c>
      <c r="U276">
        <f>2*U44*U13</f>
        <v>0</v>
      </c>
      <c r="V276">
        <f>2*V44*V13</f>
        <v>70</v>
      </c>
      <c r="W276">
        <f>2*W44*W13</f>
        <v>70</v>
      </c>
      <c r="X276">
        <f>2*X44*X13</f>
        <v>0</v>
      </c>
    </row>
    <row r="277">
      <c r="A277" t="inlineStr">
        <is>
          <t>lis_lp_lu</t>
        </is>
      </c>
      <c r="B277" t="inlineStr">
        <is>
          <t>QUANTITATIF_CHARPENTE!F48</t>
        </is>
      </c>
      <c r="D277">
        <f>IF(D276&gt;0,D278/D276,0)</f>
        <v>5.5875</v>
      </c>
      <c r="E277">
        <f>IF(E276&gt;0,E278/E276,0)</f>
        <v>5.5875</v>
      </c>
      <c r="F277">
        <f>IF(F276&gt;0,F278/F276,0)</f>
        <v>0</v>
      </c>
      <c r="G277">
        <f>IF(G276&gt;0,G278/G276,0)</f>
        <v>4.484375</v>
      </c>
      <c r="H277">
        <f>IF(H276&gt;0,H278/H276,0)</f>
        <v>4.484375</v>
      </c>
      <c r="I277">
        <f>IF(I276&gt;0,I278/I276,0)</f>
        <v>0</v>
      </c>
      <c r="J277">
        <f>IF(J276&gt;0,J278/J276,0)</f>
        <v>5.5875</v>
      </c>
      <c r="K277">
        <f>IF(K276&gt;0,K278/K276,0)</f>
        <v>5.5875</v>
      </c>
      <c r="L277">
        <f>IF(L276&gt;0,L278/L276,0)</f>
        <v>0</v>
      </c>
      <c r="M277">
        <f>IF(M276&gt;0,M278/M276,0)</f>
        <v>4.484375</v>
      </c>
      <c r="N277">
        <f>IF(N276&gt;0,N278/N276,0)</f>
        <v>4.484375</v>
      </c>
      <c r="O277">
        <f>IF(O276&gt;0,O278/O276,0)</f>
        <v>0</v>
      </c>
      <c r="P277">
        <f>IF(P276&gt;0,P278/P276,0)</f>
        <v>5.41964285714286</v>
      </c>
      <c r="Q277">
        <f>IF(Q276&gt;0,Q278/Q276,0)</f>
        <v>5.41964285714286</v>
      </c>
      <c r="R277">
        <f>IF(R276&gt;0,R278/R276,0)</f>
        <v>0</v>
      </c>
      <c r="S277">
        <f>IF(S276&gt;0,S278/S276,0)</f>
        <v>5.41964285714286</v>
      </c>
      <c r="T277">
        <f>IF(T276&gt;0,T278/T276,0)</f>
        <v>5.41964285714286</v>
      </c>
      <c r="U277">
        <f>IF(U276&gt;0,U278/U276,0)</f>
        <v>0</v>
      </c>
      <c r="V277">
        <f>IF(V276&gt;0,V278/V276,0)</f>
        <v>5.47857142857143</v>
      </c>
      <c r="W277">
        <f>IF(W276&gt;0,W278/W276,0)</f>
        <v>5.47857142857143</v>
      </c>
      <c r="X277">
        <f>IF(X276&gt;0,X278/X276,0)</f>
        <v>0</v>
      </c>
    </row>
    <row r="278">
      <c r="A278" t="inlineStr">
        <is>
          <t>lis_lp_lt</t>
        </is>
      </c>
      <c r="B278" t="inlineStr">
        <is>
          <t>QUANTITATIF_CHARPENTE!G48</t>
        </is>
      </c>
      <c r="D278">
        <f>MAX(0,2*D44*D7-D38*'PARAMÈTRES'!$C$29*D45-D39*'PARAMÈTRES'!$C$33*D46)</f>
        <v>223.5</v>
      </c>
      <c r="E278">
        <f>MAX(0,2*E44*E7-E38*'PARAMÈTRES'!$C$29*E45-E39*'PARAMÈTRES'!$C$33*E46)</f>
        <v>223.5</v>
      </c>
      <c r="F278">
        <f>MAX(0,2*F44*F7-F38*'PARAMÈTRES'!$C$29*F45-F39*'PARAMÈTRES'!$C$33*F46)</f>
        <v>0</v>
      </c>
      <c r="G278">
        <f>MAX(0,2*G44*G7-G38*'PARAMÈTRES'!$C$29*G45-G39*'PARAMÈTRES'!$C$33*G46)</f>
        <v>143.5</v>
      </c>
      <c r="H278">
        <f>MAX(0,2*H44*H7-H38*'PARAMÈTRES'!$C$29*H45-H39*'PARAMÈTRES'!$C$33*H46)</f>
        <v>143.5</v>
      </c>
      <c r="I278">
        <f>MAX(0,2*I44*I7-I38*'PARAMÈTRES'!$C$29*I45-I39*'PARAMÈTRES'!$C$33*I46)</f>
        <v>0</v>
      </c>
      <c r="J278">
        <f>MAX(0,2*J44*J7-J38*'PARAMÈTRES'!$C$29*J45-J39*'PARAMÈTRES'!$C$33*J46)</f>
        <v>223.5</v>
      </c>
      <c r="K278">
        <f>MAX(0,2*K44*K7-K38*'PARAMÈTRES'!$C$29*K45-K39*'PARAMÈTRES'!$C$33*K46)</f>
        <v>223.5</v>
      </c>
      <c r="L278">
        <f>MAX(0,2*L44*L7-L38*'PARAMÈTRES'!$C$29*L45-L39*'PARAMÈTRES'!$C$33*L46)</f>
        <v>0</v>
      </c>
      <c r="M278">
        <f>MAX(0,2*M44*M7-M38*'PARAMÈTRES'!$C$29*M45-M39*'PARAMÈTRES'!$C$33*M46)</f>
        <v>143.5</v>
      </c>
      <c r="N278">
        <f>MAX(0,2*N44*N7-N38*'PARAMÈTRES'!$C$29*N45-N39*'PARAMÈTRES'!$C$33*N46)</f>
        <v>143.5</v>
      </c>
      <c r="O278">
        <f>MAX(0,2*O44*O7-O38*'PARAMÈTRES'!$C$29*O45-O39*'PARAMÈTRES'!$C$33*O46)</f>
        <v>0</v>
      </c>
      <c r="P278">
        <f>MAX(0,2*P44*P7-P38*'PARAMÈTRES'!$C$29*P45-P39*'PARAMÈTRES'!$C$33*P46)</f>
        <v>303.5</v>
      </c>
      <c r="Q278">
        <f>MAX(0,2*Q44*Q7-Q38*'PARAMÈTRES'!$C$29*Q45-Q39*'PARAMÈTRES'!$C$33*Q46)</f>
        <v>303.5</v>
      </c>
      <c r="R278">
        <f>MAX(0,2*R44*R7-R38*'PARAMÈTRES'!$C$29*R45-R39*'PARAMÈTRES'!$C$33*R46)</f>
        <v>0</v>
      </c>
      <c r="S278">
        <f>MAX(0,2*S44*S7-S38*'PARAMÈTRES'!$C$29*S45-S39*'PARAMÈTRES'!$C$33*S46)</f>
        <v>303.5</v>
      </c>
      <c r="T278">
        <f>MAX(0,2*T44*T7-T38*'PARAMÈTRES'!$C$29*T45-T39*'PARAMÈTRES'!$C$33*T46)</f>
        <v>303.5</v>
      </c>
      <c r="U278">
        <f>MAX(0,2*U44*U7-U38*'PARAMÈTRES'!$C$29*U45-U39*'PARAMÈTRES'!$C$33*U46)</f>
        <v>0</v>
      </c>
      <c r="V278">
        <f>MAX(0,2*V44*V7-V38*'PARAMÈTRES'!$C$29*V45-V39*'PARAMÈTRES'!$C$33*V46)</f>
        <v>383.5</v>
      </c>
      <c r="W278">
        <f>MAX(0,2*W44*W7-W38*'PARAMÈTRES'!$C$29*W45-W39*'PARAMÈTRES'!$C$33*W46)</f>
        <v>383.5</v>
      </c>
      <c r="X278">
        <f>MAX(0,2*X44*X7-X38*'PARAMÈTRES'!$C$29*X45-X39*'PARAMÈTRES'!$C$33*X46)</f>
        <v>0</v>
      </c>
    </row>
    <row r="279">
      <c r="A279" t="inlineStr">
        <is>
          <t>lis_lp_kgml</t>
        </is>
      </c>
      <c r="B279" t="inlineStr">
        <is>
          <t>QUANTITATIF_CHARPENTE!H48</t>
        </is>
      </c>
      <c r="D279">
        <f>D89</f>
        <v>4.57</v>
      </c>
      <c r="E279">
        <f>E89</f>
        <v>4.57</v>
      </c>
      <c r="F279">
        <f>F89</f>
        <v>4.57</v>
      </c>
      <c r="G279">
        <f>G89</f>
        <v>4.24</v>
      </c>
      <c r="H279">
        <f>H89</f>
        <v>4.24</v>
      </c>
      <c r="I279">
        <f>I89</f>
        <v>4.24</v>
      </c>
      <c r="J279">
        <f>J89</f>
        <v>4.57</v>
      </c>
      <c r="K279">
        <f>K89</f>
        <v>4.57</v>
      </c>
      <c r="L279">
        <f>L89</f>
        <v>4.57</v>
      </c>
      <c r="M279">
        <f>M89</f>
        <v>4.24</v>
      </c>
      <c r="N279">
        <f>N89</f>
        <v>4.24</v>
      </c>
      <c r="O279">
        <f>O89</f>
        <v>4.24</v>
      </c>
      <c r="P279">
        <f>P89</f>
        <v>4.57</v>
      </c>
      <c r="Q279">
        <f>Q89</f>
        <v>4.57</v>
      </c>
      <c r="R279">
        <f>R89</f>
        <v>4.57</v>
      </c>
      <c r="S279">
        <f>S89</f>
        <v>4.57</v>
      </c>
      <c r="T279">
        <f>T89</f>
        <v>4.57</v>
      </c>
      <c r="U279">
        <f>U89</f>
        <v>4.57</v>
      </c>
      <c r="V279">
        <f>V89</f>
        <v>4.57</v>
      </c>
      <c r="W279">
        <f>W89</f>
        <v>4.57</v>
      </c>
      <c r="X279">
        <f>X89</f>
        <v>4.57</v>
      </c>
    </row>
    <row r="280">
      <c r="A280" t="inlineStr">
        <is>
          <t>lis_lp_kg</t>
        </is>
      </c>
      <c r="B280" t="inlineStr">
        <is>
          <t>QUANTITATIF_CHARPENTE!I48</t>
        </is>
      </c>
      <c r="D280">
        <f>D278*D279</f>
        <v>1021.395</v>
      </c>
      <c r="E280">
        <f>E278*E279</f>
        <v>1021.395</v>
      </c>
      <c r="F280">
        <f>F278*F279</f>
        <v>0</v>
      </c>
      <c r="G280">
        <f>G278*G279</f>
        <v>608.44</v>
      </c>
      <c r="H280">
        <f>H278*H279</f>
        <v>608.44</v>
      </c>
      <c r="I280">
        <f>I278*I279</f>
        <v>0</v>
      </c>
      <c r="J280">
        <f>J278*J279</f>
        <v>1021.395</v>
      </c>
      <c r="K280">
        <f>K278*K279</f>
        <v>1021.395</v>
      </c>
      <c r="L280">
        <f>L278*L279</f>
        <v>0</v>
      </c>
      <c r="M280">
        <f>M278*M279</f>
        <v>608.44</v>
      </c>
      <c r="N280">
        <f>N278*N279</f>
        <v>608.44</v>
      </c>
      <c r="O280">
        <f>O278*O279</f>
        <v>0</v>
      </c>
      <c r="P280">
        <f>P278*P279</f>
        <v>1386.995</v>
      </c>
      <c r="Q280">
        <f>Q278*Q279</f>
        <v>1386.995</v>
      </c>
      <c r="R280">
        <f>R278*R279</f>
        <v>0</v>
      </c>
      <c r="S280">
        <f>S278*S279</f>
        <v>1386.995</v>
      </c>
      <c r="T280">
        <f>T278*T279</f>
        <v>1386.995</v>
      </c>
      <c r="U280">
        <f>U278*U279</f>
        <v>0</v>
      </c>
      <c r="V280">
        <f>V278*V279</f>
        <v>1752.595</v>
      </c>
      <c r="W280">
        <f>W278*W279</f>
        <v>1752.595</v>
      </c>
      <c r="X280">
        <f>X278*X279</f>
        <v>0</v>
      </c>
    </row>
    <row r="281">
      <c r="A281" t="inlineStr">
        <is>
          <t>lis_pg_p</t>
        </is>
      </c>
      <c r="B281" t="inlineStr">
        <is>
          <t>QUANTITATIF_CHARPENTE!C49</t>
        </is>
      </c>
      <c r="D281" t="str">
        <f>D88</f>
        <v>C 160</v>
      </c>
      <c r="E281" t="str">
        <f>E88</f>
        <v>C 160</v>
      </c>
      <c r="F281" t="str">
        <f>F88</f>
        <v>C 160</v>
      </c>
      <c r="G281" t="str">
        <f>G88</f>
        <v>C 140</v>
      </c>
      <c r="H281" t="str">
        <f>H88</f>
        <v>C 140</v>
      </c>
      <c r="I281" t="str">
        <f>I88</f>
        <v>C 140</v>
      </c>
      <c r="J281" t="str">
        <f>J88</f>
        <v>C 160</v>
      </c>
      <c r="K281" t="str">
        <f>K88</f>
        <v>C 160</v>
      </c>
      <c r="L281" t="str">
        <f>L88</f>
        <v>C 160</v>
      </c>
      <c r="M281" t="str">
        <f>M88</f>
        <v>C 140</v>
      </c>
      <c r="N281" t="str">
        <f>N88</f>
        <v>C 140</v>
      </c>
      <c r="O281" t="str">
        <f>O88</f>
        <v>C 140</v>
      </c>
      <c r="P281" t="str">
        <f>P88</f>
        <v>C 160</v>
      </c>
      <c r="Q281" t="str">
        <f>Q88</f>
        <v>C 160</v>
      </c>
      <c r="R281" t="str">
        <f>R88</f>
        <v>C 160</v>
      </c>
      <c r="S281" t="str">
        <f>S88</f>
        <v>C 160</v>
      </c>
      <c r="T281" t="str">
        <f>T88</f>
        <v>C 160</v>
      </c>
      <c r="U281" t="str">
        <f>U88</f>
        <v>C 160</v>
      </c>
      <c r="V281" t="str">
        <f>V88</f>
        <v>C 160</v>
      </c>
      <c r="W281" t="str">
        <f>W88</f>
        <v>C 160</v>
      </c>
      <c r="X281" t="str">
        <f>X88</f>
        <v>C 160</v>
      </c>
    </row>
    <row r="282">
      <c r="A282" t="inlineStr">
        <is>
          <t>lis_pg_q</t>
        </is>
      </c>
      <c r="B282" t="inlineStr">
        <is>
          <t>QUANTITATIF_CHARPENTE!E49</t>
        </is>
      </c>
      <c r="D282">
        <f>ROUNDUP(D284/D21,0)</f>
        <v>12</v>
      </c>
      <c r="E282">
        <f>ROUNDUP(E284/E21,0)</f>
        <v>12</v>
      </c>
      <c r="F282">
        <f>ROUNDUP(F284/F21,0)</f>
        <v>0</v>
      </c>
      <c r="G282">
        <f>ROUNDUP(G284/G21,0)</f>
        <v>20</v>
      </c>
      <c r="H282">
        <f>ROUNDUP(H284/H21,0)</f>
        <v>20</v>
      </c>
      <c r="I282">
        <f>ROUNDUP(I284/I21,0)</f>
        <v>0</v>
      </c>
      <c r="J282">
        <f>ROUNDUP(J284/J21,0)</f>
        <v>20</v>
      </c>
      <c r="K282">
        <f>ROUNDUP(K284/K21,0)</f>
        <v>20</v>
      </c>
      <c r="L282">
        <f>ROUNDUP(L284/L21,0)</f>
        <v>0</v>
      </c>
      <c r="M282">
        <f>ROUNDUP(M284/M21,0)</f>
        <v>28</v>
      </c>
      <c r="N282">
        <f>ROUNDUP(N284/N21,0)</f>
        <v>28</v>
      </c>
      <c r="O282">
        <f>ROUNDUP(O284/O21,0)</f>
        <v>0</v>
      </c>
      <c r="P282">
        <f>ROUNDUP(P284/P21,0)</f>
        <v>28</v>
      </c>
      <c r="Q282">
        <f>ROUNDUP(Q284/Q21,0)</f>
        <v>28</v>
      </c>
      <c r="R282">
        <f>ROUNDUP(R284/R21,0)</f>
        <v>0</v>
      </c>
      <c r="S282">
        <f>ROUNDUP(S284/S21,0)</f>
        <v>38</v>
      </c>
      <c r="T282">
        <f>ROUNDUP(T284/T21,0)</f>
        <v>38</v>
      </c>
      <c r="U282">
        <f>ROUNDUP(U284/U21,0)</f>
        <v>0</v>
      </c>
      <c r="V282">
        <f>ROUNDUP(V284/V21,0)</f>
        <v>68</v>
      </c>
      <c r="W282">
        <f>ROUNDUP(W284/W21,0)</f>
        <v>68</v>
      </c>
      <c r="X282">
        <f>ROUNDUP(X284/X21,0)</f>
        <v>0</v>
      </c>
    </row>
    <row r="283">
      <c r="A283" t="inlineStr">
        <is>
          <t>lis_pg_lu</t>
        </is>
      </c>
      <c r="B283" t="inlineStr">
        <is>
          <t>QUANTITATIF_CHARPENTE!F49</t>
        </is>
      </c>
      <c r="D283">
        <f>IF(D282&gt;0,D284/D282,0)</f>
        <v>4.92592592592593</v>
      </c>
      <c r="E283">
        <f>IF(E282&gt;0,E284/E282,0)</f>
        <v>4.92592592592593</v>
      </c>
      <c r="F283">
        <f>IF(F282&gt;0,F284/F282,0)</f>
        <v>0</v>
      </c>
      <c r="G283">
        <f>IF(G282&gt;0,G284/G282,0)</f>
        <v>4.9</v>
      </c>
      <c r="H283">
        <f>IF(H282&gt;0,H284/H282,0)</f>
        <v>4.9</v>
      </c>
      <c r="I283">
        <f>IF(I282&gt;0,I284/I282,0)</f>
        <v>0</v>
      </c>
      <c r="J283">
        <f>IF(J282&gt;0,J284/J282,0)</f>
        <v>4.9</v>
      </c>
      <c r="K283">
        <f>IF(K282&gt;0,K284/K282,0)</f>
        <v>4.9</v>
      </c>
      <c r="L283">
        <f>IF(L282&gt;0,L284/L282,0)</f>
        <v>0</v>
      </c>
      <c r="M283">
        <f>IF(M282&gt;0,M284/M282,0)</f>
        <v>4.96825396825397</v>
      </c>
      <c r="N283">
        <f>IF(N282&gt;0,N284/N282,0)</f>
        <v>4.96825396825397</v>
      </c>
      <c r="O283">
        <f>IF(O282&gt;0,O284/O282,0)</f>
        <v>0</v>
      </c>
      <c r="P283">
        <f>IF(P282&gt;0,P284/P282,0)</f>
        <v>4.96825396825397</v>
      </c>
      <c r="Q283">
        <f>IF(Q282&gt;0,Q284/Q282,0)</f>
        <v>4.96825396825397</v>
      </c>
      <c r="R283">
        <f>IF(R282&gt;0,R284/R282,0)</f>
        <v>0</v>
      </c>
      <c r="S283">
        <f>IF(S282&gt;0,S284/S282,0)</f>
        <v>6</v>
      </c>
      <c r="T283">
        <f>IF(T282&gt;0,T284/T282,0)</f>
        <v>6</v>
      </c>
      <c r="U283">
        <f>IF(U282&gt;0,U284/U282,0)</f>
        <v>0</v>
      </c>
      <c r="V283">
        <f>IF(V282&gt;0,V284/V282,0)</f>
        <v>5.66230936819172</v>
      </c>
      <c r="W283">
        <f>IF(W282&gt;0,W284/W282,0)</f>
        <v>5.66230936819172</v>
      </c>
      <c r="X283">
        <f>IF(X282&gt;0,X284/X282,0)</f>
        <v>0</v>
      </c>
    </row>
    <row r="284">
      <c r="A284" t="inlineStr">
        <is>
          <t>lis_pg_lt</t>
        </is>
      </c>
      <c r="B284" t="inlineStr">
        <is>
          <t>QUANTITATIF_CHARPENTE!G49</t>
        </is>
      </c>
      <c r="D284">
        <f>MAX(0,D47/'PARAMÈTRES'!$C$17-('PARAMÈTRES'!$C$28-D38)*'PARAMÈTRES'!$C$29*D45-('PARAMÈTRES'!$C$32-D39)*'PARAMÈTRES'!$C$33*D46)</f>
        <v>59.1111111111111</v>
      </c>
      <c r="E284">
        <f>MAX(0,E47/'PARAMÈTRES'!$C$17-('PARAMÈTRES'!$C$28-E38)*'PARAMÈTRES'!$C$29*E45-('PARAMÈTRES'!$C$32-E39)*'PARAMÈTRES'!$C$33*E46)</f>
        <v>59.1111111111111</v>
      </c>
      <c r="F284">
        <f>MAX(0,F47/'PARAMÈTRES'!$C$17-('PARAMÈTRES'!$C$28-F38)*'PARAMÈTRES'!$C$29*F45-('PARAMÈTRES'!$C$32-F39)*'PARAMÈTRES'!$C$33*F46)</f>
        <v>0</v>
      </c>
      <c r="G284">
        <f>MAX(0,G47/'PARAMÈTRES'!$C$17-('PARAMÈTRES'!$C$28-G38)*'PARAMÈTRES'!$C$29*G45-('PARAMÈTRES'!$C$32-G39)*'PARAMÈTRES'!$C$33*G46)</f>
        <v>98</v>
      </c>
      <c r="H284">
        <f>MAX(0,H47/'PARAMÈTRES'!$C$17-('PARAMÈTRES'!$C$28-H38)*'PARAMÈTRES'!$C$29*H45-('PARAMÈTRES'!$C$32-H39)*'PARAMÈTRES'!$C$33*H46)</f>
        <v>98</v>
      </c>
      <c r="I284">
        <f>MAX(0,I47/'PARAMÈTRES'!$C$17-('PARAMÈTRES'!$C$28-I38)*'PARAMÈTRES'!$C$29*I45-('PARAMÈTRES'!$C$32-I39)*'PARAMÈTRES'!$C$33*I46)</f>
        <v>0</v>
      </c>
      <c r="J284">
        <f>MAX(0,J47/'PARAMÈTRES'!$C$17-('PARAMÈTRES'!$C$28-J38)*'PARAMÈTRES'!$C$29*J45-('PARAMÈTRES'!$C$32-J39)*'PARAMÈTRES'!$C$33*J46)</f>
        <v>98</v>
      </c>
      <c r="K284">
        <f>MAX(0,K47/'PARAMÈTRES'!$C$17-('PARAMÈTRES'!$C$28-K38)*'PARAMÈTRES'!$C$29*K45-('PARAMÈTRES'!$C$32-K39)*'PARAMÈTRES'!$C$33*K46)</f>
        <v>98</v>
      </c>
      <c r="L284">
        <f>MAX(0,L47/'PARAMÈTRES'!$C$17-('PARAMÈTRES'!$C$28-L38)*'PARAMÈTRES'!$C$29*L45-('PARAMÈTRES'!$C$32-L39)*'PARAMÈTRES'!$C$33*L46)</f>
        <v>0</v>
      </c>
      <c r="M284">
        <f>MAX(0,M47/'PARAMÈTRES'!$C$17-('PARAMÈTRES'!$C$28-M38)*'PARAMÈTRES'!$C$29*M45-('PARAMÈTRES'!$C$32-M39)*'PARAMÈTRES'!$C$33*M46)</f>
        <v>139.111111111111</v>
      </c>
      <c r="N284">
        <f>MAX(0,N47/'PARAMÈTRES'!$C$17-('PARAMÈTRES'!$C$28-N38)*'PARAMÈTRES'!$C$29*N45-('PARAMÈTRES'!$C$32-N39)*'PARAMÈTRES'!$C$33*N46)</f>
        <v>139.111111111111</v>
      </c>
      <c r="O284">
        <f>MAX(0,O47/'PARAMÈTRES'!$C$17-('PARAMÈTRES'!$C$28-O38)*'PARAMÈTRES'!$C$29*O45-('PARAMÈTRES'!$C$32-O39)*'PARAMÈTRES'!$C$33*O46)</f>
        <v>0</v>
      </c>
      <c r="P284">
        <f>MAX(0,P47/'PARAMÈTRES'!$C$17-('PARAMÈTRES'!$C$28-P38)*'PARAMÈTRES'!$C$29*P45-('PARAMÈTRES'!$C$32-P39)*'PARAMÈTRES'!$C$33*P46)</f>
        <v>139.111111111111</v>
      </c>
      <c r="Q284">
        <f>MAX(0,Q47/'PARAMÈTRES'!$C$17-('PARAMÈTRES'!$C$28-Q38)*'PARAMÈTRES'!$C$29*Q45-('PARAMÈTRES'!$C$32-Q39)*'PARAMÈTRES'!$C$33*Q46)</f>
        <v>139.111111111111</v>
      </c>
      <c r="R284">
        <f>MAX(0,R47/'PARAMÈTRES'!$C$17-('PARAMÈTRES'!$C$28-R38)*'PARAMÈTRES'!$C$29*R45-('PARAMÈTRES'!$C$32-R39)*'PARAMÈTRES'!$C$33*R46)</f>
        <v>0</v>
      </c>
      <c r="S284">
        <f>MAX(0,S47/'PARAMÈTRES'!$C$17-('PARAMÈTRES'!$C$28-S38)*'PARAMÈTRES'!$C$29*S45-('PARAMÈTRES'!$C$32-S39)*'PARAMÈTRES'!$C$33*S46)</f>
        <v>228</v>
      </c>
      <c r="T284">
        <f>MAX(0,T47/'PARAMÈTRES'!$C$17-('PARAMÈTRES'!$C$28-T38)*'PARAMÈTRES'!$C$29*T45-('PARAMÈTRES'!$C$32-T39)*'PARAMÈTRES'!$C$33*T46)</f>
        <v>228</v>
      </c>
      <c r="U284">
        <f>MAX(0,U47/'PARAMÈTRES'!$C$17-('PARAMÈTRES'!$C$28-U38)*'PARAMÈTRES'!$C$29*U45-('PARAMÈTRES'!$C$32-U39)*'PARAMÈTRES'!$C$33*U46)</f>
        <v>0</v>
      </c>
      <c r="V284">
        <f>MAX(0,V47/'PARAMÈTRES'!$C$17-('PARAMÈTRES'!$C$28-V38)*'PARAMÈTRES'!$C$29*V45-('PARAMÈTRES'!$C$32-V39)*'PARAMÈTRES'!$C$33*V46)</f>
        <v>385.037037037037</v>
      </c>
      <c r="W284">
        <f>MAX(0,W47/'PARAMÈTRES'!$C$17-('PARAMÈTRES'!$C$28-W38)*'PARAMÈTRES'!$C$29*W45-('PARAMÈTRES'!$C$32-W39)*'PARAMÈTRES'!$C$33*W46)</f>
        <v>385.037037037037</v>
      </c>
      <c r="X284">
        <f>MAX(0,X47/'PARAMÈTRES'!$C$17-('PARAMÈTRES'!$C$28-X38)*'PARAMÈTRES'!$C$29*X45-('PARAMÈTRES'!$C$32-X39)*'PARAMÈTRES'!$C$33*X46)</f>
        <v>0</v>
      </c>
    </row>
    <row r="285">
      <c r="A285" t="inlineStr">
        <is>
          <t>lis_pg_kgml</t>
        </is>
      </c>
      <c r="B285" t="inlineStr">
        <is>
          <t>QUANTITATIF_CHARPENTE!H49</t>
        </is>
      </c>
      <c r="D285">
        <f>D89</f>
        <v>4.57</v>
      </c>
      <c r="E285">
        <f>E89</f>
        <v>4.57</v>
      </c>
      <c r="F285">
        <f>F89</f>
        <v>4.57</v>
      </c>
      <c r="G285">
        <f>G89</f>
        <v>4.24</v>
      </c>
      <c r="H285">
        <f>H89</f>
        <v>4.24</v>
      </c>
      <c r="I285">
        <f>I89</f>
        <v>4.24</v>
      </c>
      <c r="J285">
        <f>J89</f>
        <v>4.57</v>
      </c>
      <c r="K285">
        <f>K89</f>
        <v>4.57</v>
      </c>
      <c r="L285">
        <f>L89</f>
        <v>4.57</v>
      </c>
      <c r="M285">
        <f>M89</f>
        <v>4.24</v>
      </c>
      <c r="N285">
        <f>N89</f>
        <v>4.24</v>
      </c>
      <c r="O285">
        <f>O89</f>
        <v>4.24</v>
      </c>
      <c r="P285">
        <f>P89</f>
        <v>4.57</v>
      </c>
      <c r="Q285">
        <f>Q89</f>
        <v>4.57</v>
      </c>
      <c r="R285">
        <f>R89</f>
        <v>4.57</v>
      </c>
      <c r="S285">
        <f>S89</f>
        <v>4.57</v>
      </c>
      <c r="T285">
        <f>T89</f>
        <v>4.57</v>
      </c>
      <c r="U285">
        <f>U89</f>
        <v>4.57</v>
      </c>
      <c r="V285">
        <f>V89</f>
        <v>4.57</v>
      </c>
      <c r="W285">
        <f>W89</f>
        <v>4.57</v>
      </c>
      <c r="X285">
        <f>X89</f>
        <v>4.57</v>
      </c>
    </row>
    <row r="286">
      <c r="A286" t="inlineStr">
        <is>
          <t>lis_pg_kg</t>
        </is>
      </c>
      <c r="B286" t="inlineStr">
        <is>
          <t>QUANTITATIF_CHARPENTE!I49</t>
        </is>
      </c>
      <c r="D286">
        <f>D284*D285</f>
        <v>270.137777777778</v>
      </c>
      <c r="E286">
        <f>E284*E285</f>
        <v>270.137777777778</v>
      </c>
      <c r="F286">
        <f>F284*F285</f>
        <v>0</v>
      </c>
      <c r="G286">
        <f>G284*G285</f>
        <v>415.52</v>
      </c>
      <c r="H286">
        <f>H284*H285</f>
        <v>415.52</v>
      </c>
      <c r="I286">
        <f>I284*I285</f>
        <v>0</v>
      </c>
      <c r="J286">
        <f>J284*J285</f>
        <v>447.86</v>
      </c>
      <c r="K286">
        <f>K284*K285</f>
        <v>447.86</v>
      </c>
      <c r="L286">
        <f>L284*L285</f>
        <v>0</v>
      </c>
      <c r="M286">
        <f>M284*M285</f>
        <v>589.831111111111</v>
      </c>
      <c r="N286">
        <f>N284*N285</f>
        <v>589.831111111111</v>
      </c>
      <c r="O286">
        <f>O284*O285</f>
        <v>0</v>
      </c>
      <c r="P286">
        <f>P284*P285</f>
        <v>635.737777777778</v>
      </c>
      <c r="Q286">
        <f>Q284*Q285</f>
        <v>635.737777777778</v>
      </c>
      <c r="R286">
        <f>R284*R285</f>
        <v>0</v>
      </c>
      <c r="S286">
        <f>S284*S285</f>
        <v>1041.96</v>
      </c>
      <c r="T286">
        <f>T284*T285</f>
        <v>1041.96</v>
      </c>
      <c r="U286">
        <f>U284*U285</f>
        <v>0</v>
      </c>
      <c r="V286">
        <f>V284*V285</f>
        <v>1759.61925925926</v>
      </c>
      <c r="W286">
        <f>W284*W285</f>
        <v>1759.61925925926</v>
      </c>
      <c r="X286">
        <f>X284*X285</f>
        <v>0</v>
      </c>
    </row>
    <row r="287">
      <c r="A287" t="inlineStr">
        <is>
          <t>lin_p</t>
        </is>
      </c>
      <c r="B287" t="inlineStr">
        <is>
          <t>QUANTITATIF_CHARPENTE!C50</t>
        </is>
      </c>
      <c r="D287" t="str">
        <f>D112</f>
        <v>UPN 140</v>
      </c>
      <c r="E287" t="str">
        <f>E112</f>
        <v>UPN 140</v>
      </c>
      <c r="F287" t="str">
        <f>F112</f>
        <v>UPN 140</v>
      </c>
      <c r="G287" t="str">
        <f>G112</f>
        <v>UPN 140</v>
      </c>
      <c r="H287" t="str">
        <f>H112</f>
        <v>UPN 140</v>
      </c>
      <c r="I287" t="str">
        <f>I112</f>
        <v>UPN 140</v>
      </c>
      <c r="J287" t="str">
        <f>J112</f>
        <v>UPN 140</v>
      </c>
      <c r="K287" t="str">
        <f>K112</f>
        <v>UPN 140</v>
      </c>
      <c r="L287" t="str">
        <f>L112</f>
        <v>UPN 140</v>
      </c>
      <c r="M287" t="str">
        <f>M112</f>
        <v>UPN 140</v>
      </c>
      <c r="N287" t="str">
        <f>N112</f>
        <v>UPN 140</v>
      </c>
      <c r="O287" t="str">
        <f>O112</f>
        <v>UPN 140</v>
      </c>
      <c r="P287" t="str">
        <f>P112</f>
        <v>UPN 140</v>
      </c>
      <c r="Q287" t="str">
        <f>Q112</f>
        <v>UPN 140</v>
      </c>
      <c r="R287" t="str">
        <f>R112</f>
        <v>UPN 140</v>
      </c>
      <c r="S287" t="str">
        <f>S112</f>
        <v>UPN 140</v>
      </c>
      <c r="T287" t="str">
        <f>T112</f>
        <v>UPN 140</v>
      </c>
      <c r="U287" t="str">
        <f>U112</f>
        <v>UPN 140</v>
      </c>
      <c r="V287" t="str">
        <f>V112</f>
        <v>UPN 140</v>
      </c>
      <c r="W287" t="str">
        <f>W112</f>
        <v>UPN 140</v>
      </c>
      <c r="X287" t="str">
        <f>X112</f>
        <v>UPN 140</v>
      </c>
    </row>
    <row r="288">
      <c r="A288" t="inlineStr">
        <is>
          <t>lin_q</t>
        </is>
      </c>
      <c r="B288" t="inlineStr">
        <is>
          <t>QUANTITATIF_CHARPENTE!E50</t>
        </is>
      </c>
      <c r="D288">
        <f>'PARAMÈTRES'!$C$28+'PARAMÈTRES'!$C$32</f>
        <v>2</v>
      </c>
      <c r="E288">
        <f>'PARAMÈTRES'!$C$28+'PARAMÈTRES'!$C$32</f>
        <v>2</v>
      </c>
      <c r="F288">
        <f>'PARAMÈTRES'!$C$28+'PARAMÈTRES'!$C$32</f>
        <v>2</v>
      </c>
      <c r="G288">
        <f>'PARAMÈTRES'!$C$28+'PARAMÈTRES'!$C$32</f>
        <v>2</v>
      </c>
      <c r="H288">
        <f>'PARAMÈTRES'!$C$28+'PARAMÈTRES'!$C$32</f>
        <v>2</v>
      </c>
      <c r="I288">
        <f>'PARAMÈTRES'!$C$28+'PARAMÈTRES'!$C$32</f>
        <v>2</v>
      </c>
      <c r="J288">
        <f>'PARAMÈTRES'!$C$28+'PARAMÈTRES'!$C$32</f>
        <v>2</v>
      </c>
      <c r="K288">
        <f>'PARAMÈTRES'!$C$28+'PARAMÈTRES'!$C$32</f>
        <v>2</v>
      </c>
      <c r="L288">
        <f>'PARAMÈTRES'!$C$28+'PARAMÈTRES'!$C$32</f>
        <v>2</v>
      </c>
      <c r="M288">
        <f>'PARAMÈTRES'!$C$28+'PARAMÈTRES'!$C$32</f>
        <v>2</v>
      </c>
      <c r="N288">
        <f>'PARAMÈTRES'!$C$28+'PARAMÈTRES'!$C$32</f>
        <v>2</v>
      </c>
      <c r="O288">
        <f>'PARAMÈTRES'!$C$28+'PARAMÈTRES'!$C$32</f>
        <v>2</v>
      </c>
      <c r="P288">
        <f>'PARAMÈTRES'!$C$28+'PARAMÈTRES'!$C$32</f>
        <v>2</v>
      </c>
      <c r="Q288">
        <f>'PARAMÈTRES'!$C$28+'PARAMÈTRES'!$C$32</f>
        <v>2</v>
      </c>
      <c r="R288">
        <f>'PARAMÈTRES'!$C$28+'PARAMÈTRES'!$C$32</f>
        <v>2</v>
      </c>
      <c r="S288">
        <f>'PARAMÈTRES'!$C$28+'PARAMÈTRES'!$C$32</f>
        <v>2</v>
      </c>
      <c r="T288">
        <f>'PARAMÈTRES'!$C$28+'PARAMÈTRES'!$C$32</f>
        <v>2</v>
      </c>
      <c r="U288">
        <f>'PARAMÈTRES'!$C$28+'PARAMÈTRES'!$C$32</f>
        <v>2</v>
      </c>
      <c r="V288">
        <f>'PARAMÈTRES'!$C$28+'PARAMÈTRES'!$C$32</f>
        <v>2</v>
      </c>
      <c r="W288">
        <f>'PARAMÈTRES'!$C$28+'PARAMÈTRES'!$C$32</f>
        <v>2</v>
      </c>
      <c r="X288">
        <f>'PARAMÈTRES'!$C$28+'PARAMÈTRES'!$C$32</f>
        <v>2</v>
      </c>
    </row>
    <row r="289">
      <c r="A289" t="inlineStr">
        <is>
          <t>lin_lu</t>
        </is>
      </c>
      <c r="B289" t="inlineStr">
        <is>
          <t>QUANTITATIF_CHARPENTE!F50</t>
        </is>
      </c>
      <c r="D289">
        <f>IF(D288&gt;0,D290/D288,0)</f>
        <v>4.75</v>
      </c>
      <c r="E289">
        <f>IF(E288&gt;0,E290/E288,0)</f>
        <v>4.75</v>
      </c>
      <c r="F289">
        <f>IF(F288&gt;0,F290/F288,0)</f>
        <v>4.75</v>
      </c>
      <c r="G289">
        <f>IF(G288&gt;0,G290/G288,0)</f>
        <v>4.75</v>
      </c>
      <c r="H289">
        <f>IF(H288&gt;0,H290/H288,0)</f>
        <v>4.75</v>
      </c>
      <c r="I289">
        <f>IF(I288&gt;0,I290/I288,0)</f>
        <v>4.75</v>
      </c>
      <c r="J289">
        <f>IF(J288&gt;0,J290/J288,0)</f>
        <v>4.75</v>
      </c>
      <c r="K289">
        <f>IF(K288&gt;0,K290/K288,0)</f>
        <v>4.75</v>
      </c>
      <c r="L289">
        <f>IF(L288&gt;0,L290/L288,0)</f>
        <v>4.75</v>
      </c>
      <c r="M289">
        <f>IF(M288&gt;0,M290/M288,0)</f>
        <v>4.75</v>
      </c>
      <c r="N289">
        <f>IF(N288&gt;0,N290/N288,0)</f>
        <v>4.75</v>
      </c>
      <c r="O289">
        <f>IF(O288&gt;0,O290/O288,0)</f>
        <v>4.75</v>
      </c>
      <c r="P289">
        <f>IF(P288&gt;0,P290/P288,0)</f>
        <v>4.75</v>
      </c>
      <c r="Q289">
        <f>IF(Q288&gt;0,Q290/Q288,0)</f>
        <v>4.75</v>
      </c>
      <c r="R289">
        <f>IF(R288&gt;0,R290/R288,0)</f>
        <v>4.75</v>
      </c>
      <c r="S289">
        <f>IF(S288&gt;0,S290/S288,0)</f>
        <v>4.75</v>
      </c>
      <c r="T289">
        <f>IF(T288&gt;0,T290/T288,0)</f>
        <v>4.75</v>
      </c>
      <c r="U289">
        <f>IF(U288&gt;0,U290/U288,0)</f>
        <v>4.75</v>
      </c>
      <c r="V289">
        <f>IF(V288&gt;0,V290/V288,0)</f>
        <v>4.75</v>
      </c>
      <c r="W289">
        <f>IF(W288&gt;0,W290/W288,0)</f>
        <v>4.75</v>
      </c>
      <c r="X289">
        <f>IF(X288&gt;0,X290/X288,0)</f>
        <v>4.75</v>
      </c>
    </row>
    <row r="290">
      <c r="A290" t="inlineStr">
        <is>
          <t>lin_lt</t>
        </is>
      </c>
      <c r="B290" t="inlineStr">
        <is>
          <t>QUANTITATIF_CHARPENTE!G50</t>
        </is>
      </c>
      <c r="D290">
        <f>D41</f>
        <v>9.5</v>
      </c>
      <c r="E290">
        <f>E41</f>
        <v>9.5</v>
      </c>
      <c r="F290">
        <f>F41</f>
        <v>9.5</v>
      </c>
      <c r="G290">
        <f>G41</f>
        <v>9.5</v>
      </c>
      <c r="H290">
        <f>H41</f>
        <v>9.5</v>
      </c>
      <c r="I290">
        <f>I41</f>
        <v>9.5</v>
      </c>
      <c r="J290">
        <f>J41</f>
        <v>9.5</v>
      </c>
      <c r="K290">
        <f>K41</f>
        <v>9.5</v>
      </c>
      <c r="L290">
        <f>L41</f>
        <v>9.5</v>
      </c>
      <c r="M290">
        <f>M41</f>
        <v>9.5</v>
      </c>
      <c r="N290">
        <f>N41</f>
        <v>9.5</v>
      </c>
      <c r="O290">
        <f>O41</f>
        <v>9.5</v>
      </c>
      <c r="P290">
        <f>P41</f>
        <v>9.5</v>
      </c>
      <c r="Q290">
        <f>Q41</f>
        <v>9.5</v>
      </c>
      <c r="R290">
        <f>R41</f>
        <v>9.5</v>
      </c>
      <c r="S290">
        <f>S41</f>
        <v>9.5</v>
      </c>
      <c r="T290">
        <f>T41</f>
        <v>9.5</v>
      </c>
      <c r="U290">
        <f>U41</f>
        <v>9.5</v>
      </c>
      <c r="V290">
        <f>V41</f>
        <v>9.5</v>
      </c>
      <c r="W290">
        <f>W41</f>
        <v>9.5</v>
      </c>
      <c r="X290">
        <f>X41</f>
        <v>9.5</v>
      </c>
    </row>
    <row r="291">
      <c r="A291" t="inlineStr">
        <is>
          <t>lin_kgml</t>
        </is>
      </c>
      <c r="B291" t="inlineStr">
        <is>
          <t>QUANTITATIF_CHARPENTE!H50</t>
        </is>
      </c>
      <c r="D291">
        <f>D113</f>
        <v>16</v>
      </c>
      <c r="E291">
        <f>E113</f>
        <v>16</v>
      </c>
      <c r="F291">
        <f>F113</f>
        <v>16</v>
      </c>
      <c r="G291">
        <f>G113</f>
        <v>16</v>
      </c>
      <c r="H291">
        <f>H113</f>
        <v>16</v>
      </c>
      <c r="I291">
        <f>I113</f>
        <v>16</v>
      </c>
      <c r="J291">
        <f>J113</f>
        <v>16</v>
      </c>
      <c r="K291">
        <f>K113</f>
        <v>16</v>
      </c>
      <c r="L291">
        <f>L113</f>
        <v>16</v>
      </c>
      <c r="M291">
        <f>M113</f>
        <v>16</v>
      </c>
      <c r="N291">
        <f>N113</f>
        <v>16</v>
      </c>
      <c r="O291">
        <f>O113</f>
        <v>16</v>
      </c>
      <c r="P291">
        <f>P113</f>
        <v>16</v>
      </c>
      <c r="Q291">
        <f>Q113</f>
        <v>16</v>
      </c>
      <c r="R291">
        <f>R113</f>
        <v>16</v>
      </c>
      <c r="S291">
        <f>S113</f>
        <v>16</v>
      </c>
      <c r="T291">
        <f>T113</f>
        <v>16</v>
      </c>
      <c r="U291">
        <f>U113</f>
        <v>16</v>
      </c>
      <c r="V291">
        <f>V113</f>
        <v>16</v>
      </c>
      <c r="W291">
        <f>W113</f>
        <v>16</v>
      </c>
      <c r="X291">
        <f>X113</f>
        <v>16</v>
      </c>
    </row>
    <row r="292">
      <c r="A292" t="inlineStr">
        <is>
          <t>lin_kg</t>
        </is>
      </c>
      <c r="B292" t="inlineStr">
        <is>
          <t>QUANTITATIF_CHARPENTE!I50</t>
        </is>
      </c>
      <c r="D292">
        <f>D290*D291</f>
        <v>152</v>
      </c>
      <c r="E292">
        <f>E290*E291</f>
        <v>152</v>
      </c>
      <c r="F292">
        <f>F290*F291</f>
        <v>152</v>
      </c>
      <c r="G292">
        <f>G290*G291</f>
        <v>152</v>
      </c>
      <c r="H292">
        <f>H290*H291</f>
        <v>152</v>
      </c>
      <c r="I292">
        <f>I290*I291</f>
        <v>152</v>
      </c>
      <c r="J292">
        <f>J290*J291</f>
        <v>152</v>
      </c>
      <c r="K292">
        <f>K290*K291</f>
        <v>152</v>
      </c>
      <c r="L292">
        <f>L290*L291</f>
        <v>152</v>
      </c>
      <c r="M292">
        <f>M290*M291</f>
        <v>152</v>
      </c>
      <c r="N292">
        <f>N290*N291</f>
        <v>152</v>
      </c>
      <c r="O292">
        <f>O290*O291</f>
        <v>152</v>
      </c>
      <c r="P292">
        <f>P290*P291</f>
        <v>152</v>
      </c>
      <c r="Q292">
        <f>Q290*Q291</f>
        <v>152</v>
      </c>
      <c r="R292">
        <f>R290*R291</f>
        <v>152</v>
      </c>
      <c r="S292">
        <f>S290*S291</f>
        <v>152</v>
      </c>
      <c r="T292">
        <f>T290*T291</f>
        <v>152</v>
      </c>
      <c r="U292">
        <f>U290*U291</f>
        <v>152</v>
      </c>
      <c r="V292">
        <f>V290*V291</f>
        <v>152</v>
      </c>
      <c r="W292">
        <f>W290*W291</f>
        <v>152</v>
      </c>
      <c r="X292">
        <f>X290*X291</f>
        <v>152</v>
      </c>
    </row>
    <row r="293">
      <c r="A293" t="inlineStr">
        <is>
          <t>potl_p</t>
        </is>
      </c>
      <c r="B293" t="inlineStr">
        <is>
          <t>QUANTITATIF_CHARPENTE!C51</t>
        </is>
      </c>
      <c r="D293" t="str">
        <f>D112</f>
        <v>UPN 140</v>
      </c>
      <c r="E293" t="str">
        <f>E112</f>
        <v>UPN 140</v>
      </c>
      <c r="F293" t="str">
        <f>F112</f>
        <v>UPN 140</v>
      </c>
      <c r="G293" t="str">
        <f>G112</f>
        <v>UPN 140</v>
      </c>
      <c r="H293" t="str">
        <f>H112</f>
        <v>UPN 140</v>
      </c>
      <c r="I293" t="str">
        <f>I112</f>
        <v>UPN 140</v>
      </c>
      <c r="J293" t="str">
        <f>J112</f>
        <v>UPN 140</v>
      </c>
      <c r="K293" t="str">
        <f>K112</f>
        <v>UPN 140</v>
      </c>
      <c r="L293" t="str">
        <f>L112</f>
        <v>UPN 140</v>
      </c>
      <c r="M293" t="str">
        <f>M112</f>
        <v>UPN 140</v>
      </c>
      <c r="N293" t="str">
        <f>N112</f>
        <v>UPN 140</v>
      </c>
      <c r="O293" t="str">
        <f>O112</f>
        <v>UPN 140</v>
      </c>
      <c r="P293" t="str">
        <f>P112</f>
        <v>UPN 140</v>
      </c>
      <c r="Q293" t="str">
        <f>Q112</f>
        <v>UPN 140</v>
      </c>
      <c r="R293" t="str">
        <f>R112</f>
        <v>UPN 140</v>
      </c>
      <c r="S293" t="str">
        <f>S112</f>
        <v>UPN 140</v>
      </c>
      <c r="T293" t="str">
        <f>T112</f>
        <v>UPN 140</v>
      </c>
      <c r="U293" t="str">
        <f>U112</f>
        <v>UPN 140</v>
      </c>
      <c r="V293" t="str">
        <f>V112</f>
        <v>UPN 140</v>
      </c>
      <c r="W293" t="str">
        <f>W112</f>
        <v>UPN 140</v>
      </c>
      <c r="X293" t="str">
        <f>X112</f>
        <v>UPN 140</v>
      </c>
    </row>
    <row r="294">
      <c r="A294" t="inlineStr">
        <is>
          <t>potl_q</t>
        </is>
      </c>
      <c r="B294" t="inlineStr">
        <is>
          <t>QUANTITATIF_CHARPENTE!E51</t>
        </is>
      </c>
      <c r="D294">
        <f>2*('PARAMÈTRES'!$C$28+'PARAMÈTRES'!$C$32)</f>
        <v>4</v>
      </c>
      <c r="E294">
        <f>2*('PARAMÈTRES'!$C$28+'PARAMÈTRES'!$C$32)</f>
        <v>4</v>
      </c>
      <c r="F294">
        <f>2*('PARAMÈTRES'!$C$28+'PARAMÈTRES'!$C$32)</f>
        <v>4</v>
      </c>
      <c r="G294">
        <f>2*('PARAMÈTRES'!$C$28+'PARAMÈTRES'!$C$32)</f>
        <v>4</v>
      </c>
      <c r="H294">
        <f>2*('PARAMÈTRES'!$C$28+'PARAMÈTRES'!$C$32)</f>
        <v>4</v>
      </c>
      <c r="I294">
        <f>2*('PARAMÈTRES'!$C$28+'PARAMÈTRES'!$C$32)</f>
        <v>4</v>
      </c>
      <c r="J294">
        <f>2*('PARAMÈTRES'!$C$28+'PARAMÈTRES'!$C$32)</f>
        <v>4</v>
      </c>
      <c r="K294">
        <f>2*('PARAMÈTRES'!$C$28+'PARAMÈTRES'!$C$32)</f>
        <v>4</v>
      </c>
      <c r="L294">
        <f>2*('PARAMÈTRES'!$C$28+'PARAMÈTRES'!$C$32)</f>
        <v>4</v>
      </c>
      <c r="M294">
        <f>2*('PARAMÈTRES'!$C$28+'PARAMÈTRES'!$C$32)</f>
        <v>4</v>
      </c>
      <c r="N294">
        <f>2*('PARAMÈTRES'!$C$28+'PARAMÈTRES'!$C$32)</f>
        <v>4</v>
      </c>
      <c r="O294">
        <f>2*('PARAMÈTRES'!$C$28+'PARAMÈTRES'!$C$32)</f>
        <v>4</v>
      </c>
      <c r="P294">
        <f>2*('PARAMÈTRES'!$C$28+'PARAMÈTRES'!$C$32)</f>
        <v>4</v>
      </c>
      <c r="Q294">
        <f>2*('PARAMÈTRES'!$C$28+'PARAMÈTRES'!$C$32)</f>
        <v>4</v>
      </c>
      <c r="R294">
        <f>2*('PARAMÈTRES'!$C$28+'PARAMÈTRES'!$C$32)</f>
        <v>4</v>
      </c>
      <c r="S294">
        <f>2*('PARAMÈTRES'!$C$28+'PARAMÈTRES'!$C$32)</f>
        <v>4</v>
      </c>
      <c r="T294">
        <f>2*('PARAMÈTRES'!$C$28+'PARAMÈTRES'!$C$32)</f>
        <v>4</v>
      </c>
      <c r="U294">
        <f>2*('PARAMÈTRES'!$C$28+'PARAMÈTRES'!$C$32)</f>
        <v>4</v>
      </c>
      <c r="V294">
        <f>2*('PARAMÈTRES'!$C$28+'PARAMÈTRES'!$C$32)</f>
        <v>4</v>
      </c>
      <c r="W294">
        <f>2*('PARAMÈTRES'!$C$28+'PARAMÈTRES'!$C$32)</f>
        <v>4</v>
      </c>
      <c r="X294">
        <f>2*('PARAMÈTRES'!$C$28+'PARAMÈTRES'!$C$32)</f>
        <v>4</v>
      </c>
    </row>
    <row r="295">
      <c r="A295" t="inlineStr">
        <is>
          <t>potl_lu</t>
        </is>
      </c>
      <c r="B295" t="inlineStr">
        <is>
          <t>QUANTITATIF_CHARPENTE!F51</t>
        </is>
      </c>
      <c r="D295">
        <f>D18</f>
        <v>6</v>
      </c>
      <c r="E295">
        <f>E18</f>
        <v>6</v>
      </c>
      <c r="F295">
        <f>F18</f>
        <v>6</v>
      </c>
      <c r="G295">
        <f>G18</f>
        <v>6</v>
      </c>
      <c r="H295">
        <f>H18</f>
        <v>6</v>
      </c>
      <c r="I295">
        <f>I18</f>
        <v>6</v>
      </c>
      <c r="J295">
        <f>J18</f>
        <v>6</v>
      </c>
      <c r="K295">
        <f>K18</f>
        <v>6</v>
      </c>
      <c r="L295">
        <f>L18</f>
        <v>6</v>
      </c>
      <c r="M295">
        <f>M18</f>
        <v>6</v>
      </c>
      <c r="N295">
        <f>N18</f>
        <v>6</v>
      </c>
      <c r="O295">
        <f>O18</f>
        <v>6</v>
      </c>
      <c r="P295">
        <f>P18</f>
        <v>6</v>
      </c>
      <c r="Q295">
        <f>Q18</f>
        <v>6</v>
      </c>
      <c r="R295">
        <f>R18</f>
        <v>6</v>
      </c>
      <c r="S295">
        <f>S18</f>
        <v>6</v>
      </c>
      <c r="T295">
        <f>T18</f>
        <v>6</v>
      </c>
      <c r="U295">
        <f>U18</f>
        <v>6</v>
      </c>
      <c r="V295">
        <f>V18</f>
        <v>7.33333333333333</v>
      </c>
      <c r="W295">
        <f>W18</f>
        <v>7.33333333333333</v>
      </c>
      <c r="X295">
        <f>X18</f>
        <v>7.33333333333333</v>
      </c>
    </row>
    <row r="296">
      <c r="A296" t="inlineStr">
        <is>
          <t>potl_lt</t>
        </is>
      </c>
      <c r="B296" t="inlineStr">
        <is>
          <t>QUANTITATIF_CHARPENTE!G51</t>
        </is>
      </c>
      <c r="D296">
        <f>D294*D295</f>
        <v>24</v>
      </c>
      <c r="E296">
        <f>E294*E295</f>
        <v>24</v>
      </c>
      <c r="F296">
        <f>F294*F295</f>
        <v>24</v>
      </c>
      <c r="G296">
        <f>G294*G295</f>
        <v>24</v>
      </c>
      <c r="H296">
        <f>H294*H295</f>
        <v>24</v>
      </c>
      <c r="I296">
        <f>I294*I295</f>
        <v>24</v>
      </c>
      <c r="J296">
        <f>J294*J295</f>
        <v>24</v>
      </c>
      <c r="K296">
        <f>K294*K295</f>
        <v>24</v>
      </c>
      <c r="L296">
        <f>L294*L295</f>
        <v>24</v>
      </c>
      <c r="M296">
        <f>M294*M295</f>
        <v>24</v>
      </c>
      <c r="N296">
        <f>N294*N295</f>
        <v>24</v>
      </c>
      <c r="O296">
        <f>O294*O295</f>
        <v>24</v>
      </c>
      <c r="P296">
        <f>P294*P295</f>
        <v>24</v>
      </c>
      <c r="Q296">
        <f>Q294*Q295</f>
        <v>24</v>
      </c>
      <c r="R296">
        <f>R294*R295</f>
        <v>24</v>
      </c>
      <c r="S296">
        <f>S294*S295</f>
        <v>24</v>
      </c>
      <c r="T296">
        <f>T294*T295</f>
        <v>24</v>
      </c>
      <c r="U296">
        <f>U294*U295</f>
        <v>24</v>
      </c>
      <c r="V296">
        <f>V294*V295</f>
        <v>29.3333333333333</v>
      </c>
      <c r="W296">
        <f>W294*W295</f>
        <v>29.3333333333333</v>
      </c>
      <c r="X296">
        <f>X294*X295</f>
        <v>29.3333333333333</v>
      </c>
    </row>
    <row r="297">
      <c r="A297" t="inlineStr">
        <is>
          <t>potl_kgml</t>
        </is>
      </c>
      <c r="B297" t="inlineStr">
        <is>
          <t>QUANTITATIF_CHARPENTE!H51</t>
        </is>
      </c>
      <c r="D297">
        <f>D113</f>
        <v>16</v>
      </c>
      <c r="E297">
        <f>E113</f>
        <v>16</v>
      </c>
      <c r="F297">
        <f>F113</f>
        <v>16</v>
      </c>
      <c r="G297">
        <f>G113</f>
        <v>16</v>
      </c>
      <c r="H297">
        <f>H113</f>
        <v>16</v>
      </c>
      <c r="I297">
        <f>I113</f>
        <v>16</v>
      </c>
      <c r="J297">
        <f>J113</f>
        <v>16</v>
      </c>
      <c r="K297">
        <f>K113</f>
        <v>16</v>
      </c>
      <c r="L297">
        <f>L113</f>
        <v>16</v>
      </c>
      <c r="M297">
        <f>M113</f>
        <v>16</v>
      </c>
      <c r="N297">
        <f>N113</f>
        <v>16</v>
      </c>
      <c r="O297">
        <f>O113</f>
        <v>16</v>
      </c>
      <c r="P297">
        <f>P113</f>
        <v>16</v>
      </c>
      <c r="Q297">
        <f>Q113</f>
        <v>16</v>
      </c>
      <c r="R297">
        <f>R113</f>
        <v>16</v>
      </c>
      <c r="S297">
        <f>S113</f>
        <v>16</v>
      </c>
      <c r="T297">
        <f>T113</f>
        <v>16</v>
      </c>
      <c r="U297">
        <f>U113</f>
        <v>16</v>
      </c>
      <c r="V297">
        <f>V113</f>
        <v>16</v>
      </c>
      <c r="W297">
        <f>W113</f>
        <v>16</v>
      </c>
      <c r="X297">
        <f>X113</f>
        <v>16</v>
      </c>
    </row>
    <row r="298">
      <c r="A298" t="inlineStr">
        <is>
          <t>potl_kg</t>
        </is>
      </c>
      <c r="B298" t="inlineStr">
        <is>
          <t>QUANTITATIF_CHARPENTE!I51</t>
        </is>
      </c>
      <c r="D298">
        <f>D296*D297</f>
        <v>384</v>
      </c>
      <c r="E298">
        <f>E296*E297</f>
        <v>384</v>
      </c>
      <c r="F298">
        <f>F296*F297</f>
        <v>384</v>
      </c>
      <c r="G298">
        <f>G296*G297</f>
        <v>384</v>
      </c>
      <c r="H298">
        <f>H296*H297</f>
        <v>384</v>
      </c>
      <c r="I298">
        <f>I296*I297</f>
        <v>384</v>
      </c>
      <c r="J298">
        <f>J296*J297</f>
        <v>384</v>
      </c>
      <c r="K298">
        <f>K296*K297</f>
        <v>384</v>
      </c>
      <c r="L298">
        <f>L296*L297</f>
        <v>384</v>
      </c>
      <c r="M298">
        <f>M296*M297</f>
        <v>384</v>
      </c>
      <c r="N298">
        <f>N296*N297</f>
        <v>384</v>
      </c>
      <c r="O298">
        <f>O296*O297</f>
        <v>384</v>
      </c>
      <c r="P298">
        <f>P296*P297</f>
        <v>384</v>
      </c>
      <c r="Q298">
        <f>Q296*Q297</f>
        <v>384</v>
      </c>
      <c r="R298">
        <f>R296*R297</f>
        <v>384</v>
      </c>
      <c r="S298">
        <f>S296*S297</f>
        <v>384</v>
      </c>
      <c r="T298">
        <f>T296*T297</f>
        <v>384</v>
      </c>
      <c r="U298">
        <f>U296*U297</f>
        <v>384</v>
      </c>
      <c r="V298">
        <f>V296*V297</f>
        <v>469.333333333333</v>
      </c>
      <c r="W298">
        <f>W296*W297</f>
        <v>469.333333333333</v>
      </c>
      <c r="X298">
        <f>X296*X297</f>
        <v>469.333333333333</v>
      </c>
    </row>
    <row r="299">
      <c r="A299" t="inlineStr">
        <is>
          <t>bard_p</t>
        </is>
      </c>
      <c r="B299" t="inlineStr">
        <is>
          <t>QUANTITATIF_CHARPENTE!C52</t>
        </is>
      </c>
      <c r="D299" t="str">
        <f>"Bac acier"</f>
        <v>Bac acier</v>
      </c>
      <c r="E299" t="str">
        <f>"Bac acier"</f>
        <v>Bac acier</v>
      </c>
      <c r="F299" t="str">
        <f>"Bac acier"</f>
        <v>Bac acier</v>
      </c>
      <c r="G299" t="str">
        <f>"Bac acier"</f>
        <v>Bac acier</v>
      </c>
      <c r="H299" t="str">
        <f>"Bac acier"</f>
        <v>Bac acier</v>
      </c>
      <c r="I299" t="str">
        <f>"Bac acier"</f>
        <v>Bac acier</v>
      </c>
      <c r="J299" t="str">
        <f>"Bac acier"</f>
        <v>Bac acier</v>
      </c>
      <c r="K299" t="str">
        <f>"Bac acier"</f>
        <v>Bac acier</v>
      </c>
      <c r="L299" t="str">
        <f>"Bac acier"</f>
        <v>Bac acier</v>
      </c>
      <c r="M299" t="str">
        <f>"Bac acier"</f>
        <v>Bac acier</v>
      </c>
      <c r="N299" t="str">
        <f>"Bac acier"</f>
        <v>Bac acier</v>
      </c>
      <c r="O299" t="str">
        <f>"Bac acier"</f>
        <v>Bac acier</v>
      </c>
      <c r="P299" t="str">
        <f>"Bac acier"</f>
        <v>Bac acier</v>
      </c>
      <c r="Q299" t="str">
        <f>"Bac acier"</f>
        <v>Bac acier</v>
      </c>
      <c r="R299" t="str">
        <f>"Bac acier"</f>
        <v>Bac acier</v>
      </c>
      <c r="S299" t="str">
        <f>"Bac acier"</f>
        <v>Bac acier</v>
      </c>
      <c r="T299" t="str">
        <f>"Bac acier"</f>
        <v>Bac acier</v>
      </c>
      <c r="U299" t="str">
        <f>"Bac acier"</f>
        <v>Bac acier</v>
      </c>
      <c r="V299" t="str">
        <f>"Bac acier"</f>
        <v>Bac acier</v>
      </c>
      <c r="W299" t="str">
        <f>"Bac acier"</f>
        <v>Bac acier</v>
      </c>
      <c r="X299" t="str">
        <f>"Bac acier"</f>
        <v>Bac acier</v>
      </c>
    </row>
    <row r="300">
      <c r="A300" t="inlineStr">
        <is>
          <t>bard_q</t>
        </is>
      </c>
      <c r="B300" t="inlineStr">
        <is>
          <t>QUANTITATIF_CHARPENTE!E52</t>
        </is>
      </c>
      <c r="D300">
        <f>(D35*2*D7*(D18-D34)+D47-D42)*(1+'PARAMÈTRES'!$C$46)+IF('PARAMÈTRES'!$C$42="Oui",D35*D32*'PARAMÈTRES'!$C$43,0)</f>
        <v>492.8</v>
      </c>
      <c r="E300">
        <f>(E35*2*E7*(E18-E34)+E47-E42)*(1+'PARAMÈTRES'!$C$46)+IF('PARAMÈTRES'!$C$42="Oui",E35*E32*'PARAMÈTRES'!$C$43,0)</f>
        <v>492.8</v>
      </c>
      <c r="F300">
        <f>(F35*2*F7*(F18-F34)+F47-F42)*(1+'PARAMÈTRES'!$C$46)+IF('PARAMÈTRES'!$C$42="Oui",F35*F32*'PARAMÈTRES'!$C$43,0)</f>
        <v>0</v>
      </c>
      <c r="G300">
        <f>(G35*2*G7*(G18-G34)+G47-G42)*(1+'PARAMÈTRES'!$C$46)+IF('PARAMÈTRES'!$C$42="Oui",G35*G32*'PARAMÈTRES'!$C$43,0)</f>
        <v>437.8</v>
      </c>
      <c r="H300">
        <f>(H35*2*H7*(H18-H34)+H47-H42)*(1+'PARAMÈTRES'!$C$46)+IF('PARAMÈTRES'!$C$42="Oui",H35*H32*'PARAMÈTRES'!$C$43,0)</f>
        <v>437.8</v>
      </c>
      <c r="I300">
        <f>(I35*2*I7*(I18-I34)+I47-I42)*(1+'PARAMÈTRES'!$C$46)+IF('PARAMÈTRES'!$C$42="Oui",I35*I32*'PARAMÈTRES'!$C$43,0)</f>
        <v>0</v>
      </c>
      <c r="J300">
        <f>(J35*2*J7*(J18-J34)+J47-J42)*(1+'PARAMÈTRES'!$C$46)+IF('PARAMÈTRES'!$C$42="Oui",J35*J32*'PARAMÈTRES'!$C$43,0)</f>
        <v>569.8</v>
      </c>
      <c r="K300">
        <f>(K35*2*K7*(K18-K34)+K47-K42)*(1+'PARAMÈTRES'!$C$46)+IF('PARAMÈTRES'!$C$42="Oui",K35*K32*'PARAMÈTRES'!$C$43,0)</f>
        <v>569.8</v>
      </c>
      <c r="L300">
        <f>(L35*2*L7*(L18-L34)+L47-L42)*(1+'PARAMÈTRES'!$C$46)+IF('PARAMÈTRES'!$C$42="Oui",L35*L32*'PARAMÈTRES'!$C$43,0)</f>
        <v>0</v>
      </c>
      <c r="M300">
        <f>(M35*2*M7*(M18-M34)+M47-M42)*(1+'PARAMÈTRES'!$C$46)+IF('PARAMÈTRES'!$C$42="Oui",M35*M32*'PARAMÈTRES'!$C$43,0)</f>
        <v>519.2</v>
      </c>
      <c r="N300">
        <f>(N35*2*N7*(N18-N34)+N47-N42)*(1+'PARAMÈTRES'!$C$46)+IF('PARAMÈTRES'!$C$42="Oui",N35*N32*'PARAMÈTRES'!$C$43,0)</f>
        <v>519.2</v>
      </c>
      <c r="O300">
        <f>(O35*2*O7*(O18-O34)+O47-O42)*(1+'PARAMÈTRES'!$C$46)+IF('PARAMÈTRES'!$C$42="Oui",O35*O32*'PARAMÈTRES'!$C$43,0)</f>
        <v>0</v>
      </c>
      <c r="P300">
        <f>(P35*2*P7*(P18-P34)+P47-P42)*(1+'PARAMÈTRES'!$C$46)+IF('PARAMÈTRES'!$C$42="Oui",P35*P32*'PARAMÈTRES'!$C$43,0)</f>
        <v>783.2</v>
      </c>
      <c r="Q300">
        <f>(Q35*2*Q7*(Q18-Q34)+Q47-Q42)*(1+'PARAMÈTRES'!$C$46)+IF('PARAMÈTRES'!$C$42="Oui",Q35*Q32*'PARAMÈTRES'!$C$43,0)</f>
        <v>783.2</v>
      </c>
      <c r="R300">
        <f>(R35*2*R7*(R18-R34)+R47-R42)*(1+'PARAMÈTRES'!$C$46)+IF('PARAMÈTRES'!$C$42="Oui",R35*R32*'PARAMÈTRES'!$C$43,0)</f>
        <v>0</v>
      </c>
      <c r="S300">
        <f>(S35*2*S7*(S18-S34)+S47-S42)*(1+'PARAMÈTRES'!$C$46)+IF('PARAMÈTRES'!$C$42="Oui",S35*S32*'PARAMÈTRES'!$C$43,0)</f>
        <v>959.2</v>
      </c>
      <c r="T300">
        <f>(T35*2*T7*(T18-T34)+T47-T42)*(1+'PARAMÈTRES'!$C$46)+IF('PARAMÈTRES'!$C$42="Oui",T35*T32*'PARAMÈTRES'!$C$43,0)</f>
        <v>959.2</v>
      </c>
      <c r="U300">
        <f>(U35*2*U7*(U18-U34)+U47-U42)*(1+'PARAMÈTRES'!$C$46)+IF('PARAMÈTRES'!$C$42="Oui",U35*U32*'PARAMÈTRES'!$C$43,0)</f>
        <v>0</v>
      </c>
      <c r="V300">
        <f>(V35*2*V7*(V18-V34)+V47-V42)*(1+'PARAMÈTRES'!$C$46)+IF('PARAMÈTRES'!$C$42="Oui",V35*V32*'PARAMÈTRES'!$C$43,0)</f>
        <v>1387.46666666667</v>
      </c>
      <c r="W300">
        <f>(W35*2*W7*(W18-W34)+W47-W42)*(1+'PARAMÈTRES'!$C$46)+IF('PARAMÈTRES'!$C$42="Oui",W35*W32*'PARAMÈTRES'!$C$43,0)</f>
        <v>1387.46666666667</v>
      </c>
      <c r="X300">
        <f>(X35*2*X7*(X18-X34)+X47-X42)*(1+'PARAMÈTRES'!$C$46)+IF('PARAMÈTRES'!$C$42="Oui",X35*X32*'PARAMÈTRES'!$C$43,0)</f>
        <v>0</v>
      </c>
    </row>
    <row r="301">
      <c r="A301" t="inlineStr">
        <is>
          <t>larp_p</t>
        </is>
      </c>
      <c r="B301" t="inlineStr">
        <is>
          <t>QUANTITATIF_CHARPENTE!C53</t>
        </is>
      </c>
      <c r="D301" t="str">
        <f>"Larmier"</f>
        <v>Larmier</v>
      </c>
      <c r="E301" t="str">
        <f>"Larmier"</f>
        <v>Larmier</v>
      </c>
      <c r="F301" t="str">
        <f>"Larmier"</f>
        <v>Larmier</v>
      </c>
      <c r="G301" t="str">
        <f>"Larmier"</f>
        <v>Larmier</v>
      </c>
      <c r="H301" t="str">
        <f>"Larmier"</f>
        <v>Larmier</v>
      </c>
      <c r="I301" t="str">
        <f>"Larmier"</f>
        <v>Larmier</v>
      </c>
      <c r="J301" t="str">
        <f>"Larmier"</f>
        <v>Larmier</v>
      </c>
      <c r="K301" t="str">
        <f>"Larmier"</f>
        <v>Larmier</v>
      </c>
      <c r="L301" t="str">
        <f>"Larmier"</f>
        <v>Larmier</v>
      </c>
      <c r="M301" t="str">
        <f>"Larmier"</f>
        <v>Larmier</v>
      </c>
      <c r="N301" t="str">
        <f>"Larmier"</f>
        <v>Larmier</v>
      </c>
      <c r="O301" t="str">
        <f>"Larmier"</f>
        <v>Larmier</v>
      </c>
      <c r="P301" t="str">
        <f>"Larmier"</f>
        <v>Larmier</v>
      </c>
      <c r="Q301" t="str">
        <f>"Larmier"</f>
        <v>Larmier</v>
      </c>
      <c r="R301" t="str">
        <f>"Larmier"</f>
        <v>Larmier</v>
      </c>
      <c r="S301" t="str">
        <f>"Larmier"</f>
        <v>Larmier</v>
      </c>
      <c r="T301" t="str">
        <f>"Larmier"</f>
        <v>Larmier</v>
      </c>
      <c r="U301" t="str">
        <f>"Larmier"</f>
        <v>Larmier</v>
      </c>
      <c r="V301" t="str">
        <f>"Larmier"</f>
        <v>Larmier</v>
      </c>
      <c r="W301" t="str">
        <f>"Larmier"</f>
        <v>Larmier</v>
      </c>
      <c r="X301" t="str">
        <f>"Larmier"</f>
        <v>Larmier</v>
      </c>
    </row>
    <row r="302">
      <c r="A302" t="inlineStr">
        <is>
          <t>larp_q</t>
        </is>
      </c>
      <c r="B302" t="inlineStr">
        <is>
          <t>QUANTITATIF_CHARPENTE!E53</t>
        </is>
      </c>
      <c r="D302">
        <f>'PARAMÈTRES'!$C$28*('PARAMÈTRES'!$C$29+'PARAMÈTRES'!$C$36)</f>
        <v>4.2</v>
      </c>
      <c r="E302">
        <f>'PARAMÈTRES'!$C$28*('PARAMÈTRES'!$C$29+'PARAMÈTRES'!$C$36)</f>
        <v>4.2</v>
      </c>
      <c r="F302">
        <f>'PARAMÈTRES'!$C$28*('PARAMÈTRES'!$C$29+'PARAMÈTRES'!$C$36)</f>
        <v>4.2</v>
      </c>
      <c r="G302">
        <f>'PARAMÈTRES'!$C$28*('PARAMÈTRES'!$C$29+'PARAMÈTRES'!$C$36)</f>
        <v>4.2</v>
      </c>
      <c r="H302">
        <f>'PARAMÈTRES'!$C$28*('PARAMÈTRES'!$C$29+'PARAMÈTRES'!$C$36)</f>
        <v>4.2</v>
      </c>
      <c r="I302">
        <f>'PARAMÈTRES'!$C$28*('PARAMÈTRES'!$C$29+'PARAMÈTRES'!$C$36)</f>
        <v>4.2</v>
      </c>
      <c r="J302">
        <f>'PARAMÈTRES'!$C$28*('PARAMÈTRES'!$C$29+'PARAMÈTRES'!$C$36)</f>
        <v>4.2</v>
      </c>
      <c r="K302">
        <f>'PARAMÈTRES'!$C$28*('PARAMÈTRES'!$C$29+'PARAMÈTRES'!$C$36)</f>
        <v>4.2</v>
      </c>
      <c r="L302">
        <f>'PARAMÈTRES'!$C$28*('PARAMÈTRES'!$C$29+'PARAMÈTRES'!$C$36)</f>
        <v>4.2</v>
      </c>
      <c r="M302">
        <f>'PARAMÈTRES'!$C$28*('PARAMÈTRES'!$C$29+'PARAMÈTRES'!$C$36)</f>
        <v>4.2</v>
      </c>
      <c r="N302">
        <f>'PARAMÈTRES'!$C$28*('PARAMÈTRES'!$C$29+'PARAMÈTRES'!$C$36)</f>
        <v>4.2</v>
      </c>
      <c r="O302">
        <f>'PARAMÈTRES'!$C$28*('PARAMÈTRES'!$C$29+'PARAMÈTRES'!$C$36)</f>
        <v>4.2</v>
      </c>
      <c r="P302">
        <f>'PARAMÈTRES'!$C$28*('PARAMÈTRES'!$C$29+'PARAMÈTRES'!$C$36)</f>
        <v>4.2</v>
      </c>
      <c r="Q302">
        <f>'PARAMÈTRES'!$C$28*('PARAMÈTRES'!$C$29+'PARAMÈTRES'!$C$36)</f>
        <v>4.2</v>
      </c>
      <c r="R302">
        <f>'PARAMÈTRES'!$C$28*('PARAMÈTRES'!$C$29+'PARAMÈTRES'!$C$36)</f>
        <v>4.2</v>
      </c>
      <c r="S302">
        <f>'PARAMÈTRES'!$C$28*('PARAMÈTRES'!$C$29+'PARAMÈTRES'!$C$36)</f>
        <v>4.2</v>
      </c>
      <c r="T302">
        <f>'PARAMÈTRES'!$C$28*('PARAMÈTRES'!$C$29+'PARAMÈTRES'!$C$36)</f>
        <v>4.2</v>
      </c>
      <c r="U302">
        <f>'PARAMÈTRES'!$C$28*('PARAMÈTRES'!$C$29+'PARAMÈTRES'!$C$36)</f>
        <v>4.2</v>
      </c>
      <c r="V302">
        <f>'PARAMÈTRES'!$C$28*('PARAMÈTRES'!$C$29+'PARAMÈTRES'!$C$36)</f>
        <v>4.2</v>
      </c>
      <c r="W302">
        <f>'PARAMÈTRES'!$C$28*('PARAMÈTRES'!$C$29+'PARAMÈTRES'!$C$36)</f>
        <v>4.2</v>
      </c>
      <c r="X302">
        <f>'PARAMÈTRES'!$C$28*('PARAMÈTRES'!$C$29+'PARAMÈTRES'!$C$36)</f>
        <v>4.2</v>
      </c>
    </row>
    <row r="303">
      <c r="A303" t="inlineStr">
        <is>
          <t>rail_p</t>
        </is>
      </c>
      <c r="B303" t="inlineStr">
        <is>
          <t>QUANTITATIF_CHARPENTE!C54</t>
        </is>
      </c>
      <c r="D303" t="str">
        <f>"Rail"</f>
        <v>Rail</v>
      </c>
      <c r="E303" t="str">
        <f>"Rail"</f>
        <v>Rail</v>
      </c>
      <c r="F303" t="str">
        <f>"Rail"</f>
        <v>Rail</v>
      </c>
      <c r="G303" t="str">
        <f>"Rail"</f>
        <v>Rail</v>
      </c>
      <c r="H303" t="str">
        <f>"Rail"</f>
        <v>Rail</v>
      </c>
      <c r="I303" t="str">
        <f>"Rail"</f>
        <v>Rail</v>
      </c>
      <c r="J303" t="str">
        <f>"Rail"</f>
        <v>Rail</v>
      </c>
      <c r="K303" t="str">
        <f>"Rail"</f>
        <v>Rail</v>
      </c>
      <c r="L303" t="str">
        <f>"Rail"</f>
        <v>Rail</v>
      </c>
      <c r="M303" t="str">
        <f>"Rail"</f>
        <v>Rail</v>
      </c>
      <c r="N303" t="str">
        <f>"Rail"</f>
        <v>Rail</v>
      </c>
      <c r="O303" t="str">
        <f>"Rail"</f>
        <v>Rail</v>
      </c>
      <c r="P303" t="str">
        <f>"Rail"</f>
        <v>Rail</v>
      </c>
      <c r="Q303" t="str">
        <f>"Rail"</f>
        <v>Rail</v>
      </c>
      <c r="R303" t="str">
        <f>"Rail"</f>
        <v>Rail</v>
      </c>
      <c r="S303" t="str">
        <f>"Rail"</f>
        <v>Rail</v>
      </c>
      <c r="T303" t="str">
        <f>"Rail"</f>
        <v>Rail</v>
      </c>
      <c r="U303" t="str">
        <f>"Rail"</f>
        <v>Rail</v>
      </c>
      <c r="V303" t="str">
        <f>"Rail"</f>
        <v>Rail</v>
      </c>
      <c r="W303" t="str">
        <f>"Rail"</f>
        <v>Rail</v>
      </c>
      <c r="X303" t="str">
        <f>"Rail"</f>
        <v>Rail</v>
      </c>
    </row>
    <row r="304">
      <c r="A304" t="inlineStr">
        <is>
          <t>rail_q</t>
        </is>
      </c>
      <c r="B304" t="inlineStr">
        <is>
          <t>QUANTITATIF_CHARPENTE!E54</t>
        </is>
      </c>
      <c r="D304">
        <f>'PARAMÈTRES'!$C$28*2*'PARAMÈTRES'!$C$29</f>
        <v>8</v>
      </c>
      <c r="E304">
        <f>'PARAMÈTRES'!$C$28*2*'PARAMÈTRES'!$C$29</f>
        <v>8</v>
      </c>
      <c r="F304">
        <f>'PARAMÈTRES'!$C$28*2*'PARAMÈTRES'!$C$29</f>
        <v>8</v>
      </c>
      <c r="G304">
        <f>'PARAMÈTRES'!$C$28*2*'PARAMÈTRES'!$C$29</f>
        <v>8</v>
      </c>
      <c r="H304">
        <f>'PARAMÈTRES'!$C$28*2*'PARAMÈTRES'!$C$29</f>
        <v>8</v>
      </c>
      <c r="I304">
        <f>'PARAMÈTRES'!$C$28*2*'PARAMÈTRES'!$C$29</f>
        <v>8</v>
      </c>
      <c r="J304">
        <f>'PARAMÈTRES'!$C$28*2*'PARAMÈTRES'!$C$29</f>
        <v>8</v>
      </c>
      <c r="K304">
        <f>'PARAMÈTRES'!$C$28*2*'PARAMÈTRES'!$C$29</f>
        <v>8</v>
      </c>
      <c r="L304">
        <f>'PARAMÈTRES'!$C$28*2*'PARAMÈTRES'!$C$29</f>
        <v>8</v>
      </c>
      <c r="M304">
        <f>'PARAMÈTRES'!$C$28*2*'PARAMÈTRES'!$C$29</f>
        <v>8</v>
      </c>
      <c r="N304">
        <f>'PARAMÈTRES'!$C$28*2*'PARAMÈTRES'!$C$29</f>
        <v>8</v>
      </c>
      <c r="O304">
        <f>'PARAMÈTRES'!$C$28*2*'PARAMÈTRES'!$C$29</f>
        <v>8</v>
      </c>
      <c r="P304">
        <f>'PARAMÈTRES'!$C$28*2*'PARAMÈTRES'!$C$29</f>
        <v>8</v>
      </c>
      <c r="Q304">
        <f>'PARAMÈTRES'!$C$28*2*'PARAMÈTRES'!$C$29</f>
        <v>8</v>
      </c>
      <c r="R304">
        <f>'PARAMÈTRES'!$C$28*2*'PARAMÈTRES'!$C$29</f>
        <v>8</v>
      </c>
      <c r="S304">
        <f>'PARAMÈTRES'!$C$28*2*'PARAMÈTRES'!$C$29</f>
        <v>8</v>
      </c>
      <c r="T304">
        <f>'PARAMÈTRES'!$C$28*2*'PARAMÈTRES'!$C$29</f>
        <v>8</v>
      </c>
      <c r="U304">
        <f>'PARAMÈTRES'!$C$28*2*'PARAMÈTRES'!$C$29</f>
        <v>8</v>
      </c>
      <c r="V304">
        <f>'PARAMÈTRES'!$C$28*2*'PARAMÈTRES'!$C$29</f>
        <v>8</v>
      </c>
      <c r="W304">
        <f>'PARAMÈTRES'!$C$28*2*'PARAMÈTRES'!$C$29</f>
        <v>8</v>
      </c>
      <c r="X304">
        <f>'PARAMÈTRES'!$C$28*2*'PARAMÈTRES'!$C$29</f>
        <v>8</v>
      </c>
    </row>
    <row r="305">
      <c r="A305" t="inlineStr">
        <is>
          <t>larb_p</t>
        </is>
      </c>
      <c r="B305" t="inlineStr">
        <is>
          <t>QUANTITATIF_CHARPENTE!C55</t>
        </is>
      </c>
      <c r="D305" t="str">
        <f>"Larmier"</f>
        <v>Larmier</v>
      </c>
      <c r="E305" t="str">
        <f>"Larmier"</f>
        <v>Larmier</v>
      </c>
      <c r="F305" t="str">
        <f>"Larmier"</f>
        <v>Larmier</v>
      </c>
      <c r="G305" t="str">
        <f>"Larmier"</f>
        <v>Larmier</v>
      </c>
      <c r="H305" t="str">
        <f>"Larmier"</f>
        <v>Larmier</v>
      </c>
      <c r="I305" t="str">
        <f>"Larmier"</f>
        <v>Larmier</v>
      </c>
      <c r="J305" t="str">
        <f>"Larmier"</f>
        <v>Larmier</v>
      </c>
      <c r="K305" t="str">
        <f>"Larmier"</f>
        <v>Larmier</v>
      </c>
      <c r="L305" t="str">
        <f>"Larmier"</f>
        <v>Larmier</v>
      </c>
      <c r="M305" t="str">
        <f>"Larmier"</f>
        <v>Larmier</v>
      </c>
      <c r="N305" t="str">
        <f>"Larmier"</f>
        <v>Larmier</v>
      </c>
      <c r="O305" t="str">
        <f>"Larmier"</f>
        <v>Larmier</v>
      </c>
      <c r="P305" t="str">
        <f>"Larmier"</f>
        <v>Larmier</v>
      </c>
      <c r="Q305" t="str">
        <f>"Larmier"</f>
        <v>Larmier</v>
      </c>
      <c r="R305" t="str">
        <f>"Larmier"</f>
        <v>Larmier</v>
      </c>
      <c r="S305" t="str">
        <f>"Larmier"</f>
        <v>Larmier</v>
      </c>
      <c r="T305" t="str">
        <f>"Larmier"</f>
        <v>Larmier</v>
      </c>
      <c r="U305" t="str">
        <f>"Larmier"</f>
        <v>Larmier</v>
      </c>
      <c r="V305" t="str">
        <f>"Larmier"</f>
        <v>Larmier</v>
      </c>
      <c r="W305" t="str">
        <f>"Larmier"</f>
        <v>Larmier</v>
      </c>
      <c r="X305" t="str">
        <f>"Larmier"</f>
        <v>Larmier</v>
      </c>
    </row>
    <row r="306">
      <c r="A306" t="inlineStr">
        <is>
          <t>larb_q</t>
        </is>
      </c>
      <c r="B306" t="inlineStr">
        <is>
          <t>QUANTITATIF_CHARPENTE!E55</t>
        </is>
      </c>
      <c r="D306">
        <f>D35*(MAX(0,D32-D41)+4*(D18-D34))</f>
        <v>94.5</v>
      </c>
      <c r="E306">
        <f>E35*(MAX(0,E32-E41)+4*(E18-E34))</f>
        <v>94.5</v>
      </c>
      <c r="F306">
        <f>F35*(MAX(0,F32-F41)+4*(F18-F34))</f>
        <v>0</v>
      </c>
      <c r="G306">
        <f>G35*(MAX(0,G32-G41)+4*(G18-G34))</f>
        <v>84.5</v>
      </c>
      <c r="H306">
        <f>H35*(MAX(0,H32-H41)+4*(H18-H34))</f>
        <v>84.5</v>
      </c>
      <c r="I306">
        <f>I35*(MAX(0,I32-I41)+4*(I18-I34))</f>
        <v>0</v>
      </c>
      <c r="J306">
        <f>J35*(MAX(0,J32-J41)+4*(J18-J34))</f>
        <v>104.5</v>
      </c>
      <c r="K306">
        <f>K35*(MAX(0,K32-K41)+4*(K18-K34))</f>
        <v>104.5</v>
      </c>
      <c r="L306">
        <f>L35*(MAX(0,L32-L41)+4*(L18-L34))</f>
        <v>0</v>
      </c>
      <c r="M306">
        <f>M35*(MAX(0,M32-M41)+4*(M18-M34))</f>
        <v>94.5</v>
      </c>
      <c r="N306">
        <f>N35*(MAX(0,N32-N41)+4*(N18-N34))</f>
        <v>94.5</v>
      </c>
      <c r="O306">
        <f>O35*(MAX(0,O32-O41)+4*(O18-O34))</f>
        <v>0</v>
      </c>
      <c r="P306">
        <f>P35*(MAX(0,P32-P41)+4*(P18-P34))</f>
        <v>134.5</v>
      </c>
      <c r="Q306">
        <f>Q35*(MAX(0,Q32-Q41)+4*(Q18-Q34))</f>
        <v>134.5</v>
      </c>
      <c r="R306">
        <f>R35*(MAX(0,R32-R41)+4*(R18-R34))</f>
        <v>0</v>
      </c>
      <c r="S306">
        <f>S35*(MAX(0,S32-S41)+4*(S18-S34))</f>
        <v>154.5</v>
      </c>
      <c r="T306">
        <f>T35*(MAX(0,T32-T41)+4*(T18-T34))</f>
        <v>154.5</v>
      </c>
      <c r="U306">
        <f>U35*(MAX(0,U32-U41)+4*(U18-U34))</f>
        <v>0</v>
      </c>
      <c r="V306">
        <f>V35*(MAX(0,V32-V41)+4*(V18-V34))</f>
        <v>179.833333333333</v>
      </c>
      <c r="W306">
        <f>W35*(MAX(0,W32-W41)+4*(W18-W34))</f>
        <v>179.833333333333</v>
      </c>
      <c r="X306">
        <f>X35*(MAX(0,X32-X41)+4*(X18-X34))</f>
        <v>0</v>
      </c>
    </row>
    <row r="307">
      <c r="A307" t="inlineStr">
        <is>
          <t>b_nd_p</t>
        </is>
      </c>
      <c r="B307" t="inlineStr">
        <is>
          <t>QUANTITATIF_CHARPENTE!C58</t>
        </is>
      </c>
      <c r="D307" t="str">
        <f>"HR M20"</f>
        <v>HR M20</v>
      </c>
      <c r="E307" t="str">
        <f>"HR M20"</f>
        <v>HR M20</v>
      </c>
      <c r="F307" t="str">
        <f>"HR M20"</f>
        <v>HR M20</v>
      </c>
      <c r="G307" t="str">
        <f>"HR M20"</f>
        <v>HR M20</v>
      </c>
      <c r="H307" t="str">
        <f>"HR M20"</f>
        <v>HR M20</v>
      </c>
      <c r="I307" t="str">
        <f>"HR M20"</f>
        <v>HR M20</v>
      </c>
      <c r="J307" t="str">
        <f>"HR M20"</f>
        <v>HR M20</v>
      </c>
      <c r="K307" t="str">
        <f>"HR M20"</f>
        <v>HR M20</v>
      </c>
      <c r="L307" t="str">
        <f>"HR M20"</f>
        <v>HR M20</v>
      </c>
      <c r="M307" t="str">
        <f>"HR M20"</f>
        <v>HR M20</v>
      </c>
      <c r="N307" t="str">
        <f>"HR M20"</f>
        <v>HR M20</v>
      </c>
      <c r="O307" t="str">
        <f>"HR M20"</f>
        <v>HR M20</v>
      </c>
      <c r="P307" t="str">
        <f>"HR M20"</f>
        <v>HR M20</v>
      </c>
      <c r="Q307" t="str">
        <f>"HR M20"</f>
        <v>HR M20</v>
      </c>
      <c r="R307" t="str">
        <f>"HR M20"</f>
        <v>HR M20</v>
      </c>
      <c r="S307" t="str">
        <f>"HR M20"</f>
        <v>HR M20</v>
      </c>
      <c r="T307" t="str">
        <f>"HR M20"</f>
        <v>HR M20</v>
      </c>
      <c r="U307" t="str">
        <f>"HR M20"</f>
        <v>HR M20</v>
      </c>
      <c r="V307" t="str">
        <f>"HR M20"</f>
        <v>HR M20</v>
      </c>
      <c r="W307" t="str">
        <f>"HR M20"</f>
        <v>HR M20</v>
      </c>
      <c r="X307" t="str">
        <f>"HR M20"</f>
        <v>HR M20</v>
      </c>
    </row>
    <row r="308">
      <c r="A308" t="inlineStr">
        <is>
          <t>b_nd_q</t>
        </is>
      </c>
      <c r="B308" t="inlineStr">
        <is>
          <t>QUANTITATIF_CHARPENTE!E58</t>
        </is>
      </c>
      <c r="D308">
        <f>2*D14*'PARAMÈTRES'!$C$63</f>
        <v>96</v>
      </c>
      <c r="E308">
        <f>2*E14*'PARAMÈTRES'!$C$63</f>
        <v>96</v>
      </c>
      <c r="F308">
        <f>2*F14*'PARAMÈTRES'!$C$63</f>
        <v>96</v>
      </c>
      <c r="G308">
        <f>2*G14*'PARAMÈTRES'!$C$63</f>
        <v>80</v>
      </c>
      <c r="H308">
        <f>2*H14*'PARAMÈTRES'!$C$63</f>
        <v>80</v>
      </c>
      <c r="I308">
        <f>2*I14*'PARAMÈTRES'!$C$63</f>
        <v>80</v>
      </c>
      <c r="J308">
        <f>2*J14*'PARAMÈTRES'!$C$63</f>
        <v>96</v>
      </c>
      <c r="K308">
        <f>2*K14*'PARAMÈTRES'!$C$63</f>
        <v>96</v>
      </c>
      <c r="L308">
        <f>2*L14*'PARAMÈTRES'!$C$63</f>
        <v>96</v>
      </c>
      <c r="M308">
        <f>2*M14*'PARAMÈTRES'!$C$63</f>
        <v>80</v>
      </c>
      <c r="N308">
        <f>2*N14*'PARAMÈTRES'!$C$63</f>
        <v>80</v>
      </c>
      <c r="O308">
        <f>2*O14*'PARAMÈTRES'!$C$63</f>
        <v>80</v>
      </c>
      <c r="P308">
        <f>2*P14*'PARAMÈTRES'!$C$63</f>
        <v>128</v>
      </c>
      <c r="Q308">
        <f>2*Q14*'PARAMÈTRES'!$C$63</f>
        <v>128</v>
      </c>
      <c r="R308">
        <f>2*R14*'PARAMÈTRES'!$C$63</f>
        <v>128</v>
      </c>
      <c r="S308">
        <f>2*S14*'PARAMÈTRES'!$C$63</f>
        <v>128</v>
      </c>
      <c r="T308">
        <f>2*T14*'PARAMÈTRES'!$C$63</f>
        <v>128</v>
      </c>
      <c r="U308">
        <f>2*U14*'PARAMÈTRES'!$C$63</f>
        <v>128</v>
      </c>
      <c r="V308">
        <f>2*V14*'PARAMÈTRES'!$C$63</f>
        <v>128</v>
      </c>
      <c r="W308">
        <f>2*W14*'PARAMÈTRES'!$C$63</f>
        <v>128</v>
      </c>
      <c r="X308">
        <f>2*X14*'PARAMÈTRES'!$C$63</f>
        <v>128</v>
      </c>
    </row>
    <row r="309">
      <c r="A309" t="inlineStr">
        <is>
          <t>b_nd_kgml</t>
        </is>
      </c>
      <c r="B309" t="inlineStr">
        <is>
          <t>QUANTITATIF_CHARPENTE!H58</t>
        </is>
      </c>
      <c r="D309">
        <f>'PARAMÈTRES'!$C$69</f>
        <v>0.45</v>
      </c>
      <c r="E309">
        <f>'PARAMÈTRES'!$C$69</f>
        <v>0.45</v>
      </c>
      <c r="F309">
        <f>'PARAMÈTRES'!$C$69</f>
        <v>0.45</v>
      </c>
      <c r="G309">
        <f>'PARAMÈTRES'!$C$69</f>
        <v>0.45</v>
      </c>
      <c r="H309">
        <f>'PARAMÈTRES'!$C$69</f>
        <v>0.45</v>
      </c>
      <c r="I309">
        <f>'PARAMÈTRES'!$C$69</f>
        <v>0.45</v>
      </c>
      <c r="J309">
        <f>'PARAMÈTRES'!$C$69</f>
        <v>0.45</v>
      </c>
      <c r="K309">
        <f>'PARAMÈTRES'!$C$69</f>
        <v>0.45</v>
      </c>
      <c r="L309">
        <f>'PARAMÈTRES'!$C$69</f>
        <v>0.45</v>
      </c>
      <c r="M309">
        <f>'PARAMÈTRES'!$C$69</f>
        <v>0.45</v>
      </c>
      <c r="N309">
        <f>'PARAMÈTRES'!$C$69</f>
        <v>0.45</v>
      </c>
      <c r="O309">
        <f>'PARAMÈTRES'!$C$69</f>
        <v>0.45</v>
      </c>
      <c r="P309">
        <f>'PARAMÈTRES'!$C$69</f>
        <v>0.45</v>
      </c>
      <c r="Q309">
        <f>'PARAMÈTRES'!$C$69</f>
        <v>0.45</v>
      </c>
      <c r="R309">
        <f>'PARAMÈTRES'!$C$69</f>
        <v>0.45</v>
      </c>
      <c r="S309">
        <f>'PARAMÈTRES'!$C$69</f>
        <v>0.45</v>
      </c>
      <c r="T309">
        <f>'PARAMÈTRES'!$C$69</f>
        <v>0.45</v>
      </c>
      <c r="U309">
        <f>'PARAMÈTRES'!$C$69</f>
        <v>0.45</v>
      </c>
      <c r="V309">
        <f>'PARAMÈTRES'!$C$69</f>
        <v>0.45</v>
      </c>
      <c r="W309">
        <f>'PARAMÈTRES'!$C$69</f>
        <v>0.45</v>
      </c>
      <c r="X309">
        <f>'PARAMÈTRES'!$C$69</f>
        <v>0.45</v>
      </c>
    </row>
    <row r="310">
      <c r="A310" t="inlineStr">
        <is>
          <t>b_nd_kg</t>
        </is>
      </c>
      <c r="B310" t="inlineStr">
        <is>
          <t>QUANTITATIF_CHARPENTE!I58</t>
        </is>
      </c>
      <c r="D310">
        <f>D308*D309</f>
        <v>43.2</v>
      </c>
      <c r="E310">
        <f>E308*E309</f>
        <v>43.2</v>
      </c>
      <c r="F310">
        <f>F308*F309</f>
        <v>43.2</v>
      </c>
      <c r="G310">
        <f>G308*G309</f>
        <v>36</v>
      </c>
      <c r="H310">
        <f>H308*H309</f>
        <v>36</v>
      </c>
      <c r="I310">
        <f>I308*I309</f>
        <v>36</v>
      </c>
      <c r="J310">
        <f>J308*J309</f>
        <v>43.2</v>
      </c>
      <c r="K310">
        <f>K308*K309</f>
        <v>43.2</v>
      </c>
      <c r="L310">
        <f>L308*L309</f>
        <v>43.2</v>
      </c>
      <c r="M310">
        <f>M308*M309</f>
        <v>36</v>
      </c>
      <c r="N310">
        <f>N308*N309</f>
        <v>36</v>
      </c>
      <c r="O310">
        <f>O308*O309</f>
        <v>36</v>
      </c>
      <c r="P310">
        <f>P308*P309</f>
        <v>57.6</v>
      </c>
      <c r="Q310">
        <f>Q308*Q309</f>
        <v>57.6</v>
      </c>
      <c r="R310">
        <f>R308*R309</f>
        <v>57.6</v>
      </c>
      <c r="S310">
        <f>S308*S309</f>
        <v>57.6</v>
      </c>
      <c r="T310">
        <f>T308*T309</f>
        <v>57.6</v>
      </c>
      <c r="U310">
        <f>U308*U309</f>
        <v>57.6</v>
      </c>
      <c r="V310">
        <f>V308*V309</f>
        <v>57.6</v>
      </c>
      <c r="W310">
        <f>W308*W309</f>
        <v>57.6</v>
      </c>
      <c r="X310">
        <f>X308*X309</f>
        <v>57.6</v>
      </c>
    </row>
    <row r="311">
      <c r="A311" t="inlineStr">
        <is>
          <t>b_ft_p</t>
        </is>
      </c>
      <c r="B311" t="inlineStr">
        <is>
          <t>QUANTITATIF_CHARPENTE!C59</t>
        </is>
      </c>
      <c r="D311" t="str">
        <f>"HR M20"</f>
        <v>HR M20</v>
      </c>
      <c r="E311" t="str">
        <f>"HR M20"</f>
        <v>HR M20</v>
      </c>
      <c r="F311" t="str">
        <f>"HR M20"</f>
        <v>HR M20</v>
      </c>
      <c r="G311" t="str">
        <f>"HR M20"</f>
        <v>HR M20</v>
      </c>
      <c r="H311" t="str">
        <f>"HR M20"</f>
        <v>HR M20</v>
      </c>
      <c r="I311" t="str">
        <f>"HR M20"</f>
        <v>HR M20</v>
      </c>
      <c r="J311" t="str">
        <f>"HR M20"</f>
        <v>HR M20</v>
      </c>
      <c r="K311" t="str">
        <f>"HR M20"</f>
        <v>HR M20</v>
      </c>
      <c r="L311" t="str">
        <f>"HR M20"</f>
        <v>HR M20</v>
      </c>
      <c r="M311" t="str">
        <f>"HR M20"</f>
        <v>HR M20</v>
      </c>
      <c r="N311" t="str">
        <f>"HR M20"</f>
        <v>HR M20</v>
      </c>
      <c r="O311" t="str">
        <f>"HR M20"</f>
        <v>HR M20</v>
      </c>
      <c r="P311" t="str">
        <f>"HR M20"</f>
        <v>HR M20</v>
      </c>
      <c r="Q311" t="str">
        <f>"HR M20"</f>
        <v>HR M20</v>
      </c>
      <c r="R311" t="str">
        <f>"HR M20"</f>
        <v>HR M20</v>
      </c>
      <c r="S311" t="str">
        <f>"HR M20"</f>
        <v>HR M20</v>
      </c>
      <c r="T311" t="str">
        <f>"HR M20"</f>
        <v>HR M20</v>
      </c>
      <c r="U311" t="str">
        <f>"HR M20"</f>
        <v>HR M20</v>
      </c>
      <c r="V311" t="str">
        <f>"HR M20"</f>
        <v>HR M20</v>
      </c>
      <c r="W311" t="str">
        <f>"HR M20"</f>
        <v>HR M20</v>
      </c>
      <c r="X311" t="str">
        <f>"HR M20"</f>
        <v>HR M20</v>
      </c>
    </row>
    <row r="312">
      <c r="A312" t="inlineStr">
        <is>
          <t>b_ft_q</t>
        </is>
      </c>
      <c r="B312" t="inlineStr">
        <is>
          <t>QUANTITATIF_CHARPENTE!E59</t>
        </is>
      </c>
      <c r="D312">
        <f>D14*'PARAMÈTRES'!$C$64</f>
        <v>48</v>
      </c>
      <c r="E312">
        <f>E14*'PARAMÈTRES'!$C$64</f>
        <v>48</v>
      </c>
      <c r="F312">
        <f>F14*'PARAMÈTRES'!$C$64</f>
        <v>48</v>
      </c>
      <c r="G312">
        <f>G14*'PARAMÈTRES'!$C$64</f>
        <v>40</v>
      </c>
      <c r="H312">
        <f>H14*'PARAMÈTRES'!$C$64</f>
        <v>40</v>
      </c>
      <c r="I312">
        <f>I14*'PARAMÈTRES'!$C$64</f>
        <v>40</v>
      </c>
      <c r="J312">
        <f>J14*'PARAMÈTRES'!$C$64</f>
        <v>48</v>
      </c>
      <c r="K312">
        <f>K14*'PARAMÈTRES'!$C$64</f>
        <v>48</v>
      </c>
      <c r="L312">
        <f>L14*'PARAMÈTRES'!$C$64</f>
        <v>48</v>
      </c>
      <c r="M312">
        <f>M14*'PARAMÈTRES'!$C$64</f>
        <v>40</v>
      </c>
      <c r="N312">
        <f>N14*'PARAMÈTRES'!$C$64</f>
        <v>40</v>
      </c>
      <c r="O312">
        <f>O14*'PARAMÈTRES'!$C$64</f>
        <v>40</v>
      </c>
      <c r="P312">
        <f>P14*'PARAMÈTRES'!$C$64</f>
        <v>64</v>
      </c>
      <c r="Q312">
        <f>Q14*'PARAMÈTRES'!$C$64</f>
        <v>64</v>
      </c>
      <c r="R312">
        <f>R14*'PARAMÈTRES'!$C$64</f>
        <v>64</v>
      </c>
      <c r="S312">
        <f>S14*'PARAMÈTRES'!$C$64</f>
        <v>64</v>
      </c>
      <c r="T312">
        <f>T14*'PARAMÈTRES'!$C$64</f>
        <v>64</v>
      </c>
      <c r="U312">
        <f>U14*'PARAMÈTRES'!$C$64</f>
        <v>64</v>
      </c>
      <c r="V312">
        <f>V14*'PARAMÈTRES'!$C$64</f>
        <v>64</v>
      </c>
      <c r="W312">
        <f>W14*'PARAMÈTRES'!$C$64</f>
        <v>64</v>
      </c>
      <c r="X312">
        <f>X14*'PARAMÈTRES'!$C$64</f>
        <v>64</v>
      </c>
    </row>
    <row r="313">
      <c r="A313" t="inlineStr">
        <is>
          <t>b_ft_kgml</t>
        </is>
      </c>
      <c r="B313" t="inlineStr">
        <is>
          <t>QUANTITATIF_CHARPENTE!H59</t>
        </is>
      </c>
      <c r="D313">
        <f>'PARAMÈTRES'!$C$69</f>
        <v>0.45</v>
      </c>
      <c r="E313">
        <f>'PARAMÈTRES'!$C$69</f>
        <v>0.45</v>
      </c>
      <c r="F313">
        <f>'PARAMÈTRES'!$C$69</f>
        <v>0.45</v>
      </c>
      <c r="G313">
        <f>'PARAMÈTRES'!$C$69</f>
        <v>0.45</v>
      </c>
      <c r="H313">
        <f>'PARAMÈTRES'!$C$69</f>
        <v>0.45</v>
      </c>
      <c r="I313">
        <f>'PARAMÈTRES'!$C$69</f>
        <v>0.45</v>
      </c>
      <c r="J313">
        <f>'PARAMÈTRES'!$C$69</f>
        <v>0.45</v>
      </c>
      <c r="K313">
        <f>'PARAMÈTRES'!$C$69</f>
        <v>0.45</v>
      </c>
      <c r="L313">
        <f>'PARAMÈTRES'!$C$69</f>
        <v>0.45</v>
      </c>
      <c r="M313">
        <f>'PARAMÈTRES'!$C$69</f>
        <v>0.45</v>
      </c>
      <c r="N313">
        <f>'PARAMÈTRES'!$C$69</f>
        <v>0.45</v>
      </c>
      <c r="O313">
        <f>'PARAMÈTRES'!$C$69</f>
        <v>0.45</v>
      </c>
      <c r="P313">
        <f>'PARAMÈTRES'!$C$69</f>
        <v>0.45</v>
      </c>
      <c r="Q313">
        <f>'PARAMÈTRES'!$C$69</f>
        <v>0.45</v>
      </c>
      <c r="R313">
        <f>'PARAMÈTRES'!$C$69</f>
        <v>0.45</v>
      </c>
      <c r="S313">
        <f>'PARAMÈTRES'!$C$69</f>
        <v>0.45</v>
      </c>
      <c r="T313">
        <f>'PARAMÈTRES'!$C$69</f>
        <v>0.45</v>
      </c>
      <c r="U313">
        <f>'PARAMÈTRES'!$C$69</f>
        <v>0.45</v>
      </c>
      <c r="V313">
        <f>'PARAMÈTRES'!$C$69</f>
        <v>0.45</v>
      </c>
      <c r="W313">
        <f>'PARAMÈTRES'!$C$69</f>
        <v>0.45</v>
      </c>
      <c r="X313">
        <f>'PARAMÈTRES'!$C$69</f>
        <v>0.45</v>
      </c>
    </row>
    <row r="314">
      <c r="A314" t="inlineStr">
        <is>
          <t>b_ft_kg</t>
        </is>
      </c>
      <c r="B314" t="inlineStr">
        <is>
          <t>QUANTITATIF_CHARPENTE!I59</t>
        </is>
      </c>
      <c r="D314">
        <f>D312*D313</f>
        <v>21.6</v>
      </c>
      <c r="E314">
        <f>E312*E313</f>
        <v>21.6</v>
      </c>
      <c r="F314">
        <f>F312*F313</f>
        <v>21.6</v>
      </c>
      <c r="G314">
        <f>G312*G313</f>
        <v>18</v>
      </c>
      <c r="H314">
        <f>H312*H313</f>
        <v>18</v>
      </c>
      <c r="I314">
        <f>I312*I313</f>
        <v>18</v>
      </c>
      <c r="J314">
        <f>J312*J313</f>
        <v>21.6</v>
      </c>
      <c r="K314">
        <f>K312*K313</f>
        <v>21.6</v>
      </c>
      <c r="L314">
        <f>L312*L313</f>
        <v>21.6</v>
      </c>
      <c r="M314">
        <f>M312*M313</f>
        <v>18</v>
      </c>
      <c r="N314">
        <f>N312*N313</f>
        <v>18</v>
      </c>
      <c r="O314">
        <f>O312*O313</f>
        <v>18</v>
      </c>
      <c r="P314">
        <f>P312*P313</f>
        <v>28.8</v>
      </c>
      <c r="Q314">
        <f>Q312*Q313</f>
        <v>28.8</v>
      </c>
      <c r="R314">
        <f>R312*R313</f>
        <v>28.8</v>
      </c>
      <c r="S314">
        <f>S312*S313</f>
        <v>28.8</v>
      </c>
      <c r="T314">
        <f>T312*T313</f>
        <v>28.8</v>
      </c>
      <c r="U314">
        <f>U312*U313</f>
        <v>28.8</v>
      </c>
      <c r="V314">
        <f>V312*V313</f>
        <v>28.8</v>
      </c>
      <c r="W314">
        <f>W312*W313</f>
        <v>28.8</v>
      </c>
      <c r="X314">
        <f>X312*X313</f>
        <v>28.8</v>
      </c>
    </row>
    <row r="315">
      <c r="A315" t="inlineStr">
        <is>
          <t>b_pn_p</t>
        </is>
      </c>
      <c r="B315" t="inlineStr">
        <is>
          <t>QUANTITATIF_CHARPENTE!C60</t>
        </is>
      </c>
      <c r="D315" t="str">
        <f>"M12"</f>
        <v>M12</v>
      </c>
      <c r="E315" t="str">
        <f>"M12"</f>
        <v>M12</v>
      </c>
      <c r="F315" t="str">
        <f>"M12"</f>
        <v>M12</v>
      </c>
      <c r="G315" t="str">
        <f>"M12"</f>
        <v>M12</v>
      </c>
      <c r="H315" t="str">
        <f>"M12"</f>
        <v>M12</v>
      </c>
      <c r="I315" t="str">
        <f>"M12"</f>
        <v>M12</v>
      </c>
      <c r="J315" t="str">
        <f>"M12"</f>
        <v>M12</v>
      </c>
      <c r="K315" t="str">
        <f>"M12"</f>
        <v>M12</v>
      </c>
      <c r="L315" t="str">
        <f>"M12"</f>
        <v>M12</v>
      </c>
      <c r="M315" t="str">
        <f>"M12"</f>
        <v>M12</v>
      </c>
      <c r="N315" t="str">
        <f>"M12"</f>
        <v>M12</v>
      </c>
      <c r="O315" t="str">
        <f>"M12"</f>
        <v>M12</v>
      </c>
      <c r="P315" t="str">
        <f>"M12"</f>
        <v>M12</v>
      </c>
      <c r="Q315" t="str">
        <f>"M12"</f>
        <v>M12</v>
      </c>
      <c r="R315" t="str">
        <f>"M12"</f>
        <v>M12</v>
      </c>
      <c r="S315" t="str">
        <f>"M12"</f>
        <v>M12</v>
      </c>
      <c r="T315" t="str">
        <f>"M12"</f>
        <v>M12</v>
      </c>
      <c r="U315" t="str">
        <f>"M12"</f>
        <v>M12</v>
      </c>
      <c r="V315" t="str">
        <f>"M12"</f>
        <v>M12</v>
      </c>
      <c r="W315" t="str">
        <f>"M12"</f>
        <v>M12</v>
      </c>
      <c r="X315" t="str">
        <f>"M12"</f>
        <v>M12</v>
      </c>
    </row>
    <row r="316">
      <c r="A316" t="inlineStr">
        <is>
          <t>b_pn_q</t>
        </is>
      </c>
      <c r="B316" t="inlineStr">
        <is>
          <t>QUANTITATIF_CHARPENTE!E60</t>
        </is>
      </c>
      <c r="D316">
        <f>D240*'PARAMÈTRES'!$C$65</f>
        <v>120</v>
      </c>
      <c r="E316">
        <f>E240*'PARAMÈTRES'!$C$65</f>
        <v>120</v>
      </c>
      <c r="F316">
        <f>F240*'PARAMÈTRES'!$C$65</f>
        <v>120</v>
      </c>
      <c r="G316">
        <f>G240*'PARAMÈTRES'!$C$65</f>
        <v>140</v>
      </c>
      <c r="H316">
        <f>H240*'PARAMÈTRES'!$C$65</f>
        <v>140</v>
      </c>
      <c r="I316">
        <f>I240*'PARAMÈTRES'!$C$65</f>
        <v>140</v>
      </c>
      <c r="J316">
        <f>J240*'PARAMÈTRES'!$C$65</f>
        <v>168</v>
      </c>
      <c r="K316">
        <f>K240*'PARAMÈTRES'!$C$65</f>
        <v>168</v>
      </c>
      <c r="L316">
        <f>L240*'PARAMÈTRES'!$C$65</f>
        <v>168</v>
      </c>
      <c r="M316">
        <f>M240*'PARAMÈTRES'!$C$65</f>
        <v>180</v>
      </c>
      <c r="N316">
        <f>N240*'PARAMÈTRES'!$C$65</f>
        <v>180</v>
      </c>
      <c r="O316">
        <f>O240*'PARAMÈTRES'!$C$65</f>
        <v>180</v>
      </c>
      <c r="P316">
        <f>P240*'PARAMÈTRES'!$C$65</f>
        <v>288</v>
      </c>
      <c r="Q316">
        <f>Q240*'PARAMÈTRES'!$C$65</f>
        <v>288</v>
      </c>
      <c r="R316">
        <f>R240*'PARAMÈTRES'!$C$65</f>
        <v>288</v>
      </c>
      <c r="S316">
        <f>S240*'PARAMÈTRES'!$C$65</f>
        <v>416</v>
      </c>
      <c r="T316">
        <f>T240*'PARAMÈTRES'!$C$65</f>
        <v>416</v>
      </c>
      <c r="U316">
        <f>U240*'PARAMÈTRES'!$C$65</f>
        <v>416</v>
      </c>
      <c r="V316">
        <f>V240*'PARAMÈTRES'!$C$65</f>
        <v>544</v>
      </c>
      <c r="W316">
        <f>W240*'PARAMÈTRES'!$C$65</f>
        <v>544</v>
      </c>
      <c r="X316">
        <f>X240*'PARAMÈTRES'!$C$65</f>
        <v>544</v>
      </c>
    </row>
    <row r="317">
      <c r="A317" t="inlineStr">
        <is>
          <t>b_pn_kgml</t>
        </is>
      </c>
      <c r="B317" t="inlineStr">
        <is>
          <t>QUANTITATIF_CHARPENTE!H60</t>
        </is>
      </c>
      <c r="D317">
        <f>'PARAMÈTRES'!$C$71</f>
        <v>0.1</v>
      </c>
      <c r="E317">
        <f>'PARAMÈTRES'!$C$71</f>
        <v>0.1</v>
      </c>
      <c r="F317">
        <f>'PARAMÈTRES'!$C$71</f>
        <v>0.1</v>
      </c>
      <c r="G317">
        <f>'PARAMÈTRES'!$C$71</f>
        <v>0.1</v>
      </c>
      <c r="H317">
        <f>'PARAMÈTRES'!$C$71</f>
        <v>0.1</v>
      </c>
      <c r="I317">
        <f>'PARAMÈTRES'!$C$71</f>
        <v>0.1</v>
      </c>
      <c r="J317">
        <f>'PARAMÈTRES'!$C$71</f>
        <v>0.1</v>
      </c>
      <c r="K317">
        <f>'PARAMÈTRES'!$C$71</f>
        <v>0.1</v>
      </c>
      <c r="L317">
        <f>'PARAMÈTRES'!$C$71</f>
        <v>0.1</v>
      </c>
      <c r="M317">
        <f>'PARAMÈTRES'!$C$71</f>
        <v>0.1</v>
      </c>
      <c r="N317">
        <f>'PARAMÈTRES'!$C$71</f>
        <v>0.1</v>
      </c>
      <c r="O317">
        <f>'PARAMÈTRES'!$C$71</f>
        <v>0.1</v>
      </c>
      <c r="P317">
        <f>'PARAMÈTRES'!$C$71</f>
        <v>0.1</v>
      </c>
      <c r="Q317">
        <f>'PARAMÈTRES'!$C$71</f>
        <v>0.1</v>
      </c>
      <c r="R317">
        <f>'PARAMÈTRES'!$C$71</f>
        <v>0.1</v>
      </c>
      <c r="S317">
        <f>'PARAMÈTRES'!$C$71</f>
        <v>0.1</v>
      </c>
      <c r="T317">
        <f>'PARAMÈTRES'!$C$71</f>
        <v>0.1</v>
      </c>
      <c r="U317">
        <f>'PARAMÈTRES'!$C$71</f>
        <v>0.1</v>
      </c>
      <c r="V317">
        <f>'PARAMÈTRES'!$C$71</f>
        <v>0.1</v>
      </c>
      <c r="W317">
        <f>'PARAMÈTRES'!$C$71</f>
        <v>0.1</v>
      </c>
      <c r="X317">
        <f>'PARAMÈTRES'!$C$71</f>
        <v>0.1</v>
      </c>
    </row>
    <row r="318">
      <c r="A318" t="inlineStr">
        <is>
          <t>b_pn_kg</t>
        </is>
      </c>
      <c r="B318" t="inlineStr">
        <is>
          <t>QUANTITATIF_CHARPENTE!I60</t>
        </is>
      </c>
      <c r="D318">
        <f>D316*D317</f>
        <v>12</v>
      </c>
      <c r="E318">
        <f>E316*E317</f>
        <v>12</v>
      </c>
      <c r="F318">
        <f>F316*F317</f>
        <v>12</v>
      </c>
      <c r="G318">
        <f>G316*G317</f>
        <v>14</v>
      </c>
      <c r="H318">
        <f>H316*H317</f>
        <v>14</v>
      </c>
      <c r="I318">
        <f>I316*I317</f>
        <v>14</v>
      </c>
      <c r="J318">
        <f>J316*J317</f>
        <v>16.8</v>
      </c>
      <c r="K318">
        <f>K316*K317</f>
        <v>16.8</v>
      </c>
      <c r="L318">
        <f>L316*L317</f>
        <v>16.8</v>
      </c>
      <c r="M318">
        <f>M316*M317</f>
        <v>18</v>
      </c>
      <c r="N318">
        <f>N316*N317</f>
        <v>18</v>
      </c>
      <c r="O318">
        <f>O316*O317</f>
        <v>18</v>
      </c>
      <c r="P318">
        <f>P316*P317</f>
        <v>28.8</v>
      </c>
      <c r="Q318">
        <f>Q316*Q317</f>
        <v>28.8</v>
      </c>
      <c r="R318">
        <f>R316*R317</f>
        <v>28.8</v>
      </c>
      <c r="S318">
        <f>S316*S317</f>
        <v>41.6</v>
      </c>
      <c r="T318">
        <f>T316*T317</f>
        <v>41.6</v>
      </c>
      <c r="U318">
        <f>U316*U317</f>
        <v>41.6</v>
      </c>
      <c r="V318">
        <f>V316*V317</f>
        <v>54.4</v>
      </c>
      <c r="W318">
        <f>W316*W317</f>
        <v>54.4</v>
      </c>
      <c r="X318">
        <f>X316*X317</f>
        <v>54.4</v>
      </c>
    </row>
    <row r="319">
      <c r="A319" t="inlineStr">
        <is>
          <t>b_ec_p</t>
        </is>
      </c>
      <c r="B319" t="inlineStr">
        <is>
          <t>QUANTITATIF_CHARPENTE!C61</t>
        </is>
      </c>
      <c r="D319" t="str">
        <f>"M12"</f>
        <v>M12</v>
      </c>
      <c r="E319" t="str">
        <f>"M12"</f>
        <v>M12</v>
      </c>
      <c r="F319" t="str">
        <f>"M12"</f>
        <v>M12</v>
      </c>
      <c r="G319" t="str">
        <f>"M12"</f>
        <v>M12</v>
      </c>
      <c r="H319" t="str">
        <f>"M12"</f>
        <v>M12</v>
      </c>
      <c r="I319" t="str">
        <f>"M12"</f>
        <v>M12</v>
      </c>
      <c r="J319" t="str">
        <f>"M12"</f>
        <v>M12</v>
      </c>
      <c r="K319" t="str">
        <f>"M12"</f>
        <v>M12</v>
      </c>
      <c r="L319" t="str">
        <f>"M12"</f>
        <v>M12</v>
      </c>
      <c r="M319" t="str">
        <f>"M12"</f>
        <v>M12</v>
      </c>
      <c r="N319" t="str">
        <f>"M12"</f>
        <v>M12</v>
      </c>
      <c r="O319" t="str">
        <f>"M12"</f>
        <v>M12</v>
      </c>
      <c r="P319" t="str">
        <f>"M12"</f>
        <v>M12</v>
      </c>
      <c r="Q319" t="str">
        <f>"M12"</f>
        <v>M12</v>
      </c>
      <c r="R319" t="str">
        <f>"M12"</f>
        <v>M12</v>
      </c>
      <c r="S319" t="str">
        <f>"M12"</f>
        <v>M12</v>
      </c>
      <c r="T319" t="str">
        <f>"M12"</f>
        <v>M12</v>
      </c>
      <c r="U319" t="str">
        <f>"M12"</f>
        <v>M12</v>
      </c>
      <c r="V319" t="str">
        <f>"M12"</f>
        <v>M12</v>
      </c>
      <c r="W319" t="str">
        <f>"M12"</f>
        <v>M12</v>
      </c>
      <c r="X319" t="str">
        <f>"M12"</f>
        <v>M12</v>
      </c>
    </row>
    <row r="320">
      <c r="A320" t="inlineStr">
        <is>
          <t>b_ec_q</t>
        </is>
      </c>
      <c r="B320" t="inlineStr">
        <is>
          <t>QUANTITATIF_CHARPENTE!E61</t>
        </is>
      </c>
      <c r="D320">
        <f>D194*'PARAMÈTRES'!$C$68</f>
        <v>80</v>
      </c>
      <c r="E320">
        <f>E194*'PARAMÈTRES'!$C$68</f>
        <v>80</v>
      </c>
      <c r="F320">
        <f>F194*'PARAMÈTRES'!$C$68</f>
        <v>80</v>
      </c>
      <c r="G320">
        <f>G194*'PARAMÈTRES'!$C$68</f>
        <v>56</v>
      </c>
      <c r="H320">
        <f>H194*'PARAMÈTRES'!$C$68</f>
        <v>56</v>
      </c>
      <c r="I320">
        <f>I194*'PARAMÈTRES'!$C$68</f>
        <v>56</v>
      </c>
      <c r="J320">
        <f>J194*'PARAMÈTRES'!$C$68</f>
        <v>112</v>
      </c>
      <c r="K320">
        <f>K194*'PARAMÈTRES'!$C$68</f>
        <v>112</v>
      </c>
      <c r="L320">
        <f>L194*'PARAMÈTRES'!$C$68</f>
        <v>112</v>
      </c>
      <c r="M320">
        <f>M194*'PARAMÈTRES'!$C$68</f>
        <v>72</v>
      </c>
      <c r="N320">
        <f>N194*'PARAMÈTRES'!$C$68</f>
        <v>72</v>
      </c>
      <c r="O320">
        <f>O194*'PARAMÈTRES'!$C$68</f>
        <v>72</v>
      </c>
      <c r="P320">
        <f>P194*'PARAMÈTRES'!$C$68</f>
        <v>216</v>
      </c>
      <c r="Q320">
        <f>Q194*'PARAMÈTRES'!$C$68</f>
        <v>216</v>
      </c>
      <c r="R320">
        <f>R194*'PARAMÈTRES'!$C$68</f>
        <v>216</v>
      </c>
      <c r="S320">
        <f>S194*'PARAMÈTRES'!$C$68</f>
        <v>312</v>
      </c>
      <c r="T320">
        <f>T194*'PARAMÈTRES'!$C$68</f>
        <v>312</v>
      </c>
      <c r="U320">
        <f>U194*'PARAMÈTRES'!$C$68</f>
        <v>312</v>
      </c>
      <c r="V320">
        <f>V194*'PARAMÈTRES'!$C$68</f>
        <v>408</v>
      </c>
      <c r="W320">
        <f>W194*'PARAMÈTRES'!$C$68</f>
        <v>408</v>
      </c>
      <c r="X320">
        <f>X194*'PARAMÈTRES'!$C$68</f>
        <v>408</v>
      </c>
    </row>
    <row r="321">
      <c r="A321" t="inlineStr">
        <is>
          <t>b_ec_kgml</t>
        </is>
      </c>
      <c r="B321" t="inlineStr">
        <is>
          <t>QUANTITATIF_CHARPENTE!H61</t>
        </is>
      </c>
      <c r="D321">
        <f>'PARAMÈTRES'!$C$71</f>
        <v>0.1</v>
      </c>
      <c r="E321">
        <f>'PARAMÈTRES'!$C$71</f>
        <v>0.1</v>
      </c>
      <c r="F321">
        <f>'PARAMÈTRES'!$C$71</f>
        <v>0.1</v>
      </c>
      <c r="G321">
        <f>'PARAMÈTRES'!$C$71</f>
        <v>0.1</v>
      </c>
      <c r="H321">
        <f>'PARAMÈTRES'!$C$71</f>
        <v>0.1</v>
      </c>
      <c r="I321">
        <f>'PARAMÈTRES'!$C$71</f>
        <v>0.1</v>
      </c>
      <c r="J321">
        <f>'PARAMÈTRES'!$C$71</f>
        <v>0.1</v>
      </c>
      <c r="K321">
        <f>'PARAMÈTRES'!$C$71</f>
        <v>0.1</v>
      </c>
      <c r="L321">
        <f>'PARAMÈTRES'!$C$71</f>
        <v>0.1</v>
      </c>
      <c r="M321">
        <f>'PARAMÈTRES'!$C$71</f>
        <v>0.1</v>
      </c>
      <c r="N321">
        <f>'PARAMÈTRES'!$C$71</f>
        <v>0.1</v>
      </c>
      <c r="O321">
        <f>'PARAMÈTRES'!$C$71</f>
        <v>0.1</v>
      </c>
      <c r="P321">
        <f>'PARAMÈTRES'!$C$71</f>
        <v>0.1</v>
      </c>
      <c r="Q321">
        <f>'PARAMÈTRES'!$C$71</f>
        <v>0.1</v>
      </c>
      <c r="R321">
        <f>'PARAMÈTRES'!$C$71</f>
        <v>0.1</v>
      </c>
      <c r="S321">
        <f>'PARAMÈTRES'!$C$71</f>
        <v>0.1</v>
      </c>
      <c r="T321">
        <f>'PARAMÈTRES'!$C$71</f>
        <v>0.1</v>
      </c>
      <c r="U321">
        <f>'PARAMÈTRES'!$C$71</f>
        <v>0.1</v>
      </c>
      <c r="V321">
        <f>'PARAMÈTRES'!$C$71</f>
        <v>0.1</v>
      </c>
      <c r="W321">
        <f>'PARAMÈTRES'!$C$71</f>
        <v>0.1</v>
      </c>
      <c r="X321">
        <f>'PARAMÈTRES'!$C$71</f>
        <v>0.1</v>
      </c>
    </row>
    <row r="322">
      <c r="A322" t="inlineStr">
        <is>
          <t>b_ec_kg</t>
        </is>
      </c>
      <c r="B322" t="inlineStr">
        <is>
          <t>QUANTITATIF_CHARPENTE!I61</t>
        </is>
      </c>
      <c r="D322">
        <f>D320*D321</f>
        <v>8</v>
      </c>
      <c r="E322">
        <f>E320*E321</f>
        <v>8</v>
      </c>
      <c r="F322">
        <f>F320*F321</f>
        <v>8</v>
      </c>
      <c r="G322">
        <f>G320*G321</f>
        <v>5.6</v>
      </c>
      <c r="H322">
        <f>H320*H321</f>
        <v>5.6</v>
      </c>
      <c r="I322">
        <f>I320*I321</f>
        <v>5.6</v>
      </c>
      <c r="J322">
        <f>J320*J321</f>
        <v>11.2</v>
      </c>
      <c r="K322">
        <f>K320*K321</f>
        <v>11.2</v>
      </c>
      <c r="L322">
        <f>L320*L321</f>
        <v>11.2</v>
      </c>
      <c r="M322">
        <f>M320*M321</f>
        <v>7.2</v>
      </c>
      <c r="N322">
        <f>N320*N321</f>
        <v>7.2</v>
      </c>
      <c r="O322">
        <f>O320*O321</f>
        <v>7.2</v>
      </c>
      <c r="P322">
        <f>P320*P321</f>
        <v>21.6</v>
      </c>
      <c r="Q322">
        <f>Q320*Q321</f>
        <v>21.6</v>
      </c>
      <c r="R322">
        <f>R320*R321</f>
        <v>21.6</v>
      </c>
      <c r="S322">
        <f>S320*S321</f>
        <v>31.2</v>
      </c>
      <c r="T322">
        <f>T320*T321</f>
        <v>31.2</v>
      </c>
      <c r="U322">
        <f>U320*U321</f>
        <v>31.2</v>
      </c>
      <c r="V322">
        <f>V320*V321</f>
        <v>40.8</v>
      </c>
      <c r="W322">
        <f>W320*W321</f>
        <v>40.8</v>
      </c>
      <c r="X322">
        <f>X320*X321</f>
        <v>40.8</v>
      </c>
    </row>
    <row r="323">
      <c r="A323" t="inlineStr">
        <is>
          <t>b_cv_p</t>
        </is>
      </c>
      <c r="B323" t="inlineStr">
        <is>
          <t>QUANTITATIF_CHARPENTE!C62</t>
        </is>
      </c>
      <c r="D323" t="str">
        <f>"HR M16"</f>
        <v>HR M16</v>
      </c>
      <c r="E323" t="str">
        <f>"HR M16"</f>
        <v>HR M16</v>
      </c>
      <c r="F323" t="str">
        <f>"HR M16"</f>
        <v>HR M16</v>
      </c>
      <c r="G323" t="str">
        <f>"HR M16"</f>
        <v>HR M16</v>
      </c>
      <c r="H323" t="str">
        <f>"HR M16"</f>
        <v>HR M16</v>
      </c>
      <c r="I323" t="str">
        <f>"HR M16"</f>
        <v>HR M16</v>
      </c>
      <c r="J323" t="str">
        <f>"HR M16"</f>
        <v>HR M16</v>
      </c>
      <c r="K323" t="str">
        <f>"HR M16"</f>
        <v>HR M16</v>
      </c>
      <c r="L323" t="str">
        <f>"HR M16"</f>
        <v>HR M16</v>
      </c>
      <c r="M323" t="str">
        <f>"HR M16"</f>
        <v>HR M16</v>
      </c>
      <c r="N323" t="str">
        <f>"HR M16"</f>
        <v>HR M16</v>
      </c>
      <c r="O323" t="str">
        <f>"HR M16"</f>
        <v>HR M16</v>
      </c>
      <c r="P323" t="str">
        <f>"HR M16"</f>
        <v>HR M16</v>
      </c>
      <c r="Q323" t="str">
        <f>"HR M16"</f>
        <v>HR M16</v>
      </c>
      <c r="R323" t="str">
        <f>"HR M16"</f>
        <v>HR M16</v>
      </c>
      <c r="S323" t="str">
        <f>"HR M16"</f>
        <v>HR M16</v>
      </c>
      <c r="T323" t="str">
        <f>"HR M16"</f>
        <v>HR M16</v>
      </c>
      <c r="U323" t="str">
        <f>"HR M16"</f>
        <v>HR M16</v>
      </c>
      <c r="V323" t="str">
        <f>"HR M16"</f>
        <v>HR M16</v>
      </c>
      <c r="W323" t="str">
        <f>"HR M16"</f>
        <v>HR M16</v>
      </c>
      <c r="X323" t="str">
        <f>"HR M16"</f>
        <v>HR M16</v>
      </c>
    </row>
    <row r="324">
      <c r="A324" t="inlineStr">
        <is>
          <t>b_cv_q</t>
        </is>
      </c>
      <c r="B324" t="inlineStr">
        <is>
          <t>QUANTITATIF_CHARPENTE!E62</t>
        </is>
      </c>
      <c r="D324">
        <f>(D198+D204)*2*'PARAMÈTRES'!$C$66</f>
        <v>64</v>
      </c>
      <c r="E324">
        <f>(E198+E204)*2*'PARAMÈTRES'!$C$66</f>
        <v>64</v>
      </c>
      <c r="F324">
        <f>(F198+F204)*2*'PARAMÈTRES'!$C$66</f>
        <v>64</v>
      </c>
      <c r="G324">
        <f>(G198+G204)*2*'PARAMÈTRES'!$C$66</f>
        <v>96</v>
      </c>
      <c r="H324">
        <f>(H198+H204)*2*'PARAMÈTRES'!$C$66</f>
        <v>96</v>
      </c>
      <c r="I324">
        <f>(I198+I204)*2*'PARAMÈTRES'!$C$66</f>
        <v>96</v>
      </c>
      <c r="J324">
        <f>(J198+J204)*2*'PARAMÈTRES'!$C$66</f>
        <v>64</v>
      </c>
      <c r="K324">
        <f>(K198+K204)*2*'PARAMÈTRES'!$C$66</f>
        <v>64</v>
      </c>
      <c r="L324">
        <f>(L198+L204)*2*'PARAMÈTRES'!$C$66</f>
        <v>64</v>
      </c>
      <c r="M324">
        <f>(M198+M204)*2*'PARAMÈTRES'!$C$66</f>
        <v>96</v>
      </c>
      <c r="N324">
        <f>(N198+N204)*2*'PARAMÈTRES'!$C$66</f>
        <v>96</v>
      </c>
      <c r="O324">
        <f>(O198+O204)*2*'PARAMÈTRES'!$C$66</f>
        <v>96</v>
      </c>
      <c r="P324">
        <f>(P198+P204)*2*'PARAMÈTRES'!$C$66</f>
        <v>144</v>
      </c>
      <c r="Q324">
        <f>(Q198+Q204)*2*'PARAMÈTRES'!$C$66</f>
        <v>144</v>
      </c>
      <c r="R324">
        <f>(R198+R204)*2*'PARAMÈTRES'!$C$66</f>
        <v>144</v>
      </c>
      <c r="S324">
        <f>(S198+S204)*2*'PARAMÈTRES'!$C$66</f>
        <v>192</v>
      </c>
      <c r="T324">
        <f>(T198+T204)*2*'PARAMÈTRES'!$C$66</f>
        <v>192</v>
      </c>
      <c r="U324">
        <f>(U198+U204)*2*'PARAMÈTRES'!$C$66</f>
        <v>192</v>
      </c>
      <c r="V324">
        <f>(V198+V204)*2*'PARAMÈTRES'!$C$66</f>
        <v>240</v>
      </c>
      <c r="W324">
        <f>(W198+W204)*2*'PARAMÈTRES'!$C$66</f>
        <v>240</v>
      </c>
      <c r="X324">
        <f>(X198+X204)*2*'PARAMÈTRES'!$C$66</f>
        <v>240</v>
      </c>
    </row>
    <row r="325">
      <c r="A325" t="inlineStr">
        <is>
          <t>b_cv_kgml</t>
        </is>
      </c>
      <c r="B325" t="inlineStr">
        <is>
          <t>QUANTITATIF_CHARPENTE!H62</t>
        </is>
      </c>
      <c r="D325">
        <f>'PARAMÈTRES'!$C$70</f>
        <v>0.25</v>
      </c>
      <c r="E325">
        <f>'PARAMÈTRES'!$C$70</f>
        <v>0.25</v>
      </c>
      <c r="F325">
        <f>'PARAMÈTRES'!$C$70</f>
        <v>0.25</v>
      </c>
      <c r="G325">
        <f>'PARAMÈTRES'!$C$70</f>
        <v>0.25</v>
      </c>
      <c r="H325">
        <f>'PARAMÈTRES'!$C$70</f>
        <v>0.25</v>
      </c>
      <c r="I325">
        <f>'PARAMÈTRES'!$C$70</f>
        <v>0.25</v>
      </c>
      <c r="J325">
        <f>'PARAMÈTRES'!$C$70</f>
        <v>0.25</v>
      </c>
      <c r="K325">
        <f>'PARAMÈTRES'!$C$70</f>
        <v>0.25</v>
      </c>
      <c r="L325">
        <f>'PARAMÈTRES'!$C$70</f>
        <v>0.25</v>
      </c>
      <c r="M325">
        <f>'PARAMÈTRES'!$C$70</f>
        <v>0.25</v>
      </c>
      <c r="N325">
        <f>'PARAMÈTRES'!$C$70</f>
        <v>0.25</v>
      </c>
      <c r="O325">
        <f>'PARAMÈTRES'!$C$70</f>
        <v>0.25</v>
      </c>
      <c r="P325">
        <f>'PARAMÈTRES'!$C$70</f>
        <v>0.25</v>
      </c>
      <c r="Q325">
        <f>'PARAMÈTRES'!$C$70</f>
        <v>0.25</v>
      </c>
      <c r="R325">
        <f>'PARAMÈTRES'!$C$70</f>
        <v>0.25</v>
      </c>
      <c r="S325">
        <f>'PARAMÈTRES'!$C$70</f>
        <v>0.25</v>
      </c>
      <c r="T325">
        <f>'PARAMÈTRES'!$C$70</f>
        <v>0.25</v>
      </c>
      <c r="U325">
        <f>'PARAMÈTRES'!$C$70</f>
        <v>0.25</v>
      </c>
      <c r="V325">
        <f>'PARAMÈTRES'!$C$70</f>
        <v>0.25</v>
      </c>
      <c r="W325">
        <f>'PARAMÈTRES'!$C$70</f>
        <v>0.25</v>
      </c>
      <c r="X325">
        <f>'PARAMÈTRES'!$C$70</f>
        <v>0.25</v>
      </c>
    </row>
    <row r="326">
      <c r="A326" t="inlineStr">
        <is>
          <t>b_cv_kg</t>
        </is>
      </c>
      <c r="B326" t="inlineStr">
        <is>
          <t>QUANTITATIF_CHARPENTE!I62</t>
        </is>
      </c>
      <c r="D326">
        <f>D324*D325</f>
        <v>16</v>
      </c>
      <c r="E326">
        <f>E324*E325</f>
        <v>16</v>
      </c>
      <c r="F326">
        <f>F324*F325</f>
        <v>16</v>
      </c>
      <c r="G326">
        <f>G324*G325</f>
        <v>24</v>
      </c>
      <c r="H326">
        <f>H324*H325</f>
        <v>24</v>
      </c>
      <c r="I326">
        <f>I324*I325</f>
        <v>24</v>
      </c>
      <c r="J326">
        <f>J324*J325</f>
        <v>16</v>
      </c>
      <c r="K326">
        <f>K324*K325</f>
        <v>16</v>
      </c>
      <c r="L326">
        <f>L324*L325</f>
        <v>16</v>
      </c>
      <c r="M326">
        <f>M324*M325</f>
        <v>24</v>
      </c>
      <c r="N326">
        <f>N324*N325</f>
        <v>24</v>
      </c>
      <c r="O326">
        <f>O324*O325</f>
        <v>24</v>
      </c>
      <c r="P326">
        <f>P324*P325</f>
        <v>36</v>
      </c>
      <c r="Q326">
        <f>Q324*Q325</f>
        <v>36</v>
      </c>
      <c r="R326">
        <f>R324*R325</f>
        <v>36</v>
      </c>
      <c r="S326">
        <f>S324*S325</f>
        <v>48</v>
      </c>
      <c r="T326">
        <f>T324*T325</f>
        <v>48</v>
      </c>
      <c r="U326">
        <f>U324*U325</f>
        <v>48</v>
      </c>
      <c r="V326">
        <f>V324*V325</f>
        <v>60</v>
      </c>
      <c r="W326">
        <f>W324*W325</f>
        <v>60</v>
      </c>
      <c r="X326">
        <f>X324*X325</f>
        <v>60</v>
      </c>
    </row>
    <row r="327">
      <c r="A327" t="inlineStr">
        <is>
          <t>b_ls_p</t>
        </is>
      </c>
      <c r="B327" t="inlineStr">
        <is>
          <t>QUANTITATIF_CHARPENTE!C63</t>
        </is>
      </c>
      <c r="D327" t="str">
        <f>"M12"</f>
        <v>M12</v>
      </c>
      <c r="E327" t="str">
        <f>"M12"</f>
        <v>M12</v>
      </c>
      <c r="F327" t="str">
        <f>"M12"</f>
        <v>M12</v>
      </c>
      <c r="G327" t="str">
        <f>"M12"</f>
        <v>M12</v>
      </c>
      <c r="H327" t="str">
        <f>"M12"</f>
        <v>M12</v>
      </c>
      <c r="I327" t="str">
        <f>"M12"</f>
        <v>M12</v>
      </c>
      <c r="J327" t="str">
        <f>"M12"</f>
        <v>M12</v>
      </c>
      <c r="K327" t="str">
        <f>"M12"</f>
        <v>M12</v>
      </c>
      <c r="L327" t="str">
        <f>"M12"</f>
        <v>M12</v>
      </c>
      <c r="M327" t="str">
        <f>"M12"</f>
        <v>M12</v>
      </c>
      <c r="N327" t="str">
        <f>"M12"</f>
        <v>M12</v>
      </c>
      <c r="O327" t="str">
        <f>"M12"</f>
        <v>M12</v>
      </c>
      <c r="P327" t="str">
        <f>"M12"</f>
        <v>M12</v>
      </c>
      <c r="Q327" t="str">
        <f>"M12"</f>
        <v>M12</v>
      </c>
      <c r="R327" t="str">
        <f>"M12"</f>
        <v>M12</v>
      </c>
      <c r="S327" t="str">
        <f>"M12"</f>
        <v>M12</v>
      </c>
      <c r="T327" t="str">
        <f>"M12"</f>
        <v>M12</v>
      </c>
      <c r="U327" t="str">
        <f>"M12"</f>
        <v>M12</v>
      </c>
      <c r="V327" t="str">
        <f>"M12"</f>
        <v>M12</v>
      </c>
      <c r="W327" t="str">
        <f>"M12"</f>
        <v>M12</v>
      </c>
      <c r="X327" t="str">
        <f>"M12"</f>
        <v>M12</v>
      </c>
    </row>
    <row r="328">
      <c r="A328" t="inlineStr">
        <is>
          <t>b_ls_q</t>
        </is>
      </c>
      <c r="B328" t="inlineStr">
        <is>
          <t>QUANTITATIF_CHARPENTE!E63</t>
        </is>
      </c>
      <c r="D328">
        <f>(D276+D282)*2*'PARAMÈTRES'!$C$67</f>
        <v>208</v>
      </c>
      <c r="E328">
        <f>(E276+E282)*2*'PARAMÈTRES'!$C$67</f>
        <v>208</v>
      </c>
      <c r="F328">
        <f>(F276+F282)*2*'PARAMÈTRES'!$C$67</f>
        <v>0</v>
      </c>
      <c r="G328">
        <f>(G276+G282)*2*'PARAMÈTRES'!$C$67</f>
        <v>208</v>
      </c>
      <c r="H328">
        <f>(H276+H282)*2*'PARAMÈTRES'!$C$67</f>
        <v>208</v>
      </c>
      <c r="I328">
        <f>(I276+I282)*2*'PARAMÈTRES'!$C$67</f>
        <v>0</v>
      </c>
      <c r="J328">
        <f>(J276+J282)*2*'PARAMÈTRES'!$C$67</f>
        <v>240</v>
      </c>
      <c r="K328">
        <f>(K276+K282)*2*'PARAMÈTRES'!$C$67</f>
        <v>240</v>
      </c>
      <c r="L328">
        <f>(L276+L282)*2*'PARAMÈTRES'!$C$67</f>
        <v>0</v>
      </c>
      <c r="M328">
        <f>(M276+M282)*2*'PARAMÈTRES'!$C$67</f>
        <v>240</v>
      </c>
      <c r="N328">
        <f>(N276+N282)*2*'PARAMÈTRES'!$C$67</f>
        <v>240</v>
      </c>
      <c r="O328">
        <f>(O276+O282)*2*'PARAMÈTRES'!$C$67</f>
        <v>0</v>
      </c>
      <c r="P328">
        <f>(P276+P282)*2*'PARAMÈTRES'!$C$67</f>
        <v>336</v>
      </c>
      <c r="Q328">
        <f>(Q276+Q282)*2*'PARAMÈTRES'!$C$67</f>
        <v>336</v>
      </c>
      <c r="R328">
        <f>(R276+R282)*2*'PARAMÈTRES'!$C$67</f>
        <v>0</v>
      </c>
      <c r="S328">
        <f>(S276+S282)*2*'PARAMÈTRES'!$C$67</f>
        <v>376</v>
      </c>
      <c r="T328">
        <f>(T276+T282)*2*'PARAMÈTRES'!$C$67</f>
        <v>376</v>
      </c>
      <c r="U328">
        <f>(U276+U282)*2*'PARAMÈTRES'!$C$67</f>
        <v>0</v>
      </c>
      <c r="V328">
        <f>(V276+V282)*2*'PARAMÈTRES'!$C$67</f>
        <v>552</v>
      </c>
      <c r="W328">
        <f>(W276+W282)*2*'PARAMÈTRES'!$C$67</f>
        <v>552</v>
      </c>
      <c r="X328">
        <f>(X276+X282)*2*'PARAMÈTRES'!$C$67</f>
        <v>0</v>
      </c>
    </row>
    <row r="329">
      <c r="A329" t="inlineStr">
        <is>
          <t>b_ls_kgml</t>
        </is>
      </c>
      <c r="B329" t="inlineStr">
        <is>
          <t>QUANTITATIF_CHARPENTE!H63</t>
        </is>
      </c>
      <c r="D329">
        <f>'PARAMÈTRES'!$C$71</f>
        <v>0.1</v>
      </c>
      <c r="E329">
        <f>'PARAMÈTRES'!$C$71</f>
        <v>0.1</v>
      </c>
      <c r="F329">
        <f>'PARAMÈTRES'!$C$71</f>
        <v>0.1</v>
      </c>
      <c r="G329">
        <f>'PARAMÈTRES'!$C$71</f>
        <v>0.1</v>
      </c>
      <c r="H329">
        <f>'PARAMÈTRES'!$C$71</f>
        <v>0.1</v>
      </c>
      <c r="I329">
        <f>'PARAMÈTRES'!$C$71</f>
        <v>0.1</v>
      </c>
      <c r="J329">
        <f>'PARAMÈTRES'!$C$71</f>
        <v>0.1</v>
      </c>
      <c r="K329">
        <f>'PARAMÈTRES'!$C$71</f>
        <v>0.1</v>
      </c>
      <c r="L329">
        <f>'PARAMÈTRES'!$C$71</f>
        <v>0.1</v>
      </c>
      <c r="M329">
        <f>'PARAMÈTRES'!$C$71</f>
        <v>0.1</v>
      </c>
      <c r="N329">
        <f>'PARAMÈTRES'!$C$71</f>
        <v>0.1</v>
      </c>
      <c r="O329">
        <f>'PARAMÈTRES'!$C$71</f>
        <v>0.1</v>
      </c>
      <c r="P329">
        <f>'PARAMÈTRES'!$C$71</f>
        <v>0.1</v>
      </c>
      <c r="Q329">
        <f>'PARAMÈTRES'!$C$71</f>
        <v>0.1</v>
      </c>
      <c r="R329">
        <f>'PARAMÈTRES'!$C$71</f>
        <v>0.1</v>
      </c>
      <c r="S329">
        <f>'PARAMÈTRES'!$C$71</f>
        <v>0.1</v>
      </c>
      <c r="T329">
        <f>'PARAMÈTRES'!$C$71</f>
        <v>0.1</v>
      </c>
      <c r="U329">
        <f>'PARAMÈTRES'!$C$71</f>
        <v>0.1</v>
      </c>
      <c r="V329">
        <f>'PARAMÈTRES'!$C$71</f>
        <v>0.1</v>
      </c>
      <c r="W329">
        <f>'PARAMÈTRES'!$C$71</f>
        <v>0.1</v>
      </c>
      <c r="X329">
        <f>'PARAMÈTRES'!$C$71</f>
        <v>0.1</v>
      </c>
    </row>
    <row r="330">
      <c r="A330" t="inlineStr">
        <is>
          <t>b_ls_kg</t>
        </is>
      </c>
      <c r="B330" t="inlineStr">
        <is>
          <t>QUANTITATIF_CHARPENTE!I63</t>
        </is>
      </c>
      <c r="D330">
        <f>D328*D329</f>
        <v>20.8</v>
      </c>
      <c r="E330">
        <f>E328*E329</f>
        <v>20.8</v>
      </c>
      <c r="F330">
        <f>F328*F329</f>
        <v>0</v>
      </c>
      <c r="G330">
        <f>G328*G329</f>
        <v>20.8</v>
      </c>
      <c r="H330">
        <f>H328*H329</f>
        <v>20.8</v>
      </c>
      <c r="I330">
        <f>I328*I329</f>
        <v>0</v>
      </c>
      <c r="J330">
        <f>J328*J329</f>
        <v>24</v>
      </c>
      <c r="K330">
        <f>K328*K329</f>
        <v>24</v>
      </c>
      <c r="L330">
        <f>L328*L329</f>
        <v>0</v>
      </c>
      <c r="M330">
        <f>M328*M329</f>
        <v>24</v>
      </c>
      <c r="N330">
        <f>N328*N329</f>
        <v>24</v>
      </c>
      <c r="O330">
        <f>O328*O329</f>
        <v>0</v>
      </c>
      <c r="P330">
        <f>P328*P329</f>
        <v>33.6</v>
      </c>
      <c r="Q330">
        <f>Q328*Q329</f>
        <v>33.6</v>
      </c>
      <c r="R330">
        <f>R328*R329</f>
        <v>0</v>
      </c>
      <c r="S330">
        <f>S328*S329</f>
        <v>37.6</v>
      </c>
      <c r="T330">
        <f>T328*T329</f>
        <v>37.6</v>
      </c>
      <c r="U330">
        <f>U328*U329</f>
        <v>0</v>
      </c>
      <c r="V330">
        <f>V328*V329</f>
        <v>55.2</v>
      </c>
      <c r="W330">
        <f>W328*W329</f>
        <v>55.2</v>
      </c>
      <c r="X330">
        <f>X328*X329</f>
        <v>0</v>
      </c>
    </row>
    <row r="331">
      <c r="A331" t="inlineStr">
        <is>
          <t>tg_po_p</t>
        </is>
      </c>
      <c r="B331" t="inlineStr">
        <is>
          <t>QUANTITATIF_CHARPENTE!C64</t>
        </is>
      </c>
      <c r="D331" t="str">
        <f>'PARAMÈTRES'!$C$72</f>
        <v>Rond 24</v>
      </c>
      <c r="E331" t="str">
        <f>'PARAMÈTRES'!$C$72</f>
        <v>Rond 24</v>
      </c>
      <c r="F331" t="str">
        <f>'PARAMÈTRES'!$C$72</f>
        <v>Rond 24</v>
      </c>
      <c r="G331" t="str">
        <f>'PARAMÈTRES'!$C$72</f>
        <v>Rond 24</v>
      </c>
      <c r="H331" t="str">
        <f>'PARAMÈTRES'!$C$72</f>
        <v>Rond 24</v>
      </c>
      <c r="I331" t="str">
        <f>'PARAMÈTRES'!$C$72</f>
        <v>Rond 24</v>
      </c>
      <c r="J331" t="str">
        <f>'PARAMÈTRES'!$C$72</f>
        <v>Rond 24</v>
      </c>
      <c r="K331" t="str">
        <f>'PARAMÈTRES'!$C$72</f>
        <v>Rond 24</v>
      </c>
      <c r="L331" t="str">
        <f>'PARAMÈTRES'!$C$72</f>
        <v>Rond 24</v>
      </c>
      <c r="M331" t="str">
        <f>'PARAMÈTRES'!$C$72</f>
        <v>Rond 24</v>
      </c>
      <c r="N331" t="str">
        <f>'PARAMÈTRES'!$C$72</f>
        <v>Rond 24</v>
      </c>
      <c r="O331" t="str">
        <f>'PARAMÈTRES'!$C$72</f>
        <v>Rond 24</v>
      </c>
      <c r="P331" t="str">
        <f>'PARAMÈTRES'!$C$72</f>
        <v>Rond 24</v>
      </c>
      <c r="Q331" t="str">
        <f>'PARAMÈTRES'!$C$72</f>
        <v>Rond 24</v>
      </c>
      <c r="R331" t="str">
        <f>'PARAMÈTRES'!$C$72</f>
        <v>Rond 24</v>
      </c>
      <c r="S331" t="str">
        <f>'PARAMÈTRES'!$C$72</f>
        <v>Rond 24</v>
      </c>
      <c r="T331" t="str">
        <f>'PARAMÈTRES'!$C$72</f>
        <v>Rond 24</v>
      </c>
      <c r="U331" t="str">
        <f>'PARAMÈTRES'!$C$72</f>
        <v>Rond 24</v>
      </c>
      <c r="V331" t="str">
        <f>'PARAMÈTRES'!$C$72</f>
        <v>Rond 24</v>
      </c>
      <c r="W331" t="str">
        <f>'PARAMÈTRES'!$C$72</f>
        <v>Rond 24</v>
      </c>
      <c r="X331" t="str">
        <f>'PARAMÈTRES'!$C$72</f>
        <v>Rond 24</v>
      </c>
    </row>
    <row r="332">
      <c r="A332" t="inlineStr">
        <is>
          <t>tg_po_q</t>
        </is>
      </c>
      <c r="B332" t="inlineStr">
        <is>
          <t>QUANTITATIF_CHARPENTE!E64</t>
        </is>
      </c>
      <c r="D332">
        <f>(2*D14+D23)*'PARAMÈTRES'!$C$74</f>
        <v>48</v>
      </c>
      <c r="E332">
        <f>(2*E14+E23)*'PARAMÈTRES'!$C$74</f>
        <v>48</v>
      </c>
      <c r="F332">
        <f>(2*F14+F23)*'PARAMÈTRES'!$C$74</f>
        <v>48</v>
      </c>
      <c r="G332">
        <f>(2*G14+G23)*'PARAMÈTRES'!$C$74</f>
        <v>40</v>
      </c>
      <c r="H332">
        <f>(2*H14+H23)*'PARAMÈTRES'!$C$74</f>
        <v>40</v>
      </c>
      <c r="I332">
        <f>(2*I14+I23)*'PARAMÈTRES'!$C$74</f>
        <v>40</v>
      </c>
      <c r="J332">
        <f>(2*J14+J23)*'PARAMÈTRES'!$C$74</f>
        <v>48</v>
      </c>
      <c r="K332">
        <f>(2*K14+K23)*'PARAMÈTRES'!$C$74</f>
        <v>48</v>
      </c>
      <c r="L332">
        <f>(2*L14+L23)*'PARAMÈTRES'!$C$74</f>
        <v>48</v>
      </c>
      <c r="M332">
        <f>(2*M14+M23)*'PARAMÈTRES'!$C$74</f>
        <v>40</v>
      </c>
      <c r="N332">
        <f>(2*N14+N23)*'PARAMÈTRES'!$C$74</f>
        <v>40</v>
      </c>
      <c r="O332">
        <f>(2*O14+O23)*'PARAMÈTRES'!$C$74</f>
        <v>40</v>
      </c>
      <c r="P332">
        <f>(2*P14+P23)*'PARAMÈTRES'!$C$74</f>
        <v>64</v>
      </c>
      <c r="Q332">
        <f>(2*Q14+Q23)*'PARAMÈTRES'!$C$74</f>
        <v>64</v>
      </c>
      <c r="R332">
        <f>(2*R14+R23)*'PARAMÈTRES'!$C$74</f>
        <v>64</v>
      </c>
      <c r="S332">
        <f>(2*S14+S23)*'PARAMÈTRES'!$C$74</f>
        <v>64</v>
      </c>
      <c r="T332">
        <f>(2*T14+T23)*'PARAMÈTRES'!$C$74</f>
        <v>64</v>
      </c>
      <c r="U332">
        <f>(2*U14+U23)*'PARAMÈTRES'!$C$74</f>
        <v>64</v>
      </c>
      <c r="V332">
        <f>(2*V14+V23)*'PARAMÈTRES'!$C$74</f>
        <v>64</v>
      </c>
      <c r="W332">
        <f>(2*W14+W23)*'PARAMÈTRES'!$C$74</f>
        <v>64</v>
      </c>
      <c r="X332">
        <f>(2*X14+X23)*'PARAMÈTRES'!$C$74</f>
        <v>64</v>
      </c>
    </row>
    <row r="333">
      <c r="A333" t="inlineStr">
        <is>
          <t>tg_po_lu</t>
        </is>
      </c>
      <c r="B333" t="inlineStr">
        <is>
          <t>QUANTITATIF_CHARPENTE!F64</t>
        </is>
      </c>
      <c r="D333">
        <f>'PARAMÈTRES'!$C$73</f>
        <v>0.6</v>
      </c>
      <c r="E333">
        <f>'PARAMÈTRES'!$C$73</f>
        <v>0.6</v>
      </c>
      <c r="F333">
        <f>'PARAMÈTRES'!$C$73</f>
        <v>0.6</v>
      </c>
      <c r="G333">
        <f>'PARAMÈTRES'!$C$73</f>
        <v>0.6</v>
      </c>
      <c r="H333">
        <f>'PARAMÈTRES'!$C$73</f>
        <v>0.6</v>
      </c>
      <c r="I333">
        <f>'PARAMÈTRES'!$C$73</f>
        <v>0.6</v>
      </c>
      <c r="J333">
        <f>'PARAMÈTRES'!$C$73</f>
        <v>0.6</v>
      </c>
      <c r="K333">
        <f>'PARAMÈTRES'!$C$73</f>
        <v>0.6</v>
      </c>
      <c r="L333">
        <f>'PARAMÈTRES'!$C$73</f>
        <v>0.6</v>
      </c>
      <c r="M333">
        <f>'PARAMÈTRES'!$C$73</f>
        <v>0.6</v>
      </c>
      <c r="N333">
        <f>'PARAMÈTRES'!$C$73</f>
        <v>0.6</v>
      </c>
      <c r="O333">
        <f>'PARAMÈTRES'!$C$73</f>
        <v>0.6</v>
      </c>
      <c r="P333">
        <f>'PARAMÈTRES'!$C$73</f>
        <v>0.6</v>
      </c>
      <c r="Q333">
        <f>'PARAMÈTRES'!$C$73</f>
        <v>0.6</v>
      </c>
      <c r="R333">
        <f>'PARAMÈTRES'!$C$73</f>
        <v>0.6</v>
      </c>
      <c r="S333">
        <f>'PARAMÈTRES'!$C$73</f>
        <v>0.6</v>
      </c>
      <c r="T333">
        <f>'PARAMÈTRES'!$C$73</f>
        <v>0.6</v>
      </c>
      <c r="U333">
        <f>'PARAMÈTRES'!$C$73</f>
        <v>0.6</v>
      </c>
      <c r="V333">
        <f>'PARAMÈTRES'!$C$73</f>
        <v>0.6</v>
      </c>
      <c r="W333">
        <f>'PARAMÈTRES'!$C$73</f>
        <v>0.6</v>
      </c>
      <c r="X333">
        <f>'PARAMÈTRES'!$C$73</f>
        <v>0.6</v>
      </c>
    </row>
    <row r="334">
      <c r="A334" t="inlineStr">
        <is>
          <t>tg_po_lt</t>
        </is>
      </c>
      <c r="B334" t="inlineStr">
        <is>
          <t>QUANTITATIF_CHARPENTE!G64</t>
        </is>
      </c>
      <c r="D334">
        <f>D332*D333</f>
        <v>28.8</v>
      </c>
      <c r="E334">
        <f>E332*E333</f>
        <v>28.8</v>
      </c>
      <c r="F334">
        <f>F332*F333</f>
        <v>28.8</v>
      </c>
      <c r="G334">
        <f>G332*G333</f>
        <v>24</v>
      </c>
      <c r="H334">
        <f>H332*H333</f>
        <v>24</v>
      </c>
      <c r="I334">
        <f>I332*I333</f>
        <v>24</v>
      </c>
      <c r="J334">
        <f>J332*J333</f>
        <v>28.8</v>
      </c>
      <c r="K334">
        <f>K332*K333</f>
        <v>28.8</v>
      </c>
      <c r="L334">
        <f>L332*L333</f>
        <v>28.8</v>
      </c>
      <c r="M334">
        <f>M332*M333</f>
        <v>24</v>
      </c>
      <c r="N334">
        <f>N332*N333</f>
        <v>24</v>
      </c>
      <c r="O334">
        <f>O332*O333</f>
        <v>24</v>
      </c>
      <c r="P334">
        <f>P332*P333</f>
        <v>38.4</v>
      </c>
      <c r="Q334">
        <f>Q332*Q333</f>
        <v>38.4</v>
      </c>
      <c r="R334">
        <f>R332*R333</f>
        <v>38.4</v>
      </c>
      <c r="S334">
        <f>S332*S333</f>
        <v>38.4</v>
      </c>
      <c r="T334">
        <f>T332*T333</f>
        <v>38.4</v>
      </c>
      <c r="U334">
        <f>U332*U333</f>
        <v>38.4</v>
      </c>
      <c r="V334">
        <f>V332*V333</f>
        <v>38.4</v>
      </c>
      <c r="W334">
        <f>W332*W333</f>
        <v>38.4</v>
      </c>
      <c r="X334">
        <f>X332*X333</f>
        <v>38.4</v>
      </c>
    </row>
    <row r="335">
      <c r="A335" t="inlineStr">
        <is>
          <t>tg_po_kgml</t>
        </is>
      </c>
      <c r="B335" t="inlineStr">
        <is>
          <t>QUANTITATIF_CHARPENTE!H64</t>
        </is>
      </c>
      <c r="D335">
        <f>IFERROR(_xlfn.XLOOKUP('PARAMÈTRES'!$C$72,'BASE_PROFILÉS'!$B$5:$B$200,'BASE_PROFILÉS'!$D$5:$D$200),IFERROR(INDEX('BASE_PROFILÉS'!$D$5:$D$200,MATCH('PARAMÈTRES'!$C$72,'BASE_PROFILÉS'!$B$5:$B$200,0)),0))</f>
        <v>3.55</v>
      </c>
      <c r="E335">
        <f>IFERROR(_xlfn.XLOOKUP('PARAMÈTRES'!$C$72,'BASE_PROFILÉS'!$B$5:$B$200,'BASE_PROFILÉS'!$D$5:$D$200),IFERROR(INDEX('BASE_PROFILÉS'!$D$5:$D$200,MATCH('PARAMÈTRES'!$C$72,'BASE_PROFILÉS'!$B$5:$B$200,0)),0))</f>
        <v>3.55</v>
      </c>
      <c r="F335">
        <f>IFERROR(_xlfn.XLOOKUP('PARAMÈTRES'!$C$72,'BASE_PROFILÉS'!$B$5:$B$200,'BASE_PROFILÉS'!$D$5:$D$200),IFERROR(INDEX('BASE_PROFILÉS'!$D$5:$D$200,MATCH('PARAMÈTRES'!$C$72,'BASE_PROFILÉS'!$B$5:$B$200,0)),0))</f>
        <v>3.55</v>
      </c>
      <c r="G335">
        <f>IFERROR(_xlfn.XLOOKUP('PARAMÈTRES'!$C$72,'BASE_PROFILÉS'!$B$5:$B$200,'BASE_PROFILÉS'!$D$5:$D$200),IFERROR(INDEX('BASE_PROFILÉS'!$D$5:$D$200,MATCH('PARAMÈTRES'!$C$72,'BASE_PROFILÉS'!$B$5:$B$200,0)),0))</f>
        <v>3.55</v>
      </c>
      <c r="H335">
        <f>IFERROR(_xlfn.XLOOKUP('PARAMÈTRES'!$C$72,'BASE_PROFILÉS'!$B$5:$B$200,'BASE_PROFILÉS'!$D$5:$D$200),IFERROR(INDEX('BASE_PROFILÉS'!$D$5:$D$200,MATCH('PARAMÈTRES'!$C$72,'BASE_PROFILÉS'!$B$5:$B$200,0)),0))</f>
        <v>3.55</v>
      </c>
      <c r="I335">
        <f>IFERROR(_xlfn.XLOOKUP('PARAMÈTRES'!$C$72,'BASE_PROFILÉS'!$B$5:$B$200,'BASE_PROFILÉS'!$D$5:$D$200),IFERROR(INDEX('BASE_PROFILÉS'!$D$5:$D$200,MATCH('PARAMÈTRES'!$C$72,'BASE_PROFILÉS'!$B$5:$B$200,0)),0))</f>
        <v>3.55</v>
      </c>
      <c r="J335">
        <f>IFERROR(_xlfn.XLOOKUP('PARAMÈTRES'!$C$72,'BASE_PROFILÉS'!$B$5:$B$200,'BASE_PROFILÉS'!$D$5:$D$200),IFERROR(INDEX('BASE_PROFILÉS'!$D$5:$D$200,MATCH('PARAMÈTRES'!$C$72,'BASE_PROFILÉS'!$B$5:$B$200,0)),0))</f>
        <v>3.55</v>
      </c>
      <c r="K335">
        <f>IFERROR(_xlfn.XLOOKUP('PARAMÈTRES'!$C$72,'BASE_PROFILÉS'!$B$5:$B$200,'BASE_PROFILÉS'!$D$5:$D$200),IFERROR(INDEX('BASE_PROFILÉS'!$D$5:$D$200,MATCH('PARAMÈTRES'!$C$72,'BASE_PROFILÉS'!$B$5:$B$200,0)),0))</f>
        <v>3.55</v>
      </c>
      <c r="L335">
        <f>IFERROR(_xlfn.XLOOKUP('PARAMÈTRES'!$C$72,'BASE_PROFILÉS'!$B$5:$B$200,'BASE_PROFILÉS'!$D$5:$D$200),IFERROR(INDEX('BASE_PROFILÉS'!$D$5:$D$200,MATCH('PARAMÈTRES'!$C$72,'BASE_PROFILÉS'!$B$5:$B$200,0)),0))</f>
        <v>3.55</v>
      </c>
      <c r="M335">
        <f>IFERROR(_xlfn.XLOOKUP('PARAMÈTRES'!$C$72,'BASE_PROFILÉS'!$B$5:$B$200,'BASE_PROFILÉS'!$D$5:$D$200),IFERROR(INDEX('BASE_PROFILÉS'!$D$5:$D$200,MATCH('PARAMÈTRES'!$C$72,'BASE_PROFILÉS'!$B$5:$B$200,0)),0))</f>
        <v>3.55</v>
      </c>
      <c r="N335">
        <f>IFERROR(_xlfn.XLOOKUP('PARAMÈTRES'!$C$72,'BASE_PROFILÉS'!$B$5:$B$200,'BASE_PROFILÉS'!$D$5:$D$200),IFERROR(INDEX('BASE_PROFILÉS'!$D$5:$D$200,MATCH('PARAMÈTRES'!$C$72,'BASE_PROFILÉS'!$B$5:$B$200,0)),0))</f>
        <v>3.55</v>
      </c>
      <c r="O335">
        <f>IFERROR(_xlfn.XLOOKUP('PARAMÈTRES'!$C$72,'BASE_PROFILÉS'!$B$5:$B$200,'BASE_PROFILÉS'!$D$5:$D$200),IFERROR(INDEX('BASE_PROFILÉS'!$D$5:$D$200,MATCH('PARAMÈTRES'!$C$72,'BASE_PROFILÉS'!$B$5:$B$200,0)),0))</f>
        <v>3.55</v>
      </c>
      <c r="P335">
        <f>IFERROR(_xlfn.XLOOKUP('PARAMÈTRES'!$C$72,'BASE_PROFILÉS'!$B$5:$B$200,'BASE_PROFILÉS'!$D$5:$D$200),IFERROR(INDEX('BASE_PROFILÉS'!$D$5:$D$200,MATCH('PARAMÈTRES'!$C$72,'BASE_PROFILÉS'!$B$5:$B$200,0)),0))</f>
        <v>3.55</v>
      </c>
      <c r="Q335">
        <f>IFERROR(_xlfn.XLOOKUP('PARAMÈTRES'!$C$72,'BASE_PROFILÉS'!$B$5:$B$200,'BASE_PROFILÉS'!$D$5:$D$200),IFERROR(INDEX('BASE_PROFILÉS'!$D$5:$D$200,MATCH('PARAMÈTRES'!$C$72,'BASE_PROFILÉS'!$B$5:$B$200,0)),0))</f>
        <v>3.55</v>
      </c>
      <c r="R335">
        <f>IFERROR(_xlfn.XLOOKUP('PARAMÈTRES'!$C$72,'BASE_PROFILÉS'!$B$5:$B$200,'BASE_PROFILÉS'!$D$5:$D$200),IFERROR(INDEX('BASE_PROFILÉS'!$D$5:$D$200,MATCH('PARAMÈTRES'!$C$72,'BASE_PROFILÉS'!$B$5:$B$200,0)),0))</f>
        <v>3.55</v>
      </c>
      <c r="S335">
        <f>IFERROR(_xlfn.XLOOKUP('PARAMÈTRES'!$C$72,'BASE_PROFILÉS'!$B$5:$B$200,'BASE_PROFILÉS'!$D$5:$D$200),IFERROR(INDEX('BASE_PROFILÉS'!$D$5:$D$200,MATCH('PARAMÈTRES'!$C$72,'BASE_PROFILÉS'!$B$5:$B$200,0)),0))</f>
        <v>3.55</v>
      </c>
      <c r="T335">
        <f>IFERROR(_xlfn.XLOOKUP('PARAMÈTRES'!$C$72,'BASE_PROFILÉS'!$B$5:$B$200,'BASE_PROFILÉS'!$D$5:$D$200),IFERROR(INDEX('BASE_PROFILÉS'!$D$5:$D$200,MATCH('PARAMÈTRES'!$C$72,'BASE_PROFILÉS'!$B$5:$B$200,0)),0))</f>
        <v>3.55</v>
      </c>
      <c r="U335">
        <f>IFERROR(_xlfn.XLOOKUP('PARAMÈTRES'!$C$72,'BASE_PROFILÉS'!$B$5:$B$200,'BASE_PROFILÉS'!$D$5:$D$200),IFERROR(INDEX('BASE_PROFILÉS'!$D$5:$D$200,MATCH('PARAMÈTRES'!$C$72,'BASE_PROFILÉS'!$B$5:$B$200,0)),0))</f>
        <v>3.55</v>
      </c>
      <c r="V335">
        <f>IFERROR(_xlfn.XLOOKUP('PARAMÈTRES'!$C$72,'BASE_PROFILÉS'!$B$5:$B$200,'BASE_PROFILÉS'!$D$5:$D$200),IFERROR(INDEX('BASE_PROFILÉS'!$D$5:$D$200,MATCH('PARAMÈTRES'!$C$72,'BASE_PROFILÉS'!$B$5:$B$200,0)),0))</f>
        <v>3.55</v>
      </c>
      <c r="W335">
        <f>IFERROR(_xlfn.XLOOKUP('PARAMÈTRES'!$C$72,'BASE_PROFILÉS'!$B$5:$B$200,'BASE_PROFILÉS'!$D$5:$D$200),IFERROR(INDEX('BASE_PROFILÉS'!$D$5:$D$200,MATCH('PARAMÈTRES'!$C$72,'BASE_PROFILÉS'!$B$5:$B$200,0)),0))</f>
        <v>3.55</v>
      </c>
      <c r="X335">
        <f>IFERROR(_xlfn.XLOOKUP('PARAMÈTRES'!$C$72,'BASE_PROFILÉS'!$B$5:$B$200,'BASE_PROFILÉS'!$D$5:$D$200),IFERROR(INDEX('BASE_PROFILÉS'!$D$5:$D$200,MATCH('PARAMÈTRES'!$C$72,'BASE_PROFILÉS'!$B$5:$B$200,0)),0))</f>
        <v>3.55</v>
      </c>
    </row>
    <row r="336">
      <c r="A336" t="inlineStr">
        <is>
          <t>tg_po_kg</t>
        </is>
      </c>
      <c r="B336" t="inlineStr">
        <is>
          <t>QUANTITATIF_CHARPENTE!I64</t>
        </is>
      </c>
      <c r="D336">
        <f>D334*D335</f>
        <v>102.24</v>
      </c>
      <c r="E336">
        <f>E334*E335</f>
        <v>102.24</v>
      </c>
      <c r="F336">
        <f>F334*F335</f>
        <v>102.24</v>
      </c>
      <c r="G336">
        <f>G334*G335</f>
        <v>85.2</v>
      </c>
      <c r="H336">
        <f>H334*H335</f>
        <v>85.2</v>
      </c>
      <c r="I336">
        <f>I334*I335</f>
        <v>85.2</v>
      </c>
      <c r="J336">
        <f>J334*J335</f>
        <v>102.24</v>
      </c>
      <c r="K336">
        <f>K334*K335</f>
        <v>102.24</v>
      </c>
      <c r="L336">
        <f>L334*L335</f>
        <v>102.24</v>
      </c>
      <c r="M336">
        <f>M334*M335</f>
        <v>85.2</v>
      </c>
      <c r="N336">
        <f>N334*N335</f>
        <v>85.2</v>
      </c>
      <c r="O336">
        <f>O334*O335</f>
        <v>85.2</v>
      </c>
      <c r="P336">
        <f>P334*P335</f>
        <v>136.32</v>
      </c>
      <c r="Q336">
        <f>Q334*Q335</f>
        <v>136.32</v>
      </c>
      <c r="R336">
        <f>R334*R335</f>
        <v>136.32</v>
      </c>
      <c r="S336">
        <f>S334*S335</f>
        <v>136.32</v>
      </c>
      <c r="T336">
        <f>T334*T335</f>
        <v>136.32</v>
      </c>
      <c r="U336">
        <f>U334*U335</f>
        <v>136.32</v>
      </c>
      <c r="V336">
        <f>V334*V335</f>
        <v>136.32</v>
      </c>
      <c r="W336">
        <f>W334*W335</f>
        <v>136.32</v>
      </c>
      <c r="X336">
        <f>X334*X335</f>
        <v>136.32</v>
      </c>
    </row>
    <row r="337">
      <c r="A337" t="inlineStr">
        <is>
          <t>tg_pg_p</t>
        </is>
      </c>
      <c r="B337" t="inlineStr">
        <is>
          <t>QUANTITATIF_CHARPENTE!C65</t>
        </is>
      </c>
      <c r="D337" t="str">
        <f>'PARAMÈTRES'!$C$75</f>
        <v>Rond 20</v>
      </c>
      <c r="E337" t="str">
        <f>'PARAMÈTRES'!$C$75</f>
        <v>Rond 20</v>
      </c>
      <c r="F337" t="str">
        <f>'PARAMÈTRES'!$C$75</f>
        <v>Rond 20</v>
      </c>
      <c r="G337" t="str">
        <f>'PARAMÈTRES'!$C$75</f>
        <v>Rond 20</v>
      </c>
      <c r="H337" t="str">
        <f>'PARAMÈTRES'!$C$75</f>
        <v>Rond 20</v>
      </c>
      <c r="I337" t="str">
        <f>'PARAMÈTRES'!$C$75</f>
        <v>Rond 20</v>
      </c>
      <c r="J337" t="str">
        <f>'PARAMÈTRES'!$C$75</f>
        <v>Rond 20</v>
      </c>
      <c r="K337" t="str">
        <f>'PARAMÈTRES'!$C$75</f>
        <v>Rond 20</v>
      </c>
      <c r="L337" t="str">
        <f>'PARAMÈTRES'!$C$75</f>
        <v>Rond 20</v>
      </c>
      <c r="M337" t="str">
        <f>'PARAMÈTRES'!$C$75</f>
        <v>Rond 20</v>
      </c>
      <c r="N337" t="str">
        <f>'PARAMÈTRES'!$C$75</f>
        <v>Rond 20</v>
      </c>
      <c r="O337" t="str">
        <f>'PARAMÈTRES'!$C$75</f>
        <v>Rond 20</v>
      </c>
      <c r="P337" t="str">
        <f>'PARAMÈTRES'!$C$75</f>
        <v>Rond 20</v>
      </c>
      <c r="Q337" t="str">
        <f>'PARAMÈTRES'!$C$75</f>
        <v>Rond 20</v>
      </c>
      <c r="R337" t="str">
        <f>'PARAMÈTRES'!$C$75</f>
        <v>Rond 20</v>
      </c>
      <c r="S337" t="str">
        <f>'PARAMÈTRES'!$C$75</f>
        <v>Rond 20</v>
      </c>
      <c r="T337" t="str">
        <f>'PARAMÈTRES'!$C$75</f>
        <v>Rond 20</v>
      </c>
      <c r="U337" t="str">
        <f>'PARAMÈTRES'!$C$75</f>
        <v>Rond 20</v>
      </c>
      <c r="V337" t="str">
        <f>'PARAMÈTRES'!$C$75</f>
        <v>Rond 20</v>
      </c>
      <c r="W337" t="str">
        <f>'PARAMÈTRES'!$C$75</f>
        <v>Rond 20</v>
      </c>
      <c r="X337" t="str">
        <f>'PARAMÈTRES'!$C$75</f>
        <v>Rond 20</v>
      </c>
    </row>
    <row r="338">
      <c r="A338" t="inlineStr">
        <is>
          <t>tg_pg_q</t>
        </is>
      </c>
      <c r="B338" t="inlineStr">
        <is>
          <t>QUANTITATIF_CHARPENTE!E65</t>
        </is>
      </c>
      <c r="D338">
        <f>D22*'PARAMÈTRES'!$C$77</f>
        <v>4</v>
      </c>
      <c r="E338">
        <f>E22*'PARAMÈTRES'!$C$77</f>
        <v>4</v>
      </c>
      <c r="F338">
        <f>F22*'PARAMÈTRES'!$C$77</f>
        <v>4</v>
      </c>
      <c r="G338">
        <f>G22*'PARAMÈTRES'!$C$77</f>
        <v>8</v>
      </c>
      <c r="H338">
        <f>H22*'PARAMÈTRES'!$C$77</f>
        <v>8</v>
      </c>
      <c r="I338">
        <f>I22*'PARAMÈTRES'!$C$77</f>
        <v>8</v>
      </c>
      <c r="J338">
        <f>J22*'PARAMÈTRES'!$C$77</f>
        <v>8</v>
      </c>
      <c r="K338">
        <f>K22*'PARAMÈTRES'!$C$77</f>
        <v>8</v>
      </c>
      <c r="L338">
        <f>L22*'PARAMÈTRES'!$C$77</f>
        <v>8</v>
      </c>
      <c r="M338">
        <f>M22*'PARAMÈTRES'!$C$77</f>
        <v>12</v>
      </c>
      <c r="N338">
        <f>N22*'PARAMÈTRES'!$C$77</f>
        <v>12</v>
      </c>
      <c r="O338">
        <f>O22*'PARAMÈTRES'!$C$77</f>
        <v>12</v>
      </c>
      <c r="P338">
        <f>P22*'PARAMÈTRES'!$C$77</f>
        <v>12</v>
      </c>
      <c r="Q338">
        <f>Q22*'PARAMÈTRES'!$C$77</f>
        <v>12</v>
      </c>
      <c r="R338">
        <f>R22*'PARAMÈTRES'!$C$77</f>
        <v>12</v>
      </c>
      <c r="S338">
        <f>S22*'PARAMÈTRES'!$C$77</f>
        <v>16</v>
      </c>
      <c r="T338">
        <f>T22*'PARAMÈTRES'!$C$77</f>
        <v>16</v>
      </c>
      <c r="U338">
        <f>U22*'PARAMÈTRES'!$C$77</f>
        <v>16</v>
      </c>
      <c r="V338">
        <f>V22*'PARAMÈTRES'!$C$77</f>
        <v>24</v>
      </c>
      <c r="W338">
        <f>W22*'PARAMÈTRES'!$C$77</f>
        <v>24</v>
      </c>
      <c r="X338">
        <f>X22*'PARAMÈTRES'!$C$77</f>
        <v>24</v>
      </c>
    </row>
    <row r="339">
      <c r="A339" t="inlineStr">
        <is>
          <t>tg_pg_lu</t>
        </is>
      </c>
      <c r="B339" t="inlineStr">
        <is>
          <t>QUANTITATIF_CHARPENTE!F65</t>
        </is>
      </c>
      <c r="D339">
        <f>'PARAMÈTRES'!$C$76</f>
        <v>0.5</v>
      </c>
      <c r="E339">
        <f>'PARAMÈTRES'!$C$76</f>
        <v>0.5</v>
      </c>
      <c r="F339">
        <f>'PARAMÈTRES'!$C$76</f>
        <v>0.5</v>
      </c>
      <c r="G339">
        <f>'PARAMÈTRES'!$C$76</f>
        <v>0.5</v>
      </c>
      <c r="H339">
        <f>'PARAMÈTRES'!$C$76</f>
        <v>0.5</v>
      </c>
      <c r="I339">
        <f>'PARAMÈTRES'!$C$76</f>
        <v>0.5</v>
      </c>
      <c r="J339">
        <f>'PARAMÈTRES'!$C$76</f>
        <v>0.5</v>
      </c>
      <c r="K339">
        <f>'PARAMÈTRES'!$C$76</f>
        <v>0.5</v>
      </c>
      <c r="L339">
        <f>'PARAMÈTRES'!$C$76</f>
        <v>0.5</v>
      </c>
      <c r="M339">
        <f>'PARAMÈTRES'!$C$76</f>
        <v>0.5</v>
      </c>
      <c r="N339">
        <f>'PARAMÈTRES'!$C$76</f>
        <v>0.5</v>
      </c>
      <c r="O339">
        <f>'PARAMÈTRES'!$C$76</f>
        <v>0.5</v>
      </c>
      <c r="P339">
        <f>'PARAMÈTRES'!$C$76</f>
        <v>0.5</v>
      </c>
      <c r="Q339">
        <f>'PARAMÈTRES'!$C$76</f>
        <v>0.5</v>
      </c>
      <c r="R339">
        <f>'PARAMÈTRES'!$C$76</f>
        <v>0.5</v>
      </c>
      <c r="S339">
        <f>'PARAMÈTRES'!$C$76</f>
        <v>0.5</v>
      </c>
      <c r="T339">
        <f>'PARAMÈTRES'!$C$76</f>
        <v>0.5</v>
      </c>
      <c r="U339">
        <f>'PARAMÈTRES'!$C$76</f>
        <v>0.5</v>
      </c>
      <c r="V339">
        <f>'PARAMÈTRES'!$C$76</f>
        <v>0.5</v>
      </c>
      <c r="W339">
        <f>'PARAMÈTRES'!$C$76</f>
        <v>0.5</v>
      </c>
      <c r="X339">
        <f>'PARAMÈTRES'!$C$76</f>
        <v>0.5</v>
      </c>
    </row>
    <row r="340">
      <c r="A340" t="inlineStr">
        <is>
          <t>tg_pg_lt</t>
        </is>
      </c>
      <c r="B340" t="inlineStr">
        <is>
          <t>QUANTITATIF_CHARPENTE!G65</t>
        </is>
      </c>
      <c r="D340">
        <f>D338*D339</f>
        <v>2</v>
      </c>
      <c r="E340">
        <f>E338*E339</f>
        <v>2</v>
      </c>
      <c r="F340">
        <f>F338*F339</f>
        <v>2</v>
      </c>
      <c r="G340">
        <f>G338*G339</f>
        <v>4</v>
      </c>
      <c r="H340">
        <f>H338*H339</f>
        <v>4</v>
      </c>
      <c r="I340">
        <f>I338*I339</f>
        <v>4</v>
      </c>
      <c r="J340">
        <f>J338*J339</f>
        <v>4</v>
      </c>
      <c r="K340">
        <f>K338*K339</f>
        <v>4</v>
      </c>
      <c r="L340">
        <f>L338*L339</f>
        <v>4</v>
      </c>
      <c r="M340">
        <f>M338*M339</f>
        <v>6</v>
      </c>
      <c r="N340">
        <f>N338*N339</f>
        <v>6</v>
      </c>
      <c r="O340">
        <f>O338*O339</f>
        <v>6</v>
      </c>
      <c r="P340">
        <f>P338*P339</f>
        <v>6</v>
      </c>
      <c r="Q340">
        <f>Q338*Q339</f>
        <v>6</v>
      </c>
      <c r="R340">
        <f>R338*R339</f>
        <v>6</v>
      </c>
      <c r="S340">
        <f>S338*S339</f>
        <v>8</v>
      </c>
      <c r="T340">
        <f>T338*T339</f>
        <v>8</v>
      </c>
      <c r="U340">
        <f>U338*U339</f>
        <v>8</v>
      </c>
      <c r="V340">
        <f>V338*V339</f>
        <v>12</v>
      </c>
      <c r="W340">
        <f>W338*W339</f>
        <v>12</v>
      </c>
      <c r="X340">
        <f>X338*X339</f>
        <v>12</v>
      </c>
    </row>
    <row r="341">
      <c r="A341" t="inlineStr">
        <is>
          <t>tg_pg_kgml</t>
        </is>
      </c>
      <c r="B341" t="inlineStr">
        <is>
          <t>QUANTITATIF_CHARPENTE!H65</t>
        </is>
      </c>
      <c r="D341">
        <f>IFERROR(_xlfn.XLOOKUP('PARAMÈTRES'!$C$75,'BASE_PROFILÉS'!$B$5:$B$200,'BASE_PROFILÉS'!$D$5:$D$200),IFERROR(INDEX('BASE_PROFILÉS'!$D$5:$D$200,MATCH('PARAMÈTRES'!$C$75,'BASE_PROFILÉS'!$B$5:$B$200,0)),0))</f>
        <v>2.47</v>
      </c>
      <c r="E341">
        <f>IFERROR(_xlfn.XLOOKUP('PARAMÈTRES'!$C$75,'BASE_PROFILÉS'!$B$5:$B$200,'BASE_PROFILÉS'!$D$5:$D$200),IFERROR(INDEX('BASE_PROFILÉS'!$D$5:$D$200,MATCH('PARAMÈTRES'!$C$75,'BASE_PROFILÉS'!$B$5:$B$200,0)),0))</f>
        <v>2.47</v>
      </c>
      <c r="F341">
        <f>IFERROR(_xlfn.XLOOKUP('PARAMÈTRES'!$C$75,'BASE_PROFILÉS'!$B$5:$B$200,'BASE_PROFILÉS'!$D$5:$D$200),IFERROR(INDEX('BASE_PROFILÉS'!$D$5:$D$200,MATCH('PARAMÈTRES'!$C$75,'BASE_PROFILÉS'!$B$5:$B$200,0)),0))</f>
        <v>2.47</v>
      </c>
      <c r="G341">
        <f>IFERROR(_xlfn.XLOOKUP('PARAMÈTRES'!$C$75,'BASE_PROFILÉS'!$B$5:$B$200,'BASE_PROFILÉS'!$D$5:$D$200),IFERROR(INDEX('BASE_PROFILÉS'!$D$5:$D$200,MATCH('PARAMÈTRES'!$C$75,'BASE_PROFILÉS'!$B$5:$B$200,0)),0))</f>
        <v>2.47</v>
      </c>
      <c r="H341">
        <f>IFERROR(_xlfn.XLOOKUP('PARAMÈTRES'!$C$75,'BASE_PROFILÉS'!$B$5:$B$200,'BASE_PROFILÉS'!$D$5:$D$200),IFERROR(INDEX('BASE_PROFILÉS'!$D$5:$D$200,MATCH('PARAMÈTRES'!$C$75,'BASE_PROFILÉS'!$B$5:$B$200,0)),0))</f>
        <v>2.47</v>
      </c>
      <c r="I341">
        <f>IFERROR(_xlfn.XLOOKUP('PARAMÈTRES'!$C$75,'BASE_PROFILÉS'!$B$5:$B$200,'BASE_PROFILÉS'!$D$5:$D$200),IFERROR(INDEX('BASE_PROFILÉS'!$D$5:$D$200,MATCH('PARAMÈTRES'!$C$75,'BASE_PROFILÉS'!$B$5:$B$200,0)),0))</f>
        <v>2.47</v>
      </c>
      <c r="J341">
        <f>IFERROR(_xlfn.XLOOKUP('PARAMÈTRES'!$C$75,'BASE_PROFILÉS'!$B$5:$B$200,'BASE_PROFILÉS'!$D$5:$D$200),IFERROR(INDEX('BASE_PROFILÉS'!$D$5:$D$200,MATCH('PARAMÈTRES'!$C$75,'BASE_PROFILÉS'!$B$5:$B$200,0)),0))</f>
        <v>2.47</v>
      </c>
      <c r="K341">
        <f>IFERROR(_xlfn.XLOOKUP('PARAMÈTRES'!$C$75,'BASE_PROFILÉS'!$B$5:$B$200,'BASE_PROFILÉS'!$D$5:$D$200),IFERROR(INDEX('BASE_PROFILÉS'!$D$5:$D$200,MATCH('PARAMÈTRES'!$C$75,'BASE_PROFILÉS'!$B$5:$B$200,0)),0))</f>
        <v>2.47</v>
      </c>
      <c r="L341">
        <f>IFERROR(_xlfn.XLOOKUP('PARAMÈTRES'!$C$75,'BASE_PROFILÉS'!$B$5:$B$200,'BASE_PROFILÉS'!$D$5:$D$200),IFERROR(INDEX('BASE_PROFILÉS'!$D$5:$D$200,MATCH('PARAMÈTRES'!$C$75,'BASE_PROFILÉS'!$B$5:$B$200,0)),0))</f>
        <v>2.47</v>
      </c>
      <c r="M341">
        <f>IFERROR(_xlfn.XLOOKUP('PARAMÈTRES'!$C$75,'BASE_PROFILÉS'!$B$5:$B$200,'BASE_PROFILÉS'!$D$5:$D$200),IFERROR(INDEX('BASE_PROFILÉS'!$D$5:$D$200,MATCH('PARAMÈTRES'!$C$75,'BASE_PROFILÉS'!$B$5:$B$200,0)),0))</f>
        <v>2.47</v>
      </c>
      <c r="N341">
        <f>IFERROR(_xlfn.XLOOKUP('PARAMÈTRES'!$C$75,'BASE_PROFILÉS'!$B$5:$B$200,'BASE_PROFILÉS'!$D$5:$D$200),IFERROR(INDEX('BASE_PROFILÉS'!$D$5:$D$200,MATCH('PARAMÈTRES'!$C$75,'BASE_PROFILÉS'!$B$5:$B$200,0)),0))</f>
        <v>2.47</v>
      </c>
      <c r="O341">
        <f>IFERROR(_xlfn.XLOOKUP('PARAMÈTRES'!$C$75,'BASE_PROFILÉS'!$B$5:$B$200,'BASE_PROFILÉS'!$D$5:$D$200),IFERROR(INDEX('BASE_PROFILÉS'!$D$5:$D$200,MATCH('PARAMÈTRES'!$C$75,'BASE_PROFILÉS'!$B$5:$B$200,0)),0))</f>
        <v>2.47</v>
      </c>
      <c r="P341">
        <f>IFERROR(_xlfn.XLOOKUP('PARAMÈTRES'!$C$75,'BASE_PROFILÉS'!$B$5:$B$200,'BASE_PROFILÉS'!$D$5:$D$200),IFERROR(INDEX('BASE_PROFILÉS'!$D$5:$D$200,MATCH('PARAMÈTRES'!$C$75,'BASE_PROFILÉS'!$B$5:$B$200,0)),0))</f>
        <v>2.47</v>
      </c>
      <c r="Q341">
        <f>IFERROR(_xlfn.XLOOKUP('PARAMÈTRES'!$C$75,'BASE_PROFILÉS'!$B$5:$B$200,'BASE_PROFILÉS'!$D$5:$D$200),IFERROR(INDEX('BASE_PROFILÉS'!$D$5:$D$200,MATCH('PARAMÈTRES'!$C$75,'BASE_PROFILÉS'!$B$5:$B$200,0)),0))</f>
        <v>2.47</v>
      </c>
      <c r="R341">
        <f>IFERROR(_xlfn.XLOOKUP('PARAMÈTRES'!$C$75,'BASE_PROFILÉS'!$B$5:$B$200,'BASE_PROFILÉS'!$D$5:$D$200),IFERROR(INDEX('BASE_PROFILÉS'!$D$5:$D$200,MATCH('PARAMÈTRES'!$C$75,'BASE_PROFILÉS'!$B$5:$B$200,0)),0))</f>
        <v>2.47</v>
      </c>
      <c r="S341">
        <f>IFERROR(_xlfn.XLOOKUP('PARAMÈTRES'!$C$75,'BASE_PROFILÉS'!$B$5:$B$200,'BASE_PROFILÉS'!$D$5:$D$200),IFERROR(INDEX('BASE_PROFILÉS'!$D$5:$D$200,MATCH('PARAMÈTRES'!$C$75,'BASE_PROFILÉS'!$B$5:$B$200,0)),0))</f>
        <v>2.47</v>
      </c>
      <c r="T341">
        <f>IFERROR(_xlfn.XLOOKUP('PARAMÈTRES'!$C$75,'BASE_PROFILÉS'!$B$5:$B$200,'BASE_PROFILÉS'!$D$5:$D$200),IFERROR(INDEX('BASE_PROFILÉS'!$D$5:$D$200,MATCH('PARAMÈTRES'!$C$75,'BASE_PROFILÉS'!$B$5:$B$200,0)),0))</f>
        <v>2.47</v>
      </c>
      <c r="U341">
        <f>IFERROR(_xlfn.XLOOKUP('PARAMÈTRES'!$C$75,'BASE_PROFILÉS'!$B$5:$B$200,'BASE_PROFILÉS'!$D$5:$D$200),IFERROR(INDEX('BASE_PROFILÉS'!$D$5:$D$200,MATCH('PARAMÈTRES'!$C$75,'BASE_PROFILÉS'!$B$5:$B$200,0)),0))</f>
        <v>2.47</v>
      </c>
      <c r="V341">
        <f>IFERROR(_xlfn.XLOOKUP('PARAMÈTRES'!$C$75,'BASE_PROFILÉS'!$B$5:$B$200,'BASE_PROFILÉS'!$D$5:$D$200),IFERROR(INDEX('BASE_PROFILÉS'!$D$5:$D$200,MATCH('PARAMÈTRES'!$C$75,'BASE_PROFILÉS'!$B$5:$B$200,0)),0))</f>
        <v>2.47</v>
      </c>
      <c r="W341">
        <f>IFERROR(_xlfn.XLOOKUP('PARAMÈTRES'!$C$75,'BASE_PROFILÉS'!$B$5:$B$200,'BASE_PROFILÉS'!$D$5:$D$200),IFERROR(INDEX('BASE_PROFILÉS'!$D$5:$D$200,MATCH('PARAMÈTRES'!$C$75,'BASE_PROFILÉS'!$B$5:$B$200,0)),0))</f>
        <v>2.47</v>
      </c>
      <c r="X341">
        <f>IFERROR(_xlfn.XLOOKUP('PARAMÈTRES'!$C$75,'BASE_PROFILÉS'!$B$5:$B$200,'BASE_PROFILÉS'!$D$5:$D$200),IFERROR(INDEX('BASE_PROFILÉS'!$D$5:$D$200,MATCH('PARAMÈTRES'!$C$75,'BASE_PROFILÉS'!$B$5:$B$200,0)),0))</f>
        <v>2.47</v>
      </c>
    </row>
    <row r="342">
      <c r="A342" t="inlineStr">
        <is>
          <t>tg_pg_kg</t>
        </is>
      </c>
      <c r="B342" t="inlineStr">
        <is>
          <t>QUANTITATIF_CHARPENTE!I65</t>
        </is>
      </c>
      <c r="D342">
        <f>D340*D341</f>
        <v>4.94</v>
      </c>
      <c r="E342">
        <f>E340*E341</f>
        <v>4.94</v>
      </c>
      <c r="F342">
        <f>F340*F341</f>
        <v>4.94</v>
      </c>
      <c r="G342">
        <f>G340*G341</f>
        <v>9.88</v>
      </c>
      <c r="H342">
        <f>H340*H341</f>
        <v>9.88</v>
      </c>
      <c r="I342">
        <f>I340*I341</f>
        <v>9.88</v>
      </c>
      <c r="J342">
        <f>J340*J341</f>
        <v>9.88</v>
      </c>
      <c r="K342">
        <f>K340*K341</f>
        <v>9.88</v>
      </c>
      <c r="L342">
        <f>L340*L341</f>
        <v>9.88</v>
      </c>
      <c r="M342">
        <f>M340*M341</f>
        <v>14.82</v>
      </c>
      <c r="N342">
        <f>N340*N341</f>
        <v>14.82</v>
      </c>
      <c r="O342">
        <f>O340*O341</f>
        <v>14.82</v>
      </c>
      <c r="P342">
        <f>P340*P341</f>
        <v>14.82</v>
      </c>
      <c r="Q342">
        <f>Q340*Q341</f>
        <v>14.82</v>
      </c>
      <c r="R342">
        <f>R340*R341</f>
        <v>14.82</v>
      </c>
      <c r="S342">
        <f>S340*S341</f>
        <v>19.76</v>
      </c>
      <c r="T342">
        <f>T340*T341</f>
        <v>19.76</v>
      </c>
      <c r="U342">
        <f>U340*U341</f>
        <v>19.76</v>
      </c>
      <c r="V342">
        <f>V340*V341</f>
        <v>29.64</v>
      </c>
      <c r="W342">
        <f>W340*W341</f>
        <v>29.64</v>
      </c>
      <c r="X342">
        <f>X340*X341</f>
        <v>29.64</v>
      </c>
    </row>
    <row r="343">
      <c r="A343" t="inlineStr">
        <is>
          <t>ecr_p</t>
        </is>
      </c>
      <c r="B343" t="inlineStr">
        <is>
          <t>QUANTITATIF_CHARPENTE!C66</t>
        </is>
      </c>
      <c r="D343" t="str">
        <f>"Écrou"</f>
        <v>Écrou</v>
      </c>
      <c r="E343" t="str">
        <f>"Écrou"</f>
        <v>Écrou</v>
      </c>
      <c r="F343" t="str">
        <f>"Écrou"</f>
        <v>Écrou</v>
      </c>
      <c r="G343" t="str">
        <f>"Écrou"</f>
        <v>Écrou</v>
      </c>
      <c r="H343" t="str">
        <f>"Écrou"</f>
        <v>Écrou</v>
      </c>
      <c r="I343" t="str">
        <f>"Écrou"</f>
        <v>Écrou</v>
      </c>
      <c r="J343" t="str">
        <f>"Écrou"</f>
        <v>Écrou</v>
      </c>
      <c r="K343" t="str">
        <f>"Écrou"</f>
        <v>Écrou</v>
      </c>
      <c r="L343" t="str">
        <f>"Écrou"</f>
        <v>Écrou</v>
      </c>
      <c r="M343" t="str">
        <f>"Écrou"</f>
        <v>Écrou</v>
      </c>
      <c r="N343" t="str">
        <f>"Écrou"</f>
        <v>Écrou</v>
      </c>
      <c r="O343" t="str">
        <f>"Écrou"</f>
        <v>Écrou</v>
      </c>
      <c r="P343" t="str">
        <f>"Écrou"</f>
        <v>Écrou</v>
      </c>
      <c r="Q343" t="str">
        <f>"Écrou"</f>
        <v>Écrou</v>
      </c>
      <c r="R343" t="str">
        <f>"Écrou"</f>
        <v>Écrou</v>
      </c>
      <c r="S343" t="str">
        <f>"Écrou"</f>
        <v>Écrou</v>
      </c>
      <c r="T343" t="str">
        <f>"Écrou"</f>
        <v>Écrou</v>
      </c>
      <c r="U343" t="str">
        <f>"Écrou"</f>
        <v>Écrou</v>
      </c>
      <c r="V343" t="str">
        <f>"Écrou"</f>
        <v>Écrou</v>
      </c>
      <c r="W343" t="str">
        <f>"Écrou"</f>
        <v>Écrou</v>
      </c>
      <c r="X343" t="str">
        <f>"Écrou"</f>
        <v>Écrou</v>
      </c>
    </row>
    <row r="344">
      <c r="A344" t="inlineStr">
        <is>
          <t>ecr_q</t>
        </is>
      </c>
      <c r="B344" t="inlineStr">
        <is>
          <t>QUANTITATIF_CHARPENTE!E66</t>
        </is>
      </c>
      <c r="D344">
        <f>2*(D332+D338)</f>
        <v>104</v>
      </c>
      <c r="E344">
        <f>2*(E332+E338)</f>
        <v>104</v>
      </c>
      <c r="F344">
        <f>2*(F332+F338)</f>
        <v>104</v>
      </c>
      <c r="G344">
        <f>2*(G332+G338)</f>
        <v>96</v>
      </c>
      <c r="H344">
        <f>2*(H332+H338)</f>
        <v>96</v>
      </c>
      <c r="I344">
        <f>2*(I332+I338)</f>
        <v>96</v>
      </c>
      <c r="J344">
        <f>2*(J332+J338)</f>
        <v>112</v>
      </c>
      <c r="K344">
        <f>2*(K332+K338)</f>
        <v>112</v>
      </c>
      <c r="L344">
        <f>2*(L332+L338)</f>
        <v>112</v>
      </c>
      <c r="M344">
        <f>2*(M332+M338)</f>
        <v>104</v>
      </c>
      <c r="N344">
        <f>2*(N332+N338)</f>
        <v>104</v>
      </c>
      <c r="O344">
        <f>2*(O332+O338)</f>
        <v>104</v>
      </c>
      <c r="P344">
        <f>2*(P332+P338)</f>
        <v>152</v>
      </c>
      <c r="Q344">
        <f>2*(Q332+Q338)</f>
        <v>152</v>
      </c>
      <c r="R344">
        <f>2*(R332+R338)</f>
        <v>152</v>
      </c>
      <c r="S344">
        <f>2*(S332+S338)</f>
        <v>160</v>
      </c>
      <c r="T344">
        <f>2*(T332+T338)</f>
        <v>160</v>
      </c>
      <c r="U344">
        <f>2*(U332+U338)</f>
        <v>160</v>
      </c>
      <c r="V344">
        <f>2*(V332+V338)</f>
        <v>176</v>
      </c>
      <c r="W344">
        <f>2*(W332+W338)</f>
        <v>176</v>
      </c>
      <c r="X344">
        <f>2*(X332+X338)</f>
        <v>176</v>
      </c>
    </row>
    <row r="345">
      <c r="A345" t="inlineStr">
        <is>
          <t>rond_p</t>
        </is>
      </c>
      <c r="B345" t="inlineStr">
        <is>
          <t>QUANTITATIF_CHARPENTE!C67</t>
        </is>
      </c>
      <c r="D345" t="str">
        <f>"Rondelle"</f>
        <v>Rondelle</v>
      </c>
      <c r="E345" t="str">
        <f>"Rondelle"</f>
        <v>Rondelle</v>
      </c>
      <c r="F345" t="str">
        <f>"Rondelle"</f>
        <v>Rondelle</v>
      </c>
      <c r="G345" t="str">
        <f>"Rondelle"</f>
        <v>Rondelle</v>
      </c>
      <c r="H345" t="str">
        <f>"Rondelle"</f>
        <v>Rondelle</v>
      </c>
      <c r="I345" t="str">
        <f>"Rondelle"</f>
        <v>Rondelle</v>
      </c>
      <c r="J345" t="str">
        <f>"Rondelle"</f>
        <v>Rondelle</v>
      </c>
      <c r="K345" t="str">
        <f>"Rondelle"</f>
        <v>Rondelle</v>
      </c>
      <c r="L345" t="str">
        <f>"Rondelle"</f>
        <v>Rondelle</v>
      </c>
      <c r="M345" t="str">
        <f>"Rondelle"</f>
        <v>Rondelle</v>
      </c>
      <c r="N345" t="str">
        <f>"Rondelle"</f>
        <v>Rondelle</v>
      </c>
      <c r="O345" t="str">
        <f>"Rondelle"</f>
        <v>Rondelle</v>
      </c>
      <c r="P345" t="str">
        <f>"Rondelle"</f>
        <v>Rondelle</v>
      </c>
      <c r="Q345" t="str">
        <f>"Rondelle"</f>
        <v>Rondelle</v>
      </c>
      <c r="R345" t="str">
        <f>"Rondelle"</f>
        <v>Rondelle</v>
      </c>
      <c r="S345" t="str">
        <f>"Rondelle"</f>
        <v>Rondelle</v>
      </c>
      <c r="T345" t="str">
        <f>"Rondelle"</f>
        <v>Rondelle</v>
      </c>
      <c r="U345" t="str">
        <f>"Rondelle"</f>
        <v>Rondelle</v>
      </c>
      <c r="V345" t="str">
        <f>"Rondelle"</f>
        <v>Rondelle</v>
      </c>
      <c r="W345" t="str">
        <f>"Rondelle"</f>
        <v>Rondelle</v>
      </c>
      <c r="X345" t="str">
        <f>"Rondelle"</f>
        <v>Rondelle</v>
      </c>
    </row>
    <row r="346">
      <c r="A346" t="inlineStr">
        <is>
          <t>rond_q</t>
        </is>
      </c>
      <c r="B346" t="inlineStr">
        <is>
          <t>QUANTITATIF_CHARPENTE!E67</t>
        </is>
      </c>
      <c r="D346">
        <f>2*(D332+D338)</f>
        <v>104</v>
      </c>
      <c r="E346">
        <f>2*(E332+E338)</f>
        <v>104</v>
      </c>
      <c r="F346">
        <f>2*(F332+F338)</f>
        <v>104</v>
      </c>
      <c r="G346">
        <f>2*(G332+G338)</f>
        <v>96</v>
      </c>
      <c r="H346">
        <f>2*(H332+H338)</f>
        <v>96</v>
      </c>
      <c r="I346">
        <f>2*(I332+I338)</f>
        <v>96</v>
      </c>
      <c r="J346">
        <f>2*(J332+J338)</f>
        <v>112</v>
      </c>
      <c r="K346">
        <f>2*(K332+K338)</f>
        <v>112</v>
      </c>
      <c r="L346">
        <f>2*(L332+L338)</f>
        <v>112</v>
      </c>
      <c r="M346">
        <f>2*(M332+M338)</f>
        <v>104</v>
      </c>
      <c r="N346">
        <f>2*(N332+N338)</f>
        <v>104</v>
      </c>
      <c r="O346">
        <f>2*(O332+O338)</f>
        <v>104</v>
      </c>
      <c r="P346">
        <f>2*(P332+P338)</f>
        <v>152</v>
      </c>
      <c r="Q346">
        <f>2*(Q332+Q338)</f>
        <v>152</v>
      </c>
      <c r="R346">
        <f>2*(R332+R338)</f>
        <v>152</v>
      </c>
      <c r="S346">
        <f>2*(S332+S338)</f>
        <v>160</v>
      </c>
      <c r="T346">
        <f>2*(T332+T338)</f>
        <v>160</v>
      </c>
      <c r="U346">
        <f>2*(U332+U338)</f>
        <v>160</v>
      </c>
      <c r="V346">
        <f>2*(V332+V338)</f>
        <v>176</v>
      </c>
      <c r="W346">
        <f>2*(W332+W338)</f>
        <v>176</v>
      </c>
      <c r="X346">
        <f>2*(X332+X338)</f>
        <v>176</v>
      </c>
    </row>
    <row r="347">
      <c r="A347" t="inlineStr">
        <is>
          <t>gab_p</t>
        </is>
      </c>
      <c r="B347" t="inlineStr">
        <is>
          <t>QUANTITATIF_CHARPENTE!C68</t>
        </is>
      </c>
      <c r="D347" t="str">
        <f>"Gabarit"</f>
        <v>Gabarit</v>
      </c>
      <c r="E347" t="str">
        <f>"Gabarit"</f>
        <v>Gabarit</v>
      </c>
      <c r="F347" t="str">
        <f>"Gabarit"</f>
        <v>Gabarit</v>
      </c>
      <c r="G347" t="str">
        <f>"Gabarit"</f>
        <v>Gabarit</v>
      </c>
      <c r="H347" t="str">
        <f>"Gabarit"</f>
        <v>Gabarit</v>
      </c>
      <c r="I347" t="str">
        <f>"Gabarit"</f>
        <v>Gabarit</v>
      </c>
      <c r="J347" t="str">
        <f>"Gabarit"</f>
        <v>Gabarit</v>
      </c>
      <c r="K347" t="str">
        <f>"Gabarit"</f>
        <v>Gabarit</v>
      </c>
      <c r="L347" t="str">
        <f>"Gabarit"</f>
        <v>Gabarit</v>
      </c>
      <c r="M347" t="str">
        <f>"Gabarit"</f>
        <v>Gabarit</v>
      </c>
      <c r="N347" t="str">
        <f>"Gabarit"</f>
        <v>Gabarit</v>
      </c>
      <c r="O347" t="str">
        <f>"Gabarit"</f>
        <v>Gabarit</v>
      </c>
      <c r="P347" t="str">
        <f>"Gabarit"</f>
        <v>Gabarit</v>
      </c>
      <c r="Q347" t="str">
        <f>"Gabarit"</f>
        <v>Gabarit</v>
      </c>
      <c r="R347" t="str">
        <f>"Gabarit"</f>
        <v>Gabarit</v>
      </c>
      <c r="S347" t="str">
        <f>"Gabarit"</f>
        <v>Gabarit</v>
      </c>
      <c r="T347" t="str">
        <f>"Gabarit"</f>
        <v>Gabarit</v>
      </c>
      <c r="U347" t="str">
        <f>"Gabarit"</f>
        <v>Gabarit</v>
      </c>
      <c r="V347" t="str">
        <f>"Gabarit"</f>
        <v>Gabarit</v>
      </c>
      <c r="W347" t="str">
        <f>"Gabarit"</f>
        <v>Gabarit</v>
      </c>
      <c r="X347" t="str">
        <f>"Gabarit"</f>
        <v>Gabarit</v>
      </c>
    </row>
    <row r="348">
      <c r="A348" t="inlineStr">
        <is>
          <t>gab_q</t>
        </is>
      </c>
      <c r="B348" t="inlineStr">
        <is>
          <t>QUANTITATIF_CHARPENTE!E68</t>
        </is>
      </c>
      <c r="D348">
        <f>2*D14+D23+D22</f>
        <v>14</v>
      </c>
      <c r="E348">
        <f>2*E14+E23+E22</f>
        <v>14</v>
      </c>
      <c r="F348">
        <f>2*F14+F23+F22</f>
        <v>14</v>
      </c>
      <c r="G348">
        <f>2*G14+G23+G22</f>
        <v>14</v>
      </c>
      <c r="H348">
        <f>2*H14+H23+H22</f>
        <v>14</v>
      </c>
      <c r="I348">
        <f>2*I14+I23+I22</f>
        <v>14</v>
      </c>
      <c r="J348">
        <f>2*J14+J23+J22</f>
        <v>16</v>
      </c>
      <c r="K348">
        <f>2*K14+K23+K22</f>
        <v>16</v>
      </c>
      <c r="L348">
        <f>2*L14+L23+L22</f>
        <v>16</v>
      </c>
      <c r="M348">
        <f>2*M14+M23+M22</f>
        <v>16</v>
      </c>
      <c r="N348">
        <f>2*N14+N23+N22</f>
        <v>16</v>
      </c>
      <c r="O348">
        <f>2*O14+O23+O22</f>
        <v>16</v>
      </c>
      <c r="P348">
        <f>2*P14+P23+P22</f>
        <v>22</v>
      </c>
      <c r="Q348">
        <f>2*Q14+Q23+Q22</f>
        <v>22</v>
      </c>
      <c r="R348">
        <f>2*R14+R23+R22</f>
        <v>22</v>
      </c>
      <c r="S348">
        <f>2*S14+S23+S22</f>
        <v>24</v>
      </c>
      <c r="T348">
        <f>2*T14+T23+T22</f>
        <v>24</v>
      </c>
      <c r="U348">
        <f>2*U14+U23+U22</f>
        <v>24</v>
      </c>
      <c r="V348">
        <f>2*V14+V23+V22</f>
        <v>28</v>
      </c>
      <c r="W348">
        <f>2*W14+W23+W22</f>
        <v>28</v>
      </c>
      <c r="X348">
        <f>2*X14+X23+X22</f>
        <v>28</v>
      </c>
    </row>
    <row r="349">
      <c r="A349" t="inlineStr">
        <is>
          <t>vis_p</t>
        </is>
      </c>
      <c r="B349" t="inlineStr">
        <is>
          <t>QUANTITATIF_CHARPENTE!C69</t>
        </is>
      </c>
      <c r="D349" t="str">
        <f>"Vis"</f>
        <v>Vis</v>
      </c>
      <c r="E349" t="str">
        <f>"Vis"</f>
        <v>Vis</v>
      </c>
      <c r="F349" t="str">
        <f>"Vis"</f>
        <v>Vis</v>
      </c>
      <c r="G349" t="str">
        <f>"Vis"</f>
        <v>Vis</v>
      </c>
      <c r="H349" t="str">
        <f>"Vis"</f>
        <v>Vis</v>
      </c>
      <c r="I349" t="str">
        <f>"Vis"</f>
        <v>Vis</v>
      </c>
      <c r="J349" t="str">
        <f>"Vis"</f>
        <v>Vis</v>
      </c>
      <c r="K349" t="str">
        <f>"Vis"</f>
        <v>Vis</v>
      </c>
      <c r="L349" t="str">
        <f>"Vis"</f>
        <v>Vis</v>
      </c>
      <c r="M349" t="str">
        <f>"Vis"</f>
        <v>Vis</v>
      </c>
      <c r="N349" t="str">
        <f>"Vis"</f>
        <v>Vis</v>
      </c>
      <c r="O349" t="str">
        <f>"Vis"</f>
        <v>Vis</v>
      </c>
      <c r="P349" t="str">
        <f>"Vis"</f>
        <v>Vis</v>
      </c>
      <c r="Q349" t="str">
        <f>"Vis"</f>
        <v>Vis</v>
      </c>
      <c r="R349" t="str">
        <f>"Vis"</f>
        <v>Vis</v>
      </c>
      <c r="S349" t="str">
        <f>"Vis"</f>
        <v>Vis</v>
      </c>
      <c r="T349" t="str">
        <f>"Vis"</f>
        <v>Vis</v>
      </c>
      <c r="U349" t="str">
        <f>"Vis"</f>
        <v>Vis</v>
      </c>
      <c r="V349" t="str">
        <f>"Vis"</f>
        <v>Vis</v>
      </c>
      <c r="W349" t="str">
        <f>"Vis"</f>
        <v>Vis</v>
      </c>
      <c r="X349" t="str">
        <f>"Vis"</f>
        <v>Vis</v>
      </c>
    </row>
    <row r="350">
      <c r="A350" t="inlineStr">
        <is>
          <t>vis_q</t>
        </is>
      </c>
      <c r="B350" t="inlineStr">
        <is>
          <t>QUANTITATIF_CHARPENTE!E69</t>
        </is>
      </c>
      <c r="D350">
        <f>ROUNDUP('PARAMÈTRES'!$C$49*(D256+D258+D300),0)</f>
        <v>4968</v>
      </c>
      <c r="E350">
        <f>ROUNDUP('PARAMÈTRES'!$C$49*(E256+E258+E300),0)</f>
        <v>4968</v>
      </c>
      <c r="F350">
        <f>ROUNDUP('PARAMÈTRES'!$C$49*(F256+F258+F300),0)</f>
        <v>2011</v>
      </c>
      <c r="G350">
        <f>ROUNDUP('PARAMÈTRES'!$C$49*(G256+G258+G300),0)</f>
        <v>4658</v>
      </c>
      <c r="H350">
        <f>ROUNDUP('PARAMÈTRES'!$C$49*(H256+H258+H300),0)</f>
        <v>4658</v>
      </c>
      <c r="I350">
        <f>ROUNDUP('PARAMÈTRES'!$C$49*(I256+I258+I300),0)</f>
        <v>2031</v>
      </c>
      <c r="J350">
        <f>ROUNDUP('PARAMÈTRES'!$C$49*(J256+J258+J300),0)</f>
        <v>6453</v>
      </c>
      <c r="K350">
        <f>ROUNDUP('PARAMÈTRES'!$C$49*(K256+K258+K300),0)</f>
        <v>6453</v>
      </c>
      <c r="L350">
        <f>ROUNDUP('PARAMÈTRES'!$C$49*(L256+L258+L300),0)</f>
        <v>3034</v>
      </c>
      <c r="M350">
        <f>ROUNDUP('PARAMÈTRES'!$C$49*(M256+M258+M300),0)</f>
        <v>5835</v>
      </c>
      <c r="N350">
        <f>ROUNDUP('PARAMÈTRES'!$C$49*(N256+N258+N300),0)</f>
        <v>5835</v>
      </c>
      <c r="O350">
        <f>ROUNDUP('PARAMÈTRES'!$C$49*(O256+O258+O300),0)</f>
        <v>2720</v>
      </c>
      <c r="P350">
        <f>ROUNDUP('PARAMÈTRES'!$C$49*(P256+P258+P300),0)</f>
        <v>10093</v>
      </c>
      <c r="Q350">
        <f>ROUNDUP('PARAMÈTRES'!$C$49*(Q256+Q258+Q300),0)</f>
        <v>10093</v>
      </c>
      <c r="R350">
        <f>ROUNDUP('PARAMÈTRES'!$C$49*(R256+R258+R300),0)</f>
        <v>5393</v>
      </c>
      <c r="S350">
        <f>ROUNDUP('PARAMÈTRES'!$C$49*(S256+S258+S300),0)</f>
        <v>13862</v>
      </c>
      <c r="T350">
        <f>ROUNDUP('PARAMÈTRES'!$C$49*(T256+T258+T300),0)</f>
        <v>13862</v>
      </c>
      <c r="U350">
        <f>ROUNDUP('PARAMÈTRES'!$C$49*(U256+U258+U300),0)</f>
        <v>8107</v>
      </c>
      <c r="V350">
        <f>ROUNDUP('PARAMÈTRES'!$C$49*(V256+V258+V300),0)</f>
        <v>19145</v>
      </c>
      <c r="W350">
        <f>ROUNDUP('PARAMÈTRES'!$C$49*(W256+W258+W300),0)</f>
        <v>19145</v>
      </c>
      <c r="X350">
        <f>ROUNDUP('PARAMÈTRES'!$C$49*(X256+X258+X300),0)</f>
        <v>10821</v>
      </c>
    </row>
    <row r="351">
      <c r="A351" t="inlineStr">
        <is>
          <t>kg_oss</t>
        </is>
      </c>
      <c r="B351" t="inlineStr">
        <is>
          <t>QUANTITATIF_CHARPENTE!I72</t>
        </is>
      </c>
      <c r="D351">
        <f>D120+D126+D132+D138+D144+D150+D156+D162+D168+D172+D176+D180+D184+D188+D192+D196+D202+D208+D214+D220+D226+D232+D238+D242+D248+D254+D280+D286+D292+D298</f>
        <v>9563.23622763871</v>
      </c>
      <c r="E351">
        <f>E120+E126+E132+E138+E144+E150+E156+E162+E168+E172+E176+E180+E184+E188+E192+E196+E202+E208+E214+E220+E226+E232+E238+E242+E248+E254+E280+E286+E292+E298</f>
        <v>9563.23622763871</v>
      </c>
      <c r="F351">
        <f>F120+F126+F132+F138+F144+F150+F156+F162+F168+F172+F176+F180+F184+F188+F192+F196+F202+F208+F214+F220+F226+F232+F238+F242+F248+F254+F280+F286+F292+F298</f>
        <v>8195.69064986093</v>
      </c>
      <c r="G351">
        <f>G120+G126+G132+G138+G144+G150+G156+G162+G168+G172+G176+G180+G184+G188+G192+G196+G202+G208+G214+G220+G226+G232+G238+G242+G248+G254+G280+G286+G292+G298</f>
        <v>10788.1297296223</v>
      </c>
      <c r="H351">
        <f>H120+H126+H132+H138+H144+H150+H156+H162+H168+H172+H176+H180+H184+H188+H192+H196+H202+H208+H214+H220+H226+H232+H238+H242+H248+H254+H280+H286+H292+H298</f>
        <v>10788.1297296223</v>
      </c>
      <c r="I351">
        <f>I120+I126+I132+I138+I144+I150+I156+I162+I168+I172+I176+I180+I184+I188+I192+I196+I202+I208+I214+I220+I226+I232+I238+I242+I248+I254+I280+I286+I292+I298</f>
        <v>9686.3809296223</v>
      </c>
      <c r="J351">
        <f>J120+J126+J132+J138+J144+J150+J156+J162+J168+J172+J176+J180+J184+J188+J192+J196+J202+J208+J214+J220+J226+J232+J238+J242+J248+J254+J280+J286+J292+J298</f>
        <v>13371.8764336115</v>
      </c>
      <c r="K351">
        <f>K120+K126+K132+K138+K144+K150+K156+K162+K168+K172+K176+K180+K184+K188+K192+K196+K202+K208+K214+K220+K226+K232+K238+K242+K248+K254+K280+K286+K292+K298</f>
        <v>13371.8764336115</v>
      </c>
      <c r="L351">
        <f>L120+L126+L132+L138+L144+L150+L156+L162+L168+L172+L176+L180+L184+L188+L192+L196+L202+L208+L214+L220+L226+L232+L238+L242+L248+L254+L280+L286+L292+L298</f>
        <v>11814.1766336115</v>
      </c>
      <c r="M351">
        <f>M120+M126+M132+M138+M144+M150+M156+M162+M168+M172+M176+M180+M184+M188+M192+M196+M202+M208+M214+M220+M226+M232+M238+M242+M248+M254+M280+M286+M292+M298</f>
        <v>15001.3437427509</v>
      </c>
      <c r="N351">
        <f>N120+N126+N132+N138+N144+N150+N156+N162+N168+N172+N176+N180+N184+N188+N192+N196+N202+N208+N214+N220+N226+N232+N238+N242+N248+N254+N280+N286+N292+N298</f>
        <v>15001.3437427509</v>
      </c>
      <c r="O351">
        <f>O120+O126+O132+O138+O144+O150+O156+O162+O168+O172+O176+O180+O184+O188+O192+O196+O202+O208+O214+O220+O226+O232+O238+O242+O248+O254+O280+O286+O292+O298</f>
        <v>13712.1414316398</v>
      </c>
      <c r="P351">
        <f>P120+P126+P132+P138+P144+P150+P156+P162+P168+P172+P176+P180+P184+P188+P192+P196+P202+P208+P214+P220+P226+P232+P238+P242+P248+P254+P280+P286+P292+P298</f>
        <v>24287.6967037285</v>
      </c>
      <c r="Q351">
        <f>Q120+Q126+Q132+Q138+Q144+Q150+Q156+Q162+Q168+Q172+Q176+Q180+Q184+Q188+Q192+Q196+Q202+Q208+Q214+Q220+Q226+Q232+Q238+Q242+Q248+Q254+Q280+Q286+Q292+Q298</f>
        <v>24287.6967037285</v>
      </c>
      <c r="R351">
        <f>R120+R126+R132+R138+R144+R150+R156+R162+R168+R172+R176+R180+R184+R188+R192+R196+R202+R208+R214+R220+R226+R232+R238+R242+R248+R254+R280+R286+R292+R298</f>
        <v>22142.0647259507</v>
      </c>
      <c r="S351">
        <f>S120+S126+S132+S138+S144+S150+S156+S162+S168+S172+S176+S180+S184+S188+S192+S196+S202+S208+S214+S220+S226+S232+S238+S242+S248+S254+S280+S286+S292+S298</f>
        <v>42042.6196151626</v>
      </c>
      <c r="T351">
        <f>T120+T126+T132+T138+T144+T150+T156+T162+T168+T172+T176+T180+T184+T188+T192+T196+T202+T208+T214+T220+T226+T232+T238+T242+T248+T254+T280+T286+T292+T298</f>
        <v>42042.6196151626</v>
      </c>
      <c r="U351">
        <f>U120+U126+U132+U138+U144+U150+U156+U162+U168+U172+U176+U180+U184+U188+U192+U196+U202+U208+U214+U220+U226+U232+U238+U242+U248+U254+U280+U286+U292+U298</f>
        <v>39475.1366151626</v>
      </c>
      <c r="V351">
        <f>V120+V126+V132+V138+V144+V150+V156+V162+V168+V172+V176+V180+V184+V188+V192+V196+V202+V208+V214+V220+V226+V232+V238+V242+V248+V254+V280+V286+V292+V298</f>
        <v>58299.6803792087</v>
      </c>
      <c r="W351">
        <f>W120+W126+W132+W138+W144+W150+W156+W162+W168+W172+W176+W180+W184+W188+W192+W196+W202+W208+W214+W220+W226+W232+W238+W242+W248+W254+W280+W286+W292+W298</f>
        <v>58299.6803792087</v>
      </c>
      <c r="X351">
        <f>X120+X126+X132+X138+X144+X150+X156+X162+X168+X172+X176+X180+X184+X188+X192+X196+X202+X208+X214+X220+X226+X232+X238+X242+X248+X254+X280+X286+X292+X298</f>
        <v>54585.2389199494</v>
      </c>
    </row>
    <row r="352">
      <c r="A352" t="inlineStr">
        <is>
          <t>kg_boul_d</t>
        </is>
      </c>
      <c r="B352" t="inlineStr">
        <is>
          <t>QUANTITATIF_CHARPENTE!I73</t>
        </is>
      </c>
      <c r="D352">
        <f>D310+D314+D318+D322+D326+D330+D336+D342</f>
        <v>228.78</v>
      </c>
      <c r="E352">
        <f>E310+E314+E318+E322+E326+E330+E336+E342</f>
        <v>228.78</v>
      </c>
      <c r="F352">
        <f>F310+F314+F318+F322+F326+F330+F336+F342</f>
        <v>207.98</v>
      </c>
      <c r="G352">
        <f>G310+G314+G318+G322+G326+G330+G336+G342</f>
        <v>213.48</v>
      </c>
      <c r="H352">
        <f>H310+H314+H318+H322+H326+H330+H336+H342</f>
        <v>213.48</v>
      </c>
      <c r="I352">
        <f>I310+I314+I318+I322+I326+I330+I336+I342</f>
        <v>192.68</v>
      </c>
      <c r="J352">
        <f>J310+J314+J318+J322+J326+J330+J336+J342</f>
        <v>244.92</v>
      </c>
      <c r="K352">
        <f>K310+K314+K318+K322+K326+K330+K336+K342</f>
        <v>244.92</v>
      </c>
      <c r="L352">
        <f>L310+L314+L318+L322+L326+L330+L336+L342</f>
        <v>220.92</v>
      </c>
      <c r="M352">
        <f>M310+M314+M318+M322+M326+M330+M336+M342</f>
        <v>227.22</v>
      </c>
      <c r="N352">
        <f>N310+N314+N318+N322+N326+N330+N336+N342</f>
        <v>227.22</v>
      </c>
      <c r="O352">
        <f>O310+O314+O318+O322+O326+O330+O336+O342</f>
        <v>203.22</v>
      </c>
      <c r="P352">
        <f>P310+P314+P318+P322+P326+P330+P336+P342</f>
        <v>357.54</v>
      </c>
      <c r="Q352">
        <f>Q310+Q314+Q318+Q322+Q326+Q330+Q336+Q342</f>
        <v>357.54</v>
      </c>
      <c r="R352">
        <f>R310+R314+R318+R322+R326+R330+R336+R342</f>
        <v>323.94</v>
      </c>
      <c r="S352">
        <f>S310+S314+S318+S322+S326+S330+S336+S342</f>
        <v>400.88</v>
      </c>
      <c r="T352">
        <f>T310+T314+T318+T322+T326+T330+T336+T342</f>
        <v>400.88</v>
      </c>
      <c r="U352">
        <f>U310+U314+U318+U322+U326+U330+U336+U342</f>
        <v>363.28</v>
      </c>
      <c r="V352">
        <f>V310+V314+V318+V322+V326+V330+V336+V342</f>
        <v>462.76</v>
      </c>
      <c r="W352">
        <f>W310+W314+W318+W322+W326+W330+W336+W342</f>
        <v>462.76</v>
      </c>
      <c r="X352">
        <f>X310+X314+X318+X322+X326+X330+X336+X342</f>
        <v>407.56</v>
      </c>
    </row>
    <row r="353">
      <c r="A353" t="inlineStr">
        <is>
          <t>kg_boul</t>
        </is>
      </c>
      <c r="B353" t="inlineStr">
        <is>
          <t>QUANTITATIF_CHARPENTE!I74</t>
        </is>
      </c>
      <c r="D353">
        <f>MAX(D352,'PARAMÈTRES'!$C$56*D351)</f>
        <v>228.78</v>
      </c>
      <c r="E353">
        <f>MAX(E352,'PARAMÈTRES'!$C$56*E351)</f>
        <v>228.78</v>
      </c>
      <c r="F353">
        <f>MAX(F352,'PARAMÈTRES'!$C$56*F351)</f>
        <v>207.98</v>
      </c>
      <c r="G353">
        <f>MAX(G352,'PARAMÈTRES'!$C$56*G351)</f>
        <v>215.762594592446</v>
      </c>
      <c r="H353">
        <f>MAX(H352,'PARAMÈTRES'!$C$56*H351)</f>
        <v>215.762594592446</v>
      </c>
      <c r="I353">
        <f>MAX(I352,'PARAMÈTRES'!$C$56*I351)</f>
        <v>193.727618592446</v>
      </c>
      <c r="J353">
        <f>MAX(J352,'PARAMÈTRES'!$C$56*J351)</f>
        <v>267.43752867223</v>
      </c>
      <c r="K353">
        <f>MAX(K352,'PARAMÈTRES'!$C$56*K351)</f>
        <v>267.43752867223</v>
      </c>
      <c r="L353">
        <f>MAX(L352,'PARAMÈTRES'!$C$56*L351)</f>
        <v>236.28353267223</v>
      </c>
      <c r="M353">
        <f>MAX(M352,'PARAMÈTRES'!$C$56*M351)</f>
        <v>300.026874855018</v>
      </c>
      <c r="N353">
        <f>MAX(N352,'PARAMÈTRES'!$C$56*N351)</f>
        <v>300.026874855018</v>
      </c>
      <c r="O353">
        <f>MAX(O352,'PARAMÈTRES'!$C$56*O351)</f>
        <v>274.242828632796</v>
      </c>
      <c r="P353">
        <f>MAX(P352,'PARAMÈTRES'!$C$56*P351)</f>
        <v>485.753934074569</v>
      </c>
      <c r="Q353">
        <f>MAX(Q352,'PARAMÈTRES'!$C$56*Q351)</f>
        <v>485.753934074569</v>
      </c>
      <c r="R353">
        <f>MAX(R352,'PARAMÈTRES'!$C$56*R351)</f>
        <v>442.841294519014</v>
      </c>
      <c r="S353">
        <f>MAX(S352,'PARAMÈTRES'!$C$56*S351)</f>
        <v>840.852392303253</v>
      </c>
      <c r="T353">
        <f>MAX(T352,'PARAMÈTRES'!$C$56*T351)</f>
        <v>840.852392303253</v>
      </c>
      <c r="U353">
        <f>MAX(U352,'PARAMÈTRES'!$C$56*U351)</f>
        <v>789.502732303253</v>
      </c>
      <c r="V353">
        <f>MAX(V352,'PARAMÈTRES'!$C$56*V351)</f>
        <v>1165.99360758417</v>
      </c>
      <c r="W353">
        <f>MAX(W352,'PARAMÈTRES'!$C$56*W351)</f>
        <v>1165.99360758417</v>
      </c>
      <c r="X353">
        <f>MAX(X352,'PARAMÈTRES'!$C$56*X351)</f>
        <v>1091.70477839899</v>
      </c>
    </row>
    <row r="354">
      <c r="A354" t="inlineStr">
        <is>
          <t>kg_chutes</t>
        </is>
      </c>
      <c r="B354" t="inlineStr">
        <is>
          <t>QUANTITATIF_CHARPENTE!I75</t>
        </is>
      </c>
      <c r="D354">
        <f>'PARAMÈTRES'!$C$55*D351</f>
        <v>478.161811381935</v>
      </c>
      <c r="E354">
        <f>'PARAMÈTRES'!$C$55*E351</f>
        <v>478.161811381935</v>
      </c>
      <c r="F354">
        <f>'PARAMÈTRES'!$C$55*F351</f>
        <v>409.784532493047</v>
      </c>
      <c r="G354">
        <f>'PARAMÈTRES'!$C$55*G351</f>
        <v>539.406486481115</v>
      </c>
      <c r="H354">
        <f>'PARAMÈTRES'!$C$55*H351</f>
        <v>539.406486481115</v>
      </c>
      <c r="I354">
        <f>'PARAMÈTRES'!$C$55*I351</f>
        <v>484.319046481115</v>
      </c>
      <c r="J354">
        <f>'PARAMÈTRES'!$C$55*J351</f>
        <v>668.593821680574</v>
      </c>
      <c r="K354">
        <f>'PARAMÈTRES'!$C$55*K351</f>
        <v>668.593821680574</v>
      </c>
      <c r="L354">
        <f>'PARAMÈTRES'!$C$55*L351</f>
        <v>590.708831680574</v>
      </c>
      <c r="M354">
        <f>'PARAMÈTRES'!$C$55*M351</f>
        <v>750.067187137545</v>
      </c>
      <c r="N354">
        <f>'PARAMÈTRES'!$C$55*N351</f>
        <v>750.067187137545</v>
      </c>
      <c r="O354">
        <f>'PARAMÈTRES'!$C$55*O351</f>
        <v>685.607071581989</v>
      </c>
      <c r="P354">
        <f>'PARAMÈTRES'!$C$55*P351</f>
        <v>1214.38483518642</v>
      </c>
      <c r="Q354">
        <f>'PARAMÈTRES'!$C$55*Q351</f>
        <v>1214.38483518642</v>
      </c>
      <c r="R354">
        <f>'PARAMÈTRES'!$C$55*R351</f>
        <v>1107.10323629753</v>
      </c>
      <c r="S354">
        <f>'PARAMÈTRES'!$C$55*S351</f>
        <v>2102.13098075813</v>
      </c>
      <c r="T354">
        <f>'PARAMÈTRES'!$C$55*T351</f>
        <v>2102.13098075813</v>
      </c>
      <c r="U354">
        <f>'PARAMÈTRES'!$C$55*U351</f>
        <v>1973.75683075813</v>
      </c>
      <c r="V354">
        <f>'PARAMÈTRES'!$C$55*V351</f>
        <v>2914.98401896044</v>
      </c>
      <c r="W354">
        <f>'PARAMÈTRES'!$C$55*W351</f>
        <v>2914.98401896044</v>
      </c>
      <c r="X354">
        <f>'PARAMÈTRES'!$C$55*X351</f>
        <v>2729.26194599747</v>
      </c>
    </row>
    <row r="355">
      <c r="A355" t="inlineStr">
        <is>
          <t>kg_tot</t>
        </is>
      </c>
      <c r="B355" t="inlineStr">
        <is>
          <t>QUANTITATIF_CHARPENTE!I76</t>
        </is>
      </c>
      <c r="D355">
        <f>D351+D353+D354</f>
        <v>10270.1780390206</v>
      </c>
      <c r="E355">
        <f>E351+E353+E354</f>
        <v>10270.1780390206</v>
      </c>
      <c r="F355">
        <f>F351+F353+F354</f>
        <v>8813.45518235398</v>
      </c>
      <c r="G355">
        <f>G351+G353+G354</f>
        <v>11543.2988106959</v>
      </c>
      <c r="H355">
        <f>H351+H353+H354</f>
        <v>11543.2988106959</v>
      </c>
      <c r="I355">
        <f>I351+I353+I354</f>
        <v>10364.4275946959</v>
      </c>
      <c r="J355">
        <f>J351+J353+J354</f>
        <v>14307.9077839643</v>
      </c>
      <c r="K355">
        <f>K351+K353+K354</f>
        <v>14307.9077839643</v>
      </c>
      <c r="L355">
        <f>L351+L353+L354</f>
        <v>12641.1689979643</v>
      </c>
      <c r="M355">
        <f>M351+M353+M354</f>
        <v>16051.4378047435</v>
      </c>
      <c r="N355">
        <f>N351+N353+N354</f>
        <v>16051.4378047435</v>
      </c>
      <c r="O355">
        <f>O351+O353+O354</f>
        <v>14671.9913318546</v>
      </c>
      <c r="P355">
        <f>P351+P353+P354</f>
        <v>25987.8354729895</v>
      </c>
      <c r="Q355">
        <f>Q351+Q353+Q354</f>
        <v>25987.8354729895</v>
      </c>
      <c r="R355">
        <f>R351+R353+R354</f>
        <v>23692.0092567672</v>
      </c>
      <c r="S355">
        <f>S351+S353+S354</f>
        <v>44985.602988224</v>
      </c>
      <c r="T355">
        <f>T351+T353+T354</f>
        <v>44985.602988224</v>
      </c>
      <c r="U355">
        <f>U351+U353+U354</f>
        <v>42238.396178224</v>
      </c>
      <c r="V355">
        <f>V351+V353+V354</f>
        <v>62380.6580057533</v>
      </c>
      <c r="W355">
        <f>W351+W353+W354</f>
        <v>62380.6580057533</v>
      </c>
      <c r="X355">
        <f>X351+X353+X354</f>
        <v>58406.2056443459</v>
      </c>
    </row>
    <row r="356">
      <c r="A356" t="inlineStr">
        <is>
          <t>t_tot</t>
        </is>
      </c>
      <c r="B356" t="inlineStr">
        <is>
          <t>QUANTITATIF_CHARPENTE!I77</t>
        </is>
      </c>
      <c r="D356">
        <f>D355/1000</f>
        <v>10.2701780390206</v>
      </c>
      <c r="E356">
        <f>E355/1000</f>
        <v>10.2701780390206</v>
      </c>
      <c r="F356">
        <f>F355/1000</f>
        <v>8.81345518235398</v>
      </c>
      <c r="G356">
        <f>G355/1000</f>
        <v>11.5432988106959</v>
      </c>
      <c r="H356">
        <f>H355/1000</f>
        <v>11.5432988106959</v>
      </c>
      <c r="I356">
        <f>I355/1000</f>
        <v>10.3644275946959</v>
      </c>
      <c r="J356">
        <f>J355/1000</f>
        <v>14.3079077839643</v>
      </c>
      <c r="K356">
        <f>K355/1000</f>
        <v>14.3079077839643</v>
      </c>
      <c r="L356">
        <f>L355/1000</f>
        <v>12.6411689979643</v>
      </c>
      <c r="M356">
        <f>M355/1000</f>
        <v>16.0514378047435</v>
      </c>
      <c r="N356">
        <f>N355/1000</f>
        <v>16.0514378047435</v>
      </c>
      <c r="O356">
        <f>O355/1000</f>
        <v>14.6719913318546</v>
      </c>
      <c r="P356">
        <f>P355/1000</f>
        <v>25.9878354729895</v>
      </c>
      <c r="Q356">
        <f>Q355/1000</f>
        <v>25.9878354729895</v>
      </c>
      <c r="R356">
        <f>R355/1000</f>
        <v>23.6920092567672</v>
      </c>
      <c r="S356">
        <f>S355/1000</f>
        <v>44.985602988224</v>
      </c>
      <c r="T356">
        <f>T355/1000</f>
        <v>44.985602988224</v>
      </c>
      <c r="U356">
        <f>U355/1000</f>
        <v>42.238396178224</v>
      </c>
      <c r="V356">
        <f>V355/1000</f>
        <v>62.3806580057533</v>
      </c>
      <c r="W356">
        <f>W355/1000</f>
        <v>62.3806580057533</v>
      </c>
      <c r="X356">
        <f>X355/1000</f>
        <v>58.4062056443459</v>
      </c>
    </row>
    <row r="357">
      <c r="A357" t="inlineStr">
        <is>
          <t>kg_m2</t>
        </is>
      </c>
      <c r="B357" t="inlineStr">
        <is>
          <t>QUANTITATIF_CHARPENTE!I78</t>
        </is>
      </c>
      <c r="D357">
        <f>D355/D31</f>
        <v>34.2339267967355</v>
      </c>
      <c r="E357">
        <f>E355/E31</f>
        <v>34.2339267967355</v>
      </c>
      <c r="F357">
        <f>F355/F31</f>
        <v>29.3781839411799</v>
      </c>
      <c r="G357">
        <f>G355/G31</f>
        <v>38.4776627023196</v>
      </c>
      <c r="H357">
        <f>H355/H31</f>
        <v>38.4776627023196</v>
      </c>
      <c r="I357">
        <f>I355/I31</f>
        <v>34.5480919823196</v>
      </c>
      <c r="J357">
        <f>J355/J31</f>
        <v>31.7953506310318</v>
      </c>
      <c r="K357">
        <f>K355/K31</f>
        <v>31.7953506310318</v>
      </c>
      <c r="L357">
        <f>L355/L31</f>
        <v>28.0914866621429</v>
      </c>
      <c r="M357">
        <f>M355/M31</f>
        <v>40.1285945118586</v>
      </c>
      <c r="N357">
        <f>N355/N31</f>
        <v>40.1285945118586</v>
      </c>
      <c r="O357">
        <f>O355/O31</f>
        <v>36.6799783296364</v>
      </c>
      <c r="P357">
        <f>P355/P31</f>
        <v>32.4847943412368</v>
      </c>
      <c r="Q357">
        <f>Q355/Q31</f>
        <v>32.4847943412368</v>
      </c>
      <c r="R357">
        <f>R355/R31</f>
        <v>29.615011570959</v>
      </c>
      <c r="S357">
        <f>S355/S31</f>
        <v>37.4880024901867</v>
      </c>
      <c r="T357">
        <f>T355/T31</f>
        <v>37.4880024901867</v>
      </c>
      <c r="U357">
        <f>U355/U31</f>
        <v>35.1986634818534</v>
      </c>
      <c r="V357">
        <f>V355/V31</f>
        <v>38.9879112535958</v>
      </c>
      <c r="W357">
        <f>W355/W31</f>
        <v>38.9879112535958</v>
      </c>
      <c r="X357">
        <f>X355/X31</f>
        <v>36.5038785277162</v>
      </c>
    </row>
    <row r="358">
      <c r="A358" t="inlineStr">
        <is>
          <t>galva_kg</t>
        </is>
      </c>
      <c r="B358" t="inlineStr">
        <is>
          <t>QUANTITATIF_CHARPENTE!I79</t>
        </is>
      </c>
      <c r="D358">
        <f>D351</f>
        <v>9563.23622763871</v>
      </c>
      <c r="E358">
        <f>E351</f>
        <v>9563.23622763871</v>
      </c>
      <c r="F358">
        <f>F351</f>
        <v>8195.69064986093</v>
      </c>
      <c r="G358">
        <f>G351</f>
        <v>10788.1297296223</v>
      </c>
      <c r="H358">
        <f>H351</f>
        <v>10788.1297296223</v>
      </c>
      <c r="I358">
        <f>I351</f>
        <v>9686.3809296223</v>
      </c>
      <c r="J358">
        <f>J351</f>
        <v>13371.8764336115</v>
      </c>
      <c r="K358">
        <f>K351</f>
        <v>13371.8764336115</v>
      </c>
      <c r="L358">
        <f>L351</f>
        <v>11814.1766336115</v>
      </c>
      <c r="M358">
        <f>M351</f>
        <v>15001.3437427509</v>
      </c>
      <c r="N358">
        <f>N351</f>
        <v>15001.3437427509</v>
      </c>
      <c r="O358">
        <f>O351</f>
        <v>13712.1414316398</v>
      </c>
      <c r="P358">
        <f>P351</f>
        <v>24287.6967037285</v>
      </c>
      <c r="Q358">
        <f>Q351</f>
        <v>24287.6967037285</v>
      </c>
      <c r="R358">
        <f>R351</f>
        <v>22142.0647259507</v>
      </c>
      <c r="S358">
        <f>S351</f>
        <v>42042.6196151626</v>
      </c>
      <c r="T358">
        <f>T351</f>
        <v>42042.6196151626</v>
      </c>
      <c r="U358">
        <f>U351</f>
        <v>39475.1366151626</v>
      </c>
      <c r="V358">
        <f>V351</f>
        <v>58299.6803792087</v>
      </c>
      <c r="W358">
        <f>W351</f>
        <v>58299.6803792087</v>
      </c>
      <c r="X358">
        <f>X351</f>
        <v>54585.2389199494</v>
      </c>
    </row>
    <row r="359">
      <c r="A359" t="inlineStr">
        <is>
          <t>peint_m2</t>
        </is>
      </c>
      <c r="B359" t="inlineStr">
        <is>
          <t>QUANTITATIF_CHARPENTE!I80</t>
        </is>
      </c>
      <c r="D359">
        <f>D351/1000*'PARAMÈTRES'!$C$60</f>
        <v>239.080905690968</v>
      </c>
      <c r="E359">
        <f>E351/1000*'PARAMÈTRES'!$C$60</f>
        <v>239.080905690968</v>
      </c>
      <c r="F359">
        <f>F351/1000*'PARAMÈTRES'!$C$60</f>
        <v>204.892266246523</v>
      </c>
      <c r="G359">
        <f>G351/1000*'PARAMÈTRES'!$C$60</f>
        <v>269.703243240558</v>
      </c>
      <c r="H359">
        <f>H351/1000*'PARAMÈTRES'!$C$60</f>
        <v>269.703243240558</v>
      </c>
      <c r="I359">
        <f>I351/1000*'PARAMÈTRES'!$C$60</f>
        <v>242.159523240558</v>
      </c>
      <c r="J359">
        <f>J351/1000*'PARAMÈTRES'!$C$60</f>
        <v>334.296910840287</v>
      </c>
      <c r="K359">
        <f>K351/1000*'PARAMÈTRES'!$C$60</f>
        <v>334.296910840287</v>
      </c>
      <c r="L359">
        <f>L351/1000*'PARAMÈTRES'!$C$60</f>
        <v>295.354415840287</v>
      </c>
      <c r="M359">
        <f>M351/1000*'PARAMÈTRES'!$C$60</f>
        <v>375.033593568772</v>
      </c>
      <c r="N359">
        <f>N351/1000*'PARAMÈTRES'!$C$60</f>
        <v>375.033593568772</v>
      </c>
      <c r="O359">
        <f>O351/1000*'PARAMÈTRES'!$C$60</f>
        <v>342.803535790995</v>
      </c>
      <c r="P359">
        <f>P351/1000*'PARAMÈTRES'!$C$60</f>
        <v>607.192417593212</v>
      </c>
      <c r="Q359">
        <f>Q351/1000*'PARAMÈTRES'!$C$60</f>
        <v>607.192417593212</v>
      </c>
      <c r="R359">
        <f>R351/1000*'PARAMÈTRES'!$C$60</f>
        <v>553.551618148767</v>
      </c>
      <c r="S359">
        <f>S351/1000*'PARAMÈTRES'!$C$60</f>
        <v>1051.06549037907</v>
      </c>
      <c r="T359">
        <f>T351/1000*'PARAMÈTRES'!$C$60</f>
        <v>1051.06549037907</v>
      </c>
      <c r="U359">
        <f>U351/1000*'PARAMÈTRES'!$C$60</f>
        <v>986.878415379066</v>
      </c>
      <c r="V359">
        <f>V351/1000*'PARAMÈTRES'!$C$60</f>
        <v>1457.49200948022</v>
      </c>
      <c r="W359">
        <f>W351/1000*'PARAMÈTRES'!$C$60</f>
        <v>1457.49200948022</v>
      </c>
      <c r="X359">
        <f>X351/1000*'PARAMÈTRES'!$C$60</f>
        <v>1364.63097299874</v>
      </c>
    </row>
    <row r="360">
      <c r="A360" t="inlineStr">
        <is>
          <t>e_dal</t>
        </is>
      </c>
      <c r="B360" t="inlineStr">
        <is>
          <t>GROS_ŒUVRE!E6</t>
        </is>
      </c>
      <c r="D360">
        <f>VALUE(LEFT('PARAMÈTRES'!$C$114,2))/100</f>
        <v>0.2</v>
      </c>
      <c r="E360">
        <f>VALUE(LEFT('PARAMÈTRES'!$C$114,2))/100</f>
        <v>0.2</v>
      </c>
      <c r="F360">
        <f>VALUE(LEFT('PARAMÈTRES'!$C$114,2))/100</f>
        <v>0.2</v>
      </c>
      <c r="G360">
        <f>VALUE(LEFT('PARAMÈTRES'!$C$114,2))/100</f>
        <v>0.2</v>
      </c>
      <c r="H360">
        <f>VALUE(LEFT('PARAMÈTRES'!$C$114,2))/100</f>
        <v>0.2</v>
      </c>
      <c r="I360">
        <f>VALUE(LEFT('PARAMÈTRES'!$C$114,2))/100</f>
        <v>0.2</v>
      </c>
      <c r="J360">
        <f>VALUE(LEFT('PARAMÈTRES'!$C$114,2))/100</f>
        <v>0.2</v>
      </c>
      <c r="K360">
        <f>VALUE(LEFT('PARAMÈTRES'!$C$114,2))/100</f>
        <v>0.2</v>
      </c>
      <c r="L360">
        <f>VALUE(LEFT('PARAMÈTRES'!$C$114,2))/100</f>
        <v>0.2</v>
      </c>
      <c r="M360">
        <f>VALUE(LEFT('PARAMÈTRES'!$C$114,2))/100</f>
        <v>0.2</v>
      </c>
      <c r="N360">
        <f>VALUE(LEFT('PARAMÈTRES'!$C$114,2))/100</f>
        <v>0.2</v>
      </c>
      <c r="O360">
        <f>VALUE(LEFT('PARAMÈTRES'!$C$114,2))/100</f>
        <v>0.2</v>
      </c>
      <c r="P360">
        <f>VALUE(LEFT('PARAMÈTRES'!$C$114,2))/100</f>
        <v>0.2</v>
      </c>
      <c r="Q360">
        <f>VALUE(LEFT('PARAMÈTRES'!$C$114,2))/100</f>
        <v>0.2</v>
      </c>
      <c r="R360">
        <f>VALUE(LEFT('PARAMÈTRES'!$C$114,2))/100</f>
        <v>0.2</v>
      </c>
      <c r="S360">
        <f>VALUE(LEFT('PARAMÈTRES'!$C$114,2))/100</f>
        <v>0.2</v>
      </c>
      <c r="T360">
        <f>VALUE(LEFT('PARAMÈTRES'!$C$114,2))/100</f>
        <v>0.2</v>
      </c>
      <c r="U360">
        <f>VALUE(LEFT('PARAMÈTRES'!$C$114,2))/100</f>
        <v>0.2</v>
      </c>
      <c r="V360">
        <f>VALUE(LEFT('PARAMÈTRES'!$C$114,2))/100</f>
        <v>0.2</v>
      </c>
      <c r="W360">
        <f>VALUE(LEFT('PARAMÈTRES'!$C$114,2))/100</f>
        <v>0.2</v>
      </c>
      <c r="X360">
        <f>VALUE(LEFT('PARAMÈTRES'!$C$114,2))/100</f>
        <v>0.2</v>
      </c>
    </row>
    <row r="361">
      <c r="A361" t="inlineStr">
        <is>
          <t>e_rem</t>
        </is>
      </c>
      <c r="B361" t="inlineStr">
        <is>
          <t>GROS_ŒUVRE!E7</t>
        </is>
      </c>
      <c r="D361">
        <f>VALUE(LEFT('PARAMÈTRES'!$C$86,2))/100</f>
        <v>0.2</v>
      </c>
      <c r="E361">
        <f>VALUE(LEFT('PARAMÈTRES'!$C$86,2))/100</f>
        <v>0.2</v>
      </c>
      <c r="F361">
        <f>VALUE(LEFT('PARAMÈTRES'!$C$86,2))/100</f>
        <v>0.2</v>
      </c>
      <c r="G361">
        <f>VALUE(LEFT('PARAMÈTRES'!$C$86,2))/100</f>
        <v>0.2</v>
      </c>
      <c r="H361">
        <f>VALUE(LEFT('PARAMÈTRES'!$C$86,2))/100</f>
        <v>0.2</v>
      </c>
      <c r="I361">
        <f>VALUE(LEFT('PARAMÈTRES'!$C$86,2))/100</f>
        <v>0.2</v>
      </c>
      <c r="J361">
        <f>VALUE(LEFT('PARAMÈTRES'!$C$86,2))/100</f>
        <v>0.2</v>
      </c>
      <c r="K361">
        <f>VALUE(LEFT('PARAMÈTRES'!$C$86,2))/100</f>
        <v>0.2</v>
      </c>
      <c r="L361">
        <f>VALUE(LEFT('PARAMÈTRES'!$C$86,2))/100</f>
        <v>0.2</v>
      </c>
      <c r="M361">
        <f>VALUE(LEFT('PARAMÈTRES'!$C$86,2))/100</f>
        <v>0.2</v>
      </c>
      <c r="N361">
        <f>VALUE(LEFT('PARAMÈTRES'!$C$86,2))/100</f>
        <v>0.2</v>
      </c>
      <c r="O361">
        <f>VALUE(LEFT('PARAMÈTRES'!$C$86,2))/100</f>
        <v>0.2</v>
      </c>
      <c r="P361">
        <f>VALUE(LEFT('PARAMÈTRES'!$C$86,2))/100</f>
        <v>0.2</v>
      </c>
      <c r="Q361">
        <f>VALUE(LEFT('PARAMÈTRES'!$C$86,2))/100</f>
        <v>0.2</v>
      </c>
      <c r="R361">
        <f>VALUE(LEFT('PARAMÈTRES'!$C$86,2))/100</f>
        <v>0.2</v>
      </c>
      <c r="S361">
        <f>VALUE(LEFT('PARAMÈTRES'!$C$86,2))/100</f>
        <v>0.2</v>
      </c>
      <c r="T361">
        <f>VALUE(LEFT('PARAMÈTRES'!$C$86,2))/100</f>
        <v>0.2</v>
      </c>
      <c r="U361">
        <f>VALUE(LEFT('PARAMÈTRES'!$C$86,2))/100</f>
        <v>0.2</v>
      </c>
      <c r="V361">
        <f>VALUE(LEFT('PARAMÈTRES'!$C$86,2))/100</f>
        <v>0.2</v>
      </c>
      <c r="W361">
        <f>VALUE(LEFT('PARAMÈTRES'!$C$86,2))/100</f>
        <v>0.2</v>
      </c>
      <c r="X361">
        <f>VALUE(LEFT('PARAMÈTRES'!$C$86,2))/100</f>
        <v>0.2</v>
      </c>
    </row>
    <row r="362">
      <c r="A362" t="inlineStr">
        <is>
          <t>maille</t>
        </is>
      </c>
      <c r="B362" t="inlineStr">
        <is>
          <t>GROS_ŒUVRE!E8</t>
        </is>
      </c>
      <c r="D362">
        <f>VALUE(LEFT('PARAMÈTRES'!$C$120,2))/100</f>
        <v>0.2</v>
      </c>
      <c r="E362">
        <f>VALUE(LEFT('PARAMÈTRES'!$C$120,2))/100</f>
        <v>0.2</v>
      </c>
      <c r="F362">
        <f>VALUE(LEFT('PARAMÈTRES'!$C$120,2))/100</f>
        <v>0.2</v>
      </c>
      <c r="G362">
        <f>VALUE(LEFT('PARAMÈTRES'!$C$120,2))/100</f>
        <v>0.2</v>
      </c>
      <c r="H362">
        <f>VALUE(LEFT('PARAMÈTRES'!$C$120,2))/100</f>
        <v>0.2</v>
      </c>
      <c r="I362">
        <f>VALUE(LEFT('PARAMÈTRES'!$C$120,2))/100</f>
        <v>0.2</v>
      </c>
      <c r="J362">
        <f>VALUE(LEFT('PARAMÈTRES'!$C$120,2))/100</f>
        <v>0.2</v>
      </c>
      <c r="K362">
        <f>VALUE(LEFT('PARAMÈTRES'!$C$120,2))/100</f>
        <v>0.2</v>
      </c>
      <c r="L362">
        <f>VALUE(LEFT('PARAMÈTRES'!$C$120,2))/100</f>
        <v>0.2</v>
      </c>
      <c r="M362">
        <f>VALUE(LEFT('PARAMÈTRES'!$C$120,2))/100</f>
        <v>0.2</v>
      </c>
      <c r="N362">
        <f>VALUE(LEFT('PARAMÈTRES'!$C$120,2))/100</f>
        <v>0.2</v>
      </c>
      <c r="O362">
        <f>VALUE(LEFT('PARAMÈTRES'!$C$120,2))/100</f>
        <v>0.2</v>
      </c>
      <c r="P362">
        <f>VALUE(LEFT('PARAMÈTRES'!$C$120,2))/100</f>
        <v>0.2</v>
      </c>
      <c r="Q362">
        <f>VALUE(LEFT('PARAMÈTRES'!$C$120,2))/100</f>
        <v>0.2</v>
      </c>
      <c r="R362">
        <f>VALUE(LEFT('PARAMÈTRES'!$C$120,2))/100</f>
        <v>0.2</v>
      </c>
      <c r="S362">
        <f>VALUE(LEFT('PARAMÈTRES'!$C$120,2))/100</f>
        <v>0.2</v>
      </c>
      <c r="T362">
        <f>VALUE(LEFT('PARAMÈTRES'!$C$120,2))/100</f>
        <v>0.2</v>
      </c>
      <c r="U362">
        <f>VALUE(LEFT('PARAMÈTRES'!$C$120,2))/100</f>
        <v>0.2</v>
      </c>
      <c r="V362">
        <f>VALUE(LEFT('PARAMÈTRES'!$C$120,2))/100</f>
        <v>0.2</v>
      </c>
      <c r="W362">
        <f>VALUE(LEFT('PARAMÈTRES'!$C$120,2))/100</f>
        <v>0.2</v>
      </c>
      <c r="X362">
        <f>VALUE(LEFT('PARAMÈTRES'!$C$120,2))/100</f>
        <v>0.2</v>
      </c>
    </row>
    <row r="363">
      <c r="A363" t="inlineStr">
        <is>
          <t>kdbl</t>
        </is>
      </c>
      <c r="B363" t="inlineStr">
        <is>
          <t>GROS_ŒUVRE!E9</t>
        </is>
      </c>
      <c r="D363">
        <f>IF('PARAMÈTRES'!$C$115="Nappe double",1,0)</f>
        <v>0</v>
      </c>
      <c r="E363">
        <f>IF('PARAMÈTRES'!$C$115="Nappe double",1,0)</f>
        <v>0</v>
      </c>
      <c r="F363">
        <f>IF('PARAMÈTRES'!$C$115="Nappe double",1,0)</f>
        <v>0</v>
      </c>
      <c r="G363">
        <f>IF('PARAMÈTRES'!$C$115="Nappe double",1,0)</f>
        <v>0</v>
      </c>
      <c r="H363">
        <f>IF('PARAMÈTRES'!$C$115="Nappe double",1,0)</f>
        <v>0</v>
      </c>
      <c r="I363">
        <f>IF('PARAMÈTRES'!$C$115="Nappe double",1,0)</f>
        <v>0</v>
      </c>
      <c r="J363">
        <f>IF('PARAMÈTRES'!$C$115="Nappe double",1,0)</f>
        <v>0</v>
      </c>
      <c r="K363">
        <f>IF('PARAMÈTRES'!$C$115="Nappe double",1,0)</f>
        <v>0</v>
      </c>
      <c r="L363">
        <f>IF('PARAMÈTRES'!$C$115="Nappe double",1,0)</f>
        <v>0</v>
      </c>
      <c r="M363">
        <f>IF('PARAMÈTRES'!$C$115="Nappe double",1,0)</f>
        <v>0</v>
      </c>
      <c r="N363">
        <f>IF('PARAMÈTRES'!$C$115="Nappe double",1,0)</f>
        <v>0</v>
      </c>
      <c r="O363">
        <f>IF('PARAMÈTRES'!$C$115="Nappe double",1,0)</f>
        <v>0</v>
      </c>
      <c r="P363">
        <f>IF('PARAMÈTRES'!$C$115="Nappe double",1,0)</f>
        <v>0</v>
      </c>
      <c r="Q363">
        <f>IF('PARAMÈTRES'!$C$115="Nappe double",1,0)</f>
        <v>0</v>
      </c>
      <c r="R363">
        <f>IF('PARAMÈTRES'!$C$115="Nappe double",1,0)</f>
        <v>0</v>
      </c>
      <c r="S363">
        <f>IF('PARAMÈTRES'!$C$115="Nappe double",1,0)</f>
        <v>0</v>
      </c>
      <c r="T363">
        <f>IF('PARAMÈTRES'!$C$115="Nappe double",1,0)</f>
        <v>0</v>
      </c>
      <c r="U363">
        <f>IF('PARAMÈTRES'!$C$115="Nappe double",1,0)</f>
        <v>0</v>
      </c>
      <c r="V363">
        <f>IF('PARAMÈTRES'!$C$115="Nappe double",1,0)</f>
        <v>0</v>
      </c>
      <c r="W363">
        <f>IF('PARAMÈTRES'!$C$115="Nappe double",1,0)</f>
        <v>0</v>
      </c>
      <c r="X363">
        <f>IF('PARAMÈTRES'!$C$115="Nappe double",1,0)</f>
        <v>0</v>
      </c>
    </row>
    <row r="364">
      <c r="A364" t="inlineStr">
        <is>
          <t>n_s1</t>
        </is>
      </c>
      <c r="B364" t="inlineStr">
        <is>
          <t>GROS_ŒUVRE!E10</t>
        </is>
      </c>
      <c r="D364">
        <f>2*D14+D23</f>
        <v>12</v>
      </c>
      <c r="E364">
        <f>2*E14+E23</f>
        <v>12</v>
      </c>
      <c r="F364">
        <f>2*F14+F23</f>
        <v>12</v>
      </c>
      <c r="G364">
        <f>2*G14+G23</f>
        <v>10</v>
      </c>
      <c r="H364">
        <f>2*H14+H23</f>
        <v>10</v>
      </c>
      <c r="I364">
        <f>2*I14+I23</f>
        <v>10</v>
      </c>
      <c r="J364">
        <f>2*J14+J23</f>
        <v>12</v>
      </c>
      <c r="K364">
        <f>2*K14+K23</f>
        <v>12</v>
      </c>
      <c r="L364">
        <f>2*L14+L23</f>
        <v>12</v>
      </c>
      <c r="M364">
        <f>2*M14+M23</f>
        <v>10</v>
      </c>
      <c r="N364">
        <f>2*N14+N23</f>
        <v>10</v>
      </c>
      <c r="O364">
        <f>2*O14+O23</f>
        <v>10</v>
      </c>
      <c r="P364">
        <f>2*P14+P23</f>
        <v>16</v>
      </c>
      <c r="Q364">
        <f>2*Q14+Q23</f>
        <v>16</v>
      </c>
      <c r="R364">
        <f>2*R14+R23</f>
        <v>16</v>
      </c>
      <c r="S364">
        <f>2*S14+S23</f>
        <v>16</v>
      </c>
      <c r="T364">
        <f>2*T14+T23</f>
        <v>16</v>
      </c>
      <c r="U364">
        <f>2*U14+U23</f>
        <v>16</v>
      </c>
      <c r="V364">
        <f>2*V14+V23</f>
        <v>16</v>
      </c>
      <c r="W364">
        <f>2*W14+W23</f>
        <v>16</v>
      </c>
      <c r="X364">
        <f>2*X14+X23</f>
        <v>16</v>
      </c>
    </row>
    <row r="365">
      <c r="A365" t="inlineStr">
        <is>
          <t>n_s2</t>
        </is>
      </c>
      <c r="B365" t="inlineStr">
        <is>
          <t>GROS_ŒUVRE!E11</t>
        </is>
      </c>
      <c r="D365">
        <f>D22</f>
        <v>2</v>
      </c>
      <c r="E365">
        <f>E22</f>
        <v>2</v>
      </c>
      <c r="F365">
        <f>F22</f>
        <v>2</v>
      </c>
      <c r="G365">
        <f>G22</f>
        <v>4</v>
      </c>
      <c r="H365">
        <f>H22</f>
        <v>4</v>
      </c>
      <c r="I365">
        <f>I22</f>
        <v>4</v>
      </c>
      <c r="J365">
        <f>J22</f>
        <v>4</v>
      </c>
      <c r="K365">
        <f>K22</f>
        <v>4</v>
      </c>
      <c r="L365">
        <f>L22</f>
        <v>4</v>
      </c>
      <c r="M365">
        <f>M22</f>
        <v>6</v>
      </c>
      <c r="N365">
        <f>N22</f>
        <v>6</v>
      </c>
      <c r="O365">
        <f>O22</f>
        <v>6</v>
      </c>
      <c r="P365">
        <f>P22</f>
        <v>6</v>
      </c>
      <c r="Q365">
        <f>Q22</f>
        <v>6</v>
      </c>
      <c r="R365">
        <f>R22</f>
        <v>6</v>
      </c>
      <c r="S365">
        <f>S22</f>
        <v>8</v>
      </c>
      <c r="T365">
        <f>T22</f>
        <v>8</v>
      </c>
      <c r="U365">
        <f>U22</f>
        <v>8</v>
      </c>
      <c r="V365">
        <f>V22</f>
        <v>12</v>
      </c>
      <c r="W365">
        <f>W22</f>
        <v>12</v>
      </c>
      <c r="X365">
        <f>X22</f>
        <v>12</v>
      </c>
    </row>
    <row r="366">
      <c r="A366" t="inlineStr">
        <is>
          <t>L_fil</t>
        </is>
      </c>
      <c r="B366" t="inlineStr">
        <is>
          <t>GROS_ŒUVRE!E12</t>
        </is>
      </c>
      <c r="D366">
        <f>MAX(0,D32-2*D14*'PARAMÈTRES'!$C$89-D22*'PARAMÈTRES'!$C$92)</f>
        <v>64</v>
      </c>
      <c r="E366">
        <f>MAX(0,E32-2*E14*'PARAMÈTRES'!$C$89-E22*'PARAMÈTRES'!$C$92)</f>
        <v>64</v>
      </c>
      <c r="F366">
        <f>MAX(0,F32-2*F14*'PARAMÈTRES'!$C$89-F22*'PARAMÈTRES'!$C$92)</f>
        <v>64</v>
      </c>
      <c r="G366">
        <f>MAX(0,G32-2*G14*'PARAMÈTRES'!$C$89-G22*'PARAMÈTRES'!$C$92)</f>
        <v>54.8</v>
      </c>
      <c r="H366">
        <f>MAX(0,H32-2*H14*'PARAMÈTRES'!$C$89-H22*'PARAMÈTRES'!$C$92)</f>
        <v>54.8</v>
      </c>
      <c r="I366">
        <f>MAX(0,I32-2*I14*'PARAMÈTRES'!$C$89-I22*'PARAMÈTRES'!$C$92)</f>
        <v>54.8</v>
      </c>
      <c r="J366">
        <f>MAX(0,J32-2*J14*'PARAMÈTRES'!$C$89-J22*'PARAMÈTRES'!$C$92)</f>
        <v>72.4</v>
      </c>
      <c r="K366">
        <f>MAX(0,K32-2*K14*'PARAMÈTRES'!$C$89-K22*'PARAMÈTRES'!$C$92)</f>
        <v>72.4</v>
      </c>
      <c r="L366">
        <f>MAX(0,L32-2*L14*'PARAMÈTRES'!$C$89-L22*'PARAMÈTRES'!$C$92)</f>
        <v>72.4</v>
      </c>
      <c r="M366">
        <f>MAX(0,M32-2*M14*'PARAMÈTRES'!$C$89-M22*'PARAMÈTRES'!$C$92)</f>
        <v>63.2</v>
      </c>
      <c r="N366">
        <f>MAX(0,N32-2*N14*'PARAMÈTRES'!$C$89-N22*'PARAMÈTRES'!$C$92)</f>
        <v>63.2</v>
      </c>
      <c r="O366">
        <f>MAX(0,O32-2*O14*'PARAMÈTRES'!$C$89-O22*'PARAMÈTRES'!$C$92)</f>
        <v>63.2</v>
      </c>
      <c r="P366">
        <f>MAX(0,P32-2*P14*'PARAMÈTRES'!$C$89-P22*'PARAMÈTRES'!$C$92)</f>
        <v>96</v>
      </c>
      <c r="Q366">
        <f>MAX(0,Q32-2*Q14*'PARAMÈTRES'!$C$89-Q22*'PARAMÈTRES'!$C$92)</f>
        <v>96</v>
      </c>
      <c r="R366">
        <f>MAX(0,R32-2*R14*'PARAMÈTRES'!$C$89-R22*'PARAMÈTRES'!$C$92)</f>
        <v>96</v>
      </c>
      <c r="S366">
        <f>MAX(0,S32-2*S14*'PARAMÈTRES'!$C$89-S22*'PARAMÈTRES'!$C$92)</f>
        <v>114.4</v>
      </c>
      <c r="T366">
        <f>MAX(0,T32-2*T14*'PARAMÈTRES'!$C$89-T22*'PARAMÈTRES'!$C$92)</f>
        <v>114.4</v>
      </c>
      <c r="U366">
        <f>MAX(0,U32-2*U14*'PARAMÈTRES'!$C$89-U22*'PARAMÈTRES'!$C$92)</f>
        <v>114.4</v>
      </c>
      <c r="V366">
        <f>MAX(0,V32-2*V14*'PARAMÈTRES'!$C$89-V22*'PARAMÈTRES'!$C$92)</f>
        <v>131.2</v>
      </c>
      <c r="W366">
        <f>MAX(0,W32-2*W14*'PARAMÈTRES'!$C$89-W22*'PARAMÈTRES'!$C$92)</f>
        <v>131.2</v>
      </c>
      <c r="X366">
        <f>MAX(0,X32-2*X14*'PARAMÈTRES'!$C$89-X22*'PARAMÈTRES'!$C$92)</f>
        <v>131.2</v>
      </c>
    </row>
    <row r="367">
      <c r="A367" t="inlineStr">
        <is>
          <t>Bx</t>
        </is>
      </c>
      <c r="B367" t="inlineStr">
        <is>
          <t>GROS_ŒUVRE!E13</t>
        </is>
      </c>
      <c r="D367">
        <f>D7-'PARAMÈTRES'!$C$85</f>
        <v>29.85</v>
      </c>
      <c r="E367">
        <f>E7-'PARAMÈTRES'!$C$85</f>
        <v>29.85</v>
      </c>
      <c r="F367">
        <f>F7-'PARAMÈTRES'!$C$85</f>
        <v>29.85</v>
      </c>
      <c r="G367">
        <f>G7-'PARAMÈTRES'!$C$85</f>
        <v>19.85</v>
      </c>
      <c r="H367">
        <f>H7-'PARAMÈTRES'!$C$85</f>
        <v>19.85</v>
      </c>
      <c r="I367">
        <f>I7-'PARAMÈTRES'!$C$85</f>
        <v>19.85</v>
      </c>
      <c r="J367">
        <f>J7-'PARAMÈTRES'!$C$85</f>
        <v>29.85</v>
      </c>
      <c r="K367">
        <f>K7-'PARAMÈTRES'!$C$85</f>
        <v>29.85</v>
      </c>
      <c r="L367">
        <f>L7-'PARAMÈTRES'!$C$85</f>
        <v>29.85</v>
      </c>
      <c r="M367">
        <f>M7-'PARAMÈTRES'!$C$85</f>
        <v>19.85</v>
      </c>
      <c r="N367">
        <f>N7-'PARAMÈTRES'!$C$85</f>
        <v>19.85</v>
      </c>
      <c r="O367">
        <f>O7-'PARAMÈTRES'!$C$85</f>
        <v>19.85</v>
      </c>
      <c r="P367">
        <f>P7-'PARAMÈTRES'!$C$85</f>
        <v>39.85</v>
      </c>
      <c r="Q367">
        <f>Q7-'PARAMÈTRES'!$C$85</f>
        <v>39.85</v>
      </c>
      <c r="R367">
        <f>R7-'PARAMÈTRES'!$C$85</f>
        <v>39.85</v>
      </c>
      <c r="S367">
        <f>S7-'PARAMÈTRES'!$C$85</f>
        <v>39.85</v>
      </c>
      <c r="T367">
        <f>T7-'PARAMÈTRES'!$C$85</f>
        <v>39.85</v>
      </c>
      <c r="U367">
        <f>U7-'PARAMÈTRES'!$C$85</f>
        <v>39.85</v>
      </c>
      <c r="V367">
        <f>V7-'PARAMÈTRES'!$C$85</f>
        <v>39.85</v>
      </c>
      <c r="W367">
        <f>W7-'PARAMÈTRES'!$C$85</f>
        <v>39.85</v>
      </c>
      <c r="X367">
        <f>X7-'PARAMÈTRES'!$C$85</f>
        <v>39.85</v>
      </c>
    </row>
    <row r="368">
      <c r="A368" t="inlineStr">
        <is>
          <t>By</t>
        </is>
      </c>
      <c r="B368" t="inlineStr">
        <is>
          <t>GROS_ŒUVRE!E14</t>
        </is>
      </c>
      <c r="D368">
        <f>D6-'PARAMÈTRES'!$C$85</f>
        <v>9.85</v>
      </c>
      <c r="E368">
        <f>E6-'PARAMÈTRES'!$C$85</f>
        <v>9.85</v>
      </c>
      <c r="F368">
        <f>F6-'PARAMÈTRES'!$C$85</f>
        <v>9.85</v>
      </c>
      <c r="G368">
        <f>G6-'PARAMÈTRES'!$C$85</f>
        <v>14.85</v>
      </c>
      <c r="H368">
        <f>H6-'PARAMÈTRES'!$C$85</f>
        <v>14.85</v>
      </c>
      <c r="I368">
        <f>I6-'PARAMÈTRES'!$C$85</f>
        <v>14.85</v>
      </c>
      <c r="J368">
        <f>J6-'PARAMÈTRES'!$C$85</f>
        <v>14.85</v>
      </c>
      <c r="K368">
        <f>K6-'PARAMÈTRES'!$C$85</f>
        <v>14.85</v>
      </c>
      <c r="L368">
        <f>L6-'PARAMÈTRES'!$C$85</f>
        <v>14.85</v>
      </c>
      <c r="M368">
        <f>M6-'PARAMÈTRES'!$C$85</f>
        <v>19.85</v>
      </c>
      <c r="N368">
        <f>N6-'PARAMÈTRES'!$C$85</f>
        <v>19.85</v>
      </c>
      <c r="O368">
        <f>O6-'PARAMÈTRES'!$C$85</f>
        <v>19.85</v>
      </c>
      <c r="P368">
        <f>P6-'PARAMÈTRES'!$C$85</f>
        <v>19.85</v>
      </c>
      <c r="Q368">
        <f>Q6-'PARAMÈTRES'!$C$85</f>
        <v>19.85</v>
      </c>
      <c r="R368">
        <f>R6-'PARAMÈTRES'!$C$85</f>
        <v>19.85</v>
      </c>
      <c r="S368">
        <f>S6-'PARAMÈTRES'!$C$85</f>
        <v>29.85</v>
      </c>
      <c r="T368">
        <f>T6-'PARAMÈTRES'!$C$85</f>
        <v>29.85</v>
      </c>
      <c r="U368">
        <f>U6-'PARAMÈTRES'!$C$85</f>
        <v>29.85</v>
      </c>
      <c r="V368">
        <f>V6-'PARAMÈTRES'!$C$85</f>
        <v>39.85</v>
      </c>
      <c r="W368">
        <f>W6-'PARAMÈTRES'!$C$85</f>
        <v>39.85</v>
      </c>
      <c r="X368">
        <f>X6-'PARAMÈTRES'!$C$85</f>
        <v>39.85</v>
      </c>
    </row>
    <row r="369">
      <c r="A369" t="inlineStr">
        <is>
          <t>S_int</t>
        </is>
      </c>
      <c r="B369" t="inlineStr">
        <is>
          <t>GROS_ŒUVRE!E15</t>
        </is>
      </c>
      <c r="D369">
        <f>D367*D368</f>
        <v>294.0225</v>
      </c>
      <c r="E369">
        <f>E367*E368</f>
        <v>294.0225</v>
      </c>
      <c r="F369">
        <f>F367*F368</f>
        <v>294.0225</v>
      </c>
      <c r="G369">
        <f>G367*G368</f>
        <v>294.7725</v>
      </c>
      <c r="H369">
        <f>H367*H368</f>
        <v>294.7725</v>
      </c>
      <c r="I369">
        <f>I367*I368</f>
        <v>294.7725</v>
      </c>
      <c r="J369">
        <f>J367*J368</f>
        <v>443.2725</v>
      </c>
      <c r="K369">
        <f>K367*K368</f>
        <v>443.2725</v>
      </c>
      <c r="L369">
        <f>L367*L368</f>
        <v>443.2725</v>
      </c>
      <c r="M369">
        <f>M367*M368</f>
        <v>394.0225</v>
      </c>
      <c r="N369">
        <f>N367*N368</f>
        <v>394.0225</v>
      </c>
      <c r="O369">
        <f>O367*O368</f>
        <v>394.0225</v>
      </c>
      <c r="P369">
        <f>P367*P368</f>
        <v>791.0225</v>
      </c>
      <c r="Q369">
        <f>Q367*Q368</f>
        <v>791.0225</v>
      </c>
      <c r="R369">
        <f>R367*R368</f>
        <v>791.0225</v>
      </c>
      <c r="S369">
        <f>S367*S368</f>
        <v>1189.5225</v>
      </c>
      <c r="T369">
        <f>T367*T368</f>
        <v>1189.5225</v>
      </c>
      <c r="U369">
        <f>U367*U368</f>
        <v>1189.5225</v>
      </c>
      <c r="V369">
        <f>V367*V368</f>
        <v>1588.0225</v>
      </c>
      <c r="W369">
        <f>W367*W368</f>
        <v>1588.0225</v>
      </c>
      <c r="X369">
        <f>X367*X368</f>
        <v>1588.0225</v>
      </c>
    </row>
    <row r="370">
      <c r="A370" t="inlineStr">
        <is>
          <t>h_ag</t>
        </is>
      </c>
      <c r="B370" t="inlineStr">
        <is>
          <t>GROS_ŒUVRE!E16</t>
        </is>
      </c>
      <c r="D370">
        <f>D34</f>
        <v>0</v>
      </c>
      <c r="E370">
        <f>E34</f>
        <v>0</v>
      </c>
      <c r="F370">
        <f>F34</f>
        <v>6</v>
      </c>
      <c r="G370">
        <f>G34</f>
        <v>0</v>
      </c>
      <c r="H370">
        <f>H34</f>
        <v>0</v>
      </c>
      <c r="I370">
        <f>I34</f>
        <v>6</v>
      </c>
      <c r="J370">
        <f>J34</f>
        <v>0</v>
      </c>
      <c r="K370">
        <f>K34</f>
        <v>0</v>
      </c>
      <c r="L370">
        <f>L34</f>
        <v>6</v>
      </c>
      <c r="M370">
        <f>M34</f>
        <v>0</v>
      </c>
      <c r="N370">
        <f>N34</f>
        <v>0</v>
      </c>
      <c r="O370">
        <f>O34</f>
        <v>6</v>
      </c>
      <c r="P370">
        <f>P34</f>
        <v>0</v>
      </c>
      <c r="Q370">
        <f>Q34</f>
        <v>0</v>
      </c>
      <c r="R370">
        <f>R34</f>
        <v>6</v>
      </c>
      <c r="S370">
        <f>S34</f>
        <v>0</v>
      </c>
      <c r="T370">
        <f>T34</f>
        <v>0</v>
      </c>
      <c r="U370">
        <f>U34</f>
        <v>6</v>
      </c>
      <c r="V370">
        <f>V34</f>
        <v>0</v>
      </c>
      <c r="W370">
        <f>W34</f>
        <v>0</v>
      </c>
      <c r="X370">
        <f>X34</f>
        <v>7.33333333333333</v>
      </c>
    </row>
    <row r="371">
      <c r="A371" t="inlineStr">
        <is>
          <t>nb_ch</t>
        </is>
      </c>
      <c r="B371" t="inlineStr">
        <is>
          <t>GROS_ŒUVRE!E17</t>
        </is>
      </c>
      <c r="D371">
        <f>IF(D33="Agglos 15 creux",3,IF(D33="Mixte",2,0))</f>
        <v>0</v>
      </c>
      <c r="E371">
        <f>IF(E33="Agglos 15 creux",3,IF(E33="Mixte",2,0))</f>
        <v>0</v>
      </c>
      <c r="F371">
        <f>IF(F33="Agglos 15 creux",3,IF(F33="Mixte",2,0))</f>
        <v>3</v>
      </c>
      <c r="G371">
        <f>IF(G33="Agglos 15 creux",3,IF(G33="Mixte",2,0))</f>
        <v>0</v>
      </c>
      <c r="H371">
        <f>IF(H33="Agglos 15 creux",3,IF(H33="Mixte",2,0))</f>
        <v>0</v>
      </c>
      <c r="I371">
        <f>IF(I33="Agglos 15 creux",3,IF(I33="Mixte",2,0))</f>
        <v>3</v>
      </c>
      <c r="J371">
        <f>IF(J33="Agglos 15 creux",3,IF(J33="Mixte",2,0))</f>
        <v>0</v>
      </c>
      <c r="K371">
        <f>IF(K33="Agglos 15 creux",3,IF(K33="Mixte",2,0))</f>
        <v>0</v>
      </c>
      <c r="L371">
        <f>IF(L33="Agglos 15 creux",3,IF(L33="Mixte",2,0))</f>
        <v>3</v>
      </c>
      <c r="M371">
        <f>IF(M33="Agglos 15 creux",3,IF(M33="Mixte",2,0))</f>
        <v>0</v>
      </c>
      <c r="N371">
        <f>IF(N33="Agglos 15 creux",3,IF(N33="Mixte",2,0))</f>
        <v>0</v>
      </c>
      <c r="O371">
        <f>IF(O33="Agglos 15 creux",3,IF(O33="Mixte",2,0))</f>
        <v>3</v>
      </c>
      <c r="P371">
        <f>IF(P33="Agglos 15 creux",3,IF(P33="Mixte",2,0))</f>
        <v>0</v>
      </c>
      <c r="Q371">
        <f>IF(Q33="Agglos 15 creux",3,IF(Q33="Mixte",2,0))</f>
        <v>0</v>
      </c>
      <c r="R371">
        <f>IF(R33="Agglos 15 creux",3,IF(R33="Mixte",2,0))</f>
        <v>3</v>
      </c>
      <c r="S371">
        <f>IF(S33="Agglos 15 creux",3,IF(S33="Mixte",2,0))</f>
        <v>0</v>
      </c>
      <c r="T371">
        <f>IF(T33="Agglos 15 creux",3,IF(T33="Mixte",2,0))</f>
        <v>0</v>
      </c>
      <c r="U371">
        <f>IF(U33="Agglos 15 creux",3,IF(U33="Mixte",2,0))</f>
        <v>3</v>
      </c>
      <c r="V371">
        <f>IF(V33="Agglos 15 creux",3,IF(V33="Mixte",2,0))</f>
        <v>0</v>
      </c>
      <c r="W371">
        <f>IF(W33="Agglos 15 creux",3,IF(W33="Mixte",2,0))</f>
        <v>0</v>
      </c>
      <c r="X371">
        <f>IF(X33="Agglos 15 creux",3,IF(X33="Mixte",2,0))</f>
        <v>3</v>
      </c>
    </row>
    <row r="372">
      <c r="A372" t="inlineStr">
        <is>
          <t>n_panx</t>
        </is>
      </c>
      <c r="B372" t="inlineStr">
        <is>
          <t>GROS_ŒUVRE!E18</t>
        </is>
      </c>
      <c r="D372">
        <f>D36*(2*D13+2*D20)</f>
        <v>0</v>
      </c>
      <c r="E372">
        <f>E36*(2*E13+2*E20)</f>
        <v>0</v>
      </c>
      <c r="F372">
        <f>F36*(2*F13+2*F20)</f>
        <v>14</v>
      </c>
      <c r="G372">
        <f>G36*(2*G13+2*G20)</f>
        <v>0</v>
      </c>
      <c r="H372">
        <f>H36*(2*H13+2*H20)</f>
        <v>0</v>
      </c>
      <c r="I372">
        <f>I36*(2*I13+2*I20)</f>
        <v>14</v>
      </c>
      <c r="J372">
        <f>J36*(2*J13+2*J20)</f>
        <v>0</v>
      </c>
      <c r="K372">
        <f>K36*(2*K13+2*K20)</f>
        <v>0</v>
      </c>
      <c r="L372">
        <f>L36*(2*L13+2*L20)</f>
        <v>16</v>
      </c>
      <c r="M372">
        <f>M36*(2*M13+2*M20)</f>
        <v>0</v>
      </c>
      <c r="N372">
        <f>N36*(2*N13+2*N20)</f>
        <v>0</v>
      </c>
      <c r="O372">
        <f>O36*(2*O13+2*O20)</f>
        <v>16</v>
      </c>
      <c r="P372">
        <f>P36*(2*P13+2*P20)</f>
        <v>0</v>
      </c>
      <c r="Q372">
        <f>Q36*(2*Q13+2*Q20)</f>
        <v>0</v>
      </c>
      <c r="R372">
        <f>R36*(2*R13+2*R20)</f>
        <v>22</v>
      </c>
      <c r="S372">
        <f>S36*(2*S13+2*S20)</f>
        <v>0</v>
      </c>
      <c r="T372">
        <f>T36*(2*T13+2*T20)</f>
        <v>0</v>
      </c>
      <c r="U372">
        <f>U36*(2*U13+2*U20)</f>
        <v>24</v>
      </c>
      <c r="V372">
        <f>V36*(2*V13+2*V20)</f>
        <v>0</v>
      </c>
      <c r="W372">
        <f>W36*(2*W13+2*W20)</f>
        <v>0</v>
      </c>
      <c r="X372">
        <f>X36*(2*X13+2*X20)</f>
        <v>28</v>
      </c>
    </row>
    <row r="373">
      <c r="A373" t="inlineStr">
        <is>
          <t>c_beton</t>
        </is>
      </c>
      <c r="B373" t="inlineStr">
        <is>
          <t>GROS_ŒUVRE!E19</t>
        </is>
      </c>
      <c r="D373">
        <f>'PARAMÈTRES'!$C$143/'PARAMÈTRES'!$C$145*'PARAMÈTRES'!$C$185+'PARAMÈTRES'!$C$146*'PARAMÈTRES'!$C$186+'PARAMÈTRES'!$C$147*'PARAMÈTRES'!$C$187+'PARAMÈTRES'!$C$148*'PARAMÈTRES'!$C$188</f>
        <v>59900</v>
      </c>
      <c r="E373">
        <f>'PARAMÈTRES'!$C$143/'PARAMÈTRES'!$C$145*'PARAMÈTRES'!$C$185+'PARAMÈTRES'!$C$146*'PARAMÈTRES'!$C$186+'PARAMÈTRES'!$C$147*'PARAMÈTRES'!$C$187+'PARAMÈTRES'!$C$148*'PARAMÈTRES'!$C$188</f>
        <v>59900</v>
      </c>
      <c r="F373">
        <f>'PARAMÈTRES'!$C$143/'PARAMÈTRES'!$C$145*'PARAMÈTRES'!$C$185+'PARAMÈTRES'!$C$146*'PARAMÈTRES'!$C$186+'PARAMÈTRES'!$C$147*'PARAMÈTRES'!$C$187+'PARAMÈTRES'!$C$148*'PARAMÈTRES'!$C$188</f>
        <v>59900</v>
      </c>
      <c r="G373">
        <f>'PARAMÈTRES'!$C$143/'PARAMÈTRES'!$C$145*'PARAMÈTRES'!$C$185+'PARAMÈTRES'!$C$146*'PARAMÈTRES'!$C$186+'PARAMÈTRES'!$C$147*'PARAMÈTRES'!$C$187+'PARAMÈTRES'!$C$148*'PARAMÈTRES'!$C$188</f>
        <v>59900</v>
      </c>
      <c r="H373">
        <f>'PARAMÈTRES'!$C$143/'PARAMÈTRES'!$C$145*'PARAMÈTRES'!$C$185+'PARAMÈTRES'!$C$146*'PARAMÈTRES'!$C$186+'PARAMÈTRES'!$C$147*'PARAMÈTRES'!$C$187+'PARAMÈTRES'!$C$148*'PARAMÈTRES'!$C$188</f>
        <v>59900</v>
      </c>
      <c r="I373">
        <f>'PARAMÈTRES'!$C$143/'PARAMÈTRES'!$C$145*'PARAMÈTRES'!$C$185+'PARAMÈTRES'!$C$146*'PARAMÈTRES'!$C$186+'PARAMÈTRES'!$C$147*'PARAMÈTRES'!$C$187+'PARAMÈTRES'!$C$148*'PARAMÈTRES'!$C$188</f>
        <v>59900</v>
      </c>
      <c r="J373">
        <f>'PARAMÈTRES'!$C$143/'PARAMÈTRES'!$C$145*'PARAMÈTRES'!$C$185+'PARAMÈTRES'!$C$146*'PARAMÈTRES'!$C$186+'PARAMÈTRES'!$C$147*'PARAMÈTRES'!$C$187+'PARAMÈTRES'!$C$148*'PARAMÈTRES'!$C$188</f>
        <v>59900</v>
      </c>
      <c r="K373">
        <f>'PARAMÈTRES'!$C$143/'PARAMÈTRES'!$C$145*'PARAMÈTRES'!$C$185+'PARAMÈTRES'!$C$146*'PARAMÈTRES'!$C$186+'PARAMÈTRES'!$C$147*'PARAMÈTRES'!$C$187+'PARAMÈTRES'!$C$148*'PARAMÈTRES'!$C$188</f>
        <v>59900</v>
      </c>
      <c r="L373">
        <f>'PARAMÈTRES'!$C$143/'PARAMÈTRES'!$C$145*'PARAMÈTRES'!$C$185+'PARAMÈTRES'!$C$146*'PARAMÈTRES'!$C$186+'PARAMÈTRES'!$C$147*'PARAMÈTRES'!$C$187+'PARAMÈTRES'!$C$148*'PARAMÈTRES'!$C$188</f>
        <v>59900</v>
      </c>
      <c r="M373">
        <f>'PARAMÈTRES'!$C$143/'PARAMÈTRES'!$C$145*'PARAMÈTRES'!$C$185+'PARAMÈTRES'!$C$146*'PARAMÈTRES'!$C$186+'PARAMÈTRES'!$C$147*'PARAMÈTRES'!$C$187+'PARAMÈTRES'!$C$148*'PARAMÈTRES'!$C$188</f>
        <v>59900</v>
      </c>
      <c r="N373">
        <f>'PARAMÈTRES'!$C$143/'PARAMÈTRES'!$C$145*'PARAMÈTRES'!$C$185+'PARAMÈTRES'!$C$146*'PARAMÈTRES'!$C$186+'PARAMÈTRES'!$C$147*'PARAMÈTRES'!$C$187+'PARAMÈTRES'!$C$148*'PARAMÈTRES'!$C$188</f>
        <v>59900</v>
      </c>
      <c r="O373">
        <f>'PARAMÈTRES'!$C$143/'PARAMÈTRES'!$C$145*'PARAMÈTRES'!$C$185+'PARAMÈTRES'!$C$146*'PARAMÈTRES'!$C$186+'PARAMÈTRES'!$C$147*'PARAMÈTRES'!$C$187+'PARAMÈTRES'!$C$148*'PARAMÈTRES'!$C$188</f>
        <v>59900</v>
      </c>
      <c r="P373">
        <f>'PARAMÈTRES'!$C$143/'PARAMÈTRES'!$C$145*'PARAMÈTRES'!$C$185+'PARAMÈTRES'!$C$146*'PARAMÈTRES'!$C$186+'PARAMÈTRES'!$C$147*'PARAMÈTRES'!$C$187+'PARAMÈTRES'!$C$148*'PARAMÈTRES'!$C$188</f>
        <v>59900</v>
      </c>
      <c r="Q373">
        <f>'PARAMÈTRES'!$C$143/'PARAMÈTRES'!$C$145*'PARAMÈTRES'!$C$185+'PARAMÈTRES'!$C$146*'PARAMÈTRES'!$C$186+'PARAMÈTRES'!$C$147*'PARAMÈTRES'!$C$187+'PARAMÈTRES'!$C$148*'PARAMÈTRES'!$C$188</f>
        <v>59900</v>
      </c>
      <c r="R373">
        <f>'PARAMÈTRES'!$C$143/'PARAMÈTRES'!$C$145*'PARAMÈTRES'!$C$185+'PARAMÈTRES'!$C$146*'PARAMÈTRES'!$C$186+'PARAMÈTRES'!$C$147*'PARAMÈTRES'!$C$187+'PARAMÈTRES'!$C$148*'PARAMÈTRES'!$C$188</f>
        <v>59900</v>
      </c>
      <c r="S373">
        <f>'PARAMÈTRES'!$C$143/'PARAMÈTRES'!$C$145*'PARAMÈTRES'!$C$185+'PARAMÈTRES'!$C$146*'PARAMÈTRES'!$C$186+'PARAMÈTRES'!$C$147*'PARAMÈTRES'!$C$187+'PARAMÈTRES'!$C$148*'PARAMÈTRES'!$C$188</f>
        <v>59900</v>
      </c>
      <c r="T373">
        <f>'PARAMÈTRES'!$C$143/'PARAMÈTRES'!$C$145*'PARAMÈTRES'!$C$185+'PARAMÈTRES'!$C$146*'PARAMÈTRES'!$C$186+'PARAMÈTRES'!$C$147*'PARAMÈTRES'!$C$187+'PARAMÈTRES'!$C$148*'PARAMÈTRES'!$C$188</f>
        <v>59900</v>
      </c>
      <c r="U373">
        <f>'PARAMÈTRES'!$C$143/'PARAMÈTRES'!$C$145*'PARAMÈTRES'!$C$185+'PARAMÈTRES'!$C$146*'PARAMÈTRES'!$C$186+'PARAMÈTRES'!$C$147*'PARAMÈTRES'!$C$187+'PARAMÈTRES'!$C$148*'PARAMÈTRES'!$C$188</f>
        <v>59900</v>
      </c>
      <c r="V373">
        <f>'PARAMÈTRES'!$C$143/'PARAMÈTRES'!$C$145*'PARAMÈTRES'!$C$185+'PARAMÈTRES'!$C$146*'PARAMÈTRES'!$C$186+'PARAMÈTRES'!$C$147*'PARAMÈTRES'!$C$187+'PARAMÈTRES'!$C$148*'PARAMÈTRES'!$C$188</f>
        <v>59900</v>
      </c>
      <c r="W373">
        <f>'PARAMÈTRES'!$C$143/'PARAMÈTRES'!$C$145*'PARAMÈTRES'!$C$185+'PARAMÈTRES'!$C$146*'PARAMÈTRES'!$C$186+'PARAMÈTRES'!$C$147*'PARAMÈTRES'!$C$187+'PARAMÈTRES'!$C$148*'PARAMÈTRES'!$C$188</f>
        <v>59900</v>
      </c>
      <c r="X373">
        <f>'PARAMÈTRES'!$C$143/'PARAMÈTRES'!$C$145*'PARAMÈTRES'!$C$185+'PARAMÈTRES'!$C$146*'PARAMÈTRES'!$C$186+'PARAMÈTRES'!$C$147*'PARAMÈTRES'!$C$187+'PARAMÈTRES'!$C$148*'PARAMÈTRES'!$C$188</f>
        <v>59900</v>
      </c>
    </row>
    <row r="374">
      <c r="A374" t="inlineStr">
        <is>
          <t>c_mort</t>
        </is>
      </c>
      <c r="B374" t="inlineStr">
        <is>
          <t>GROS_ŒUVRE!E20</t>
        </is>
      </c>
      <c r="D374">
        <f>'PARAMÈTRES'!$C$144/'PARAMÈTRES'!$C$145*'PARAMÈTRES'!$C$185+'PARAMÈTRES'!$C$149*'PARAMÈTRES'!$C$186</f>
        <v>46200</v>
      </c>
      <c r="E374">
        <f>'PARAMÈTRES'!$C$144/'PARAMÈTRES'!$C$145*'PARAMÈTRES'!$C$185+'PARAMÈTRES'!$C$149*'PARAMÈTRES'!$C$186</f>
        <v>46200</v>
      </c>
      <c r="F374">
        <f>'PARAMÈTRES'!$C$144/'PARAMÈTRES'!$C$145*'PARAMÈTRES'!$C$185+'PARAMÈTRES'!$C$149*'PARAMÈTRES'!$C$186</f>
        <v>46200</v>
      </c>
      <c r="G374">
        <f>'PARAMÈTRES'!$C$144/'PARAMÈTRES'!$C$145*'PARAMÈTRES'!$C$185+'PARAMÈTRES'!$C$149*'PARAMÈTRES'!$C$186</f>
        <v>46200</v>
      </c>
      <c r="H374">
        <f>'PARAMÈTRES'!$C$144/'PARAMÈTRES'!$C$145*'PARAMÈTRES'!$C$185+'PARAMÈTRES'!$C$149*'PARAMÈTRES'!$C$186</f>
        <v>46200</v>
      </c>
      <c r="I374">
        <f>'PARAMÈTRES'!$C$144/'PARAMÈTRES'!$C$145*'PARAMÈTRES'!$C$185+'PARAMÈTRES'!$C$149*'PARAMÈTRES'!$C$186</f>
        <v>46200</v>
      </c>
      <c r="J374">
        <f>'PARAMÈTRES'!$C$144/'PARAMÈTRES'!$C$145*'PARAMÈTRES'!$C$185+'PARAMÈTRES'!$C$149*'PARAMÈTRES'!$C$186</f>
        <v>46200</v>
      </c>
      <c r="K374">
        <f>'PARAMÈTRES'!$C$144/'PARAMÈTRES'!$C$145*'PARAMÈTRES'!$C$185+'PARAMÈTRES'!$C$149*'PARAMÈTRES'!$C$186</f>
        <v>46200</v>
      </c>
      <c r="L374">
        <f>'PARAMÈTRES'!$C$144/'PARAMÈTRES'!$C$145*'PARAMÈTRES'!$C$185+'PARAMÈTRES'!$C$149*'PARAMÈTRES'!$C$186</f>
        <v>46200</v>
      </c>
      <c r="M374">
        <f>'PARAMÈTRES'!$C$144/'PARAMÈTRES'!$C$145*'PARAMÈTRES'!$C$185+'PARAMÈTRES'!$C$149*'PARAMÈTRES'!$C$186</f>
        <v>46200</v>
      </c>
      <c r="N374">
        <f>'PARAMÈTRES'!$C$144/'PARAMÈTRES'!$C$145*'PARAMÈTRES'!$C$185+'PARAMÈTRES'!$C$149*'PARAMÈTRES'!$C$186</f>
        <v>46200</v>
      </c>
      <c r="O374">
        <f>'PARAMÈTRES'!$C$144/'PARAMÈTRES'!$C$145*'PARAMÈTRES'!$C$185+'PARAMÈTRES'!$C$149*'PARAMÈTRES'!$C$186</f>
        <v>46200</v>
      </c>
      <c r="P374">
        <f>'PARAMÈTRES'!$C$144/'PARAMÈTRES'!$C$145*'PARAMÈTRES'!$C$185+'PARAMÈTRES'!$C$149*'PARAMÈTRES'!$C$186</f>
        <v>46200</v>
      </c>
      <c r="Q374">
        <f>'PARAMÈTRES'!$C$144/'PARAMÈTRES'!$C$145*'PARAMÈTRES'!$C$185+'PARAMÈTRES'!$C$149*'PARAMÈTRES'!$C$186</f>
        <v>46200</v>
      </c>
      <c r="R374">
        <f>'PARAMÈTRES'!$C$144/'PARAMÈTRES'!$C$145*'PARAMÈTRES'!$C$185+'PARAMÈTRES'!$C$149*'PARAMÈTRES'!$C$186</f>
        <v>46200</v>
      </c>
      <c r="S374">
        <f>'PARAMÈTRES'!$C$144/'PARAMÈTRES'!$C$145*'PARAMÈTRES'!$C$185+'PARAMÈTRES'!$C$149*'PARAMÈTRES'!$C$186</f>
        <v>46200</v>
      </c>
      <c r="T374">
        <f>'PARAMÈTRES'!$C$144/'PARAMÈTRES'!$C$145*'PARAMÈTRES'!$C$185+'PARAMÈTRES'!$C$149*'PARAMÈTRES'!$C$186</f>
        <v>46200</v>
      </c>
      <c r="U374">
        <f>'PARAMÈTRES'!$C$144/'PARAMÈTRES'!$C$145*'PARAMÈTRES'!$C$185+'PARAMÈTRES'!$C$149*'PARAMÈTRES'!$C$186</f>
        <v>46200</v>
      </c>
      <c r="V374">
        <f>'PARAMÈTRES'!$C$144/'PARAMÈTRES'!$C$145*'PARAMÈTRES'!$C$185+'PARAMÈTRES'!$C$149*'PARAMÈTRES'!$C$186</f>
        <v>46200</v>
      </c>
      <c r="W374">
        <f>'PARAMÈTRES'!$C$144/'PARAMÈTRES'!$C$145*'PARAMÈTRES'!$C$185+'PARAMÈTRES'!$C$149*'PARAMÈTRES'!$C$186</f>
        <v>46200</v>
      </c>
      <c r="X374">
        <f>'PARAMÈTRES'!$C$144/'PARAMÈTRES'!$C$145*'PARAMÈTRES'!$C$185+'PARAMÈTRES'!$C$149*'PARAMÈTRES'!$C$186</f>
        <v>46200</v>
      </c>
    </row>
    <row r="375">
      <c r="A375" t="inlineStr">
        <is>
          <t>dec_q</t>
        </is>
      </c>
      <c r="B375" t="inlineStr">
        <is>
          <t>GROS_ŒUVRE!E23</t>
        </is>
      </c>
      <c r="D375">
        <f>(D6+2*'PARAMÈTRES'!$C$81)*(D7+2*'PARAMÈTRES'!$C$81)</f>
        <v>384</v>
      </c>
      <c r="E375">
        <f>(E6+2*'PARAMÈTRES'!$C$81)*(E7+2*'PARAMÈTRES'!$C$81)</f>
        <v>384</v>
      </c>
      <c r="F375">
        <f>(F6+2*'PARAMÈTRES'!$C$81)*(F7+2*'PARAMÈTRES'!$C$81)</f>
        <v>384</v>
      </c>
      <c r="G375">
        <f>(G6+2*'PARAMÈTRES'!$C$81)*(G7+2*'PARAMÈTRES'!$C$81)</f>
        <v>374</v>
      </c>
      <c r="H375">
        <f>(H6+2*'PARAMÈTRES'!$C$81)*(H7+2*'PARAMÈTRES'!$C$81)</f>
        <v>374</v>
      </c>
      <c r="I375">
        <f>(I6+2*'PARAMÈTRES'!$C$81)*(I7+2*'PARAMÈTRES'!$C$81)</f>
        <v>374</v>
      </c>
      <c r="J375">
        <f>(J6+2*'PARAMÈTRES'!$C$81)*(J7+2*'PARAMÈTRES'!$C$81)</f>
        <v>544</v>
      </c>
      <c r="K375">
        <f>(K6+2*'PARAMÈTRES'!$C$81)*(K7+2*'PARAMÈTRES'!$C$81)</f>
        <v>544</v>
      </c>
      <c r="L375">
        <f>(L6+2*'PARAMÈTRES'!$C$81)*(L7+2*'PARAMÈTRES'!$C$81)</f>
        <v>544</v>
      </c>
      <c r="M375">
        <f>(M6+2*'PARAMÈTRES'!$C$81)*(M7+2*'PARAMÈTRES'!$C$81)</f>
        <v>484</v>
      </c>
      <c r="N375">
        <f>(N6+2*'PARAMÈTRES'!$C$81)*(N7+2*'PARAMÈTRES'!$C$81)</f>
        <v>484</v>
      </c>
      <c r="O375">
        <f>(O6+2*'PARAMÈTRES'!$C$81)*(O7+2*'PARAMÈTRES'!$C$81)</f>
        <v>484</v>
      </c>
      <c r="P375">
        <f>(P6+2*'PARAMÈTRES'!$C$81)*(P7+2*'PARAMÈTRES'!$C$81)</f>
        <v>924</v>
      </c>
      <c r="Q375">
        <f>(Q6+2*'PARAMÈTRES'!$C$81)*(Q7+2*'PARAMÈTRES'!$C$81)</f>
        <v>924</v>
      </c>
      <c r="R375">
        <f>(R6+2*'PARAMÈTRES'!$C$81)*(R7+2*'PARAMÈTRES'!$C$81)</f>
        <v>924</v>
      </c>
      <c r="S375">
        <f>(S6+2*'PARAMÈTRES'!$C$81)*(S7+2*'PARAMÈTRES'!$C$81)</f>
        <v>1344</v>
      </c>
      <c r="T375">
        <f>(T6+2*'PARAMÈTRES'!$C$81)*(T7+2*'PARAMÈTRES'!$C$81)</f>
        <v>1344</v>
      </c>
      <c r="U375">
        <f>(U6+2*'PARAMÈTRES'!$C$81)*(U7+2*'PARAMÈTRES'!$C$81)</f>
        <v>1344</v>
      </c>
      <c r="V375">
        <f>(V6+2*'PARAMÈTRES'!$C$81)*(V7+2*'PARAMÈTRES'!$C$81)</f>
        <v>1764</v>
      </c>
      <c r="W375">
        <f>(W6+2*'PARAMÈTRES'!$C$81)*(W7+2*'PARAMÈTRES'!$C$81)</f>
        <v>1764</v>
      </c>
      <c r="X375">
        <f>(X6+2*'PARAMÈTRES'!$C$81)*(X7+2*'PARAMÈTRES'!$C$81)</f>
        <v>1764</v>
      </c>
    </row>
    <row r="376">
      <c r="A376" t="inlineStr">
        <is>
          <t>fp1_q</t>
        </is>
      </c>
      <c r="B376" t="inlineStr">
        <is>
          <t>GROS_ŒUVRE!E24</t>
        </is>
      </c>
      <c r="D376">
        <f>D364*('PARAMÈTRES'!$C$89+2*'PARAMÈTRES'!$C$82)^2*'PARAMÈTRES'!$C$83</f>
        <v>28.224</v>
      </c>
      <c r="E376">
        <f>E364*('PARAMÈTRES'!$C$89+2*'PARAMÈTRES'!$C$82)^2*'PARAMÈTRES'!$C$83</f>
        <v>28.224</v>
      </c>
      <c r="F376">
        <f>F364*('PARAMÈTRES'!$C$89+2*'PARAMÈTRES'!$C$82)^2*'PARAMÈTRES'!$C$83</f>
        <v>28.224</v>
      </c>
      <c r="G376">
        <f>G364*('PARAMÈTRES'!$C$89+2*'PARAMÈTRES'!$C$82)^2*'PARAMÈTRES'!$C$83</f>
        <v>23.52</v>
      </c>
      <c r="H376">
        <f>H364*('PARAMÈTRES'!$C$89+2*'PARAMÈTRES'!$C$82)^2*'PARAMÈTRES'!$C$83</f>
        <v>23.52</v>
      </c>
      <c r="I376">
        <f>I364*('PARAMÈTRES'!$C$89+2*'PARAMÈTRES'!$C$82)^2*'PARAMÈTRES'!$C$83</f>
        <v>23.52</v>
      </c>
      <c r="J376">
        <f>J364*('PARAMÈTRES'!$C$89+2*'PARAMÈTRES'!$C$82)^2*'PARAMÈTRES'!$C$83</f>
        <v>28.224</v>
      </c>
      <c r="K376">
        <f>K364*('PARAMÈTRES'!$C$89+2*'PARAMÈTRES'!$C$82)^2*'PARAMÈTRES'!$C$83</f>
        <v>28.224</v>
      </c>
      <c r="L376">
        <f>L364*('PARAMÈTRES'!$C$89+2*'PARAMÈTRES'!$C$82)^2*'PARAMÈTRES'!$C$83</f>
        <v>28.224</v>
      </c>
      <c r="M376">
        <f>M364*('PARAMÈTRES'!$C$89+2*'PARAMÈTRES'!$C$82)^2*'PARAMÈTRES'!$C$83</f>
        <v>23.52</v>
      </c>
      <c r="N376">
        <f>N364*('PARAMÈTRES'!$C$89+2*'PARAMÈTRES'!$C$82)^2*'PARAMÈTRES'!$C$83</f>
        <v>23.52</v>
      </c>
      <c r="O376">
        <f>O364*('PARAMÈTRES'!$C$89+2*'PARAMÈTRES'!$C$82)^2*'PARAMÈTRES'!$C$83</f>
        <v>23.52</v>
      </c>
      <c r="P376">
        <f>P364*('PARAMÈTRES'!$C$89+2*'PARAMÈTRES'!$C$82)^2*'PARAMÈTRES'!$C$83</f>
        <v>37.632</v>
      </c>
      <c r="Q376">
        <f>Q364*('PARAMÈTRES'!$C$89+2*'PARAMÈTRES'!$C$82)^2*'PARAMÈTRES'!$C$83</f>
        <v>37.632</v>
      </c>
      <c r="R376">
        <f>R364*('PARAMÈTRES'!$C$89+2*'PARAMÈTRES'!$C$82)^2*'PARAMÈTRES'!$C$83</f>
        <v>37.632</v>
      </c>
      <c r="S376">
        <f>S364*('PARAMÈTRES'!$C$89+2*'PARAMÈTRES'!$C$82)^2*'PARAMÈTRES'!$C$83</f>
        <v>37.632</v>
      </c>
      <c r="T376">
        <f>T364*('PARAMÈTRES'!$C$89+2*'PARAMÈTRES'!$C$82)^2*'PARAMÈTRES'!$C$83</f>
        <v>37.632</v>
      </c>
      <c r="U376">
        <f>U364*('PARAMÈTRES'!$C$89+2*'PARAMÈTRES'!$C$82)^2*'PARAMÈTRES'!$C$83</f>
        <v>37.632</v>
      </c>
      <c r="V376">
        <f>V364*('PARAMÈTRES'!$C$89+2*'PARAMÈTRES'!$C$82)^2*'PARAMÈTRES'!$C$83</f>
        <v>37.632</v>
      </c>
      <c r="W376">
        <f>W364*('PARAMÈTRES'!$C$89+2*'PARAMÈTRES'!$C$82)^2*'PARAMÈTRES'!$C$83</f>
        <v>37.632</v>
      </c>
      <c r="X376">
        <f>X364*('PARAMÈTRES'!$C$89+2*'PARAMÈTRES'!$C$82)^2*'PARAMÈTRES'!$C$83</f>
        <v>37.632</v>
      </c>
    </row>
    <row r="377">
      <c r="A377" t="inlineStr">
        <is>
          <t>fp2_q</t>
        </is>
      </c>
      <c r="B377" t="inlineStr">
        <is>
          <t>GROS_ŒUVRE!E25</t>
        </is>
      </c>
      <c r="D377">
        <f>D365*('PARAMÈTRES'!$C$92+2*'PARAMÈTRES'!$C$82)^2*'PARAMÈTRES'!$C$83</f>
        <v>2.4</v>
      </c>
      <c r="E377">
        <f>E365*('PARAMÈTRES'!$C$92+2*'PARAMÈTRES'!$C$82)^2*'PARAMÈTRES'!$C$83</f>
        <v>2.4</v>
      </c>
      <c r="F377">
        <f>F365*('PARAMÈTRES'!$C$92+2*'PARAMÈTRES'!$C$82)^2*'PARAMÈTRES'!$C$83</f>
        <v>2.4</v>
      </c>
      <c r="G377">
        <f>G365*('PARAMÈTRES'!$C$92+2*'PARAMÈTRES'!$C$82)^2*'PARAMÈTRES'!$C$83</f>
        <v>4.8</v>
      </c>
      <c r="H377">
        <f>H365*('PARAMÈTRES'!$C$92+2*'PARAMÈTRES'!$C$82)^2*'PARAMÈTRES'!$C$83</f>
        <v>4.8</v>
      </c>
      <c r="I377">
        <f>I365*('PARAMÈTRES'!$C$92+2*'PARAMÈTRES'!$C$82)^2*'PARAMÈTRES'!$C$83</f>
        <v>4.8</v>
      </c>
      <c r="J377">
        <f>J365*('PARAMÈTRES'!$C$92+2*'PARAMÈTRES'!$C$82)^2*'PARAMÈTRES'!$C$83</f>
        <v>4.8</v>
      </c>
      <c r="K377">
        <f>K365*('PARAMÈTRES'!$C$92+2*'PARAMÈTRES'!$C$82)^2*'PARAMÈTRES'!$C$83</f>
        <v>4.8</v>
      </c>
      <c r="L377">
        <f>L365*('PARAMÈTRES'!$C$92+2*'PARAMÈTRES'!$C$82)^2*'PARAMÈTRES'!$C$83</f>
        <v>4.8</v>
      </c>
      <c r="M377">
        <f>M365*('PARAMÈTRES'!$C$92+2*'PARAMÈTRES'!$C$82)^2*'PARAMÈTRES'!$C$83</f>
        <v>7.2</v>
      </c>
      <c r="N377">
        <f>N365*('PARAMÈTRES'!$C$92+2*'PARAMÈTRES'!$C$82)^2*'PARAMÈTRES'!$C$83</f>
        <v>7.2</v>
      </c>
      <c r="O377">
        <f>O365*('PARAMÈTRES'!$C$92+2*'PARAMÈTRES'!$C$82)^2*'PARAMÈTRES'!$C$83</f>
        <v>7.2</v>
      </c>
      <c r="P377">
        <f>P365*('PARAMÈTRES'!$C$92+2*'PARAMÈTRES'!$C$82)^2*'PARAMÈTRES'!$C$83</f>
        <v>7.2</v>
      </c>
      <c r="Q377">
        <f>Q365*('PARAMÈTRES'!$C$92+2*'PARAMÈTRES'!$C$82)^2*'PARAMÈTRES'!$C$83</f>
        <v>7.2</v>
      </c>
      <c r="R377">
        <f>R365*('PARAMÈTRES'!$C$92+2*'PARAMÈTRES'!$C$82)^2*'PARAMÈTRES'!$C$83</f>
        <v>7.2</v>
      </c>
      <c r="S377">
        <f>S365*('PARAMÈTRES'!$C$92+2*'PARAMÈTRES'!$C$82)^2*'PARAMÈTRES'!$C$83</f>
        <v>9.6</v>
      </c>
      <c r="T377">
        <f>T365*('PARAMÈTRES'!$C$92+2*'PARAMÈTRES'!$C$82)^2*'PARAMÈTRES'!$C$83</f>
        <v>9.6</v>
      </c>
      <c r="U377">
        <f>U365*('PARAMÈTRES'!$C$92+2*'PARAMÈTRES'!$C$82)^2*'PARAMÈTRES'!$C$83</f>
        <v>9.6</v>
      </c>
      <c r="V377">
        <f>V365*('PARAMÈTRES'!$C$92+2*'PARAMÈTRES'!$C$82)^2*'PARAMÈTRES'!$C$83</f>
        <v>14.4</v>
      </c>
      <c r="W377">
        <f>W365*('PARAMÈTRES'!$C$92+2*'PARAMÈTRES'!$C$82)^2*'PARAMÈTRES'!$C$83</f>
        <v>14.4</v>
      </c>
      <c r="X377">
        <f>X365*('PARAMÈTRES'!$C$92+2*'PARAMÈTRES'!$C$82)^2*'PARAMÈTRES'!$C$83</f>
        <v>14.4</v>
      </c>
    </row>
    <row r="378">
      <c r="A378" t="inlineStr">
        <is>
          <t>fr_q</t>
        </is>
      </c>
      <c r="B378" t="inlineStr">
        <is>
          <t>GROS_ŒUVRE!E26</t>
        </is>
      </c>
      <c r="D378">
        <f>D366*('PARAMÈTRES'!$C$102+2*'PARAMÈTRES'!$C$82)*'PARAMÈTRES'!$C$83</f>
        <v>61.44</v>
      </c>
      <c r="E378">
        <f>E366*('PARAMÈTRES'!$C$102+2*'PARAMÈTRES'!$C$82)*'PARAMÈTRES'!$C$83</f>
        <v>61.44</v>
      </c>
      <c r="F378">
        <f>F366*('PARAMÈTRES'!$C$102+2*'PARAMÈTRES'!$C$82)*'PARAMÈTRES'!$C$83</f>
        <v>61.44</v>
      </c>
      <c r="G378">
        <f>G366*('PARAMÈTRES'!$C$102+2*'PARAMÈTRES'!$C$82)*'PARAMÈTRES'!$C$83</f>
        <v>52.608</v>
      </c>
      <c r="H378">
        <f>H366*('PARAMÈTRES'!$C$102+2*'PARAMÈTRES'!$C$82)*'PARAMÈTRES'!$C$83</f>
        <v>52.608</v>
      </c>
      <c r="I378">
        <f>I366*('PARAMÈTRES'!$C$102+2*'PARAMÈTRES'!$C$82)*'PARAMÈTRES'!$C$83</f>
        <v>52.608</v>
      </c>
      <c r="J378">
        <f>J366*('PARAMÈTRES'!$C$102+2*'PARAMÈTRES'!$C$82)*'PARAMÈTRES'!$C$83</f>
        <v>69.504</v>
      </c>
      <c r="K378">
        <f>K366*('PARAMÈTRES'!$C$102+2*'PARAMÈTRES'!$C$82)*'PARAMÈTRES'!$C$83</f>
        <v>69.504</v>
      </c>
      <c r="L378">
        <f>L366*('PARAMÈTRES'!$C$102+2*'PARAMÈTRES'!$C$82)*'PARAMÈTRES'!$C$83</f>
        <v>69.504</v>
      </c>
      <c r="M378">
        <f>M366*('PARAMÈTRES'!$C$102+2*'PARAMÈTRES'!$C$82)*'PARAMÈTRES'!$C$83</f>
        <v>60.672</v>
      </c>
      <c r="N378">
        <f>N366*('PARAMÈTRES'!$C$102+2*'PARAMÈTRES'!$C$82)*'PARAMÈTRES'!$C$83</f>
        <v>60.672</v>
      </c>
      <c r="O378">
        <f>O366*('PARAMÈTRES'!$C$102+2*'PARAMÈTRES'!$C$82)*'PARAMÈTRES'!$C$83</f>
        <v>60.672</v>
      </c>
      <c r="P378">
        <f>P366*('PARAMÈTRES'!$C$102+2*'PARAMÈTRES'!$C$82)*'PARAMÈTRES'!$C$83</f>
        <v>92.16</v>
      </c>
      <c r="Q378">
        <f>Q366*('PARAMÈTRES'!$C$102+2*'PARAMÈTRES'!$C$82)*'PARAMÈTRES'!$C$83</f>
        <v>92.16</v>
      </c>
      <c r="R378">
        <f>R366*('PARAMÈTRES'!$C$102+2*'PARAMÈTRES'!$C$82)*'PARAMÈTRES'!$C$83</f>
        <v>92.16</v>
      </c>
      <c r="S378">
        <f>S366*('PARAMÈTRES'!$C$102+2*'PARAMÈTRES'!$C$82)*'PARAMÈTRES'!$C$83</f>
        <v>109.824</v>
      </c>
      <c r="T378">
        <f>T366*('PARAMÈTRES'!$C$102+2*'PARAMÈTRES'!$C$82)*'PARAMÈTRES'!$C$83</f>
        <v>109.824</v>
      </c>
      <c r="U378">
        <f>U366*('PARAMÈTRES'!$C$102+2*'PARAMÈTRES'!$C$82)*'PARAMÈTRES'!$C$83</f>
        <v>109.824</v>
      </c>
      <c r="V378">
        <f>V366*('PARAMÈTRES'!$C$102+2*'PARAMÈTRES'!$C$82)*'PARAMÈTRES'!$C$83</f>
        <v>125.952</v>
      </c>
      <c r="W378">
        <f>W366*('PARAMÈTRES'!$C$102+2*'PARAMÈTRES'!$C$82)*'PARAMÈTRES'!$C$83</f>
        <v>125.952</v>
      </c>
      <c r="X378">
        <f>X366*('PARAMÈTRES'!$C$102+2*'PARAMÈTRES'!$C$82)*'PARAMÈTRES'!$C$83</f>
        <v>125.952</v>
      </c>
    </row>
    <row r="379">
      <c r="A379" t="inlineStr">
        <is>
          <t>rem_q</t>
        </is>
      </c>
      <c r="B379" t="inlineStr">
        <is>
          <t>GROS_ŒUVRE!E27</t>
        </is>
      </c>
      <c r="D379">
        <f>D369*D361*'PARAMÈTRES'!$C$84</f>
        <v>73.505625</v>
      </c>
      <c r="E379">
        <f>E369*E361*'PARAMÈTRES'!$C$84</f>
        <v>73.505625</v>
      </c>
      <c r="F379">
        <f>F369*F361*'PARAMÈTRES'!$C$84</f>
        <v>73.505625</v>
      </c>
      <c r="G379">
        <f>G369*G361*'PARAMÈTRES'!$C$84</f>
        <v>73.693125</v>
      </c>
      <c r="H379">
        <f>H369*H361*'PARAMÈTRES'!$C$84</f>
        <v>73.693125</v>
      </c>
      <c r="I379">
        <f>I369*I361*'PARAMÈTRES'!$C$84</f>
        <v>73.693125</v>
      </c>
      <c r="J379">
        <f>J369*J361*'PARAMÈTRES'!$C$84</f>
        <v>110.818125</v>
      </c>
      <c r="K379">
        <f>K369*K361*'PARAMÈTRES'!$C$84</f>
        <v>110.818125</v>
      </c>
      <c r="L379">
        <f>L369*L361*'PARAMÈTRES'!$C$84</f>
        <v>110.818125</v>
      </c>
      <c r="M379">
        <f>M369*M361*'PARAMÈTRES'!$C$84</f>
        <v>98.505625</v>
      </c>
      <c r="N379">
        <f>N369*N361*'PARAMÈTRES'!$C$84</f>
        <v>98.505625</v>
      </c>
      <c r="O379">
        <f>O369*O361*'PARAMÈTRES'!$C$84</f>
        <v>98.505625</v>
      </c>
      <c r="P379">
        <f>P369*P361*'PARAMÈTRES'!$C$84</f>
        <v>197.755625</v>
      </c>
      <c r="Q379">
        <f>Q369*Q361*'PARAMÈTRES'!$C$84</f>
        <v>197.755625</v>
      </c>
      <c r="R379">
        <f>R369*R361*'PARAMÈTRES'!$C$84</f>
        <v>197.755625</v>
      </c>
      <c r="S379">
        <f>S369*S361*'PARAMÈTRES'!$C$84</f>
        <v>297.380625</v>
      </c>
      <c r="T379">
        <f>T369*T361*'PARAMÈTRES'!$C$84</f>
        <v>297.380625</v>
      </c>
      <c r="U379">
        <f>U369*U361*'PARAMÈTRES'!$C$84</f>
        <v>297.380625</v>
      </c>
      <c r="V379">
        <f>V369*V361*'PARAMÈTRES'!$C$84</f>
        <v>397.005625</v>
      </c>
      <c r="W379">
        <f>W369*W361*'PARAMÈTRES'!$C$84</f>
        <v>397.005625</v>
      </c>
      <c r="X379">
        <f>X369*X361*'PARAMÈTRES'!$C$84</f>
        <v>397.005625</v>
      </c>
    </row>
    <row r="380">
      <c r="A380" t="inlineStr">
        <is>
          <t>sab_q</t>
        </is>
      </c>
      <c r="B380" t="inlineStr">
        <is>
          <t>GROS_ŒUVRE!E28</t>
        </is>
      </c>
      <c r="D380">
        <f>D369*'PARAMÈTRES'!$C$87</f>
        <v>14.701125</v>
      </c>
      <c r="E380">
        <f>E369*'PARAMÈTRES'!$C$87</f>
        <v>14.701125</v>
      </c>
      <c r="F380">
        <f>F369*'PARAMÈTRES'!$C$87</f>
        <v>14.701125</v>
      </c>
      <c r="G380">
        <f>G369*'PARAMÈTRES'!$C$87</f>
        <v>14.738625</v>
      </c>
      <c r="H380">
        <f>H369*'PARAMÈTRES'!$C$87</f>
        <v>14.738625</v>
      </c>
      <c r="I380">
        <f>I369*'PARAMÈTRES'!$C$87</f>
        <v>14.738625</v>
      </c>
      <c r="J380">
        <f>J369*'PARAMÈTRES'!$C$87</f>
        <v>22.163625</v>
      </c>
      <c r="K380">
        <f>K369*'PARAMÈTRES'!$C$87</f>
        <v>22.163625</v>
      </c>
      <c r="L380">
        <f>L369*'PARAMÈTRES'!$C$87</f>
        <v>22.163625</v>
      </c>
      <c r="M380">
        <f>M369*'PARAMÈTRES'!$C$87</f>
        <v>19.701125</v>
      </c>
      <c r="N380">
        <f>N369*'PARAMÈTRES'!$C$87</f>
        <v>19.701125</v>
      </c>
      <c r="O380">
        <f>O369*'PARAMÈTRES'!$C$87</f>
        <v>19.701125</v>
      </c>
      <c r="P380">
        <f>P369*'PARAMÈTRES'!$C$87</f>
        <v>39.551125</v>
      </c>
      <c r="Q380">
        <f>Q369*'PARAMÈTRES'!$C$87</f>
        <v>39.551125</v>
      </c>
      <c r="R380">
        <f>R369*'PARAMÈTRES'!$C$87</f>
        <v>39.551125</v>
      </c>
      <c r="S380">
        <f>S369*'PARAMÈTRES'!$C$87</f>
        <v>59.476125</v>
      </c>
      <c r="T380">
        <f>T369*'PARAMÈTRES'!$C$87</f>
        <v>59.476125</v>
      </c>
      <c r="U380">
        <f>U369*'PARAMÈTRES'!$C$87</f>
        <v>59.476125</v>
      </c>
      <c r="V380">
        <f>V369*'PARAMÈTRES'!$C$87</f>
        <v>79.401125</v>
      </c>
      <c r="W380">
        <f>W369*'PARAMÈTRES'!$C$87</f>
        <v>79.401125</v>
      </c>
      <c r="X380">
        <f>X369*'PARAMÈTRES'!$C$87</f>
        <v>79.401125</v>
      </c>
    </row>
    <row r="381">
      <c r="A381" t="inlineStr">
        <is>
          <t>evac_q</t>
        </is>
      </c>
      <c r="B381" t="inlineStr">
        <is>
          <t>GROS_ŒUVRE!E29</t>
        </is>
      </c>
      <c r="D381">
        <f>(D375*'PARAMÈTRES'!$C$80+D376+D377+D378)*'PARAMÈTRES'!$C$84</f>
        <v>211.08</v>
      </c>
      <c r="E381">
        <f>(E375*'PARAMÈTRES'!$C$80+E376+E377+E378)*'PARAMÈTRES'!$C$84</f>
        <v>211.08</v>
      </c>
      <c r="F381">
        <f>(F375*'PARAMÈTRES'!$C$80+F376+F377+F378)*'PARAMÈTRES'!$C$84</f>
        <v>211.08</v>
      </c>
      <c r="G381">
        <f>(G375*'PARAMÈTRES'!$C$80+G376+G377+G378)*'PARAMÈTRES'!$C$84</f>
        <v>194.66</v>
      </c>
      <c r="H381">
        <f>(H375*'PARAMÈTRES'!$C$80+H376+H377+H378)*'PARAMÈTRES'!$C$84</f>
        <v>194.66</v>
      </c>
      <c r="I381">
        <f>(I375*'PARAMÈTRES'!$C$80+I376+I377+I378)*'PARAMÈTRES'!$C$84</f>
        <v>194.66</v>
      </c>
      <c r="J381">
        <f>(J375*'PARAMÈTRES'!$C$80+J376+J377+J378)*'PARAMÈTRES'!$C$84</f>
        <v>264.16</v>
      </c>
      <c r="K381">
        <f>(K375*'PARAMÈTRES'!$C$80+K376+K377+K378)*'PARAMÈTRES'!$C$84</f>
        <v>264.16</v>
      </c>
      <c r="L381">
        <f>(L375*'PARAMÈTRES'!$C$80+L376+L377+L378)*'PARAMÈTRES'!$C$84</f>
        <v>264.16</v>
      </c>
      <c r="M381">
        <f>(M375*'PARAMÈTRES'!$C$80+M376+M377+M378)*'PARAMÈTRES'!$C$84</f>
        <v>235.24</v>
      </c>
      <c r="N381">
        <f>(N375*'PARAMÈTRES'!$C$80+N376+N377+N378)*'PARAMÈTRES'!$C$84</f>
        <v>235.24</v>
      </c>
      <c r="O381">
        <f>(O375*'PARAMÈTRES'!$C$80+O376+O377+O378)*'PARAMÈTRES'!$C$84</f>
        <v>235.24</v>
      </c>
      <c r="P381">
        <f>(P375*'PARAMÈTRES'!$C$80+P376+P377+P378)*'PARAMÈTRES'!$C$84</f>
        <v>402.24</v>
      </c>
      <c r="Q381">
        <f>(Q375*'PARAMÈTRES'!$C$80+Q376+Q377+Q378)*'PARAMÈTRES'!$C$84</f>
        <v>402.24</v>
      </c>
      <c r="R381">
        <f>(R375*'PARAMÈTRES'!$C$80+R376+R377+R378)*'PARAMÈTRES'!$C$84</f>
        <v>402.24</v>
      </c>
      <c r="S381">
        <f>(S375*'PARAMÈTRES'!$C$80+S376+S377+S378)*'PARAMÈTRES'!$C$84</f>
        <v>532.32</v>
      </c>
      <c r="T381">
        <f>(T375*'PARAMÈTRES'!$C$80+T376+T377+T378)*'PARAMÈTRES'!$C$84</f>
        <v>532.32</v>
      </c>
      <c r="U381">
        <f>(U375*'PARAMÈTRES'!$C$80+U376+U377+U378)*'PARAMÈTRES'!$C$84</f>
        <v>532.32</v>
      </c>
      <c r="V381">
        <f>(V375*'PARAMÈTRES'!$C$80+V376+V377+V378)*'PARAMÈTRES'!$C$84</f>
        <v>663.48</v>
      </c>
      <c r="W381">
        <f>(W375*'PARAMÈTRES'!$C$80+W376+W377+W378)*'PARAMÈTRES'!$C$84</f>
        <v>663.48</v>
      </c>
      <c r="X381">
        <f>(X375*'PARAMÈTRES'!$C$80+X376+X377+X378)*'PARAMÈTRES'!$C$84</f>
        <v>663.48</v>
      </c>
    </row>
    <row r="382">
      <c r="A382" t="inlineStr">
        <is>
          <t>s1_bp_q</t>
        </is>
      </c>
      <c r="B382" t="inlineStr">
        <is>
          <t>GROS_ŒUVRE!E32</t>
        </is>
      </c>
      <c r="D382">
        <f>D364*'PARAMÈTRES'!$C$89^2*'PARAMÈTRES'!$C$88</f>
        <v>0.864</v>
      </c>
      <c r="E382">
        <f>E364*'PARAMÈTRES'!$C$89^2*'PARAMÈTRES'!$C$88</f>
        <v>0.864</v>
      </c>
      <c r="F382">
        <f>F364*'PARAMÈTRES'!$C$89^2*'PARAMÈTRES'!$C$88</f>
        <v>0.864</v>
      </c>
      <c r="G382">
        <f>G364*'PARAMÈTRES'!$C$89^2*'PARAMÈTRES'!$C$88</f>
        <v>0.72</v>
      </c>
      <c r="H382">
        <f>H364*'PARAMÈTRES'!$C$89^2*'PARAMÈTRES'!$C$88</f>
        <v>0.72</v>
      </c>
      <c r="I382">
        <f>I364*'PARAMÈTRES'!$C$89^2*'PARAMÈTRES'!$C$88</f>
        <v>0.72</v>
      </c>
      <c r="J382">
        <f>J364*'PARAMÈTRES'!$C$89^2*'PARAMÈTRES'!$C$88</f>
        <v>0.864</v>
      </c>
      <c r="K382">
        <f>K364*'PARAMÈTRES'!$C$89^2*'PARAMÈTRES'!$C$88</f>
        <v>0.864</v>
      </c>
      <c r="L382">
        <f>L364*'PARAMÈTRES'!$C$89^2*'PARAMÈTRES'!$C$88</f>
        <v>0.864</v>
      </c>
      <c r="M382">
        <f>M364*'PARAMÈTRES'!$C$89^2*'PARAMÈTRES'!$C$88</f>
        <v>0.72</v>
      </c>
      <c r="N382">
        <f>N364*'PARAMÈTRES'!$C$89^2*'PARAMÈTRES'!$C$88</f>
        <v>0.72</v>
      </c>
      <c r="O382">
        <f>O364*'PARAMÈTRES'!$C$89^2*'PARAMÈTRES'!$C$88</f>
        <v>0.72</v>
      </c>
      <c r="P382">
        <f>P364*'PARAMÈTRES'!$C$89^2*'PARAMÈTRES'!$C$88</f>
        <v>1.152</v>
      </c>
      <c r="Q382">
        <f>Q364*'PARAMÈTRES'!$C$89^2*'PARAMÈTRES'!$C$88</f>
        <v>1.152</v>
      </c>
      <c r="R382">
        <f>R364*'PARAMÈTRES'!$C$89^2*'PARAMÈTRES'!$C$88</f>
        <v>1.152</v>
      </c>
      <c r="S382">
        <f>S364*'PARAMÈTRES'!$C$89^2*'PARAMÈTRES'!$C$88</f>
        <v>1.152</v>
      </c>
      <c r="T382">
        <f>T364*'PARAMÈTRES'!$C$89^2*'PARAMÈTRES'!$C$88</f>
        <v>1.152</v>
      </c>
      <c r="U382">
        <f>U364*'PARAMÈTRES'!$C$89^2*'PARAMÈTRES'!$C$88</f>
        <v>1.152</v>
      </c>
      <c r="V382">
        <f>V364*'PARAMÈTRES'!$C$89^2*'PARAMÈTRES'!$C$88</f>
        <v>1.152</v>
      </c>
      <c r="W382">
        <f>W364*'PARAMÈTRES'!$C$89^2*'PARAMÈTRES'!$C$88</f>
        <v>1.152</v>
      </c>
      <c r="X382">
        <f>X364*'PARAMÈTRES'!$C$89^2*'PARAMÈTRES'!$C$88</f>
        <v>1.152</v>
      </c>
    </row>
    <row r="383">
      <c r="A383" t="inlineStr">
        <is>
          <t>s1_ba_q</t>
        </is>
      </c>
      <c r="B383" t="inlineStr">
        <is>
          <t>GROS_ŒUVRE!E33</t>
        </is>
      </c>
      <c r="D383">
        <f>D364*'PARAMÈTRES'!$C$89^2*'PARAMÈTRES'!$C$90</f>
        <v>6.912</v>
      </c>
      <c r="E383">
        <f>E364*'PARAMÈTRES'!$C$89^2*'PARAMÈTRES'!$C$90</f>
        <v>6.912</v>
      </c>
      <c r="F383">
        <f>F364*'PARAMÈTRES'!$C$89^2*'PARAMÈTRES'!$C$90</f>
        <v>6.912</v>
      </c>
      <c r="G383">
        <f>G364*'PARAMÈTRES'!$C$89^2*'PARAMÈTRES'!$C$90</f>
        <v>5.76</v>
      </c>
      <c r="H383">
        <f>H364*'PARAMÈTRES'!$C$89^2*'PARAMÈTRES'!$C$90</f>
        <v>5.76</v>
      </c>
      <c r="I383">
        <f>I364*'PARAMÈTRES'!$C$89^2*'PARAMÈTRES'!$C$90</f>
        <v>5.76</v>
      </c>
      <c r="J383">
        <f>J364*'PARAMÈTRES'!$C$89^2*'PARAMÈTRES'!$C$90</f>
        <v>6.912</v>
      </c>
      <c r="K383">
        <f>K364*'PARAMÈTRES'!$C$89^2*'PARAMÈTRES'!$C$90</f>
        <v>6.912</v>
      </c>
      <c r="L383">
        <f>L364*'PARAMÈTRES'!$C$89^2*'PARAMÈTRES'!$C$90</f>
        <v>6.912</v>
      </c>
      <c r="M383">
        <f>M364*'PARAMÈTRES'!$C$89^2*'PARAMÈTRES'!$C$90</f>
        <v>5.76</v>
      </c>
      <c r="N383">
        <f>N364*'PARAMÈTRES'!$C$89^2*'PARAMÈTRES'!$C$90</f>
        <v>5.76</v>
      </c>
      <c r="O383">
        <f>O364*'PARAMÈTRES'!$C$89^2*'PARAMÈTRES'!$C$90</f>
        <v>5.76</v>
      </c>
      <c r="P383">
        <f>P364*'PARAMÈTRES'!$C$89^2*'PARAMÈTRES'!$C$90</f>
        <v>9.216</v>
      </c>
      <c r="Q383">
        <f>Q364*'PARAMÈTRES'!$C$89^2*'PARAMÈTRES'!$C$90</f>
        <v>9.216</v>
      </c>
      <c r="R383">
        <f>R364*'PARAMÈTRES'!$C$89^2*'PARAMÈTRES'!$C$90</f>
        <v>9.216</v>
      </c>
      <c r="S383">
        <f>S364*'PARAMÈTRES'!$C$89^2*'PARAMÈTRES'!$C$90</f>
        <v>9.216</v>
      </c>
      <c r="T383">
        <f>T364*'PARAMÈTRES'!$C$89^2*'PARAMÈTRES'!$C$90</f>
        <v>9.216</v>
      </c>
      <c r="U383">
        <f>U364*'PARAMÈTRES'!$C$89^2*'PARAMÈTRES'!$C$90</f>
        <v>9.216</v>
      </c>
      <c r="V383">
        <f>V364*'PARAMÈTRES'!$C$89^2*'PARAMÈTRES'!$C$90</f>
        <v>9.216</v>
      </c>
      <c r="W383">
        <f>W364*'PARAMÈTRES'!$C$89^2*'PARAMÈTRES'!$C$90</f>
        <v>9.216</v>
      </c>
      <c r="X383">
        <f>X364*'PARAMÈTRES'!$C$89^2*'PARAMÈTRES'!$C$90</f>
        <v>9.216</v>
      </c>
    </row>
    <row r="384">
      <c r="A384" t="inlineStr">
        <is>
          <t>s1_bf_q</t>
        </is>
      </c>
      <c r="B384" t="inlineStr">
        <is>
          <t>GROS_ŒUVRE!E34</t>
        </is>
      </c>
      <c r="D384">
        <f>D364*'PARAMÈTRES'!$C$91^2*'PARAMÈTRES'!$C$95</f>
        <v>2.304</v>
      </c>
      <c r="E384">
        <f>E364*'PARAMÈTRES'!$C$91^2*'PARAMÈTRES'!$C$95</f>
        <v>2.304</v>
      </c>
      <c r="F384">
        <f>F364*'PARAMÈTRES'!$C$91^2*'PARAMÈTRES'!$C$95</f>
        <v>2.304</v>
      </c>
      <c r="G384">
        <f>G364*'PARAMÈTRES'!$C$91^2*'PARAMÈTRES'!$C$95</f>
        <v>1.92</v>
      </c>
      <c r="H384">
        <f>H364*'PARAMÈTRES'!$C$91^2*'PARAMÈTRES'!$C$95</f>
        <v>1.92</v>
      </c>
      <c r="I384">
        <f>I364*'PARAMÈTRES'!$C$91^2*'PARAMÈTRES'!$C$95</f>
        <v>1.92</v>
      </c>
      <c r="J384">
        <f>J364*'PARAMÈTRES'!$C$91^2*'PARAMÈTRES'!$C$95</f>
        <v>2.304</v>
      </c>
      <c r="K384">
        <f>K364*'PARAMÈTRES'!$C$91^2*'PARAMÈTRES'!$C$95</f>
        <v>2.304</v>
      </c>
      <c r="L384">
        <f>L364*'PARAMÈTRES'!$C$91^2*'PARAMÈTRES'!$C$95</f>
        <v>2.304</v>
      </c>
      <c r="M384">
        <f>M364*'PARAMÈTRES'!$C$91^2*'PARAMÈTRES'!$C$95</f>
        <v>1.92</v>
      </c>
      <c r="N384">
        <f>N364*'PARAMÈTRES'!$C$91^2*'PARAMÈTRES'!$C$95</f>
        <v>1.92</v>
      </c>
      <c r="O384">
        <f>O364*'PARAMÈTRES'!$C$91^2*'PARAMÈTRES'!$C$95</f>
        <v>1.92</v>
      </c>
      <c r="P384">
        <f>P364*'PARAMÈTRES'!$C$91^2*'PARAMÈTRES'!$C$95</f>
        <v>3.072</v>
      </c>
      <c r="Q384">
        <f>Q364*'PARAMÈTRES'!$C$91^2*'PARAMÈTRES'!$C$95</f>
        <v>3.072</v>
      </c>
      <c r="R384">
        <f>R364*'PARAMÈTRES'!$C$91^2*'PARAMÈTRES'!$C$95</f>
        <v>3.072</v>
      </c>
      <c r="S384">
        <f>S364*'PARAMÈTRES'!$C$91^2*'PARAMÈTRES'!$C$95</f>
        <v>3.072</v>
      </c>
      <c r="T384">
        <f>T364*'PARAMÈTRES'!$C$91^2*'PARAMÈTRES'!$C$95</f>
        <v>3.072</v>
      </c>
      <c r="U384">
        <f>U364*'PARAMÈTRES'!$C$91^2*'PARAMÈTRES'!$C$95</f>
        <v>3.072</v>
      </c>
      <c r="V384">
        <f>V364*'PARAMÈTRES'!$C$91^2*'PARAMÈTRES'!$C$95</f>
        <v>3.072</v>
      </c>
      <c r="W384">
        <f>W364*'PARAMÈTRES'!$C$91^2*'PARAMÈTRES'!$C$95</f>
        <v>3.072</v>
      </c>
      <c r="X384">
        <f>X364*'PARAMÈTRES'!$C$91^2*'PARAMÈTRES'!$C$95</f>
        <v>3.072</v>
      </c>
    </row>
    <row r="385">
      <c r="A385" t="inlineStr">
        <is>
          <t>s1_cf_q</t>
        </is>
      </c>
      <c r="B385" t="inlineStr">
        <is>
          <t>GROS_ŒUVRE!E35</t>
        </is>
      </c>
      <c r="D385">
        <f>D364*(4*'PARAMÈTRES'!$C$89*'PARAMÈTRES'!$C$90+4*'PARAMÈTRES'!$C$91*'PARAMÈTRES'!$C$95)</f>
        <v>46.08</v>
      </c>
      <c r="E385">
        <f>E364*(4*'PARAMÈTRES'!$C$89*'PARAMÈTRES'!$C$90+4*'PARAMÈTRES'!$C$91*'PARAMÈTRES'!$C$95)</f>
        <v>46.08</v>
      </c>
      <c r="F385">
        <f>F364*(4*'PARAMÈTRES'!$C$89*'PARAMÈTRES'!$C$90+4*'PARAMÈTRES'!$C$91*'PARAMÈTRES'!$C$95)</f>
        <v>46.08</v>
      </c>
      <c r="G385">
        <f>G364*(4*'PARAMÈTRES'!$C$89*'PARAMÈTRES'!$C$90+4*'PARAMÈTRES'!$C$91*'PARAMÈTRES'!$C$95)</f>
        <v>38.4</v>
      </c>
      <c r="H385">
        <f>H364*(4*'PARAMÈTRES'!$C$89*'PARAMÈTRES'!$C$90+4*'PARAMÈTRES'!$C$91*'PARAMÈTRES'!$C$95)</f>
        <v>38.4</v>
      </c>
      <c r="I385">
        <f>I364*(4*'PARAMÈTRES'!$C$89*'PARAMÈTRES'!$C$90+4*'PARAMÈTRES'!$C$91*'PARAMÈTRES'!$C$95)</f>
        <v>38.4</v>
      </c>
      <c r="J385">
        <f>J364*(4*'PARAMÈTRES'!$C$89*'PARAMÈTRES'!$C$90+4*'PARAMÈTRES'!$C$91*'PARAMÈTRES'!$C$95)</f>
        <v>46.08</v>
      </c>
      <c r="K385">
        <f>K364*(4*'PARAMÈTRES'!$C$89*'PARAMÈTRES'!$C$90+4*'PARAMÈTRES'!$C$91*'PARAMÈTRES'!$C$95)</f>
        <v>46.08</v>
      </c>
      <c r="L385">
        <f>L364*(4*'PARAMÈTRES'!$C$89*'PARAMÈTRES'!$C$90+4*'PARAMÈTRES'!$C$91*'PARAMÈTRES'!$C$95)</f>
        <v>46.08</v>
      </c>
      <c r="M385">
        <f>M364*(4*'PARAMÈTRES'!$C$89*'PARAMÈTRES'!$C$90+4*'PARAMÈTRES'!$C$91*'PARAMÈTRES'!$C$95)</f>
        <v>38.4</v>
      </c>
      <c r="N385">
        <f>N364*(4*'PARAMÈTRES'!$C$89*'PARAMÈTRES'!$C$90+4*'PARAMÈTRES'!$C$91*'PARAMÈTRES'!$C$95)</f>
        <v>38.4</v>
      </c>
      <c r="O385">
        <f>O364*(4*'PARAMÈTRES'!$C$89*'PARAMÈTRES'!$C$90+4*'PARAMÈTRES'!$C$91*'PARAMÈTRES'!$C$95)</f>
        <v>38.4</v>
      </c>
      <c r="P385">
        <f>P364*(4*'PARAMÈTRES'!$C$89*'PARAMÈTRES'!$C$90+4*'PARAMÈTRES'!$C$91*'PARAMÈTRES'!$C$95)</f>
        <v>61.44</v>
      </c>
      <c r="Q385">
        <f>Q364*(4*'PARAMÈTRES'!$C$89*'PARAMÈTRES'!$C$90+4*'PARAMÈTRES'!$C$91*'PARAMÈTRES'!$C$95)</f>
        <v>61.44</v>
      </c>
      <c r="R385">
        <f>R364*(4*'PARAMÈTRES'!$C$89*'PARAMÈTRES'!$C$90+4*'PARAMÈTRES'!$C$91*'PARAMÈTRES'!$C$95)</f>
        <v>61.44</v>
      </c>
      <c r="S385">
        <f>S364*(4*'PARAMÈTRES'!$C$89*'PARAMÈTRES'!$C$90+4*'PARAMÈTRES'!$C$91*'PARAMÈTRES'!$C$95)</f>
        <v>61.44</v>
      </c>
      <c r="T385">
        <f>T364*(4*'PARAMÈTRES'!$C$89*'PARAMÈTRES'!$C$90+4*'PARAMÈTRES'!$C$91*'PARAMÈTRES'!$C$95)</f>
        <v>61.44</v>
      </c>
      <c r="U385">
        <f>U364*(4*'PARAMÈTRES'!$C$89*'PARAMÈTRES'!$C$90+4*'PARAMÈTRES'!$C$91*'PARAMÈTRES'!$C$95)</f>
        <v>61.44</v>
      </c>
      <c r="V385">
        <f>V364*(4*'PARAMÈTRES'!$C$89*'PARAMÈTRES'!$C$90+4*'PARAMÈTRES'!$C$91*'PARAMÈTRES'!$C$95)</f>
        <v>61.44</v>
      </c>
      <c r="W385">
        <f>W364*(4*'PARAMÈTRES'!$C$89*'PARAMÈTRES'!$C$90+4*'PARAMÈTRES'!$C$91*'PARAMÈTRES'!$C$95)</f>
        <v>61.44</v>
      </c>
      <c r="X385">
        <f>X364*(4*'PARAMÈTRES'!$C$89*'PARAMÈTRES'!$C$90+4*'PARAMÈTRES'!$C$91*'PARAMÈTRES'!$C$95)</f>
        <v>61.44</v>
      </c>
    </row>
    <row r="386">
      <c r="A386" t="inlineStr">
        <is>
          <t>s1_aq_p</t>
        </is>
      </c>
      <c r="B386" t="inlineStr">
        <is>
          <t>GROS_ŒUVRE!C36</t>
        </is>
      </c>
      <c r="D386" t="str">
        <f>'PARAMÈTRES'!$C$97</f>
        <v>HA12</v>
      </c>
      <c r="E386" t="str">
        <f>'PARAMÈTRES'!$C$97</f>
        <v>HA12</v>
      </c>
      <c r="F386" t="str">
        <f>'PARAMÈTRES'!$C$97</f>
        <v>HA12</v>
      </c>
      <c r="G386" t="str">
        <f>'PARAMÈTRES'!$C$97</f>
        <v>HA12</v>
      </c>
      <c r="H386" t="str">
        <f>'PARAMÈTRES'!$C$97</f>
        <v>HA12</v>
      </c>
      <c r="I386" t="str">
        <f>'PARAMÈTRES'!$C$97</f>
        <v>HA12</v>
      </c>
      <c r="J386" t="str">
        <f>'PARAMÈTRES'!$C$97</f>
        <v>HA12</v>
      </c>
      <c r="K386" t="str">
        <f>'PARAMÈTRES'!$C$97</f>
        <v>HA12</v>
      </c>
      <c r="L386" t="str">
        <f>'PARAMÈTRES'!$C$97</f>
        <v>HA12</v>
      </c>
      <c r="M386" t="str">
        <f>'PARAMÈTRES'!$C$97</f>
        <v>HA12</v>
      </c>
      <c r="N386" t="str">
        <f>'PARAMÈTRES'!$C$97</f>
        <v>HA12</v>
      </c>
      <c r="O386" t="str">
        <f>'PARAMÈTRES'!$C$97</f>
        <v>HA12</v>
      </c>
      <c r="P386" t="str">
        <f>'PARAMÈTRES'!$C$97</f>
        <v>HA12</v>
      </c>
      <c r="Q386" t="str">
        <f>'PARAMÈTRES'!$C$97</f>
        <v>HA12</v>
      </c>
      <c r="R386" t="str">
        <f>'PARAMÈTRES'!$C$97</f>
        <v>HA12</v>
      </c>
      <c r="S386" t="str">
        <f>'PARAMÈTRES'!$C$97</f>
        <v>HA12</v>
      </c>
      <c r="T386" t="str">
        <f>'PARAMÈTRES'!$C$97</f>
        <v>HA12</v>
      </c>
      <c r="U386" t="str">
        <f>'PARAMÈTRES'!$C$97</f>
        <v>HA12</v>
      </c>
      <c r="V386" t="str">
        <f>'PARAMÈTRES'!$C$97</f>
        <v>HA12</v>
      </c>
      <c r="W386" t="str">
        <f>'PARAMÈTRES'!$C$97</f>
        <v>HA12</v>
      </c>
      <c r="X386" t="str">
        <f>'PARAMÈTRES'!$C$97</f>
        <v>HA12</v>
      </c>
    </row>
    <row r="387">
      <c r="A387" t="inlineStr">
        <is>
          <t>s1_aq_q</t>
        </is>
      </c>
      <c r="B387" t="inlineStr">
        <is>
          <t>GROS_ŒUVRE!E36</t>
        </is>
      </c>
      <c r="D387">
        <f>D364*2*(ROUNDDOWN(('PARAMÈTRES'!$C$89-2*'PARAMÈTRES'!$C$108)/'PARAMÈTRES'!$C$96,0)+1)</f>
        <v>192</v>
      </c>
      <c r="E387">
        <f>E364*2*(ROUNDDOWN(('PARAMÈTRES'!$C$89-2*'PARAMÈTRES'!$C$108)/'PARAMÈTRES'!$C$96,0)+1)</f>
        <v>192</v>
      </c>
      <c r="F387">
        <f>F364*2*(ROUNDDOWN(('PARAMÈTRES'!$C$89-2*'PARAMÈTRES'!$C$108)/'PARAMÈTRES'!$C$96,0)+1)</f>
        <v>192</v>
      </c>
      <c r="G387">
        <f>G364*2*(ROUNDDOWN(('PARAMÈTRES'!$C$89-2*'PARAMÈTRES'!$C$108)/'PARAMÈTRES'!$C$96,0)+1)</f>
        <v>160</v>
      </c>
      <c r="H387">
        <f>H364*2*(ROUNDDOWN(('PARAMÈTRES'!$C$89-2*'PARAMÈTRES'!$C$108)/'PARAMÈTRES'!$C$96,0)+1)</f>
        <v>160</v>
      </c>
      <c r="I387">
        <f>I364*2*(ROUNDDOWN(('PARAMÈTRES'!$C$89-2*'PARAMÈTRES'!$C$108)/'PARAMÈTRES'!$C$96,0)+1)</f>
        <v>160</v>
      </c>
      <c r="J387">
        <f>J364*2*(ROUNDDOWN(('PARAMÈTRES'!$C$89-2*'PARAMÈTRES'!$C$108)/'PARAMÈTRES'!$C$96,0)+1)</f>
        <v>192</v>
      </c>
      <c r="K387">
        <f>K364*2*(ROUNDDOWN(('PARAMÈTRES'!$C$89-2*'PARAMÈTRES'!$C$108)/'PARAMÈTRES'!$C$96,0)+1)</f>
        <v>192</v>
      </c>
      <c r="L387">
        <f>L364*2*(ROUNDDOWN(('PARAMÈTRES'!$C$89-2*'PARAMÈTRES'!$C$108)/'PARAMÈTRES'!$C$96,0)+1)</f>
        <v>192</v>
      </c>
      <c r="M387">
        <f>M364*2*(ROUNDDOWN(('PARAMÈTRES'!$C$89-2*'PARAMÈTRES'!$C$108)/'PARAMÈTRES'!$C$96,0)+1)</f>
        <v>160</v>
      </c>
      <c r="N387">
        <f>N364*2*(ROUNDDOWN(('PARAMÈTRES'!$C$89-2*'PARAMÈTRES'!$C$108)/'PARAMÈTRES'!$C$96,0)+1)</f>
        <v>160</v>
      </c>
      <c r="O387">
        <f>O364*2*(ROUNDDOWN(('PARAMÈTRES'!$C$89-2*'PARAMÈTRES'!$C$108)/'PARAMÈTRES'!$C$96,0)+1)</f>
        <v>160</v>
      </c>
      <c r="P387">
        <f>P364*2*(ROUNDDOWN(('PARAMÈTRES'!$C$89-2*'PARAMÈTRES'!$C$108)/'PARAMÈTRES'!$C$96,0)+1)</f>
        <v>256</v>
      </c>
      <c r="Q387">
        <f>Q364*2*(ROUNDDOWN(('PARAMÈTRES'!$C$89-2*'PARAMÈTRES'!$C$108)/'PARAMÈTRES'!$C$96,0)+1)</f>
        <v>256</v>
      </c>
      <c r="R387">
        <f>R364*2*(ROUNDDOWN(('PARAMÈTRES'!$C$89-2*'PARAMÈTRES'!$C$108)/'PARAMÈTRES'!$C$96,0)+1)</f>
        <v>256</v>
      </c>
      <c r="S387">
        <f>S364*2*(ROUNDDOWN(('PARAMÈTRES'!$C$89-2*'PARAMÈTRES'!$C$108)/'PARAMÈTRES'!$C$96,0)+1)</f>
        <v>256</v>
      </c>
      <c r="T387">
        <f>T364*2*(ROUNDDOWN(('PARAMÈTRES'!$C$89-2*'PARAMÈTRES'!$C$108)/'PARAMÈTRES'!$C$96,0)+1)</f>
        <v>256</v>
      </c>
      <c r="U387">
        <f>U364*2*(ROUNDDOWN(('PARAMÈTRES'!$C$89-2*'PARAMÈTRES'!$C$108)/'PARAMÈTRES'!$C$96,0)+1)</f>
        <v>256</v>
      </c>
      <c r="V387">
        <f>V364*2*(ROUNDDOWN(('PARAMÈTRES'!$C$89-2*'PARAMÈTRES'!$C$108)/'PARAMÈTRES'!$C$96,0)+1)</f>
        <v>256</v>
      </c>
      <c r="W387">
        <f>W364*2*(ROUNDDOWN(('PARAMÈTRES'!$C$89-2*'PARAMÈTRES'!$C$108)/'PARAMÈTRES'!$C$96,0)+1)</f>
        <v>256</v>
      </c>
      <c r="X387">
        <f>X364*2*(ROUNDDOWN(('PARAMÈTRES'!$C$89-2*'PARAMÈTRES'!$C$108)/'PARAMÈTRES'!$C$96,0)+1)</f>
        <v>256</v>
      </c>
    </row>
    <row r="388">
      <c r="A388" t="inlineStr">
        <is>
          <t>s1_aq_lu</t>
        </is>
      </c>
      <c r="B388" t="inlineStr">
        <is>
          <t>GROS_ŒUVRE!F36</t>
        </is>
      </c>
      <c r="D388">
        <f>'PARAMÈTRES'!$C$89-2*'PARAMÈTRES'!$C$108+2*'PARAMÈTRES'!$C$109</f>
        <v>1.4</v>
      </c>
      <c r="E388">
        <f>'PARAMÈTRES'!$C$89-2*'PARAMÈTRES'!$C$108+2*'PARAMÈTRES'!$C$109</f>
        <v>1.4</v>
      </c>
      <c r="F388">
        <f>'PARAMÈTRES'!$C$89-2*'PARAMÈTRES'!$C$108+2*'PARAMÈTRES'!$C$109</f>
        <v>1.4</v>
      </c>
      <c r="G388">
        <f>'PARAMÈTRES'!$C$89-2*'PARAMÈTRES'!$C$108+2*'PARAMÈTRES'!$C$109</f>
        <v>1.4</v>
      </c>
      <c r="H388">
        <f>'PARAMÈTRES'!$C$89-2*'PARAMÈTRES'!$C$108+2*'PARAMÈTRES'!$C$109</f>
        <v>1.4</v>
      </c>
      <c r="I388">
        <f>'PARAMÈTRES'!$C$89-2*'PARAMÈTRES'!$C$108+2*'PARAMÈTRES'!$C$109</f>
        <v>1.4</v>
      </c>
      <c r="J388">
        <f>'PARAMÈTRES'!$C$89-2*'PARAMÈTRES'!$C$108+2*'PARAMÈTRES'!$C$109</f>
        <v>1.4</v>
      </c>
      <c r="K388">
        <f>'PARAMÈTRES'!$C$89-2*'PARAMÈTRES'!$C$108+2*'PARAMÈTRES'!$C$109</f>
        <v>1.4</v>
      </c>
      <c r="L388">
        <f>'PARAMÈTRES'!$C$89-2*'PARAMÈTRES'!$C$108+2*'PARAMÈTRES'!$C$109</f>
        <v>1.4</v>
      </c>
      <c r="M388">
        <f>'PARAMÈTRES'!$C$89-2*'PARAMÈTRES'!$C$108+2*'PARAMÈTRES'!$C$109</f>
        <v>1.4</v>
      </c>
      <c r="N388">
        <f>'PARAMÈTRES'!$C$89-2*'PARAMÈTRES'!$C$108+2*'PARAMÈTRES'!$C$109</f>
        <v>1.4</v>
      </c>
      <c r="O388">
        <f>'PARAMÈTRES'!$C$89-2*'PARAMÈTRES'!$C$108+2*'PARAMÈTRES'!$C$109</f>
        <v>1.4</v>
      </c>
      <c r="P388">
        <f>'PARAMÈTRES'!$C$89-2*'PARAMÈTRES'!$C$108+2*'PARAMÈTRES'!$C$109</f>
        <v>1.4</v>
      </c>
      <c r="Q388">
        <f>'PARAMÈTRES'!$C$89-2*'PARAMÈTRES'!$C$108+2*'PARAMÈTRES'!$C$109</f>
        <v>1.4</v>
      </c>
      <c r="R388">
        <f>'PARAMÈTRES'!$C$89-2*'PARAMÈTRES'!$C$108+2*'PARAMÈTRES'!$C$109</f>
        <v>1.4</v>
      </c>
      <c r="S388">
        <f>'PARAMÈTRES'!$C$89-2*'PARAMÈTRES'!$C$108+2*'PARAMÈTRES'!$C$109</f>
        <v>1.4</v>
      </c>
      <c r="T388">
        <f>'PARAMÈTRES'!$C$89-2*'PARAMÈTRES'!$C$108+2*'PARAMÈTRES'!$C$109</f>
        <v>1.4</v>
      </c>
      <c r="U388">
        <f>'PARAMÈTRES'!$C$89-2*'PARAMÈTRES'!$C$108+2*'PARAMÈTRES'!$C$109</f>
        <v>1.4</v>
      </c>
      <c r="V388">
        <f>'PARAMÈTRES'!$C$89-2*'PARAMÈTRES'!$C$108+2*'PARAMÈTRES'!$C$109</f>
        <v>1.4</v>
      </c>
      <c r="W388">
        <f>'PARAMÈTRES'!$C$89-2*'PARAMÈTRES'!$C$108+2*'PARAMÈTRES'!$C$109</f>
        <v>1.4</v>
      </c>
      <c r="X388">
        <f>'PARAMÈTRES'!$C$89-2*'PARAMÈTRES'!$C$108+2*'PARAMÈTRES'!$C$109</f>
        <v>1.4</v>
      </c>
    </row>
    <row r="389">
      <c r="A389" t="inlineStr">
        <is>
          <t>s1_aq_lt</t>
        </is>
      </c>
      <c r="B389" t="inlineStr">
        <is>
          <t>GROS_ŒUVRE!G36</t>
        </is>
      </c>
      <c r="D389">
        <f>D387*D388</f>
        <v>268.8</v>
      </c>
      <c r="E389">
        <f>E387*E388</f>
        <v>268.8</v>
      </c>
      <c r="F389">
        <f>F387*F388</f>
        <v>268.8</v>
      </c>
      <c r="G389">
        <f>G387*G388</f>
        <v>224</v>
      </c>
      <c r="H389">
        <f>H387*H388</f>
        <v>224</v>
      </c>
      <c r="I389">
        <f>I387*I388</f>
        <v>224</v>
      </c>
      <c r="J389">
        <f>J387*J388</f>
        <v>268.8</v>
      </c>
      <c r="K389">
        <f>K387*K388</f>
        <v>268.8</v>
      </c>
      <c r="L389">
        <f>L387*L388</f>
        <v>268.8</v>
      </c>
      <c r="M389">
        <f>M387*M388</f>
        <v>224</v>
      </c>
      <c r="N389">
        <f>N387*N388</f>
        <v>224</v>
      </c>
      <c r="O389">
        <f>O387*O388</f>
        <v>224</v>
      </c>
      <c r="P389">
        <f>P387*P388</f>
        <v>358.4</v>
      </c>
      <c r="Q389">
        <f>Q387*Q388</f>
        <v>358.4</v>
      </c>
      <c r="R389">
        <f>R387*R388</f>
        <v>358.4</v>
      </c>
      <c r="S389">
        <f>S387*S388</f>
        <v>358.4</v>
      </c>
      <c r="T389">
        <f>T387*T388</f>
        <v>358.4</v>
      </c>
      <c r="U389">
        <f>U387*U388</f>
        <v>358.4</v>
      </c>
      <c r="V389">
        <f>V387*V388</f>
        <v>358.4</v>
      </c>
      <c r="W389">
        <f>W387*W388</f>
        <v>358.4</v>
      </c>
      <c r="X389">
        <f>X387*X388</f>
        <v>358.4</v>
      </c>
    </row>
    <row r="390">
      <c r="A390" t="inlineStr">
        <is>
          <t>s1_aq_kgml</t>
        </is>
      </c>
      <c r="B390" t="inlineStr">
        <is>
          <t>GROS_ŒUVRE!H36</t>
        </is>
      </c>
      <c r="D390">
        <f>IFERROR(_xlfn.XLOOKUP('PARAMÈTRES'!$C$97,'BASE_ACIERS'!$B$5:$B$20,'BASE_ACIERS'!$D$5:$D$20),IFERROR(INDEX('BASE_ACIERS'!$D$5:$D$20,MATCH('PARAMÈTRES'!$C$97,'BASE_ACIERS'!$B$5:$B$20,0)),0))</f>
        <v>0.888</v>
      </c>
      <c r="E390">
        <f>IFERROR(_xlfn.XLOOKUP('PARAMÈTRES'!$C$97,'BASE_ACIERS'!$B$5:$B$20,'BASE_ACIERS'!$D$5:$D$20),IFERROR(INDEX('BASE_ACIERS'!$D$5:$D$20,MATCH('PARAMÈTRES'!$C$97,'BASE_ACIERS'!$B$5:$B$20,0)),0))</f>
        <v>0.888</v>
      </c>
      <c r="F390">
        <f>IFERROR(_xlfn.XLOOKUP('PARAMÈTRES'!$C$97,'BASE_ACIERS'!$B$5:$B$20,'BASE_ACIERS'!$D$5:$D$20),IFERROR(INDEX('BASE_ACIERS'!$D$5:$D$20,MATCH('PARAMÈTRES'!$C$97,'BASE_ACIERS'!$B$5:$B$20,0)),0))</f>
        <v>0.888</v>
      </c>
      <c r="G390">
        <f>IFERROR(_xlfn.XLOOKUP('PARAMÈTRES'!$C$97,'BASE_ACIERS'!$B$5:$B$20,'BASE_ACIERS'!$D$5:$D$20),IFERROR(INDEX('BASE_ACIERS'!$D$5:$D$20,MATCH('PARAMÈTRES'!$C$97,'BASE_ACIERS'!$B$5:$B$20,0)),0))</f>
        <v>0.888</v>
      </c>
      <c r="H390">
        <f>IFERROR(_xlfn.XLOOKUP('PARAMÈTRES'!$C$97,'BASE_ACIERS'!$B$5:$B$20,'BASE_ACIERS'!$D$5:$D$20),IFERROR(INDEX('BASE_ACIERS'!$D$5:$D$20,MATCH('PARAMÈTRES'!$C$97,'BASE_ACIERS'!$B$5:$B$20,0)),0))</f>
        <v>0.888</v>
      </c>
      <c r="I390">
        <f>IFERROR(_xlfn.XLOOKUP('PARAMÈTRES'!$C$97,'BASE_ACIERS'!$B$5:$B$20,'BASE_ACIERS'!$D$5:$D$20),IFERROR(INDEX('BASE_ACIERS'!$D$5:$D$20,MATCH('PARAMÈTRES'!$C$97,'BASE_ACIERS'!$B$5:$B$20,0)),0))</f>
        <v>0.888</v>
      </c>
      <c r="J390">
        <f>IFERROR(_xlfn.XLOOKUP('PARAMÈTRES'!$C$97,'BASE_ACIERS'!$B$5:$B$20,'BASE_ACIERS'!$D$5:$D$20),IFERROR(INDEX('BASE_ACIERS'!$D$5:$D$20,MATCH('PARAMÈTRES'!$C$97,'BASE_ACIERS'!$B$5:$B$20,0)),0))</f>
        <v>0.888</v>
      </c>
      <c r="K390">
        <f>IFERROR(_xlfn.XLOOKUP('PARAMÈTRES'!$C$97,'BASE_ACIERS'!$B$5:$B$20,'BASE_ACIERS'!$D$5:$D$20),IFERROR(INDEX('BASE_ACIERS'!$D$5:$D$20,MATCH('PARAMÈTRES'!$C$97,'BASE_ACIERS'!$B$5:$B$20,0)),0))</f>
        <v>0.888</v>
      </c>
      <c r="L390">
        <f>IFERROR(_xlfn.XLOOKUP('PARAMÈTRES'!$C$97,'BASE_ACIERS'!$B$5:$B$20,'BASE_ACIERS'!$D$5:$D$20),IFERROR(INDEX('BASE_ACIERS'!$D$5:$D$20,MATCH('PARAMÈTRES'!$C$97,'BASE_ACIERS'!$B$5:$B$20,0)),0))</f>
        <v>0.888</v>
      </c>
      <c r="M390">
        <f>IFERROR(_xlfn.XLOOKUP('PARAMÈTRES'!$C$97,'BASE_ACIERS'!$B$5:$B$20,'BASE_ACIERS'!$D$5:$D$20),IFERROR(INDEX('BASE_ACIERS'!$D$5:$D$20,MATCH('PARAMÈTRES'!$C$97,'BASE_ACIERS'!$B$5:$B$20,0)),0))</f>
        <v>0.888</v>
      </c>
      <c r="N390">
        <f>IFERROR(_xlfn.XLOOKUP('PARAMÈTRES'!$C$97,'BASE_ACIERS'!$B$5:$B$20,'BASE_ACIERS'!$D$5:$D$20),IFERROR(INDEX('BASE_ACIERS'!$D$5:$D$20,MATCH('PARAMÈTRES'!$C$97,'BASE_ACIERS'!$B$5:$B$20,0)),0))</f>
        <v>0.888</v>
      </c>
      <c r="O390">
        <f>IFERROR(_xlfn.XLOOKUP('PARAMÈTRES'!$C$97,'BASE_ACIERS'!$B$5:$B$20,'BASE_ACIERS'!$D$5:$D$20),IFERROR(INDEX('BASE_ACIERS'!$D$5:$D$20,MATCH('PARAMÈTRES'!$C$97,'BASE_ACIERS'!$B$5:$B$20,0)),0))</f>
        <v>0.888</v>
      </c>
      <c r="P390">
        <f>IFERROR(_xlfn.XLOOKUP('PARAMÈTRES'!$C$97,'BASE_ACIERS'!$B$5:$B$20,'BASE_ACIERS'!$D$5:$D$20),IFERROR(INDEX('BASE_ACIERS'!$D$5:$D$20,MATCH('PARAMÈTRES'!$C$97,'BASE_ACIERS'!$B$5:$B$20,0)),0))</f>
        <v>0.888</v>
      </c>
      <c r="Q390">
        <f>IFERROR(_xlfn.XLOOKUP('PARAMÈTRES'!$C$97,'BASE_ACIERS'!$B$5:$B$20,'BASE_ACIERS'!$D$5:$D$20),IFERROR(INDEX('BASE_ACIERS'!$D$5:$D$20,MATCH('PARAMÈTRES'!$C$97,'BASE_ACIERS'!$B$5:$B$20,0)),0))</f>
        <v>0.888</v>
      </c>
      <c r="R390">
        <f>IFERROR(_xlfn.XLOOKUP('PARAMÈTRES'!$C$97,'BASE_ACIERS'!$B$5:$B$20,'BASE_ACIERS'!$D$5:$D$20),IFERROR(INDEX('BASE_ACIERS'!$D$5:$D$20,MATCH('PARAMÈTRES'!$C$97,'BASE_ACIERS'!$B$5:$B$20,0)),0))</f>
        <v>0.888</v>
      </c>
      <c r="S390">
        <f>IFERROR(_xlfn.XLOOKUP('PARAMÈTRES'!$C$97,'BASE_ACIERS'!$B$5:$B$20,'BASE_ACIERS'!$D$5:$D$20),IFERROR(INDEX('BASE_ACIERS'!$D$5:$D$20,MATCH('PARAMÈTRES'!$C$97,'BASE_ACIERS'!$B$5:$B$20,0)),0))</f>
        <v>0.888</v>
      </c>
      <c r="T390">
        <f>IFERROR(_xlfn.XLOOKUP('PARAMÈTRES'!$C$97,'BASE_ACIERS'!$B$5:$B$20,'BASE_ACIERS'!$D$5:$D$20),IFERROR(INDEX('BASE_ACIERS'!$D$5:$D$20,MATCH('PARAMÈTRES'!$C$97,'BASE_ACIERS'!$B$5:$B$20,0)),0))</f>
        <v>0.888</v>
      </c>
      <c r="U390">
        <f>IFERROR(_xlfn.XLOOKUP('PARAMÈTRES'!$C$97,'BASE_ACIERS'!$B$5:$B$20,'BASE_ACIERS'!$D$5:$D$20),IFERROR(INDEX('BASE_ACIERS'!$D$5:$D$20,MATCH('PARAMÈTRES'!$C$97,'BASE_ACIERS'!$B$5:$B$20,0)),0))</f>
        <v>0.888</v>
      </c>
      <c r="V390">
        <f>IFERROR(_xlfn.XLOOKUP('PARAMÈTRES'!$C$97,'BASE_ACIERS'!$B$5:$B$20,'BASE_ACIERS'!$D$5:$D$20),IFERROR(INDEX('BASE_ACIERS'!$D$5:$D$20,MATCH('PARAMÈTRES'!$C$97,'BASE_ACIERS'!$B$5:$B$20,0)),0))</f>
        <v>0.888</v>
      </c>
      <c r="W390">
        <f>IFERROR(_xlfn.XLOOKUP('PARAMÈTRES'!$C$97,'BASE_ACIERS'!$B$5:$B$20,'BASE_ACIERS'!$D$5:$D$20),IFERROR(INDEX('BASE_ACIERS'!$D$5:$D$20,MATCH('PARAMÈTRES'!$C$97,'BASE_ACIERS'!$B$5:$B$20,0)),0))</f>
        <v>0.888</v>
      </c>
      <c r="X390">
        <f>IFERROR(_xlfn.XLOOKUP('PARAMÈTRES'!$C$97,'BASE_ACIERS'!$B$5:$B$20,'BASE_ACIERS'!$D$5:$D$20),IFERROR(INDEX('BASE_ACIERS'!$D$5:$D$20,MATCH('PARAMÈTRES'!$C$97,'BASE_ACIERS'!$B$5:$B$20,0)),0))</f>
        <v>0.888</v>
      </c>
    </row>
    <row r="391">
      <c r="A391" t="inlineStr">
        <is>
          <t>s1_aq_kg</t>
        </is>
      </c>
      <c r="B391" t="inlineStr">
        <is>
          <t>GROS_ŒUVRE!I36</t>
        </is>
      </c>
      <c r="D391">
        <f>D389*D390</f>
        <v>238.6944</v>
      </c>
      <c r="E391">
        <f>E389*E390</f>
        <v>238.6944</v>
      </c>
      <c r="F391">
        <f>F389*F390</f>
        <v>238.6944</v>
      </c>
      <c r="G391">
        <f>G389*G390</f>
        <v>198.912</v>
      </c>
      <c r="H391">
        <f>H389*H390</f>
        <v>198.912</v>
      </c>
      <c r="I391">
        <f>I389*I390</f>
        <v>198.912</v>
      </c>
      <c r="J391">
        <f>J389*J390</f>
        <v>238.6944</v>
      </c>
      <c r="K391">
        <f>K389*K390</f>
        <v>238.6944</v>
      </c>
      <c r="L391">
        <f>L389*L390</f>
        <v>238.6944</v>
      </c>
      <c r="M391">
        <f>M389*M390</f>
        <v>198.912</v>
      </c>
      <c r="N391">
        <f>N389*N390</f>
        <v>198.912</v>
      </c>
      <c r="O391">
        <f>O389*O390</f>
        <v>198.912</v>
      </c>
      <c r="P391">
        <f>P389*P390</f>
        <v>318.2592</v>
      </c>
      <c r="Q391">
        <f>Q389*Q390</f>
        <v>318.2592</v>
      </c>
      <c r="R391">
        <f>R389*R390</f>
        <v>318.2592</v>
      </c>
      <c r="S391">
        <f>S389*S390</f>
        <v>318.2592</v>
      </c>
      <c r="T391">
        <f>T389*T390</f>
        <v>318.2592</v>
      </c>
      <c r="U391">
        <f>U389*U390</f>
        <v>318.2592</v>
      </c>
      <c r="V391">
        <f>V389*V390</f>
        <v>318.2592</v>
      </c>
      <c r="W391">
        <f>W389*W390</f>
        <v>318.2592</v>
      </c>
      <c r="X391">
        <f>X389*X390</f>
        <v>318.2592</v>
      </c>
    </row>
    <row r="392">
      <c r="A392" t="inlineStr">
        <is>
          <t>s1_af_p</t>
        </is>
      </c>
      <c r="B392" t="inlineStr">
        <is>
          <t>GROS_ŒUVRE!C37</t>
        </is>
      </c>
      <c r="D392" t="str">
        <f>'PARAMÈTRES'!$C$98</f>
        <v>HA12</v>
      </c>
      <c r="E392" t="str">
        <f>'PARAMÈTRES'!$C$98</f>
        <v>HA12</v>
      </c>
      <c r="F392" t="str">
        <f>'PARAMÈTRES'!$C$98</f>
        <v>HA12</v>
      </c>
      <c r="G392" t="str">
        <f>'PARAMÈTRES'!$C$98</f>
        <v>HA12</v>
      </c>
      <c r="H392" t="str">
        <f>'PARAMÈTRES'!$C$98</f>
        <v>HA12</v>
      </c>
      <c r="I392" t="str">
        <f>'PARAMÈTRES'!$C$98</f>
        <v>HA12</v>
      </c>
      <c r="J392" t="str">
        <f>'PARAMÈTRES'!$C$98</f>
        <v>HA12</v>
      </c>
      <c r="K392" t="str">
        <f>'PARAMÈTRES'!$C$98</f>
        <v>HA12</v>
      </c>
      <c r="L392" t="str">
        <f>'PARAMÈTRES'!$C$98</f>
        <v>HA12</v>
      </c>
      <c r="M392" t="str">
        <f>'PARAMÈTRES'!$C$98</f>
        <v>HA12</v>
      </c>
      <c r="N392" t="str">
        <f>'PARAMÈTRES'!$C$98</f>
        <v>HA12</v>
      </c>
      <c r="O392" t="str">
        <f>'PARAMÈTRES'!$C$98</f>
        <v>HA12</v>
      </c>
      <c r="P392" t="str">
        <f>'PARAMÈTRES'!$C$98</f>
        <v>HA12</v>
      </c>
      <c r="Q392" t="str">
        <f>'PARAMÈTRES'!$C$98</f>
        <v>HA12</v>
      </c>
      <c r="R392" t="str">
        <f>'PARAMÈTRES'!$C$98</f>
        <v>HA12</v>
      </c>
      <c r="S392" t="str">
        <f>'PARAMÈTRES'!$C$98</f>
        <v>HA12</v>
      </c>
      <c r="T392" t="str">
        <f>'PARAMÈTRES'!$C$98</f>
        <v>HA12</v>
      </c>
      <c r="U392" t="str">
        <f>'PARAMÈTRES'!$C$98</f>
        <v>HA12</v>
      </c>
      <c r="V392" t="str">
        <f>'PARAMÈTRES'!$C$98</f>
        <v>HA12</v>
      </c>
      <c r="W392" t="str">
        <f>'PARAMÈTRES'!$C$98</f>
        <v>HA12</v>
      </c>
      <c r="X392" t="str">
        <f>'PARAMÈTRES'!$C$98</f>
        <v>HA12</v>
      </c>
    </row>
    <row r="393">
      <c r="A393" t="inlineStr">
        <is>
          <t>s1_af_q</t>
        </is>
      </c>
      <c r="B393" t="inlineStr">
        <is>
          <t>GROS_ŒUVRE!E37</t>
        </is>
      </c>
      <c r="D393">
        <f>D364*'PARAMÈTRES'!$C$99</f>
        <v>48</v>
      </c>
      <c r="E393">
        <f>E364*'PARAMÈTRES'!$C$99</f>
        <v>48</v>
      </c>
      <c r="F393">
        <f>F364*'PARAMÈTRES'!$C$99</f>
        <v>48</v>
      </c>
      <c r="G393">
        <f>G364*'PARAMÈTRES'!$C$99</f>
        <v>40</v>
      </c>
      <c r="H393">
        <f>H364*'PARAMÈTRES'!$C$99</f>
        <v>40</v>
      </c>
      <c r="I393">
        <f>I364*'PARAMÈTRES'!$C$99</f>
        <v>40</v>
      </c>
      <c r="J393">
        <f>J364*'PARAMÈTRES'!$C$99</f>
        <v>48</v>
      </c>
      <c r="K393">
        <f>K364*'PARAMÈTRES'!$C$99</f>
        <v>48</v>
      </c>
      <c r="L393">
        <f>L364*'PARAMÈTRES'!$C$99</f>
        <v>48</v>
      </c>
      <c r="M393">
        <f>M364*'PARAMÈTRES'!$C$99</f>
        <v>40</v>
      </c>
      <c r="N393">
        <f>N364*'PARAMÈTRES'!$C$99</f>
        <v>40</v>
      </c>
      <c r="O393">
        <f>O364*'PARAMÈTRES'!$C$99</f>
        <v>40</v>
      </c>
      <c r="P393">
        <f>P364*'PARAMÈTRES'!$C$99</f>
        <v>64</v>
      </c>
      <c r="Q393">
        <f>Q364*'PARAMÈTRES'!$C$99</f>
        <v>64</v>
      </c>
      <c r="R393">
        <f>R364*'PARAMÈTRES'!$C$99</f>
        <v>64</v>
      </c>
      <c r="S393">
        <f>S364*'PARAMÈTRES'!$C$99</f>
        <v>64</v>
      </c>
      <c r="T393">
        <f>T364*'PARAMÈTRES'!$C$99</f>
        <v>64</v>
      </c>
      <c r="U393">
        <f>U364*'PARAMÈTRES'!$C$99</f>
        <v>64</v>
      </c>
      <c r="V393">
        <f>V364*'PARAMÈTRES'!$C$99</f>
        <v>64</v>
      </c>
      <c r="W393">
        <f>W364*'PARAMÈTRES'!$C$99</f>
        <v>64</v>
      </c>
      <c r="X393">
        <f>X364*'PARAMÈTRES'!$C$99</f>
        <v>64</v>
      </c>
    </row>
    <row r="394">
      <c r="A394" t="inlineStr">
        <is>
          <t>s1_af_lu</t>
        </is>
      </c>
      <c r="B394" t="inlineStr">
        <is>
          <t>GROS_ŒUVRE!F37</t>
        </is>
      </c>
      <c r="D394">
        <f>'PARAMÈTRES'!$C$95+'PARAMÈTRES'!$C$90-'PARAMÈTRES'!$C$108+'PARAMÈTRES'!$C$109</f>
        <v>1.7</v>
      </c>
      <c r="E394">
        <f>'PARAMÈTRES'!$C$95+'PARAMÈTRES'!$C$90-'PARAMÈTRES'!$C$108+'PARAMÈTRES'!$C$109</f>
        <v>1.7</v>
      </c>
      <c r="F394">
        <f>'PARAMÈTRES'!$C$95+'PARAMÈTRES'!$C$90-'PARAMÈTRES'!$C$108+'PARAMÈTRES'!$C$109</f>
        <v>1.7</v>
      </c>
      <c r="G394">
        <f>'PARAMÈTRES'!$C$95+'PARAMÈTRES'!$C$90-'PARAMÈTRES'!$C$108+'PARAMÈTRES'!$C$109</f>
        <v>1.7</v>
      </c>
      <c r="H394">
        <f>'PARAMÈTRES'!$C$95+'PARAMÈTRES'!$C$90-'PARAMÈTRES'!$C$108+'PARAMÈTRES'!$C$109</f>
        <v>1.7</v>
      </c>
      <c r="I394">
        <f>'PARAMÈTRES'!$C$95+'PARAMÈTRES'!$C$90-'PARAMÈTRES'!$C$108+'PARAMÈTRES'!$C$109</f>
        <v>1.7</v>
      </c>
      <c r="J394">
        <f>'PARAMÈTRES'!$C$95+'PARAMÈTRES'!$C$90-'PARAMÈTRES'!$C$108+'PARAMÈTRES'!$C$109</f>
        <v>1.7</v>
      </c>
      <c r="K394">
        <f>'PARAMÈTRES'!$C$95+'PARAMÈTRES'!$C$90-'PARAMÈTRES'!$C$108+'PARAMÈTRES'!$C$109</f>
        <v>1.7</v>
      </c>
      <c r="L394">
        <f>'PARAMÈTRES'!$C$95+'PARAMÈTRES'!$C$90-'PARAMÈTRES'!$C$108+'PARAMÈTRES'!$C$109</f>
        <v>1.7</v>
      </c>
      <c r="M394">
        <f>'PARAMÈTRES'!$C$95+'PARAMÈTRES'!$C$90-'PARAMÈTRES'!$C$108+'PARAMÈTRES'!$C$109</f>
        <v>1.7</v>
      </c>
      <c r="N394">
        <f>'PARAMÈTRES'!$C$95+'PARAMÈTRES'!$C$90-'PARAMÈTRES'!$C$108+'PARAMÈTRES'!$C$109</f>
        <v>1.7</v>
      </c>
      <c r="O394">
        <f>'PARAMÈTRES'!$C$95+'PARAMÈTRES'!$C$90-'PARAMÈTRES'!$C$108+'PARAMÈTRES'!$C$109</f>
        <v>1.7</v>
      </c>
      <c r="P394">
        <f>'PARAMÈTRES'!$C$95+'PARAMÈTRES'!$C$90-'PARAMÈTRES'!$C$108+'PARAMÈTRES'!$C$109</f>
        <v>1.7</v>
      </c>
      <c r="Q394">
        <f>'PARAMÈTRES'!$C$95+'PARAMÈTRES'!$C$90-'PARAMÈTRES'!$C$108+'PARAMÈTRES'!$C$109</f>
        <v>1.7</v>
      </c>
      <c r="R394">
        <f>'PARAMÈTRES'!$C$95+'PARAMÈTRES'!$C$90-'PARAMÈTRES'!$C$108+'PARAMÈTRES'!$C$109</f>
        <v>1.7</v>
      </c>
      <c r="S394">
        <f>'PARAMÈTRES'!$C$95+'PARAMÈTRES'!$C$90-'PARAMÈTRES'!$C$108+'PARAMÈTRES'!$C$109</f>
        <v>1.7</v>
      </c>
      <c r="T394">
        <f>'PARAMÈTRES'!$C$95+'PARAMÈTRES'!$C$90-'PARAMÈTRES'!$C$108+'PARAMÈTRES'!$C$109</f>
        <v>1.7</v>
      </c>
      <c r="U394">
        <f>'PARAMÈTRES'!$C$95+'PARAMÈTRES'!$C$90-'PARAMÈTRES'!$C$108+'PARAMÈTRES'!$C$109</f>
        <v>1.7</v>
      </c>
      <c r="V394">
        <f>'PARAMÈTRES'!$C$95+'PARAMÈTRES'!$C$90-'PARAMÈTRES'!$C$108+'PARAMÈTRES'!$C$109</f>
        <v>1.7</v>
      </c>
      <c r="W394">
        <f>'PARAMÈTRES'!$C$95+'PARAMÈTRES'!$C$90-'PARAMÈTRES'!$C$108+'PARAMÈTRES'!$C$109</f>
        <v>1.7</v>
      </c>
      <c r="X394">
        <f>'PARAMÈTRES'!$C$95+'PARAMÈTRES'!$C$90-'PARAMÈTRES'!$C$108+'PARAMÈTRES'!$C$109</f>
        <v>1.7</v>
      </c>
    </row>
    <row r="395">
      <c r="A395" t="inlineStr">
        <is>
          <t>s1_af_lt</t>
        </is>
      </c>
      <c r="B395" t="inlineStr">
        <is>
          <t>GROS_ŒUVRE!G37</t>
        </is>
      </c>
      <c r="D395">
        <f>D393*D394</f>
        <v>81.6</v>
      </c>
      <c r="E395">
        <f>E393*E394</f>
        <v>81.6</v>
      </c>
      <c r="F395">
        <f>F393*F394</f>
        <v>81.6</v>
      </c>
      <c r="G395">
        <f>G393*G394</f>
        <v>68</v>
      </c>
      <c r="H395">
        <f>H393*H394</f>
        <v>68</v>
      </c>
      <c r="I395">
        <f>I393*I394</f>
        <v>68</v>
      </c>
      <c r="J395">
        <f>J393*J394</f>
        <v>81.6</v>
      </c>
      <c r="K395">
        <f>K393*K394</f>
        <v>81.6</v>
      </c>
      <c r="L395">
        <f>L393*L394</f>
        <v>81.6</v>
      </c>
      <c r="M395">
        <f>M393*M394</f>
        <v>68</v>
      </c>
      <c r="N395">
        <f>N393*N394</f>
        <v>68</v>
      </c>
      <c r="O395">
        <f>O393*O394</f>
        <v>68</v>
      </c>
      <c r="P395">
        <f>P393*P394</f>
        <v>108.8</v>
      </c>
      <c r="Q395">
        <f>Q393*Q394</f>
        <v>108.8</v>
      </c>
      <c r="R395">
        <f>R393*R394</f>
        <v>108.8</v>
      </c>
      <c r="S395">
        <f>S393*S394</f>
        <v>108.8</v>
      </c>
      <c r="T395">
        <f>T393*T394</f>
        <v>108.8</v>
      </c>
      <c r="U395">
        <f>U393*U394</f>
        <v>108.8</v>
      </c>
      <c r="V395">
        <f>V393*V394</f>
        <v>108.8</v>
      </c>
      <c r="W395">
        <f>W393*W394</f>
        <v>108.8</v>
      </c>
      <c r="X395">
        <f>X393*X394</f>
        <v>108.8</v>
      </c>
    </row>
    <row r="396">
      <c r="A396" t="inlineStr">
        <is>
          <t>s1_af_kgml</t>
        </is>
      </c>
      <c r="B396" t="inlineStr">
        <is>
          <t>GROS_ŒUVRE!H37</t>
        </is>
      </c>
      <c r="D396">
        <f>IFERROR(_xlfn.XLOOKUP('PARAMÈTRES'!$C$98,'BASE_ACIERS'!$B$5:$B$20,'BASE_ACIERS'!$D$5:$D$20),IFERROR(INDEX('BASE_ACIERS'!$D$5:$D$20,MATCH('PARAMÈTRES'!$C$98,'BASE_ACIERS'!$B$5:$B$20,0)),0))</f>
        <v>0.888</v>
      </c>
      <c r="E396">
        <f>IFERROR(_xlfn.XLOOKUP('PARAMÈTRES'!$C$98,'BASE_ACIERS'!$B$5:$B$20,'BASE_ACIERS'!$D$5:$D$20),IFERROR(INDEX('BASE_ACIERS'!$D$5:$D$20,MATCH('PARAMÈTRES'!$C$98,'BASE_ACIERS'!$B$5:$B$20,0)),0))</f>
        <v>0.888</v>
      </c>
      <c r="F396">
        <f>IFERROR(_xlfn.XLOOKUP('PARAMÈTRES'!$C$98,'BASE_ACIERS'!$B$5:$B$20,'BASE_ACIERS'!$D$5:$D$20),IFERROR(INDEX('BASE_ACIERS'!$D$5:$D$20,MATCH('PARAMÈTRES'!$C$98,'BASE_ACIERS'!$B$5:$B$20,0)),0))</f>
        <v>0.888</v>
      </c>
      <c r="G396">
        <f>IFERROR(_xlfn.XLOOKUP('PARAMÈTRES'!$C$98,'BASE_ACIERS'!$B$5:$B$20,'BASE_ACIERS'!$D$5:$D$20),IFERROR(INDEX('BASE_ACIERS'!$D$5:$D$20,MATCH('PARAMÈTRES'!$C$98,'BASE_ACIERS'!$B$5:$B$20,0)),0))</f>
        <v>0.888</v>
      </c>
      <c r="H396">
        <f>IFERROR(_xlfn.XLOOKUP('PARAMÈTRES'!$C$98,'BASE_ACIERS'!$B$5:$B$20,'BASE_ACIERS'!$D$5:$D$20),IFERROR(INDEX('BASE_ACIERS'!$D$5:$D$20,MATCH('PARAMÈTRES'!$C$98,'BASE_ACIERS'!$B$5:$B$20,0)),0))</f>
        <v>0.888</v>
      </c>
      <c r="I396">
        <f>IFERROR(_xlfn.XLOOKUP('PARAMÈTRES'!$C$98,'BASE_ACIERS'!$B$5:$B$20,'BASE_ACIERS'!$D$5:$D$20),IFERROR(INDEX('BASE_ACIERS'!$D$5:$D$20,MATCH('PARAMÈTRES'!$C$98,'BASE_ACIERS'!$B$5:$B$20,0)),0))</f>
        <v>0.888</v>
      </c>
      <c r="J396">
        <f>IFERROR(_xlfn.XLOOKUP('PARAMÈTRES'!$C$98,'BASE_ACIERS'!$B$5:$B$20,'BASE_ACIERS'!$D$5:$D$20),IFERROR(INDEX('BASE_ACIERS'!$D$5:$D$20,MATCH('PARAMÈTRES'!$C$98,'BASE_ACIERS'!$B$5:$B$20,0)),0))</f>
        <v>0.888</v>
      </c>
      <c r="K396">
        <f>IFERROR(_xlfn.XLOOKUP('PARAMÈTRES'!$C$98,'BASE_ACIERS'!$B$5:$B$20,'BASE_ACIERS'!$D$5:$D$20),IFERROR(INDEX('BASE_ACIERS'!$D$5:$D$20,MATCH('PARAMÈTRES'!$C$98,'BASE_ACIERS'!$B$5:$B$20,0)),0))</f>
        <v>0.888</v>
      </c>
      <c r="L396">
        <f>IFERROR(_xlfn.XLOOKUP('PARAMÈTRES'!$C$98,'BASE_ACIERS'!$B$5:$B$20,'BASE_ACIERS'!$D$5:$D$20),IFERROR(INDEX('BASE_ACIERS'!$D$5:$D$20,MATCH('PARAMÈTRES'!$C$98,'BASE_ACIERS'!$B$5:$B$20,0)),0))</f>
        <v>0.888</v>
      </c>
      <c r="M396">
        <f>IFERROR(_xlfn.XLOOKUP('PARAMÈTRES'!$C$98,'BASE_ACIERS'!$B$5:$B$20,'BASE_ACIERS'!$D$5:$D$20),IFERROR(INDEX('BASE_ACIERS'!$D$5:$D$20,MATCH('PARAMÈTRES'!$C$98,'BASE_ACIERS'!$B$5:$B$20,0)),0))</f>
        <v>0.888</v>
      </c>
      <c r="N396">
        <f>IFERROR(_xlfn.XLOOKUP('PARAMÈTRES'!$C$98,'BASE_ACIERS'!$B$5:$B$20,'BASE_ACIERS'!$D$5:$D$20),IFERROR(INDEX('BASE_ACIERS'!$D$5:$D$20,MATCH('PARAMÈTRES'!$C$98,'BASE_ACIERS'!$B$5:$B$20,0)),0))</f>
        <v>0.888</v>
      </c>
      <c r="O396">
        <f>IFERROR(_xlfn.XLOOKUP('PARAMÈTRES'!$C$98,'BASE_ACIERS'!$B$5:$B$20,'BASE_ACIERS'!$D$5:$D$20),IFERROR(INDEX('BASE_ACIERS'!$D$5:$D$20,MATCH('PARAMÈTRES'!$C$98,'BASE_ACIERS'!$B$5:$B$20,0)),0))</f>
        <v>0.888</v>
      </c>
      <c r="P396">
        <f>IFERROR(_xlfn.XLOOKUP('PARAMÈTRES'!$C$98,'BASE_ACIERS'!$B$5:$B$20,'BASE_ACIERS'!$D$5:$D$20),IFERROR(INDEX('BASE_ACIERS'!$D$5:$D$20,MATCH('PARAMÈTRES'!$C$98,'BASE_ACIERS'!$B$5:$B$20,0)),0))</f>
        <v>0.888</v>
      </c>
      <c r="Q396">
        <f>IFERROR(_xlfn.XLOOKUP('PARAMÈTRES'!$C$98,'BASE_ACIERS'!$B$5:$B$20,'BASE_ACIERS'!$D$5:$D$20),IFERROR(INDEX('BASE_ACIERS'!$D$5:$D$20,MATCH('PARAMÈTRES'!$C$98,'BASE_ACIERS'!$B$5:$B$20,0)),0))</f>
        <v>0.888</v>
      </c>
      <c r="R396">
        <f>IFERROR(_xlfn.XLOOKUP('PARAMÈTRES'!$C$98,'BASE_ACIERS'!$B$5:$B$20,'BASE_ACIERS'!$D$5:$D$20),IFERROR(INDEX('BASE_ACIERS'!$D$5:$D$20,MATCH('PARAMÈTRES'!$C$98,'BASE_ACIERS'!$B$5:$B$20,0)),0))</f>
        <v>0.888</v>
      </c>
      <c r="S396">
        <f>IFERROR(_xlfn.XLOOKUP('PARAMÈTRES'!$C$98,'BASE_ACIERS'!$B$5:$B$20,'BASE_ACIERS'!$D$5:$D$20),IFERROR(INDEX('BASE_ACIERS'!$D$5:$D$20,MATCH('PARAMÈTRES'!$C$98,'BASE_ACIERS'!$B$5:$B$20,0)),0))</f>
        <v>0.888</v>
      </c>
      <c r="T396">
        <f>IFERROR(_xlfn.XLOOKUP('PARAMÈTRES'!$C$98,'BASE_ACIERS'!$B$5:$B$20,'BASE_ACIERS'!$D$5:$D$20),IFERROR(INDEX('BASE_ACIERS'!$D$5:$D$20,MATCH('PARAMÈTRES'!$C$98,'BASE_ACIERS'!$B$5:$B$20,0)),0))</f>
        <v>0.888</v>
      </c>
      <c r="U396">
        <f>IFERROR(_xlfn.XLOOKUP('PARAMÈTRES'!$C$98,'BASE_ACIERS'!$B$5:$B$20,'BASE_ACIERS'!$D$5:$D$20),IFERROR(INDEX('BASE_ACIERS'!$D$5:$D$20,MATCH('PARAMÈTRES'!$C$98,'BASE_ACIERS'!$B$5:$B$20,0)),0))</f>
        <v>0.888</v>
      </c>
      <c r="V396">
        <f>IFERROR(_xlfn.XLOOKUP('PARAMÈTRES'!$C$98,'BASE_ACIERS'!$B$5:$B$20,'BASE_ACIERS'!$D$5:$D$20),IFERROR(INDEX('BASE_ACIERS'!$D$5:$D$20,MATCH('PARAMÈTRES'!$C$98,'BASE_ACIERS'!$B$5:$B$20,0)),0))</f>
        <v>0.888</v>
      </c>
      <c r="W396">
        <f>IFERROR(_xlfn.XLOOKUP('PARAMÈTRES'!$C$98,'BASE_ACIERS'!$B$5:$B$20,'BASE_ACIERS'!$D$5:$D$20),IFERROR(INDEX('BASE_ACIERS'!$D$5:$D$20,MATCH('PARAMÈTRES'!$C$98,'BASE_ACIERS'!$B$5:$B$20,0)),0))</f>
        <v>0.888</v>
      </c>
      <c r="X396">
        <f>IFERROR(_xlfn.XLOOKUP('PARAMÈTRES'!$C$98,'BASE_ACIERS'!$B$5:$B$20,'BASE_ACIERS'!$D$5:$D$20),IFERROR(INDEX('BASE_ACIERS'!$D$5:$D$20,MATCH('PARAMÈTRES'!$C$98,'BASE_ACIERS'!$B$5:$B$20,0)),0))</f>
        <v>0.888</v>
      </c>
    </row>
    <row r="397">
      <c r="A397" t="inlineStr">
        <is>
          <t>s1_af_kg</t>
        </is>
      </c>
      <c r="B397" t="inlineStr">
        <is>
          <t>GROS_ŒUVRE!I37</t>
        </is>
      </c>
      <c r="D397">
        <f>D395*D396</f>
        <v>72.4608</v>
      </c>
      <c r="E397">
        <f>E395*E396</f>
        <v>72.4608</v>
      </c>
      <c r="F397">
        <f>F395*F396</f>
        <v>72.4608</v>
      </c>
      <c r="G397">
        <f>G395*G396</f>
        <v>60.384</v>
      </c>
      <c r="H397">
        <f>H395*H396</f>
        <v>60.384</v>
      </c>
      <c r="I397">
        <f>I395*I396</f>
        <v>60.384</v>
      </c>
      <c r="J397">
        <f>J395*J396</f>
        <v>72.4608</v>
      </c>
      <c r="K397">
        <f>K395*K396</f>
        <v>72.4608</v>
      </c>
      <c r="L397">
        <f>L395*L396</f>
        <v>72.4608</v>
      </c>
      <c r="M397">
        <f>M395*M396</f>
        <v>60.384</v>
      </c>
      <c r="N397">
        <f>N395*N396</f>
        <v>60.384</v>
      </c>
      <c r="O397">
        <f>O395*O396</f>
        <v>60.384</v>
      </c>
      <c r="P397">
        <f>P395*P396</f>
        <v>96.6144</v>
      </c>
      <c r="Q397">
        <f>Q395*Q396</f>
        <v>96.6144</v>
      </c>
      <c r="R397">
        <f>R395*R396</f>
        <v>96.6144</v>
      </c>
      <c r="S397">
        <f>S395*S396</f>
        <v>96.6144</v>
      </c>
      <c r="T397">
        <f>T395*T396</f>
        <v>96.6144</v>
      </c>
      <c r="U397">
        <f>U395*U396</f>
        <v>96.6144</v>
      </c>
      <c r="V397">
        <f>V395*V396</f>
        <v>96.6144</v>
      </c>
      <c r="W397">
        <f>W395*W396</f>
        <v>96.6144</v>
      </c>
      <c r="X397">
        <f>X395*X396</f>
        <v>96.6144</v>
      </c>
    </row>
    <row r="398">
      <c r="A398" t="inlineStr">
        <is>
          <t>s1_ac_p</t>
        </is>
      </c>
      <c r="B398" t="inlineStr">
        <is>
          <t>GROS_ŒUVRE!C38</t>
        </is>
      </c>
      <c r="D398" t="str">
        <f>'PARAMÈTRES'!$C$100</f>
        <v>HA6</v>
      </c>
      <c r="E398" t="str">
        <f>'PARAMÈTRES'!$C$100</f>
        <v>HA6</v>
      </c>
      <c r="F398" t="str">
        <f>'PARAMÈTRES'!$C$100</f>
        <v>HA6</v>
      </c>
      <c r="G398" t="str">
        <f>'PARAMÈTRES'!$C$100</f>
        <v>HA6</v>
      </c>
      <c r="H398" t="str">
        <f>'PARAMÈTRES'!$C$100</f>
        <v>HA6</v>
      </c>
      <c r="I398" t="str">
        <f>'PARAMÈTRES'!$C$100</f>
        <v>HA6</v>
      </c>
      <c r="J398" t="str">
        <f>'PARAMÈTRES'!$C$100</f>
        <v>HA6</v>
      </c>
      <c r="K398" t="str">
        <f>'PARAMÈTRES'!$C$100</f>
        <v>HA6</v>
      </c>
      <c r="L398" t="str">
        <f>'PARAMÈTRES'!$C$100</f>
        <v>HA6</v>
      </c>
      <c r="M398" t="str">
        <f>'PARAMÈTRES'!$C$100</f>
        <v>HA6</v>
      </c>
      <c r="N398" t="str">
        <f>'PARAMÈTRES'!$C$100</f>
        <v>HA6</v>
      </c>
      <c r="O398" t="str">
        <f>'PARAMÈTRES'!$C$100</f>
        <v>HA6</v>
      </c>
      <c r="P398" t="str">
        <f>'PARAMÈTRES'!$C$100</f>
        <v>HA6</v>
      </c>
      <c r="Q398" t="str">
        <f>'PARAMÈTRES'!$C$100</f>
        <v>HA6</v>
      </c>
      <c r="R398" t="str">
        <f>'PARAMÈTRES'!$C$100</f>
        <v>HA6</v>
      </c>
      <c r="S398" t="str">
        <f>'PARAMÈTRES'!$C$100</f>
        <v>HA6</v>
      </c>
      <c r="T398" t="str">
        <f>'PARAMÈTRES'!$C$100</f>
        <v>HA6</v>
      </c>
      <c r="U398" t="str">
        <f>'PARAMÈTRES'!$C$100</f>
        <v>HA6</v>
      </c>
      <c r="V398" t="str">
        <f>'PARAMÈTRES'!$C$100</f>
        <v>HA6</v>
      </c>
      <c r="W398" t="str">
        <f>'PARAMÈTRES'!$C$100</f>
        <v>HA6</v>
      </c>
      <c r="X398" t="str">
        <f>'PARAMÈTRES'!$C$100</f>
        <v>HA6</v>
      </c>
    </row>
    <row r="399">
      <c r="A399" t="inlineStr">
        <is>
          <t>s1_ac_q</t>
        </is>
      </c>
      <c r="B399" t="inlineStr">
        <is>
          <t>GROS_ŒUVRE!E38</t>
        </is>
      </c>
      <c r="D399">
        <f>D364*(ROUNDDOWN('PARAMÈTRES'!$C$95/'PARAMÈTRES'!$C$101,0)+1)</f>
        <v>108</v>
      </c>
      <c r="E399">
        <f>E364*(ROUNDDOWN('PARAMÈTRES'!$C$95/'PARAMÈTRES'!$C$101,0)+1)</f>
        <v>108</v>
      </c>
      <c r="F399">
        <f>F364*(ROUNDDOWN('PARAMÈTRES'!$C$95/'PARAMÈTRES'!$C$101,0)+1)</f>
        <v>108</v>
      </c>
      <c r="G399">
        <f>G364*(ROUNDDOWN('PARAMÈTRES'!$C$95/'PARAMÈTRES'!$C$101,0)+1)</f>
        <v>90</v>
      </c>
      <c r="H399">
        <f>H364*(ROUNDDOWN('PARAMÈTRES'!$C$95/'PARAMÈTRES'!$C$101,0)+1)</f>
        <v>90</v>
      </c>
      <c r="I399">
        <f>I364*(ROUNDDOWN('PARAMÈTRES'!$C$95/'PARAMÈTRES'!$C$101,0)+1)</f>
        <v>90</v>
      </c>
      <c r="J399">
        <f>J364*(ROUNDDOWN('PARAMÈTRES'!$C$95/'PARAMÈTRES'!$C$101,0)+1)</f>
        <v>108</v>
      </c>
      <c r="K399">
        <f>K364*(ROUNDDOWN('PARAMÈTRES'!$C$95/'PARAMÈTRES'!$C$101,0)+1)</f>
        <v>108</v>
      </c>
      <c r="L399">
        <f>L364*(ROUNDDOWN('PARAMÈTRES'!$C$95/'PARAMÈTRES'!$C$101,0)+1)</f>
        <v>108</v>
      </c>
      <c r="M399">
        <f>M364*(ROUNDDOWN('PARAMÈTRES'!$C$95/'PARAMÈTRES'!$C$101,0)+1)</f>
        <v>90</v>
      </c>
      <c r="N399">
        <f>N364*(ROUNDDOWN('PARAMÈTRES'!$C$95/'PARAMÈTRES'!$C$101,0)+1)</f>
        <v>90</v>
      </c>
      <c r="O399">
        <f>O364*(ROUNDDOWN('PARAMÈTRES'!$C$95/'PARAMÈTRES'!$C$101,0)+1)</f>
        <v>90</v>
      </c>
      <c r="P399">
        <f>P364*(ROUNDDOWN('PARAMÈTRES'!$C$95/'PARAMÈTRES'!$C$101,0)+1)</f>
        <v>144</v>
      </c>
      <c r="Q399">
        <f>Q364*(ROUNDDOWN('PARAMÈTRES'!$C$95/'PARAMÈTRES'!$C$101,0)+1)</f>
        <v>144</v>
      </c>
      <c r="R399">
        <f>R364*(ROUNDDOWN('PARAMÈTRES'!$C$95/'PARAMÈTRES'!$C$101,0)+1)</f>
        <v>144</v>
      </c>
      <c r="S399">
        <f>S364*(ROUNDDOWN('PARAMÈTRES'!$C$95/'PARAMÈTRES'!$C$101,0)+1)</f>
        <v>144</v>
      </c>
      <c r="T399">
        <f>T364*(ROUNDDOWN('PARAMÈTRES'!$C$95/'PARAMÈTRES'!$C$101,0)+1)</f>
        <v>144</v>
      </c>
      <c r="U399">
        <f>U364*(ROUNDDOWN('PARAMÈTRES'!$C$95/'PARAMÈTRES'!$C$101,0)+1)</f>
        <v>144</v>
      </c>
      <c r="V399">
        <f>V364*(ROUNDDOWN('PARAMÈTRES'!$C$95/'PARAMÈTRES'!$C$101,0)+1)</f>
        <v>144</v>
      </c>
      <c r="W399">
        <f>W364*(ROUNDDOWN('PARAMÈTRES'!$C$95/'PARAMÈTRES'!$C$101,0)+1)</f>
        <v>144</v>
      </c>
      <c r="X399">
        <f>X364*(ROUNDDOWN('PARAMÈTRES'!$C$95/'PARAMÈTRES'!$C$101,0)+1)</f>
        <v>144</v>
      </c>
    </row>
    <row r="400">
      <c r="A400" t="inlineStr">
        <is>
          <t>s1_ac_lu</t>
        </is>
      </c>
      <c r="B400" t="inlineStr">
        <is>
          <t>GROS_ŒUVRE!F38</t>
        </is>
      </c>
      <c r="D400">
        <f>4*('PARAMÈTRES'!$C$91-2*'PARAMÈTRES'!$C$108)+2*'PARAMÈTRES'!$C$110</f>
        <v>1.4</v>
      </c>
      <c r="E400">
        <f>4*('PARAMÈTRES'!$C$91-2*'PARAMÈTRES'!$C$108)+2*'PARAMÈTRES'!$C$110</f>
        <v>1.4</v>
      </c>
      <c r="F400">
        <f>4*('PARAMÈTRES'!$C$91-2*'PARAMÈTRES'!$C$108)+2*'PARAMÈTRES'!$C$110</f>
        <v>1.4</v>
      </c>
      <c r="G400">
        <f>4*('PARAMÈTRES'!$C$91-2*'PARAMÈTRES'!$C$108)+2*'PARAMÈTRES'!$C$110</f>
        <v>1.4</v>
      </c>
      <c r="H400">
        <f>4*('PARAMÈTRES'!$C$91-2*'PARAMÈTRES'!$C$108)+2*'PARAMÈTRES'!$C$110</f>
        <v>1.4</v>
      </c>
      <c r="I400">
        <f>4*('PARAMÈTRES'!$C$91-2*'PARAMÈTRES'!$C$108)+2*'PARAMÈTRES'!$C$110</f>
        <v>1.4</v>
      </c>
      <c r="J400">
        <f>4*('PARAMÈTRES'!$C$91-2*'PARAMÈTRES'!$C$108)+2*'PARAMÈTRES'!$C$110</f>
        <v>1.4</v>
      </c>
      <c r="K400">
        <f>4*('PARAMÈTRES'!$C$91-2*'PARAMÈTRES'!$C$108)+2*'PARAMÈTRES'!$C$110</f>
        <v>1.4</v>
      </c>
      <c r="L400">
        <f>4*('PARAMÈTRES'!$C$91-2*'PARAMÈTRES'!$C$108)+2*'PARAMÈTRES'!$C$110</f>
        <v>1.4</v>
      </c>
      <c r="M400">
        <f>4*('PARAMÈTRES'!$C$91-2*'PARAMÈTRES'!$C$108)+2*'PARAMÈTRES'!$C$110</f>
        <v>1.4</v>
      </c>
      <c r="N400">
        <f>4*('PARAMÈTRES'!$C$91-2*'PARAMÈTRES'!$C$108)+2*'PARAMÈTRES'!$C$110</f>
        <v>1.4</v>
      </c>
      <c r="O400">
        <f>4*('PARAMÈTRES'!$C$91-2*'PARAMÈTRES'!$C$108)+2*'PARAMÈTRES'!$C$110</f>
        <v>1.4</v>
      </c>
      <c r="P400">
        <f>4*('PARAMÈTRES'!$C$91-2*'PARAMÈTRES'!$C$108)+2*'PARAMÈTRES'!$C$110</f>
        <v>1.4</v>
      </c>
      <c r="Q400">
        <f>4*('PARAMÈTRES'!$C$91-2*'PARAMÈTRES'!$C$108)+2*'PARAMÈTRES'!$C$110</f>
        <v>1.4</v>
      </c>
      <c r="R400">
        <f>4*('PARAMÈTRES'!$C$91-2*'PARAMÈTRES'!$C$108)+2*'PARAMÈTRES'!$C$110</f>
        <v>1.4</v>
      </c>
      <c r="S400">
        <f>4*('PARAMÈTRES'!$C$91-2*'PARAMÈTRES'!$C$108)+2*'PARAMÈTRES'!$C$110</f>
        <v>1.4</v>
      </c>
      <c r="T400">
        <f>4*('PARAMÈTRES'!$C$91-2*'PARAMÈTRES'!$C$108)+2*'PARAMÈTRES'!$C$110</f>
        <v>1.4</v>
      </c>
      <c r="U400">
        <f>4*('PARAMÈTRES'!$C$91-2*'PARAMÈTRES'!$C$108)+2*'PARAMÈTRES'!$C$110</f>
        <v>1.4</v>
      </c>
      <c r="V400">
        <f>4*('PARAMÈTRES'!$C$91-2*'PARAMÈTRES'!$C$108)+2*'PARAMÈTRES'!$C$110</f>
        <v>1.4</v>
      </c>
      <c r="W400">
        <f>4*('PARAMÈTRES'!$C$91-2*'PARAMÈTRES'!$C$108)+2*'PARAMÈTRES'!$C$110</f>
        <v>1.4</v>
      </c>
      <c r="X400">
        <f>4*('PARAMÈTRES'!$C$91-2*'PARAMÈTRES'!$C$108)+2*'PARAMÈTRES'!$C$110</f>
        <v>1.4</v>
      </c>
    </row>
    <row r="401">
      <c r="A401" t="inlineStr">
        <is>
          <t>s1_ac_lt</t>
        </is>
      </c>
      <c r="B401" t="inlineStr">
        <is>
          <t>GROS_ŒUVRE!G38</t>
        </is>
      </c>
      <c r="D401">
        <f>D399*D400</f>
        <v>151.2</v>
      </c>
      <c r="E401">
        <f>E399*E400</f>
        <v>151.2</v>
      </c>
      <c r="F401">
        <f>F399*F400</f>
        <v>151.2</v>
      </c>
      <c r="G401">
        <f>G399*G400</f>
        <v>126</v>
      </c>
      <c r="H401">
        <f>H399*H400</f>
        <v>126</v>
      </c>
      <c r="I401">
        <f>I399*I400</f>
        <v>126</v>
      </c>
      <c r="J401">
        <f>J399*J400</f>
        <v>151.2</v>
      </c>
      <c r="K401">
        <f>K399*K400</f>
        <v>151.2</v>
      </c>
      <c r="L401">
        <f>L399*L400</f>
        <v>151.2</v>
      </c>
      <c r="M401">
        <f>M399*M400</f>
        <v>126</v>
      </c>
      <c r="N401">
        <f>N399*N400</f>
        <v>126</v>
      </c>
      <c r="O401">
        <f>O399*O400</f>
        <v>126</v>
      </c>
      <c r="P401">
        <f>P399*P400</f>
        <v>201.6</v>
      </c>
      <c r="Q401">
        <f>Q399*Q400</f>
        <v>201.6</v>
      </c>
      <c r="R401">
        <f>R399*R400</f>
        <v>201.6</v>
      </c>
      <c r="S401">
        <f>S399*S400</f>
        <v>201.6</v>
      </c>
      <c r="T401">
        <f>T399*T400</f>
        <v>201.6</v>
      </c>
      <c r="U401">
        <f>U399*U400</f>
        <v>201.6</v>
      </c>
      <c r="V401">
        <f>V399*V400</f>
        <v>201.6</v>
      </c>
      <c r="W401">
        <f>W399*W400</f>
        <v>201.6</v>
      </c>
      <c r="X401">
        <f>X399*X400</f>
        <v>201.6</v>
      </c>
    </row>
    <row r="402">
      <c r="A402" t="inlineStr">
        <is>
          <t>s1_ac_kgml</t>
        </is>
      </c>
      <c r="B402" t="inlineStr">
        <is>
          <t>GROS_ŒUVRE!H38</t>
        </is>
      </c>
      <c r="D402">
        <f>IFERROR(_xlfn.XLOOKUP('PARAMÈTRES'!$C$100,'BASE_ACIERS'!$B$5:$B$20,'BASE_ACIERS'!$D$5:$D$20),IFERROR(INDEX('BASE_ACIERS'!$D$5:$D$20,MATCH('PARAMÈTRES'!$C$100,'BASE_ACIERS'!$B$5:$B$20,0)),0))</f>
        <v>0.222</v>
      </c>
      <c r="E402">
        <f>IFERROR(_xlfn.XLOOKUP('PARAMÈTRES'!$C$100,'BASE_ACIERS'!$B$5:$B$20,'BASE_ACIERS'!$D$5:$D$20),IFERROR(INDEX('BASE_ACIERS'!$D$5:$D$20,MATCH('PARAMÈTRES'!$C$100,'BASE_ACIERS'!$B$5:$B$20,0)),0))</f>
        <v>0.222</v>
      </c>
      <c r="F402">
        <f>IFERROR(_xlfn.XLOOKUP('PARAMÈTRES'!$C$100,'BASE_ACIERS'!$B$5:$B$20,'BASE_ACIERS'!$D$5:$D$20),IFERROR(INDEX('BASE_ACIERS'!$D$5:$D$20,MATCH('PARAMÈTRES'!$C$100,'BASE_ACIERS'!$B$5:$B$20,0)),0))</f>
        <v>0.222</v>
      </c>
      <c r="G402">
        <f>IFERROR(_xlfn.XLOOKUP('PARAMÈTRES'!$C$100,'BASE_ACIERS'!$B$5:$B$20,'BASE_ACIERS'!$D$5:$D$20),IFERROR(INDEX('BASE_ACIERS'!$D$5:$D$20,MATCH('PARAMÈTRES'!$C$100,'BASE_ACIERS'!$B$5:$B$20,0)),0))</f>
        <v>0.222</v>
      </c>
      <c r="H402">
        <f>IFERROR(_xlfn.XLOOKUP('PARAMÈTRES'!$C$100,'BASE_ACIERS'!$B$5:$B$20,'BASE_ACIERS'!$D$5:$D$20),IFERROR(INDEX('BASE_ACIERS'!$D$5:$D$20,MATCH('PARAMÈTRES'!$C$100,'BASE_ACIERS'!$B$5:$B$20,0)),0))</f>
        <v>0.222</v>
      </c>
      <c r="I402">
        <f>IFERROR(_xlfn.XLOOKUP('PARAMÈTRES'!$C$100,'BASE_ACIERS'!$B$5:$B$20,'BASE_ACIERS'!$D$5:$D$20),IFERROR(INDEX('BASE_ACIERS'!$D$5:$D$20,MATCH('PARAMÈTRES'!$C$100,'BASE_ACIERS'!$B$5:$B$20,0)),0))</f>
        <v>0.222</v>
      </c>
      <c r="J402">
        <f>IFERROR(_xlfn.XLOOKUP('PARAMÈTRES'!$C$100,'BASE_ACIERS'!$B$5:$B$20,'BASE_ACIERS'!$D$5:$D$20),IFERROR(INDEX('BASE_ACIERS'!$D$5:$D$20,MATCH('PARAMÈTRES'!$C$100,'BASE_ACIERS'!$B$5:$B$20,0)),0))</f>
        <v>0.222</v>
      </c>
      <c r="K402">
        <f>IFERROR(_xlfn.XLOOKUP('PARAMÈTRES'!$C$100,'BASE_ACIERS'!$B$5:$B$20,'BASE_ACIERS'!$D$5:$D$20),IFERROR(INDEX('BASE_ACIERS'!$D$5:$D$20,MATCH('PARAMÈTRES'!$C$100,'BASE_ACIERS'!$B$5:$B$20,0)),0))</f>
        <v>0.222</v>
      </c>
      <c r="L402">
        <f>IFERROR(_xlfn.XLOOKUP('PARAMÈTRES'!$C$100,'BASE_ACIERS'!$B$5:$B$20,'BASE_ACIERS'!$D$5:$D$20),IFERROR(INDEX('BASE_ACIERS'!$D$5:$D$20,MATCH('PARAMÈTRES'!$C$100,'BASE_ACIERS'!$B$5:$B$20,0)),0))</f>
        <v>0.222</v>
      </c>
      <c r="M402">
        <f>IFERROR(_xlfn.XLOOKUP('PARAMÈTRES'!$C$100,'BASE_ACIERS'!$B$5:$B$20,'BASE_ACIERS'!$D$5:$D$20),IFERROR(INDEX('BASE_ACIERS'!$D$5:$D$20,MATCH('PARAMÈTRES'!$C$100,'BASE_ACIERS'!$B$5:$B$20,0)),0))</f>
        <v>0.222</v>
      </c>
      <c r="N402">
        <f>IFERROR(_xlfn.XLOOKUP('PARAMÈTRES'!$C$100,'BASE_ACIERS'!$B$5:$B$20,'BASE_ACIERS'!$D$5:$D$20),IFERROR(INDEX('BASE_ACIERS'!$D$5:$D$20,MATCH('PARAMÈTRES'!$C$100,'BASE_ACIERS'!$B$5:$B$20,0)),0))</f>
        <v>0.222</v>
      </c>
      <c r="O402">
        <f>IFERROR(_xlfn.XLOOKUP('PARAMÈTRES'!$C$100,'BASE_ACIERS'!$B$5:$B$20,'BASE_ACIERS'!$D$5:$D$20),IFERROR(INDEX('BASE_ACIERS'!$D$5:$D$20,MATCH('PARAMÈTRES'!$C$100,'BASE_ACIERS'!$B$5:$B$20,0)),0))</f>
        <v>0.222</v>
      </c>
      <c r="P402">
        <f>IFERROR(_xlfn.XLOOKUP('PARAMÈTRES'!$C$100,'BASE_ACIERS'!$B$5:$B$20,'BASE_ACIERS'!$D$5:$D$20),IFERROR(INDEX('BASE_ACIERS'!$D$5:$D$20,MATCH('PARAMÈTRES'!$C$100,'BASE_ACIERS'!$B$5:$B$20,0)),0))</f>
        <v>0.222</v>
      </c>
      <c r="Q402">
        <f>IFERROR(_xlfn.XLOOKUP('PARAMÈTRES'!$C$100,'BASE_ACIERS'!$B$5:$B$20,'BASE_ACIERS'!$D$5:$D$20),IFERROR(INDEX('BASE_ACIERS'!$D$5:$D$20,MATCH('PARAMÈTRES'!$C$100,'BASE_ACIERS'!$B$5:$B$20,0)),0))</f>
        <v>0.222</v>
      </c>
      <c r="R402">
        <f>IFERROR(_xlfn.XLOOKUP('PARAMÈTRES'!$C$100,'BASE_ACIERS'!$B$5:$B$20,'BASE_ACIERS'!$D$5:$D$20),IFERROR(INDEX('BASE_ACIERS'!$D$5:$D$20,MATCH('PARAMÈTRES'!$C$100,'BASE_ACIERS'!$B$5:$B$20,0)),0))</f>
        <v>0.222</v>
      </c>
      <c r="S402">
        <f>IFERROR(_xlfn.XLOOKUP('PARAMÈTRES'!$C$100,'BASE_ACIERS'!$B$5:$B$20,'BASE_ACIERS'!$D$5:$D$20),IFERROR(INDEX('BASE_ACIERS'!$D$5:$D$20,MATCH('PARAMÈTRES'!$C$100,'BASE_ACIERS'!$B$5:$B$20,0)),0))</f>
        <v>0.222</v>
      </c>
      <c r="T402">
        <f>IFERROR(_xlfn.XLOOKUP('PARAMÈTRES'!$C$100,'BASE_ACIERS'!$B$5:$B$20,'BASE_ACIERS'!$D$5:$D$20),IFERROR(INDEX('BASE_ACIERS'!$D$5:$D$20,MATCH('PARAMÈTRES'!$C$100,'BASE_ACIERS'!$B$5:$B$20,0)),0))</f>
        <v>0.222</v>
      </c>
      <c r="U402">
        <f>IFERROR(_xlfn.XLOOKUP('PARAMÈTRES'!$C$100,'BASE_ACIERS'!$B$5:$B$20,'BASE_ACIERS'!$D$5:$D$20),IFERROR(INDEX('BASE_ACIERS'!$D$5:$D$20,MATCH('PARAMÈTRES'!$C$100,'BASE_ACIERS'!$B$5:$B$20,0)),0))</f>
        <v>0.222</v>
      </c>
      <c r="V402">
        <f>IFERROR(_xlfn.XLOOKUP('PARAMÈTRES'!$C$100,'BASE_ACIERS'!$B$5:$B$20,'BASE_ACIERS'!$D$5:$D$20),IFERROR(INDEX('BASE_ACIERS'!$D$5:$D$20,MATCH('PARAMÈTRES'!$C$100,'BASE_ACIERS'!$B$5:$B$20,0)),0))</f>
        <v>0.222</v>
      </c>
      <c r="W402">
        <f>IFERROR(_xlfn.XLOOKUP('PARAMÈTRES'!$C$100,'BASE_ACIERS'!$B$5:$B$20,'BASE_ACIERS'!$D$5:$D$20),IFERROR(INDEX('BASE_ACIERS'!$D$5:$D$20,MATCH('PARAMÈTRES'!$C$100,'BASE_ACIERS'!$B$5:$B$20,0)),0))</f>
        <v>0.222</v>
      </c>
      <c r="X402">
        <f>IFERROR(_xlfn.XLOOKUP('PARAMÈTRES'!$C$100,'BASE_ACIERS'!$B$5:$B$20,'BASE_ACIERS'!$D$5:$D$20),IFERROR(INDEX('BASE_ACIERS'!$D$5:$D$20,MATCH('PARAMÈTRES'!$C$100,'BASE_ACIERS'!$B$5:$B$20,0)),0))</f>
        <v>0.222</v>
      </c>
    </row>
    <row r="403">
      <c r="A403" t="inlineStr">
        <is>
          <t>s1_ac_kg</t>
        </is>
      </c>
      <c r="B403" t="inlineStr">
        <is>
          <t>GROS_ŒUVRE!I38</t>
        </is>
      </c>
      <c r="D403">
        <f>D401*D402</f>
        <v>33.5664</v>
      </c>
      <c r="E403">
        <f>E401*E402</f>
        <v>33.5664</v>
      </c>
      <c r="F403">
        <f>F401*F402</f>
        <v>33.5664</v>
      </c>
      <c r="G403">
        <f>G401*G402</f>
        <v>27.972</v>
      </c>
      <c r="H403">
        <f>H401*H402</f>
        <v>27.972</v>
      </c>
      <c r="I403">
        <f>I401*I402</f>
        <v>27.972</v>
      </c>
      <c r="J403">
        <f>J401*J402</f>
        <v>33.5664</v>
      </c>
      <c r="K403">
        <f>K401*K402</f>
        <v>33.5664</v>
      </c>
      <c r="L403">
        <f>L401*L402</f>
        <v>33.5664</v>
      </c>
      <c r="M403">
        <f>M401*M402</f>
        <v>27.972</v>
      </c>
      <c r="N403">
        <f>N401*N402</f>
        <v>27.972</v>
      </c>
      <c r="O403">
        <f>O401*O402</f>
        <v>27.972</v>
      </c>
      <c r="P403">
        <f>P401*P402</f>
        <v>44.7552</v>
      </c>
      <c r="Q403">
        <f>Q401*Q402</f>
        <v>44.7552</v>
      </c>
      <c r="R403">
        <f>R401*R402</f>
        <v>44.7552</v>
      </c>
      <c r="S403">
        <f>S401*S402</f>
        <v>44.7552</v>
      </c>
      <c r="T403">
        <f>T401*T402</f>
        <v>44.7552</v>
      </c>
      <c r="U403">
        <f>U401*U402</f>
        <v>44.7552</v>
      </c>
      <c r="V403">
        <f>V401*V402</f>
        <v>44.7552</v>
      </c>
      <c r="W403">
        <f>W401*W402</f>
        <v>44.7552</v>
      </c>
      <c r="X403">
        <f>X401*X402</f>
        <v>44.7552</v>
      </c>
    </row>
    <row r="404">
      <c r="A404" t="inlineStr">
        <is>
          <t>s2_bp_q</t>
        </is>
      </c>
      <c r="B404" t="inlineStr">
        <is>
          <t>GROS_ŒUVRE!E41</t>
        </is>
      </c>
      <c r="D404">
        <f>D365*'PARAMÈTRES'!$C$92^2*'PARAMÈTRES'!$C$88</f>
        <v>0.064</v>
      </c>
      <c r="E404">
        <f>E365*'PARAMÈTRES'!$C$92^2*'PARAMÈTRES'!$C$88</f>
        <v>0.064</v>
      </c>
      <c r="F404">
        <f>F365*'PARAMÈTRES'!$C$92^2*'PARAMÈTRES'!$C$88</f>
        <v>0.064</v>
      </c>
      <c r="G404">
        <f>G365*'PARAMÈTRES'!$C$92^2*'PARAMÈTRES'!$C$88</f>
        <v>0.128</v>
      </c>
      <c r="H404">
        <f>H365*'PARAMÈTRES'!$C$92^2*'PARAMÈTRES'!$C$88</f>
        <v>0.128</v>
      </c>
      <c r="I404">
        <f>I365*'PARAMÈTRES'!$C$92^2*'PARAMÈTRES'!$C$88</f>
        <v>0.128</v>
      </c>
      <c r="J404">
        <f>J365*'PARAMÈTRES'!$C$92^2*'PARAMÈTRES'!$C$88</f>
        <v>0.128</v>
      </c>
      <c r="K404">
        <f>K365*'PARAMÈTRES'!$C$92^2*'PARAMÈTRES'!$C$88</f>
        <v>0.128</v>
      </c>
      <c r="L404">
        <f>L365*'PARAMÈTRES'!$C$92^2*'PARAMÈTRES'!$C$88</f>
        <v>0.128</v>
      </c>
      <c r="M404">
        <f>M365*'PARAMÈTRES'!$C$92^2*'PARAMÈTRES'!$C$88</f>
        <v>0.192</v>
      </c>
      <c r="N404">
        <f>N365*'PARAMÈTRES'!$C$92^2*'PARAMÈTRES'!$C$88</f>
        <v>0.192</v>
      </c>
      <c r="O404">
        <f>O365*'PARAMÈTRES'!$C$92^2*'PARAMÈTRES'!$C$88</f>
        <v>0.192</v>
      </c>
      <c r="P404">
        <f>P365*'PARAMÈTRES'!$C$92^2*'PARAMÈTRES'!$C$88</f>
        <v>0.192</v>
      </c>
      <c r="Q404">
        <f>Q365*'PARAMÈTRES'!$C$92^2*'PARAMÈTRES'!$C$88</f>
        <v>0.192</v>
      </c>
      <c r="R404">
        <f>R365*'PARAMÈTRES'!$C$92^2*'PARAMÈTRES'!$C$88</f>
        <v>0.192</v>
      </c>
      <c r="S404">
        <f>S365*'PARAMÈTRES'!$C$92^2*'PARAMÈTRES'!$C$88</f>
        <v>0.256</v>
      </c>
      <c r="T404">
        <f>T365*'PARAMÈTRES'!$C$92^2*'PARAMÈTRES'!$C$88</f>
        <v>0.256</v>
      </c>
      <c r="U404">
        <f>U365*'PARAMÈTRES'!$C$92^2*'PARAMÈTRES'!$C$88</f>
        <v>0.256</v>
      </c>
      <c r="V404">
        <f>V365*'PARAMÈTRES'!$C$92^2*'PARAMÈTRES'!$C$88</f>
        <v>0.384</v>
      </c>
      <c r="W404">
        <f>W365*'PARAMÈTRES'!$C$92^2*'PARAMÈTRES'!$C$88</f>
        <v>0.384</v>
      </c>
      <c r="X404">
        <f>X365*'PARAMÈTRES'!$C$92^2*'PARAMÈTRES'!$C$88</f>
        <v>0.384</v>
      </c>
    </row>
    <row r="405">
      <c r="A405" t="inlineStr">
        <is>
          <t>s2_ba_q</t>
        </is>
      </c>
      <c r="B405" t="inlineStr">
        <is>
          <t>GROS_ŒUVRE!E42</t>
        </is>
      </c>
      <c r="D405">
        <f>D365*'PARAMÈTRES'!$C$92^2*'PARAMÈTRES'!$C$93</f>
        <v>0.384</v>
      </c>
      <c r="E405">
        <f>E365*'PARAMÈTRES'!$C$92^2*'PARAMÈTRES'!$C$93</f>
        <v>0.384</v>
      </c>
      <c r="F405">
        <f>F365*'PARAMÈTRES'!$C$92^2*'PARAMÈTRES'!$C$93</f>
        <v>0.384</v>
      </c>
      <c r="G405">
        <f>G365*'PARAMÈTRES'!$C$92^2*'PARAMÈTRES'!$C$93</f>
        <v>0.768</v>
      </c>
      <c r="H405">
        <f>H365*'PARAMÈTRES'!$C$92^2*'PARAMÈTRES'!$C$93</f>
        <v>0.768</v>
      </c>
      <c r="I405">
        <f>I365*'PARAMÈTRES'!$C$92^2*'PARAMÈTRES'!$C$93</f>
        <v>0.768</v>
      </c>
      <c r="J405">
        <f>J365*'PARAMÈTRES'!$C$92^2*'PARAMÈTRES'!$C$93</f>
        <v>0.768</v>
      </c>
      <c r="K405">
        <f>K365*'PARAMÈTRES'!$C$92^2*'PARAMÈTRES'!$C$93</f>
        <v>0.768</v>
      </c>
      <c r="L405">
        <f>L365*'PARAMÈTRES'!$C$92^2*'PARAMÈTRES'!$C$93</f>
        <v>0.768</v>
      </c>
      <c r="M405">
        <f>M365*'PARAMÈTRES'!$C$92^2*'PARAMÈTRES'!$C$93</f>
        <v>1.152</v>
      </c>
      <c r="N405">
        <f>N365*'PARAMÈTRES'!$C$92^2*'PARAMÈTRES'!$C$93</f>
        <v>1.152</v>
      </c>
      <c r="O405">
        <f>O365*'PARAMÈTRES'!$C$92^2*'PARAMÈTRES'!$C$93</f>
        <v>1.152</v>
      </c>
      <c r="P405">
        <f>P365*'PARAMÈTRES'!$C$92^2*'PARAMÈTRES'!$C$93</f>
        <v>1.152</v>
      </c>
      <c r="Q405">
        <f>Q365*'PARAMÈTRES'!$C$92^2*'PARAMÈTRES'!$C$93</f>
        <v>1.152</v>
      </c>
      <c r="R405">
        <f>R365*'PARAMÈTRES'!$C$92^2*'PARAMÈTRES'!$C$93</f>
        <v>1.152</v>
      </c>
      <c r="S405">
        <f>S365*'PARAMÈTRES'!$C$92^2*'PARAMÈTRES'!$C$93</f>
        <v>1.536</v>
      </c>
      <c r="T405">
        <f>T365*'PARAMÈTRES'!$C$92^2*'PARAMÈTRES'!$C$93</f>
        <v>1.536</v>
      </c>
      <c r="U405">
        <f>U365*'PARAMÈTRES'!$C$92^2*'PARAMÈTRES'!$C$93</f>
        <v>1.536</v>
      </c>
      <c r="V405">
        <f>V365*'PARAMÈTRES'!$C$92^2*'PARAMÈTRES'!$C$93</f>
        <v>2.304</v>
      </c>
      <c r="W405">
        <f>W365*'PARAMÈTRES'!$C$92^2*'PARAMÈTRES'!$C$93</f>
        <v>2.304</v>
      </c>
      <c r="X405">
        <f>X365*'PARAMÈTRES'!$C$92^2*'PARAMÈTRES'!$C$93</f>
        <v>2.304</v>
      </c>
    </row>
    <row r="406">
      <c r="A406" t="inlineStr">
        <is>
          <t>s2_bf_q</t>
        </is>
      </c>
      <c r="B406" t="inlineStr">
        <is>
          <t>GROS_ŒUVRE!E43</t>
        </is>
      </c>
      <c r="D406">
        <f>D365*'PARAMÈTRES'!$C$94^2*'PARAMÈTRES'!$C$95</f>
        <v>0.216</v>
      </c>
      <c r="E406">
        <f>E365*'PARAMÈTRES'!$C$94^2*'PARAMÈTRES'!$C$95</f>
        <v>0.216</v>
      </c>
      <c r="F406">
        <f>F365*'PARAMÈTRES'!$C$94^2*'PARAMÈTRES'!$C$95</f>
        <v>0.216</v>
      </c>
      <c r="G406">
        <f>G365*'PARAMÈTRES'!$C$94^2*'PARAMÈTRES'!$C$95</f>
        <v>0.432</v>
      </c>
      <c r="H406">
        <f>H365*'PARAMÈTRES'!$C$94^2*'PARAMÈTRES'!$C$95</f>
        <v>0.432</v>
      </c>
      <c r="I406">
        <f>I365*'PARAMÈTRES'!$C$94^2*'PARAMÈTRES'!$C$95</f>
        <v>0.432</v>
      </c>
      <c r="J406">
        <f>J365*'PARAMÈTRES'!$C$94^2*'PARAMÈTRES'!$C$95</f>
        <v>0.432</v>
      </c>
      <c r="K406">
        <f>K365*'PARAMÈTRES'!$C$94^2*'PARAMÈTRES'!$C$95</f>
        <v>0.432</v>
      </c>
      <c r="L406">
        <f>L365*'PARAMÈTRES'!$C$94^2*'PARAMÈTRES'!$C$95</f>
        <v>0.432</v>
      </c>
      <c r="M406">
        <f>M365*'PARAMÈTRES'!$C$94^2*'PARAMÈTRES'!$C$95</f>
        <v>0.648</v>
      </c>
      <c r="N406">
        <f>N365*'PARAMÈTRES'!$C$94^2*'PARAMÈTRES'!$C$95</f>
        <v>0.648</v>
      </c>
      <c r="O406">
        <f>O365*'PARAMÈTRES'!$C$94^2*'PARAMÈTRES'!$C$95</f>
        <v>0.648</v>
      </c>
      <c r="P406">
        <f>P365*'PARAMÈTRES'!$C$94^2*'PARAMÈTRES'!$C$95</f>
        <v>0.648</v>
      </c>
      <c r="Q406">
        <f>Q365*'PARAMÈTRES'!$C$94^2*'PARAMÈTRES'!$C$95</f>
        <v>0.648</v>
      </c>
      <c r="R406">
        <f>R365*'PARAMÈTRES'!$C$94^2*'PARAMÈTRES'!$C$95</f>
        <v>0.648</v>
      </c>
      <c r="S406">
        <f>S365*'PARAMÈTRES'!$C$94^2*'PARAMÈTRES'!$C$95</f>
        <v>0.864</v>
      </c>
      <c r="T406">
        <f>T365*'PARAMÈTRES'!$C$94^2*'PARAMÈTRES'!$C$95</f>
        <v>0.864</v>
      </c>
      <c r="U406">
        <f>U365*'PARAMÈTRES'!$C$94^2*'PARAMÈTRES'!$C$95</f>
        <v>0.864</v>
      </c>
      <c r="V406">
        <f>V365*'PARAMÈTRES'!$C$94^2*'PARAMÈTRES'!$C$95</f>
        <v>1.296</v>
      </c>
      <c r="W406">
        <f>W365*'PARAMÈTRES'!$C$94^2*'PARAMÈTRES'!$C$95</f>
        <v>1.296</v>
      </c>
      <c r="X406">
        <f>X365*'PARAMÈTRES'!$C$94^2*'PARAMÈTRES'!$C$95</f>
        <v>1.296</v>
      </c>
    </row>
    <row r="407">
      <c r="A407" t="inlineStr">
        <is>
          <t>s2_cf_q</t>
        </is>
      </c>
      <c r="B407" t="inlineStr">
        <is>
          <t>GROS_ŒUVRE!E44</t>
        </is>
      </c>
      <c r="D407">
        <f>D365*(4*'PARAMÈTRES'!$C$92*'PARAMÈTRES'!$C$93+4*'PARAMÈTRES'!$C$94*'PARAMÈTRES'!$C$95)</f>
        <v>4.8</v>
      </c>
      <c r="E407">
        <f>E365*(4*'PARAMÈTRES'!$C$92*'PARAMÈTRES'!$C$93+4*'PARAMÈTRES'!$C$94*'PARAMÈTRES'!$C$95)</f>
        <v>4.8</v>
      </c>
      <c r="F407">
        <f>F365*(4*'PARAMÈTRES'!$C$92*'PARAMÈTRES'!$C$93+4*'PARAMÈTRES'!$C$94*'PARAMÈTRES'!$C$95)</f>
        <v>4.8</v>
      </c>
      <c r="G407">
        <f>G365*(4*'PARAMÈTRES'!$C$92*'PARAMÈTRES'!$C$93+4*'PARAMÈTRES'!$C$94*'PARAMÈTRES'!$C$95)</f>
        <v>9.6</v>
      </c>
      <c r="H407">
        <f>H365*(4*'PARAMÈTRES'!$C$92*'PARAMÈTRES'!$C$93+4*'PARAMÈTRES'!$C$94*'PARAMÈTRES'!$C$95)</f>
        <v>9.6</v>
      </c>
      <c r="I407">
        <f>I365*(4*'PARAMÈTRES'!$C$92*'PARAMÈTRES'!$C$93+4*'PARAMÈTRES'!$C$94*'PARAMÈTRES'!$C$95)</f>
        <v>9.6</v>
      </c>
      <c r="J407">
        <f>J365*(4*'PARAMÈTRES'!$C$92*'PARAMÈTRES'!$C$93+4*'PARAMÈTRES'!$C$94*'PARAMÈTRES'!$C$95)</f>
        <v>9.6</v>
      </c>
      <c r="K407">
        <f>K365*(4*'PARAMÈTRES'!$C$92*'PARAMÈTRES'!$C$93+4*'PARAMÈTRES'!$C$94*'PARAMÈTRES'!$C$95)</f>
        <v>9.6</v>
      </c>
      <c r="L407">
        <f>L365*(4*'PARAMÈTRES'!$C$92*'PARAMÈTRES'!$C$93+4*'PARAMÈTRES'!$C$94*'PARAMÈTRES'!$C$95)</f>
        <v>9.6</v>
      </c>
      <c r="M407">
        <f>M365*(4*'PARAMÈTRES'!$C$92*'PARAMÈTRES'!$C$93+4*'PARAMÈTRES'!$C$94*'PARAMÈTRES'!$C$95)</f>
        <v>14.4</v>
      </c>
      <c r="N407">
        <f>N365*(4*'PARAMÈTRES'!$C$92*'PARAMÈTRES'!$C$93+4*'PARAMÈTRES'!$C$94*'PARAMÈTRES'!$C$95)</f>
        <v>14.4</v>
      </c>
      <c r="O407">
        <f>O365*(4*'PARAMÈTRES'!$C$92*'PARAMÈTRES'!$C$93+4*'PARAMÈTRES'!$C$94*'PARAMÈTRES'!$C$95)</f>
        <v>14.4</v>
      </c>
      <c r="P407">
        <f>P365*(4*'PARAMÈTRES'!$C$92*'PARAMÈTRES'!$C$93+4*'PARAMÈTRES'!$C$94*'PARAMÈTRES'!$C$95)</f>
        <v>14.4</v>
      </c>
      <c r="Q407">
        <f>Q365*(4*'PARAMÈTRES'!$C$92*'PARAMÈTRES'!$C$93+4*'PARAMÈTRES'!$C$94*'PARAMÈTRES'!$C$95)</f>
        <v>14.4</v>
      </c>
      <c r="R407">
        <f>R365*(4*'PARAMÈTRES'!$C$92*'PARAMÈTRES'!$C$93+4*'PARAMÈTRES'!$C$94*'PARAMÈTRES'!$C$95)</f>
        <v>14.4</v>
      </c>
      <c r="S407">
        <f>S365*(4*'PARAMÈTRES'!$C$92*'PARAMÈTRES'!$C$93+4*'PARAMÈTRES'!$C$94*'PARAMÈTRES'!$C$95)</f>
        <v>19.2</v>
      </c>
      <c r="T407">
        <f>T365*(4*'PARAMÈTRES'!$C$92*'PARAMÈTRES'!$C$93+4*'PARAMÈTRES'!$C$94*'PARAMÈTRES'!$C$95)</f>
        <v>19.2</v>
      </c>
      <c r="U407">
        <f>U365*(4*'PARAMÈTRES'!$C$92*'PARAMÈTRES'!$C$93+4*'PARAMÈTRES'!$C$94*'PARAMÈTRES'!$C$95)</f>
        <v>19.2</v>
      </c>
      <c r="V407">
        <f>V365*(4*'PARAMÈTRES'!$C$92*'PARAMÈTRES'!$C$93+4*'PARAMÈTRES'!$C$94*'PARAMÈTRES'!$C$95)</f>
        <v>28.8</v>
      </c>
      <c r="W407">
        <f>W365*(4*'PARAMÈTRES'!$C$92*'PARAMÈTRES'!$C$93+4*'PARAMÈTRES'!$C$94*'PARAMÈTRES'!$C$95)</f>
        <v>28.8</v>
      </c>
      <c r="X407">
        <f>X365*(4*'PARAMÈTRES'!$C$92*'PARAMÈTRES'!$C$93+4*'PARAMÈTRES'!$C$94*'PARAMÈTRES'!$C$95)</f>
        <v>28.8</v>
      </c>
    </row>
    <row r="408">
      <c r="A408" t="inlineStr">
        <is>
          <t>s2_aq_p</t>
        </is>
      </c>
      <c r="B408" t="inlineStr">
        <is>
          <t>GROS_ŒUVRE!C45</t>
        </is>
      </c>
      <c r="D408" t="str">
        <f>'PARAMÈTRES'!$C$97</f>
        <v>HA12</v>
      </c>
      <c r="E408" t="str">
        <f>'PARAMÈTRES'!$C$97</f>
        <v>HA12</v>
      </c>
      <c r="F408" t="str">
        <f>'PARAMÈTRES'!$C$97</f>
        <v>HA12</v>
      </c>
      <c r="G408" t="str">
        <f>'PARAMÈTRES'!$C$97</f>
        <v>HA12</v>
      </c>
      <c r="H408" t="str">
        <f>'PARAMÈTRES'!$C$97</f>
        <v>HA12</v>
      </c>
      <c r="I408" t="str">
        <f>'PARAMÈTRES'!$C$97</f>
        <v>HA12</v>
      </c>
      <c r="J408" t="str">
        <f>'PARAMÈTRES'!$C$97</f>
        <v>HA12</v>
      </c>
      <c r="K408" t="str">
        <f>'PARAMÈTRES'!$C$97</f>
        <v>HA12</v>
      </c>
      <c r="L408" t="str">
        <f>'PARAMÈTRES'!$C$97</f>
        <v>HA12</v>
      </c>
      <c r="M408" t="str">
        <f>'PARAMÈTRES'!$C$97</f>
        <v>HA12</v>
      </c>
      <c r="N408" t="str">
        <f>'PARAMÈTRES'!$C$97</f>
        <v>HA12</v>
      </c>
      <c r="O408" t="str">
        <f>'PARAMÈTRES'!$C$97</f>
        <v>HA12</v>
      </c>
      <c r="P408" t="str">
        <f>'PARAMÈTRES'!$C$97</f>
        <v>HA12</v>
      </c>
      <c r="Q408" t="str">
        <f>'PARAMÈTRES'!$C$97</f>
        <v>HA12</v>
      </c>
      <c r="R408" t="str">
        <f>'PARAMÈTRES'!$C$97</f>
        <v>HA12</v>
      </c>
      <c r="S408" t="str">
        <f>'PARAMÈTRES'!$C$97</f>
        <v>HA12</v>
      </c>
      <c r="T408" t="str">
        <f>'PARAMÈTRES'!$C$97</f>
        <v>HA12</v>
      </c>
      <c r="U408" t="str">
        <f>'PARAMÈTRES'!$C$97</f>
        <v>HA12</v>
      </c>
      <c r="V408" t="str">
        <f>'PARAMÈTRES'!$C$97</f>
        <v>HA12</v>
      </c>
      <c r="W408" t="str">
        <f>'PARAMÈTRES'!$C$97</f>
        <v>HA12</v>
      </c>
      <c r="X408" t="str">
        <f>'PARAMÈTRES'!$C$97</f>
        <v>HA12</v>
      </c>
    </row>
    <row r="409">
      <c r="A409" t="inlineStr">
        <is>
          <t>s2_aq_q</t>
        </is>
      </c>
      <c r="B409" t="inlineStr">
        <is>
          <t>GROS_ŒUVRE!E45</t>
        </is>
      </c>
      <c r="D409">
        <f>D365*2*(ROUNDDOWN(('PARAMÈTRES'!$C$92-2*'PARAMÈTRES'!$C$108)/'PARAMÈTRES'!$C$96,0)+1)</f>
        <v>20</v>
      </c>
      <c r="E409">
        <f>E365*2*(ROUNDDOWN(('PARAMÈTRES'!$C$92-2*'PARAMÈTRES'!$C$108)/'PARAMÈTRES'!$C$96,0)+1)</f>
        <v>20</v>
      </c>
      <c r="F409">
        <f>F365*2*(ROUNDDOWN(('PARAMÈTRES'!$C$92-2*'PARAMÈTRES'!$C$108)/'PARAMÈTRES'!$C$96,0)+1)</f>
        <v>20</v>
      </c>
      <c r="G409">
        <f>G365*2*(ROUNDDOWN(('PARAMÈTRES'!$C$92-2*'PARAMÈTRES'!$C$108)/'PARAMÈTRES'!$C$96,0)+1)</f>
        <v>40</v>
      </c>
      <c r="H409">
        <f>H365*2*(ROUNDDOWN(('PARAMÈTRES'!$C$92-2*'PARAMÈTRES'!$C$108)/'PARAMÈTRES'!$C$96,0)+1)</f>
        <v>40</v>
      </c>
      <c r="I409">
        <f>I365*2*(ROUNDDOWN(('PARAMÈTRES'!$C$92-2*'PARAMÈTRES'!$C$108)/'PARAMÈTRES'!$C$96,0)+1)</f>
        <v>40</v>
      </c>
      <c r="J409">
        <f>J365*2*(ROUNDDOWN(('PARAMÈTRES'!$C$92-2*'PARAMÈTRES'!$C$108)/'PARAMÈTRES'!$C$96,0)+1)</f>
        <v>40</v>
      </c>
      <c r="K409">
        <f>K365*2*(ROUNDDOWN(('PARAMÈTRES'!$C$92-2*'PARAMÈTRES'!$C$108)/'PARAMÈTRES'!$C$96,0)+1)</f>
        <v>40</v>
      </c>
      <c r="L409">
        <f>L365*2*(ROUNDDOWN(('PARAMÈTRES'!$C$92-2*'PARAMÈTRES'!$C$108)/'PARAMÈTRES'!$C$96,0)+1)</f>
        <v>40</v>
      </c>
      <c r="M409">
        <f>M365*2*(ROUNDDOWN(('PARAMÈTRES'!$C$92-2*'PARAMÈTRES'!$C$108)/'PARAMÈTRES'!$C$96,0)+1)</f>
        <v>60</v>
      </c>
      <c r="N409">
        <f>N365*2*(ROUNDDOWN(('PARAMÈTRES'!$C$92-2*'PARAMÈTRES'!$C$108)/'PARAMÈTRES'!$C$96,0)+1)</f>
        <v>60</v>
      </c>
      <c r="O409">
        <f>O365*2*(ROUNDDOWN(('PARAMÈTRES'!$C$92-2*'PARAMÈTRES'!$C$108)/'PARAMÈTRES'!$C$96,0)+1)</f>
        <v>60</v>
      </c>
      <c r="P409">
        <f>P365*2*(ROUNDDOWN(('PARAMÈTRES'!$C$92-2*'PARAMÈTRES'!$C$108)/'PARAMÈTRES'!$C$96,0)+1)</f>
        <v>60</v>
      </c>
      <c r="Q409">
        <f>Q365*2*(ROUNDDOWN(('PARAMÈTRES'!$C$92-2*'PARAMÈTRES'!$C$108)/'PARAMÈTRES'!$C$96,0)+1)</f>
        <v>60</v>
      </c>
      <c r="R409">
        <f>R365*2*(ROUNDDOWN(('PARAMÈTRES'!$C$92-2*'PARAMÈTRES'!$C$108)/'PARAMÈTRES'!$C$96,0)+1)</f>
        <v>60</v>
      </c>
      <c r="S409">
        <f>S365*2*(ROUNDDOWN(('PARAMÈTRES'!$C$92-2*'PARAMÈTRES'!$C$108)/'PARAMÈTRES'!$C$96,0)+1)</f>
        <v>80</v>
      </c>
      <c r="T409">
        <f>T365*2*(ROUNDDOWN(('PARAMÈTRES'!$C$92-2*'PARAMÈTRES'!$C$108)/'PARAMÈTRES'!$C$96,0)+1)</f>
        <v>80</v>
      </c>
      <c r="U409">
        <f>U365*2*(ROUNDDOWN(('PARAMÈTRES'!$C$92-2*'PARAMÈTRES'!$C$108)/'PARAMÈTRES'!$C$96,0)+1)</f>
        <v>80</v>
      </c>
      <c r="V409">
        <f>V365*2*(ROUNDDOWN(('PARAMÈTRES'!$C$92-2*'PARAMÈTRES'!$C$108)/'PARAMÈTRES'!$C$96,0)+1)</f>
        <v>120</v>
      </c>
      <c r="W409">
        <f>W365*2*(ROUNDDOWN(('PARAMÈTRES'!$C$92-2*'PARAMÈTRES'!$C$108)/'PARAMÈTRES'!$C$96,0)+1)</f>
        <v>120</v>
      </c>
      <c r="X409">
        <f>X365*2*(ROUNDDOWN(('PARAMÈTRES'!$C$92-2*'PARAMÈTRES'!$C$108)/'PARAMÈTRES'!$C$96,0)+1)</f>
        <v>120</v>
      </c>
    </row>
    <row r="410">
      <c r="A410" t="inlineStr">
        <is>
          <t>s2_aq_lu</t>
        </is>
      </c>
      <c r="B410" t="inlineStr">
        <is>
          <t>GROS_ŒUVRE!F45</t>
        </is>
      </c>
      <c r="D410">
        <f>'PARAMÈTRES'!$C$92-2*'PARAMÈTRES'!$C$108+2*'PARAMÈTRES'!$C$109</f>
        <v>1</v>
      </c>
      <c r="E410">
        <f>'PARAMÈTRES'!$C$92-2*'PARAMÈTRES'!$C$108+2*'PARAMÈTRES'!$C$109</f>
        <v>1</v>
      </c>
      <c r="F410">
        <f>'PARAMÈTRES'!$C$92-2*'PARAMÈTRES'!$C$108+2*'PARAMÈTRES'!$C$109</f>
        <v>1</v>
      </c>
      <c r="G410">
        <f>'PARAMÈTRES'!$C$92-2*'PARAMÈTRES'!$C$108+2*'PARAMÈTRES'!$C$109</f>
        <v>1</v>
      </c>
      <c r="H410">
        <f>'PARAMÈTRES'!$C$92-2*'PARAMÈTRES'!$C$108+2*'PARAMÈTRES'!$C$109</f>
        <v>1</v>
      </c>
      <c r="I410">
        <f>'PARAMÈTRES'!$C$92-2*'PARAMÈTRES'!$C$108+2*'PARAMÈTRES'!$C$109</f>
        <v>1</v>
      </c>
      <c r="J410">
        <f>'PARAMÈTRES'!$C$92-2*'PARAMÈTRES'!$C$108+2*'PARAMÈTRES'!$C$109</f>
        <v>1</v>
      </c>
      <c r="K410">
        <f>'PARAMÈTRES'!$C$92-2*'PARAMÈTRES'!$C$108+2*'PARAMÈTRES'!$C$109</f>
        <v>1</v>
      </c>
      <c r="L410">
        <f>'PARAMÈTRES'!$C$92-2*'PARAMÈTRES'!$C$108+2*'PARAMÈTRES'!$C$109</f>
        <v>1</v>
      </c>
      <c r="M410">
        <f>'PARAMÈTRES'!$C$92-2*'PARAMÈTRES'!$C$108+2*'PARAMÈTRES'!$C$109</f>
        <v>1</v>
      </c>
      <c r="N410">
        <f>'PARAMÈTRES'!$C$92-2*'PARAMÈTRES'!$C$108+2*'PARAMÈTRES'!$C$109</f>
        <v>1</v>
      </c>
      <c r="O410">
        <f>'PARAMÈTRES'!$C$92-2*'PARAMÈTRES'!$C$108+2*'PARAMÈTRES'!$C$109</f>
        <v>1</v>
      </c>
      <c r="P410">
        <f>'PARAMÈTRES'!$C$92-2*'PARAMÈTRES'!$C$108+2*'PARAMÈTRES'!$C$109</f>
        <v>1</v>
      </c>
      <c r="Q410">
        <f>'PARAMÈTRES'!$C$92-2*'PARAMÈTRES'!$C$108+2*'PARAMÈTRES'!$C$109</f>
        <v>1</v>
      </c>
      <c r="R410">
        <f>'PARAMÈTRES'!$C$92-2*'PARAMÈTRES'!$C$108+2*'PARAMÈTRES'!$C$109</f>
        <v>1</v>
      </c>
      <c r="S410">
        <f>'PARAMÈTRES'!$C$92-2*'PARAMÈTRES'!$C$108+2*'PARAMÈTRES'!$C$109</f>
        <v>1</v>
      </c>
      <c r="T410">
        <f>'PARAMÈTRES'!$C$92-2*'PARAMÈTRES'!$C$108+2*'PARAMÈTRES'!$C$109</f>
        <v>1</v>
      </c>
      <c r="U410">
        <f>'PARAMÈTRES'!$C$92-2*'PARAMÈTRES'!$C$108+2*'PARAMÈTRES'!$C$109</f>
        <v>1</v>
      </c>
      <c r="V410">
        <f>'PARAMÈTRES'!$C$92-2*'PARAMÈTRES'!$C$108+2*'PARAMÈTRES'!$C$109</f>
        <v>1</v>
      </c>
      <c r="W410">
        <f>'PARAMÈTRES'!$C$92-2*'PARAMÈTRES'!$C$108+2*'PARAMÈTRES'!$C$109</f>
        <v>1</v>
      </c>
      <c r="X410">
        <f>'PARAMÈTRES'!$C$92-2*'PARAMÈTRES'!$C$108+2*'PARAMÈTRES'!$C$109</f>
        <v>1</v>
      </c>
    </row>
    <row r="411">
      <c r="A411" t="inlineStr">
        <is>
          <t>s2_aq_lt</t>
        </is>
      </c>
      <c r="B411" t="inlineStr">
        <is>
          <t>GROS_ŒUVRE!G45</t>
        </is>
      </c>
      <c r="D411">
        <f>D409*D410</f>
        <v>20</v>
      </c>
      <c r="E411">
        <f>E409*E410</f>
        <v>20</v>
      </c>
      <c r="F411">
        <f>F409*F410</f>
        <v>20</v>
      </c>
      <c r="G411">
        <f>G409*G410</f>
        <v>40</v>
      </c>
      <c r="H411">
        <f>H409*H410</f>
        <v>40</v>
      </c>
      <c r="I411">
        <f>I409*I410</f>
        <v>40</v>
      </c>
      <c r="J411">
        <f>J409*J410</f>
        <v>40</v>
      </c>
      <c r="K411">
        <f>K409*K410</f>
        <v>40</v>
      </c>
      <c r="L411">
        <f>L409*L410</f>
        <v>40</v>
      </c>
      <c r="M411">
        <f>M409*M410</f>
        <v>60</v>
      </c>
      <c r="N411">
        <f>N409*N410</f>
        <v>60</v>
      </c>
      <c r="O411">
        <f>O409*O410</f>
        <v>60</v>
      </c>
      <c r="P411">
        <f>P409*P410</f>
        <v>60</v>
      </c>
      <c r="Q411">
        <f>Q409*Q410</f>
        <v>60</v>
      </c>
      <c r="R411">
        <f>R409*R410</f>
        <v>60</v>
      </c>
      <c r="S411">
        <f>S409*S410</f>
        <v>80</v>
      </c>
      <c r="T411">
        <f>T409*T410</f>
        <v>80</v>
      </c>
      <c r="U411">
        <f>U409*U410</f>
        <v>80</v>
      </c>
      <c r="V411">
        <f>V409*V410</f>
        <v>120</v>
      </c>
      <c r="W411">
        <f>W409*W410</f>
        <v>120</v>
      </c>
      <c r="X411">
        <f>X409*X410</f>
        <v>120</v>
      </c>
    </row>
    <row r="412">
      <c r="A412" t="inlineStr">
        <is>
          <t>s2_aq_kgml</t>
        </is>
      </c>
      <c r="B412" t="inlineStr">
        <is>
          <t>GROS_ŒUVRE!H45</t>
        </is>
      </c>
      <c r="D412">
        <f>IFERROR(_xlfn.XLOOKUP('PARAMÈTRES'!$C$97,'BASE_ACIERS'!$B$5:$B$20,'BASE_ACIERS'!$D$5:$D$20),IFERROR(INDEX('BASE_ACIERS'!$D$5:$D$20,MATCH('PARAMÈTRES'!$C$97,'BASE_ACIERS'!$B$5:$B$20,0)),0))</f>
        <v>0.888</v>
      </c>
      <c r="E412">
        <f>IFERROR(_xlfn.XLOOKUP('PARAMÈTRES'!$C$97,'BASE_ACIERS'!$B$5:$B$20,'BASE_ACIERS'!$D$5:$D$20),IFERROR(INDEX('BASE_ACIERS'!$D$5:$D$20,MATCH('PARAMÈTRES'!$C$97,'BASE_ACIERS'!$B$5:$B$20,0)),0))</f>
        <v>0.888</v>
      </c>
      <c r="F412">
        <f>IFERROR(_xlfn.XLOOKUP('PARAMÈTRES'!$C$97,'BASE_ACIERS'!$B$5:$B$20,'BASE_ACIERS'!$D$5:$D$20),IFERROR(INDEX('BASE_ACIERS'!$D$5:$D$20,MATCH('PARAMÈTRES'!$C$97,'BASE_ACIERS'!$B$5:$B$20,0)),0))</f>
        <v>0.888</v>
      </c>
      <c r="G412">
        <f>IFERROR(_xlfn.XLOOKUP('PARAMÈTRES'!$C$97,'BASE_ACIERS'!$B$5:$B$20,'BASE_ACIERS'!$D$5:$D$20),IFERROR(INDEX('BASE_ACIERS'!$D$5:$D$20,MATCH('PARAMÈTRES'!$C$97,'BASE_ACIERS'!$B$5:$B$20,0)),0))</f>
        <v>0.888</v>
      </c>
      <c r="H412">
        <f>IFERROR(_xlfn.XLOOKUP('PARAMÈTRES'!$C$97,'BASE_ACIERS'!$B$5:$B$20,'BASE_ACIERS'!$D$5:$D$20),IFERROR(INDEX('BASE_ACIERS'!$D$5:$D$20,MATCH('PARAMÈTRES'!$C$97,'BASE_ACIERS'!$B$5:$B$20,0)),0))</f>
        <v>0.888</v>
      </c>
      <c r="I412">
        <f>IFERROR(_xlfn.XLOOKUP('PARAMÈTRES'!$C$97,'BASE_ACIERS'!$B$5:$B$20,'BASE_ACIERS'!$D$5:$D$20),IFERROR(INDEX('BASE_ACIERS'!$D$5:$D$20,MATCH('PARAMÈTRES'!$C$97,'BASE_ACIERS'!$B$5:$B$20,0)),0))</f>
        <v>0.888</v>
      </c>
      <c r="J412">
        <f>IFERROR(_xlfn.XLOOKUP('PARAMÈTRES'!$C$97,'BASE_ACIERS'!$B$5:$B$20,'BASE_ACIERS'!$D$5:$D$20),IFERROR(INDEX('BASE_ACIERS'!$D$5:$D$20,MATCH('PARAMÈTRES'!$C$97,'BASE_ACIERS'!$B$5:$B$20,0)),0))</f>
        <v>0.888</v>
      </c>
      <c r="K412">
        <f>IFERROR(_xlfn.XLOOKUP('PARAMÈTRES'!$C$97,'BASE_ACIERS'!$B$5:$B$20,'BASE_ACIERS'!$D$5:$D$20),IFERROR(INDEX('BASE_ACIERS'!$D$5:$D$20,MATCH('PARAMÈTRES'!$C$97,'BASE_ACIERS'!$B$5:$B$20,0)),0))</f>
        <v>0.888</v>
      </c>
      <c r="L412">
        <f>IFERROR(_xlfn.XLOOKUP('PARAMÈTRES'!$C$97,'BASE_ACIERS'!$B$5:$B$20,'BASE_ACIERS'!$D$5:$D$20),IFERROR(INDEX('BASE_ACIERS'!$D$5:$D$20,MATCH('PARAMÈTRES'!$C$97,'BASE_ACIERS'!$B$5:$B$20,0)),0))</f>
        <v>0.888</v>
      </c>
      <c r="M412">
        <f>IFERROR(_xlfn.XLOOKUP('PARAMÈTRES'!$C$97,'BASE_ACIERS'!$B$5:$B$20,'BASE_ACIERS'!$D$5:$D$20),IFERROR(INDEX('BASE_ACIERS'!$D$5:$D$20,MATCH('PARAMÈTRES'!$C$97,'BASE_ACIERS'!$B$5:$B$20,0)),0))</f>
        <v>0.888</v>
      </c>
      <c r="N412">
        <f>IFERROR(_xlfn.XLOOKUP('PARAMÈTRES'!$C$97,'BASE_ACIERS'!$B$5:$B$20,'BASE_ACIERS'!$D$5:$D$20),IFERROR(INDEX('BASE_ACIERS'!$D$5:$D$20,MATCH('PARAMÈTRES'!$C$97,'BASE_ACIERS'!$B$5:$B$20,0)),0))</f>
        <v>0.888</v>
      </c>
      <c r="O412">
        <f>IFERROR(_xlfn.XLOOKUP('PARAMÈTRES'!$C$97,'BASE_ACIERS'!$B$5:$B$20,'BASE_ACIERS'!$D$5:$D$20),IFERROR(INDEX('BASE_ACIERS'!$D$5:$D$20,MATCH('PARAMÈTRES'!$C$97,'BASE_ACIERS'!$B$5:$B$20,0)),0))</f>
        <v>0.888</v>
      </c>
      <c r="P412">
        <f>IFERROR(_xlfn.XLOOKUP('PARAMÈTRES'!$C$97,'BASE_ACIERS'!$B$5:$B$20,'BASE_ACIERS'!$D$5:$D$20),IFERROR(INDEX('BASE_ACIERS'!$D$5:$D$20,MATCH('PARAMÈTRES'!$C$97,'BASE_ACIERS'!$B$5:$B$20,0)),0))</f>
        <v>0.888</v>
      </c>
      <c r="Q412">
        <f>IFERROR(_xlfn.XLOOKUP('PARAMÈTRES'!$C$97,'BASE_ACIERS'!$B$5:$B$20,'BASE_ACIERS'!$D$5:$D$20),IFERROR(INDEX('BASE_ACIERS'!$D$5:$D$20,MATCH('PARAMÈTRES'!$C$97,'BASE_ACIERS'!$B$5:$B$20,0)),0))</f>
        <v>0.888</v>
      </c>
      <c r="R412">
        <f>IFERROR(_xlfn.XLOOKUP('PARAMÈTRES'!$C$97,'BASE_ACIERS'!$B$5:$B$20,'BASE_ACIERS'!$D$5:$D$20),IFERROR(INDEX('BASE_ACIERS'!$D$5:$D$20,MATCH('PARAMÈTRES'!$C$97,'BASE_ACIERS'!$B$5:$B$20,0)),0))</f>
        <v>0.888</v>
      </c>
      <c r="S412">
        <f>IFERROR(_xlfn.XLOOKUP('PARAMÈTRES'!$C$97,'BASE_ACIERS'!$B$5:$B$20,'BASE_ACIERS'!$D$5:$D$20),IFERROR(INDEX('BASE_ACIERS'!$D$5:$D$20,MATCH('PARAMÈTRES'!$C$97,'BASE_ACIERS'!$B$5:$B$20,0)),0))</f>
        <v>0.888</v>
      </c>
      <c r="T412">
        <f>IFERROR(_xlfn.XLOOKUP('PARAMÈTRES'!$C$97,'BASE_ACIERS'!$B$5:$B$20,'BASE_ACIERS'!$D$5:$D$20),IFERROR(INDEX('BASE_ACIERS'!$D$5:$D$20,MATCH('PARAMÈTRES'!$C$97,'BASE_ACIERS'!$B$5:$B$20,0)),0))</f>
        <v>0.888</v>
      </c>
      <c r="U412">
        <f>IFERROR(_xlfn.XLOOKUP('PARAMÈTRES'!$C$97,'BASE_ACIERS'!$B$5:$B$20,'BASE_ACIERS'!$D$5:$D$20),IFERROR(INDEX('BASE_ACIERS'!$D$5:$D$20,MATCH('PARAMÈTRES'!$C$97,'BASE_ACIERS'!$B$5:$B$20,0)),0))</f>
        <v>0.888</v>
      </c>
      <c r="V412">
        <f>IFERROR(_xlfn.XLOOKUP('PARAMÈTRES'!$C$97,'BASE_ACIERS'!$B$5:$B$20,'BASE_ACIERS'!$D$5:$D$20),IFERROR(INDEX('BASE_ACIERS'!$D$5:$D$20,MATCH('PARAMÈTRES'!$C$97,'BASE_ACIERS'!$B$5:$B$20,0)),0))</f>
        <v>0.888</v>
      </c>
      <c r="W412">
        <f>IFERROR(_xlfn.XLOOKUP('PARAMÈTRES'!$C$97,'BASE_ACIERS'!$B$5:$B$20,'BASE_ACIERS'!$D$5:$D$20),IFERROR(INDEX('BASE_ACIERS'!$D$5:$D$20,MATCH('PARAMÈTRES'!$C$97,'BASE_ACIERS'!$B$5:$B$20,0)),0))</f>
        <v>0.888</v>
      </c>
      <c r="X412">
        <f>IFERROR(_xlfn.XLOOKUP('PARAMÈTRES'!$C$97,'BASE_ACIERS'!$B$5:$B$20,'BASE_ACIERS'!$D$5:$D$20),IFERROR(INDEX('BASE_ACIERS'!$D$5:$D$20,MATCH('PARAMÈTRES'!$C$97,'BASE_ACIERS'!$B$5:$B$20,0)),0))</f>
        <v>0.888</v>
      </c>
    </row>
    <row r="413">
      <c r="A413" t="inlineStr">
        <is>
          <t>s2_aq_kg</t>
        </is>
      </c>
      <c r="B413" t="inlineStr">
        <is>
          <t>GROS_ŒUVRE!I45</t>
        </is>
      </c>
      <c r="D413">
        <f>D411*D412</f>
        <v>17.76</v>
      </c>
      <c r="E413">
        <f>E411*E412</f>
        <v>17.76</v>
      </c>
      <c r="F413">
        <f>F411*F412</f>
        <v>17.76</v>
      </c>
      <c r="G413">
        <f>G411*G412</f>
        <v>35.52</v>
      </c>
      <c r="H413">
        <f>H411*H412</f>
        <v>35.52</v>
      </c>
      <c r="I413">
        <f>I411*I412</f>
        <v>35.52</v>
      </c>
      <c r="J413">
        <f>J411*J412</f>
        <v>35.52</v>
      </c>
      <c r="K413">
        <f>K411*K412</f>
        <v>35.52</v>
      </c>
      <c r="L413">
        <f>L411*L412</f>
        <v>35.52</v>
      </c>
      <c r="M413">
        <f>M411*M412</f>
        <v>53.28</v>
      </c>
      <c r="N413">
        <f>N411*N412</f>
        <v>53.28</v>
      </c>
      <c r="O413">
        <f>O411*O412</f>
        <v>53.28</v>
      </c>
      <c r="P413">
        <f>P411*P412</f>
        <v>53.28</v>
      </c>
      <c r="Q413">
        <f>Q411*Q412</f>
        <v>53.28</v>
      </c>
      <c r="R413">
        <f>R411*R412</f>
        <v>53.28</v>
      </c>
      <c r="S413">
        <f>S411*S412</f>
        <v>71.04</v>
      </c>
      <c r="T413">
        <f>T411*T412</f>
        <v>71.04</v>
      </c>
      <c r="U413">
        <f>U411*U412</f>
        <v>71.04</v>
      </c>
      <c r="V413">
        <f>V411*V412</f>
        <v>106.56</v>
      </c>
      <c r="W413">
        <f>W411*W412</f>
        <v>106.56</v>
      </c>
      <c r="X413">
        <f>X411*X412</f>
        <v>106.56</v>
      </c>
    </row>
    <row r="414">
      <c r="A414" t="inlineStr">
        <is>
          <t>s2_af_p</t>
        </is>
      </c>
      <c r="B414" t="inlineStr">
        <is>
          <t>GROS_ŒUVRE!C46</t>
        </is>
      </c>
      <c r="D414" t="str">
        <f>'PARAMÈTRES'!$C$98</f>
        <v>HA12</v>
      </c>
      <c r="E414" t="str">
        <f>'PARAMÈTRES'!$C$98</f>
        <v>HA12</v>
      </c>
      <c r="F414" t="str">
        <f>'PARAMÈTRES'!$C$98</f>
        <v>HA12</v>
      </c>
      <c r="G414" t="str">
        <f>'PARAMÈTRES'!$C$98</f>
        <v>HA12</v>
      </c>
      <c r="H414" t="str">
        <f>'PARAMÈTRES'!$C$98</f>
        <v>HA12</v>
      </c>
      <c r="I414" t="str">
        <f>'PARAMÈTRES'!$C$98</f>
        <v>HA12</v>
      </c>
      <c r="J414" t="str">
        <f>'PARAMÈTRES'!$C$98</f>
        <v>HA12</v>
      </c>
      <c r="K414" t="str">
        <f>'PARAMÈTRES'!$C$98</f>
        <v>HA12</v>
      </c>
      <c r="L414" t="str">
        <f>'PARAMÈTRES'!$C$98</f>
        <v>HA12</v>
      </c>
      <c r="M414" t="str">
        <f>'PARAMÈTRES'!$C$98</f>
        <v>HA12</v>
      </c>
      <c r="N414" t="str">
        <f>'PARAMÈTRES'!$C$98</f>
        <v>HA12</v>
      </c>
      <c r="O414" t="str">
        <f>'PARAMÈTRES'!$C$98</f>
        <v>HA12</v>
      </c>
      <c r="P414" t="str">
        <f>'PARAMÈTRES'!$C$98</f>
        <v>HA12</v>
      </c>
      <c r="Q414" t="str">
        <f>'PARAMÈTRES'!$C$98</f>
        <v>HA12</v>
      </c>
      <c r="R414" t="str">
        <f>'PARAMÈTRES'!$C$98</f>
        <v>HA12</v>
      </c>
      <c r="S414" t="str">
        <f>'PARAMÈTRES'!$C$98</f>
        <v>HA12</v>
      </c>
      <c r="T414" t="str">
        <f>'PARAMÈTRES'!$C$98</f>
        <v>HA12</v>
      </c>
      <c r="U414" t="str">
        <f>'PARAMÈTRES'!$C$98</f>
        <v>HA12</v>
      </c>
      <c r="V414" t="str">
        <f>'PARAMÈTRES'!$C$98</f>
        <v>HA12</v>
      </c>
      <c r="W414" t="str">
        <f>'PARAMÈTRES'!$C$98</f>
        <v>HA12</v>
      </c>
      <c r="X414" t="str">
        <f>'PARAMÈTRES'!$C$98</f>
        <v>HA12</v>
      </c>
    </row>
    <row r="415">
      <c r="A415" t="inlineStr">
        <is>
          <t>s2_af_q</t>
        </is>
      </c>
      <c r="B415" t="inlineStr">
        <is>
          <t>GROS_ŒUVRE!E46</t>
        </is>
      </c>
      <c r="D415">
        <f>D365*'PARAMÈTRES'!$C$99</f>
        <v>8</v>
      </c>
      <c r="E415">
        <f>E365*'PARAMÈTRES'!$C$99</f>
        <v>8</v>
      </c>
      <c r="F415">
        <f>F365*'PARAMÈTRES'!$C$99</f>
        <v>8</v>
      </c>
      <c r="G415">
        <f>G365*'PARAMÈTRES'!$C$99</f>
        <v>16</v>
      </c>
      <c r="H415">
        <f>H365*'PARAMÈTRES'!$C$99</f>
        <v>16</v>
      </c>
      <c r="I415">
        <f>I365*'PARAMÈTRES'!$C$99</f>
        <v>16</v>
      </c>
      <c r="J415">
        <f>J365*'PARAMÈTRES'!$C$99</f>
        <v>16</v>
      </c>
      <c r="K415">
        <f>K365*'PARAMÈTRES'!$C$99</f>
        <v>16</v>
      </c>
      <c r="L415">
        <f>L365*'PARAMÈTRES'!$C$99</f>
        <v>16</v>
      </c>
      <c r="M415">
        <f>M365*'PARAMÈTRES'!$C$99</f>
        <v>24</v>
      </c>
      <c r="N415">
        <f>N365*'PARAMÈTRES'!$C$99</f>
        <v>24</v>
      </c>
      <c r="O415">
        <f>O365*'PARAMÈTRES'!$C$99</f>
        <v>24</v>
      </c>
      <c r="P415">
        <f>P365*'PARAMÈTRES'!$C$99</f>
        <v>24</v>
      </c>
      <c r="Q415">
        <f>Q365*'PARAMÈTRES'!$C$99</f>
        <v>24</v>
      </c>
      <c r="R415">
        <f>R365*'PARAMÈTRES'!$C$99</f>
        <v>24</v>
      </c>
      <c r="S415">
        <f>S365*'PARAMÈTRES'!$C$99</f>
        <v>32</v>
      </c>
      <c r="T415">
        <f>T365*'PARAMÈTRES'!$C$99</f>
        <v>32</v>
      </c>
      <c r="U415">
        <f>U365*'PARAMÈTRES'!$C$99</f>
        <v>32</v>
      </c>
      <c r="V415">
        <f>V365*'PARAMÈTRES'!$C$99</f>
        <v>48</v>
      </c>
      <c r="W415">
        <f>W365*'PARAMÈTRES'!$C$99</f>
        <v>48</v>
      </c>
      <c r="X415">
        <f>X365*'PARAMÈTRES'!$C$99</f>
        <v>48</v>
      </c>
    </row>
    <row r="416">
      <c r="A416" t="inlineStr">
        <is>
          <t>s2_af_lu</t>
        </is>
      </c>
      <c r="B416" t="inlineStr">
        <is>
          <t>GROS_ŒUVRE!F46</t>
        </is>
      </c>
      <c r="D416">
        <f>'PARAMÈTRES'!$C$95+'PARAMÈTRES'!$C$93-'PARAMÈTRES'!$C$108+'PARAMÈTRES'!$C$109</f>
        <v>1.6</v>
      </c>
      <c r="E416">
        <f>'PARAMÈTRES'!$C$95+'PARAMÈTRES'!$C$93-'PARAMÈTRES'!$C$108+'PARAMÈTRES'!$C$109</f>
        <v>1.6</v>
      </c>
      <c r="F416">
        <f>'PARAMÈTRES'!$C$95+'PARAMÈTRES'!$C$93-'PARAMÈTRES'!$C$108+'PARAMÈTRES'!$C$109</f>
        <v>1.6</v>
      </c>
      <c r="G416">
        <f>'PARAMÈTRES'!$C$95+'PARAMÈTRES'!$C$93-'PARAMÈTRES'!$C$108+'PARAMÈTRES'!$C$109</f>
        <v>1.6</v>
      </c>
      <c r="H416">
        <f>'PARAMÈTRES'!$C$95+'PARAMÈTRES'!$C$93-'PARAMÈTRES'!$C$108+'PARAMÈTRES'!$C$109</f>
        <v>1.6</v>
      </c>
      <c r="I416">
        <f>'PARAMÈTRES'!$C$95+'PARAMÈTRES'!$C$93-'PARAMÈTRES'!$C$108+'PARAMÈTRES'!$C$109</f>
        <v>1.6</v>
      </c>
      <c r="J416">
        <f>'PARAMÈTRES'!$C$95+'PARAMÈTRES'!$C$93-'PARAMÈTRES'!$C$108+'PARAMÈTRES'!$C$109</f>
        <v>1.6</v>
      </c>
      <c r="K416">
        <f>'PARAMÈTRES'!$C$95+'PARAMÈTRES'!$C$93-'PARAMÈTRES'!$C$108+'PARAMÈTRES'!$C$109</f>
        <v>1.6</v>
      </c>
      <c r="L416">
        <f>'PARAMÈTRES'!$C$95+'PARAMÈTRES'!$C$93-'PARAMÈTRES'!$C$108+'PARAMÈTRES'!$C$109</f>
        <v>1.6</v>
      </c>
      <c r="M416">
        <f>'PARAMÈTRES'!$C$95+'PARAMÈTRES'!$C$93-'PARAMÈTRES'!$C$108+'PARAMÈTRES'!$C$109</f>
        <v>1.6</v>
      </c>
      <c r="N416">
        <f>'PARAMÈTRES'!$C$95+'PARAMÈTRES'!$C$93-'PARAMÈTRES'!$C$108+'PARAMÈTRES'!$C$109</f>
        <v>1.6</v>
      </c>
      <c r="O416">
        <f>'PARAMÈTRES'!$C$95+'PARAMÈTRES'!$C$93-'PARAMÈTRES'!$C$108+'PARAMÈTRES'!$C$109</f>
        <v>1.6</v>
      </c>
      <c r="P416">
        <f>'PARAMÈTRES'!$C$95+'PARAMÈTRES'!$C$93-'PARAMÈTRES'!$C$108+'PARAMÈTRES'!$C$109</f>
        <v>1.6</v>
      </c>
      <c r="Q416">
        <f>'PARAMÈTRES'!$C$95+'PARAMÈTRES'!$C$93-'PARAMÈTRES'!$C$108+'PARAMÈTRES'!$C$109</f>
        <v>1.6</v>
      </c>
      <c r="R416">
        <f>'PARAMÈTRES'!$C$95+'PARAMÈTRES'!$C$93-'PARAMÈTRES'!$C$108+'PARAMÈTRES'!$C$109</f>
        <v>1.6</v>
      </c>
      <c r="S416">
        <f>'PARAMÈTRES'!$C$95+'PARAMÈTRES'!$C$93-'PARAMÈTRES'!$C$108+'PARAMÈTRES'!$C$109</f>
        <v>1.6</v>
      </c>
      <c r="T416">
        <f>'PARAMÈTRES'!$C$95+'PARAMÈTRES'!$C$93-'PARAMÈTRES'!$C$108+'PARAMÈTRES'!$C$109</f>
        <v>1.6</v>
      </c>
      <c r="U416">
        <f>'PARAMÈTRES'!$C$95+'PARAMÈTRES'!$C$93-'PARAMÈTRES'!$C$108+'PARAMÈTRES'!$C$109</f>
        <v>1.6</v>
      </c>
      <c r="V416">
        <f>'PARAMÈTRES'!$C$95+'PARAMÈTRES'!$C$93-'PARAMÈTRES'!$C$108+'PARAMÈTRES'!$C$109</f>
        <v>1.6</v>
      </c>
      <c r="W416">
        <f>'PARAMÈTRES'!$C$95+'PARAMÈTRES'!$C$93-'PARAMÈTRES'!$C$108+'PARAMÈTRES'!$C$109</f>
        <v>1.6</v>
      </c>
      <c r="X416">
        <f>'PARAMÈTRES'!$C$95+'PARAMÈTRES'!$C$93-'PARAMÈTRES'!$C$108+'PARAMÈTRES'!$C$109</f>
        <v>1.6</v>
      </c>
    </row>
    <row r="417">
      <c r="A417" t="inlineStr">
        <is>
          <t>s2_af_lt</t>
        </is>
      </c>
      <c r="B417" t="inlineStr">
        <is>
          <t>GROS_ŒUVRE!G46</t>
        </is>
      </c>
      <c r="D417">
        <f>D415*D416</f>
        <v>12.8</v>
      </c>
      <c r="E417">
        <f>E415*E416</f>
        <v>12.8</v>
      </c>
      <c r="F417">
        <f>F415*F416</f>
        <v>12.8</v>
      </c>
      <c r="G417">
        <f>G415*G416</f>
        <v>25.6</v>
      </c>
      <c r="H417">
        <f>H415*H416</f>
        <v>25.6</v>
      </c>
      <c r="I417">
        <f>I415*I416</f>
        <v>25.6</v>
      </c>
      <c r="J417">
        <f>J415*J416</f>
        <v>25.6</v>
      </c>
      <c r="K417">
        <f>K415*K416</f>
        <v>25.6</v>
      </c>
      <c r="L417">
        <f>L415*L416</f>
        <v>25.6</v>
      </c>
      <c r="M417">
        <f>M415*M416</f>
        <v>38.4</v>
      </c>
      <c r="N417">
        <f>N415*N416</f>
        <v>38.4</v>
      </c>
      <c r="O417">
        <f>O415*O416</f>
        <v>38.4</v>
      </c>
      <c r="P417">
        <f>P415*P416</f>
        <v>38.4</v>
      </c>
      <c r="Q417">
        <f>Q415*Q416</f>
        <v>38.4</v>
      </c>
      <c r="R417">
        <f>R415*R416</f>
        <v>38.4</v>
      </c>
      <c r="S417">
        <f>S415*S416</f>
        <v>51.2</v>
      </c>
      <c r="T417">
        <f>T415*T416</f>
        <v>51.2</v>
      </c>
      <c r="U417">
        <f>U415*U416</f>
        <v>51.2</v>
      </c>
      <c r="V417">
        <f>V415*V416</f>
        <v>76.8</v>
      </c>
      <c r="W417">
        <f>W415*W416</f>
        <v>76.8</v>
      </c>
      <c r="X417">
        <f>X415*X416</f>
        <v>76.8</v>
      </c>
    </row>
    <row r="418">
      <c r="A418" t="inlineStr">
        <is>
          <t>s2_af_kgml</t>
        </is>
      </c>
      <c r="B418" t="inlineStr">
        <is>
          <t>GROS_ŒUVRE!H46</t>
        </is>
      </c>
      <c r="D418">
        <f>IFERROR(_xlfn.XLOOKUP('PARAMÈTRES'!$C$98,'BASE_ACIERS'!$B$5:$B$20,'BASE_ACIERS'!$D$5:$D$20),IFERROR(INDEX('BASE_ACIERS'!$D$5:$D$20,MATCH('PARAMÈTRES'!$C$98,'BASE_ACIERS'!$B$5:$B$20,0)),0))</f>
        <v>0.888</v>
      </c>
      <c r="E418">
        <f>IFERROR(_xlfn.XLOOKUP('PARAMÈTRES'!$C$98,'BASE_ACIERS'!$B$5:$B$20,'BASE_ACIERS'!$D$5:$D$20),IFERROR(INDEX('BASE_ACIERS'!$D$5:$D$20,MATCH('PARAMÈTRES'!$C$98,'BASE_ACIERS'!$B$5:$B$20,0)),0))</f>
        <v>0.888</v>
      </c>
      <c r="F418">
        <f>IFERROR(_xlfn.XLOOKUP('PARAMÈTRES'!$C$98,'BASE_ACIERS'!$B$5:$B$20,'BASE_ACIERS'!$D$5:$D$20),IFERROR(INDEX('BASE_ACIERS'!$D$5:$D$20,MATCH('PARAMÈTRES'!$C$98,'BASE_ACIERS'!$B$5:$B$20,0)),0))</f>
        <v>0.888</v>
      </c>
      <c r="G418">
        <f>IFERROR(_xlfn.XLOOKUP('PARAMÈTRES'!$C$98,'BASE_ACIERS'!$B$5:$B$20,'BASE_ACIERS'!$D$5:$D$20),IFERROR(INDEX('BASE_ACIERS'!$D$5:$D$20,MATCH('PARAMÈTRES'!$C$98,'BASE_ACIERS'!$B$5:$B$20,0)),0))</f>
        <v>0.888</v>
      </c>
      <c r="H418">
        <f>IFERROR(_xlfn.XLOOKUP('PARAMÈTRES'!$C$98,'BASE_ACIERS'!$B$5:$B$20,'BASE_ACIERS'!$D$5:$D$20),IFERROR(INDEX('BASE_ACIERS'!$D$5:$D$20,MATCH('PARAMÈTRES'!$C$98,'BASE_ACIERS'!$B$5:$B$20,0)),0))</f>
        <v>0.888</v>
      </c>
      <c r="I418">
        <f>IFERROR(_xlfn.XLOOKUP('PARAMÈTRES'!$C$98,'BASE_ACIERS'!$B$5:$B$20,'BASE_ACIERS'!$D$5:$D$20),IFERROR(INDEX('BASE_ACIERS'!$D$5:$D$20,MATCH('PARAMÈTRES'!$C$98,'BASE_ACIERS'!$B$5:$B$20,0)),0))</f>
        <v>0.888</v>
      </c>
      <c r="J418">
        <f>IFERROR(_xlfn.XLOOKUP('PARAMÈTRES'!$C$98,'BASE_ACIERS'!$B$5:$B$20,'BASE_ACIERS'!$D$5:$D$20),IFERROR(INDEX('BASE_ACIERS'!$D$5:$D$20,MATCH('PARAMÈTRES'!$C$98,'BASE_ACIERS'!$B$5:$B$20,0)),0))</f>
        <v>0.888</v>
      </c>
      <c r="K418">
        <f>IFERROR(_xlfn.XLOOKUP('PARAMÈTRES'!$C$98,'BASE_ACIERS'!$B$5:$B$20,'BASE_ACIERS'!$D$5:$D$20),IFERROR(INDEX('BASE_ACIERS'!$D$5:$D$20,MATCH('PARAMÈTRES'!$C$98,'BASE_ACIERS'!$B$5:$B$20,0)),0))</f>
        <v>0.888</v>
      </c>
      <c r="L418">
        <f>IFERROR(_xlfn.XLOOKUP('PARAMÈTRES'!$C$98,'BASE_ACIERS'!$B$5:$B$20,'BASE_ACIERS'!$D$5:$D$20),IFERROR(INDEX('BASE_ACIERS'!$D$5:$D$20,MATCH('PARAMÈTRES'!$C$98,'BASE_ACIERS'!$B$5:$B$20,0)),0))</f>
        <v>0.888</v>
      </c>
      <c r="M418">
        <f>IFERROR(_xlfn.XLOOKUP('PARAMÈTRES'!$C$98,'BASE_ACIERS'!$B$5:$B$20,'BASE_ACIERS'!$D$5:$D$20),IFERROR(INDEX('BASE_ACIERS'!$D$5:$D$20,MATCH('PARAMÈTRES'!$C$98,'BASE_ACIERS'!$B$5:$B$20,0)),0))</f>
        <v>0.888</v>
      </c>
      <c r="N418">
        <f>IFERROR(_xlfn.XLOOKUP('PARAMÈTRES'!$C$98,'BASE_ACIERS'!$B$5:$B$20,'BASE_ACIERS'!$D$5:$D$20),IFERROR(INDEX('BASE_ACIERS'!$D$5:$D$20,MATCH('PARAMÈTRES'!$C$98,'BASE_ACIERS'!$B$5:$B$20,0)),0))</f>
        <v>0.888</v>
      </c>
      <c r="O418">
        <f>IFERROR(_xlfn.XLOOKUP('PARAMÈTRES'!$C$98,'BASE_ACIERS'!$B$5:$B$20,'BASE_ACIERS'!$D$5:$D$20),IFERROR(INDEX('BASE_ACIERS'!$D$5:$D$20,MATCH('PARAMÈTRES'!$C$98,'BASE_ACIERS'!$B$5:$B$20,0)),0))</f>
        <v>0.888</v>
      </c>
      <c r="P418">
        <f>IFERROR(_xlfn.XLOOKUP('PARAMÈTRES'!$C$98,'BASE_ACIERS'!$B$5:$B$20,'BASE_ACIERS'!$D$5:$D$20),IFERROR(INDEX('BASE_ACIERS'!$D$5:$D$20,MATCH('PARAMÈTRES'!$C$98,'BASE_ACIERS'!$B$5:$B$20,0)),0))</f>
        <v>0.888</v>
      </c>
      <c r="Q418">
        <f>IFERROR(_xlfn.XLOOKUP('PARAMÈTRES'!$C$98,'BASE_ACIERS'!$B$5:$B$20,'BASE_ACIERS'!$D$5:$D$20),IFERROR(INDEX('BASE_ACIERS'!$D$5:$D$20,MATCH('PARAMÈTRES'!$C$98,'BASE_ACIERS'!$B$5:$B$20,0)),0))</f>
        <v>0.888</v>
      </c>
      <c r="R418">
        <f>IFERROR(_xlfn.XLOOKUP('PARAMÈTRES'!$C$98,'BASE_ACIERS'!$B$5:$B$20,'BASE_ACIERS'!$D$5:$D$20),IFERROR(INDEX('BASE_ACIERS'!$D$5:$D$20,MATCH('PARAMÈTRES'!$C$98,'BASE_ACIERS'!$B$5:$B$20,0)),0))</f>
        <v>0.888</v>
      </c>
      <c r="S418">
        <f>IFERROR(_xlfn.XLOOKUP('PARAMÈTRES'!$C$98,'BASE_ACIERS'!$B$5:$B$20,'BASE_ACIERS'!$D$5:$D$20),IFERROR(INDEX('BASE_ACIERS'!$D$5:$D$20,MATCH('PARAMÈTRES'!$C$98,'BASE_ACIERS'!$B$5:$B$20,0)),0))</f>
        <v>0.888</v>
      </c>
      <c r="T418">
        <f>IFERROR(_xlfn.XLOOKUP('PARAMÈTRES'!$C$98,'BASE_ACIERS'!$B$5:$B$20,'BASE_ACIERS'!$D$5:$D$20),IFERROR(INDEX('BASE_ACIERS'!$D$5:$D$20,MATCH('PARAMÈTRES'!$C$98,'BASE_ACIERS'!$B$5:$B$20,0)),0))</f>
        <v>0.888</v>
      </c>
      <c r="U418">
        <f>IFERROR(_xlfn.XLOOKUP('PARAMÈTRES'!$C$98,'BASE_ACIERS'!$B$5:$B$20,'BASE_ACIERS'!$D$5:$D$20),IFERROR(INDEX('BASE_ACIERS'!$D$5:$D$20,MATCH('PARAMÈTRES'!$C$98,'BASE_ACIERS'!$B$5:$B$20,0)),0))</f>
        <v>0.888</v>
      </c>
      <c r="V418">
        <f>IFERROR(_xlfn.XLOOKUP('PARAMÈTRES'!$C$98,'BASE_ACIERS'!$B$5:$B$20,'BASE_ACIERS'!$D$5:$D$20),IFERROR(INDEX('BASE_ACIERS'!$D$5:$D$20,MATCH('PARAMÈTRES'!$C$98,'BASE_ACIERS'!$B$5:$B$20,0)),0))</f>
        <v>0.888</v>
      </c>
      <c r="W418">
        <f>IFERROR(_xlfn.XLOOKUP('PARAMÈTRES'!$C$98,'BASE_ACIERS'!$B$5:$B$20,'BASE_ACIERS'!$D$5:$D$20),IFERROR(INDEX('BASE_ACIERS'!$D$5:$D$20,MATCH('PARAMÈTRES'!$C$98,'BASE_ACIERS'!$B$5:$B$20,0)),0))</f>
        <v>0.888</v>
      </c>
      <c r="X418">
        <f>IFERROR(_xlfn.XLOOKUP('PARAMÈTRES'!$C$98,'BASE_ACIERS'!$B$5:$B$20,'BASE_ACIERS'!$D$5:$D$20),IFERROR(INDEX('BASE_ACIERS'!$D$5:$D$20,MATCH('PARAMÈTRES'!$C$98,'BASE_ACIERS'!$B$5:$B$20,0)),0))</f>
        <v>0.888</v>
      </c>
    </row>
    <row r="419">
      <c r="A419" t="inlineStr">
        <is>
          <t>s2_af_kg</t>
        </is>
      </c>
      <c r="B419" t="inlineStr">
        <is>
          <t>GROS_ŒUVRE!I46</t>
        </is>
      </c>
      <c r="D419">
        <f>D417*D418</f>
        <v>11.3664</v>
      </c>
      <c r="E419">
        <f>E417*E418</f>
        <v>11.3664</v>
      </c>
      <c r="F419">
        <f>F417*F418</f>
        <v>11.3664</v>
      </c>
      <c r="G419">
        <f>G417*G418</f>
        <v>22.7328</v>
      </c>
      <c r="H419">
        <f>H417*H418</f>
        <v>22.7328</v>
      </c>
      <c r="I419">
        <f>I417*I418</f>
        <v>22.7328</v>
      </c>
      <c r="J419">
        <f>J417*J418</f>
        <v>22.7328</v>
      </c>
      <c r="K419">
        <f>K417*K418</f>
        <v>22.7328</v>
      </c>
      <c r="L419">
        <f>L417*L418</f>
        <v>22.7328</v>
      </c>
      <c r="M419">
        <f>M417*M418</f>
        <v>34.0992</v>
      </c>
      <c r="N419">
        <f>N417*N418</f>
        <v>34.0992</v>
      </c>
      <c r="O419">
        <f>O417*O418</f>
        <v>34.0992</v>
      </c>
      <c r="P419">
        <f>P417*P418</f>
        <v>34.0992</v>
      </c>
      <c r="Q419">
        <f>Q417*Q418</f>
        <v>34.0992</v>
      </c>
      <c r="R419">
        <f>R417*R418</f>
        <v>34.0992</v>
      </c>
      <c r="S419">
        <f>S417*S418</f>
        <v>45.4656</v>
      </c>
      <c r="T419">
        <f>T417*T418</f>
        <v>45.4656</v>
      </c>
      <c r="U419">
        <f>U417*U418</f>
        <v>45.4656</v>
      </c>
      <c r="V419">
        <f>V417*V418</f>
        <v>68.1984</v>
      </c>
      <c r="W419">
        <f>W417*W418</f>
        <v>68.1984</v>
      </c>
      <c r="X419">
        <f>X417*X418</f>
        <v>68.1984</v>
      </c>
    </row>
    <row r="420">
      <c r="A420" t="inlineStr">
        <is>
          <t>s2_ac_p</t>
        </is>
      </c>
      <c r="B420" t="inlineStr">
        <is>
          <t>GROS_ŒUVRE!C47</t>
        </is>
      </c>
      <c r="D420" t="str">
        <f>'PARAMÈTRES'!$C$100</f>
        <v>HA6</v>
      </c>
      <c r="E420" t="str">
        <f>'PARAMÈTRES'!$C$100</f>
        <v>HA6</v>
      </c>
      <c r="F420" t="str">
        <f>'PARAMÈTRES'!$C$100</f>
        <v>HA6</v>
      </c>
      <c r="G420" t="str">
        <f>'PARAMÈTRES'!$C$100</f>
        <v>HA6</v>
      </c>
      <c r="H420" t="str">
        <f>'PARAMÈTRES'!$C$100</f>
        <v>HA6</v>
      </c>
      <c r="I420" t="str">
        <f>'PARAMÈTRES'!$C$100</f>
        <v>HA6</v>
      </c>
      <c r="J420" t="str">
        <f>'PARAMÈTRES'!$C$100</f>
        <v>HA6</v>
      </c>
      <c r="K420" t="str">
        <f>'PARAMÈTRES'!$C$100</f>
        <v>HA6</v>
      </c>
      <c r="L420" t="str">
        <f>'PARAMÈTRES'!$C$100</f>
        <v>HA6</v>
      </c>
      <c r="M420" t="str">
        <f>'PARAMÈTRES'!$C$100</f>
        <v>HA6</v>
      </c>
      <c r="N420" t="str">
        <f>'PARAMÈTRES'!$C$100</f>
        <v>HA6</v>
      </c>
      <c r="O420" t="str">
        <f>'PARAMÈTRES'!$C$100</f>
        <v>HA6</v>
      </c>
      <c r="P420" t="str">
        <f>'PARAMÈTRES'!$C$100</f>
        <v>HA6</v>
      </c>
      <c r="Q420" t="str">
        <f>'PARAMÈTRES'!$C$100</f>
        <v>HA6</v>
      </c>
      <c r="R420" t="str">
        <f>'PARAMÈTRES'!$C$100</f>
        <v>HA6</v>
      </c>
      <c r="S420" t="str">
        <f>'PARAMÈTRES'!$C$100</f>
        <v>HA6</v>
      </c>
      <c r="T420" t="str">
        <f>'PARAMÈTRES'!$C$100</f>
        <v>HA6</v>
      </c>
      <c r="U420" t="str">
        <f>'PARAMÈTRES'!$C$100</f>
        <v>HA6</v>
      </c>
      <c r="V420" t="str">
        <f>'PARAMÈTRES'!$C$100</f>
        <v>HA6</v>
      </c>
      <c r="W420" t="str">
        <f>'PARAMÈTRES'!$C$100</f>
        <v>HA6</v>
      </c>
      <c r="X420" t="str">
        <f>'PARAMÈTRES'!$C$100</f>
        <v>HA6</v>
      </c>
    </row>
    <row r="421">
      <c r="A421" t="inlineStr">
        <is>
          <t>s2_ac_q</t>
        </is>
      </c>
      <c r="B421" t="inlineStr">
        <is>
          <t>GROS_ŒUVRE!E47</t>
        </is>
      </c>
      <c r="D421">
        <f>D365*(ROUNDDOWN('PARAMÈTRES'!$C$95/'PARAMÈTRES'!$C$101,0)+1)</f>
        <v>18</v>
      </c>
      <c r="E421">
        <f>E365*(ROUNDDOWN('PARAMÈTRES'!$C$95/'PARAMÈTRES'!$C$101,0)+1)</f>
        <v>18</v>
      </c>
      <c r="F421">
        <f>F365*(ROUNDDOWN('PARAMÈTRES'!$C$95/'PARAMÈTRES'!$C$101,0)+1)</f>
        <v>18</v>
      </c>
      <c r="G421">
        <f>G365*(ROUNDDOWN('PARAMÈTRES'!$C$95/'PARAMÈTRES'!$C$101,0)+1)</f>
        <v>36</v>
      </c>
      <c r="H421">
        <f>H365*(ROUNDDOWN('PARAMÈTRES'!$C$95/'PARAMÈTRES'!$C$101,0)+1)</f>
        <v>36</v>
      </c>
      <c r="I421">
        <f>I365*(ROUNDDOWN('PARAMÈTRES'!$C$95/'PARAMÈTRES'!$C$101,0)+1)</f>
        <v>36</v>
      </c>
      <c r="J421">
        <f>J365*(ROUNDDOWN('PARAMÈTRES'!$C$95/'PARAMÈTRES'!$C$101,0)+1)</f>
        <v>36</v>
      </c>
      <c r="K421">
        <f>K365*(ROUNDDOWN('PARAMÈTRES'!$C$95/'PARAMÈTRES'!$C$101,0)+1)</f>
        <v>36</v>
      </c>
      <c r="L421">
        <f>L365*(ROUNDDOWN('PARAMÈTRES'!$C$95/'PARAMÈTRES'!$C$101,0)+1)</f>
        <v>36</v>
      </c>
      <c r="M421">
        <f>M365*(ROUNDDOWN('PARAMÈTRES'!$C$95/'PARAMÈTRES'!$C$101,0)+1)</f>
        <v>54</v>
      </c>
      <c r="N421">
        <f>N365*(ROUNDDOWN('PARAMÈTRES'!$C$95/'PARAMÈTRES'!$C$101,0)+1)</f>
        <v>54</v>
      </c>
      <c r="O421">
        <f>O365*(ROUNDDOWN('PARAMÈTRES'!$C$95/'PARAMÈTRES'!$C$101,0)+1)</f>
        <v>54</v>
      </c>
      <c r="P421">
        <f>P365*(ROUNDDOWN('PARAMÈTRES'!$C$95/'PARAMÈTRES'!$C$101,0)+1)</f>
        <v>54</v>
      </c>
      <c r="Q421">
        <f>Q365*(ROUNDDOWN('PARAMÈTRES'!$C$95/'PARAMÈTRES'!$C$101,0)+1)</f>
        <v>54</v>
      </c>
      <c r="R421">
        <f>R365*(ROUNDDOWN('PARAMÈTRES'!$C$95/'PARAMÈTRES'!$C$101,0)+1)</f>
        <v>54</v>
      </c>
      <c r="S421">
        <f>S365*(ROUNDDOWN('PARAMÈTRES'!$C$95/'PARAMÈTRES'!$C$101,0)+1)</f>
        <v>72</v>
      </c>
      <c r="T421">
        <f>T365*(ROUNDDOWN('PARAMÈTRES'!$C$95/'PARAMÈTRES'!$C$101,0)+1)</f>
        <v>72</v>
      </c>
      <c r="U421">
        <f>U365*(ROUNDDOWN('PARAMÈTRES'!$C$95/'PARAMÈTRES'!$C$101,0)+1)</f>
        <v>72</v>
      </c>
      <c r="V421">
        <f>V365*(ROUNDDOWN('PARAMÈTRES'!$C$95/'PARAMÈTRES'!$C$101,0)+1)</f>
        <v>108</v>
      </c>
      <c r="W421">
        <f>W365*(ROUNDDOWN('PARAMÈTRES'!$C$95/'PARAMÈTRES'!$C$101,0)+1)</f>
        <v>108</v>
      </c>
      <c r="X421">
        <f>X365*(ROUNDDOWN('PARAMÈTRES'!$C$95/'PARAMÈTRES'!$C$101,0)+1)</f>
        <v>108</v>
      </c>
    </row>
    <row r="422">
      <c r="A422" t="inlineStr">
        <is>
          <t>s2_ac_lu</t>
        </is>
      </c>
      <c r="B422" t="inlineStr">
        <is>
          <t>GROS_ŒUVRE!F47</t>
        </is>
      </c>
      <c r="D422">
        <f>4*('PARAMÈTRES'!$C$94-2*'PARAMÈTRES'!$C$108)+2*'PARAMÈTRES'!$C$110</f>
        <v>1</v>
      </c>
      <c r="E422">
        <f>4*('PARAMÈTRES'!$C$94-2*'PARAMÈTRES'!$C$108)+2*'PARAMÈTRES'!$C$110</f>
        <v>1</v>
      </c>
      <c r="F422">
        <f>4*('PARAMÈTRES'!$C$94-2*'PARAMÈTRES'!$C$108)+2*'PARAMÈTRES'!$C$110</f>
        <v>1</v>
      </c>
      <c r="G422">
        <f>4*('PARAMÈTRES'!$C$94-2*'PARAMÈTRES'!$C$108)+2*'PARAMÈTRES'!$C$110</f>
        <v>1</v>
      </c>
      <c r="H422">
        <f>4*('PARAMÈTRES'!$C$94-2*'PARAMÈTRES'!$C$108)+2*'PARAMÈTRES'!$C$110</f>
        <v>1</v>
      </c>
      <c r="I422">
        <f>4*('PARAMÈTRES'!$C$94-2*'PARAMÈTRES'!$C$108)+2*'PARAMÈTRES'!$C$110</f>
        <v>1</v>
      </c>
      <c r="J422">
        <f>4*('PARAMÈTRES'!$C$94-2*'PARAMÈTRES'!$C$108)+2*'PARAMÈTRES'!$C$110</f>
        <v>1</v>
      </c>
      <c r="K422">
        <f>4*('PARAMÈTRES'!$C$94-2*'PARAMÈTRES'!$C$108)+2*'PARAMÈTRES'!$C$110</f>
        <v>1</v>
      </c>
      <c r="L422">
        <f>4*('PARAMÈTRES'!$C$94-2*'PARAMÈTRES'!$C$108)+2*'PARAMÈTRES'!$C$110</f>
        <v>1</v>
      </c>
      <c r="M422">
        <f>4*('PARAMÈTRES'!$C$94-2*'PARAMÈTRES'!$C$108)+2*'PARAMÈTRES'!$C$110</f>
        <v>1</v>
      </c>
      <c r="N422">
        <f>4*('PARAMÈTRES'!$C$94-2*'PARAMÈTRES'!$C$108)+2*'PARAMÈTRES'!$C$110</f>
        <v>1</v>
      </c>
      <c r="O422">
        <f>4*('PARAMÈTRES'!$C$94-2*'PARAMÈTRES'!$C$108)+2*'PARAMÈTRES'!$C$110</f>
        <v>1</v>
      </c>
      <c r="P422">
        <f>4*('PARAMÈTRES'!$C$94-2*'PARAMÈTRES'!$C$108)+2*'PARAMÈTRES'!$C$110</f>
        <v>1</v>
      </c>
      <c r="Q422">
        <f>4*('PARAMÈTRES'!$C$94-2*'PARAMÈTRES'!$C$108)+2*'PARAMÈTRES'!$C$110</f>
        <v>1</v>
      </c>
      <c r="R422">
        <f>4*('PARAMÈTRES'!$C$94-2*'PARAMÈTRES'!$C$108)+2*'PARAMÈTRES'!$C$110</f>
        <v>1</v>
      </c>
      <c r="S422">
        <f>4*('PARAMÈTRES'!$C$94-2*'PARAMÈTRES'!$C$108)+2*'PARAMÈTRES'!$C$110</f>
        <v>1</v>
      </c>
      <c r="T422">
        <f>4*('PARAMÈTRES'!$C$94-2*'PARAMÈTRES'!$C$108)+2*'PARAMÈTRES'!$C$110</f>
        <v>1</v>
      </c>
      <c r="U422">
        <f>4*('PARAMÈTRES'!$C$94-2*'PARAMÈTRES'!$C$108)+2*'PARAMÈTRES'!$C$110</f>
        <v>1</v>
      </c>
      <c r="V422">
        <f>4*('PARAMÈTRES'!$C$94-2*'PARAMÈTRES'!$C$108)+2*'PARAMÈTRES'!$C$110</f>
        <v>1</v>
      </c>
      <c r="W422">
        <f>4*('PARAMÈTRES'!$C$94-2*'PARAMÈTRES'!$C$108)+2*'PARAMÈTRES'!$C$110</f>
        <v>1</v>
      </c>
      <c r="X422">
        <f>4*('PARAMÈTRES'!$C$94-2*'PARAMÈTRES'!$C$108)+2*'PARAMÈTRES'!$C$110</f>
        <v>1</v>
      </c>
    </row>
    <row r="423">
      <c r="A423" t="inlineStr">
        <is>
          <t>s2_ac_lt</t>
        </is>
      </c>
      <c r="B423" t="inlineStr">
        <is>
          <t>GROS_ŒUVRE!G47</t>
        </is>
      </c>
      <c r="D423">
        <f>D421*D422</f>
        <v>18</v>
      </c>
      <c r="E423">
        <f>E421*E422</f>
        <v>18</v>
      </c>
      <c r="F423">
        <f>F421*F422</f>
        <v>18</v>
      </c>
      <c r="G423">
        <f>G421*G422</f>
        <v>36</v>
      </c>
      <c r="H423">
        <f>H421*H422</f>
        <v>36</v>
      </c>
      <c r="I423">
        <f>I421*I422</f>
        <v>36</v>
      </c>
      <c r="J423">
        <f>J421*J422</f>
        <v>36</v>
      </c>
      <c r="K423">
        <f>K421*K422</f>
        <v>36</v>
      </c>
      <c r="L423">
        <f>L421*L422</f>
        <v>36</v>
      </c>
      <c r="M423">
        <f>M421*M422</f>
        <v>54</v>
      </c>
      <c r="N423">
        <f>N421*N422</f>
        <v>54</v>
      </c>
      <c r="O423">
        <f>O421*O422</f>
        <v>54</v>
      </c>
      <c r="P423">
        <f>P421*P422</f>
        <v>54</v>
      </c>
      <c r="Q423">
        <f>Q421*Q422</f>
        <v>54</v>
      </c>
      <c r="R423">
        <f>R421*R422</f>
        <v>54</v>
      </c>
      <c r="S423">
        <f>S421*S422</f>
        <v>72</v>
      </c>
      <c r="T423">
        <f>T421*T422</f>
        <v>72</v>
      </c>
      <c r="U423">
        <f>U421*U422</f>
        <v>72</v>
      </c>
      <c r="V423">
        <f>V421*V422</f>
        <v>108</v>
      </c>
      <c r="W423">
        <f>W421*W422</f>
        <v>108</v>
      </c>
      <c r="X423">
        <f>X421*X422</f>
        <v>108</v>
      </c>
    </row>
    <row r="424">
      <c r="A424" t="inlineStr">
        <is>
          <t>s2_ac_kgml</t>
        </is>
      </c>
      <c r="B424" t="inlineStr">
        <is>
          <t>GROS_ŒUVRE!H47</t>
        </is>
      </c>
      <c r="D424">
        <f>IFERROR(_xlfn.XLOOKUP('PARAMÈTRES'!$C$100,'BASE_ACIERS'!$B$5:$B$20,'BASE_ACIERS'!$D$5:$D$20),IFERROR(INDEX('BASE_ACIERS'!$D$5:$D$20,MATCH('PARAMÈTRES'!$C$100,'BASE_ACIERS'!$B$5:$B$20,0)),0))</f>
        <v>0.222</v>
      </c>
      <c r="E424">
        <f>IFERROR(_xlfn.XLOOKUP('PARAMÈTRES'!$C$100,'BASE_ACIERS'!$B$5:$B$20,'BASE_ACIERS'!$D$5:$D$20),IFERROR(INDEX('BASE_ACIERS'!$D$5:$D$20,MATCH('PARAMÈTRES'!$C$100,'BASE_ACIERS'!$B$5:$B$20,0)),0))</f>
        <v>0.222</v>
      </c>
      <c r="F424">
        <f>IFERROR(_xlfn.XLOOKUP('PARAMÈTRES'!$C$100,'BASE_ACIERS'!$B$5:$B$20,'BASE_ACIERS'!$D$5:$D$20),IFERROR(INDEX('BASE_ACIERS'!$D$5:$D$20,MATCH('PARAMÈTRES'!$C$100,'BASE_ACIERS'!$B$5:$B$20,0)),0))</f>
        <v>0.222</v>
      </c>
      <c r="G424">
        <f>IFERROR(_xlfn.XLOOKUP('PARAMÈTRES'!$C$100,'BASE_ACIERS'!$B$5:$B$20,'BASE_ACIERS'!$D$5:$D$20),IFERROR(INDEX('BASE_ACIERS'!$D$5:$D$20,MATCH('PARAMÈTRES'!$C$100,'BASE_ACIERS'!$B$5:$B$20,0)),0))</f>
        <v>0.222</v>
      </c>
      <c r="H424">
        <f>IFERROR(_xlfn.XLOOKUP('PARAMÈTRES'!$C$100,'BASE_ACIERS'!$B$5:$B$20,'BASE_ACIERS'!$D$5:$D$20),IFERROR(INDEX('BASE_ACIERS'!$D$5:$D$20,MATCH('PARAMÈTRES'!$C$100,'BASE_ACIERS'!$B$5:$B$20,0)),0))</f>
        <v>0.222</v>
      </c>
      <c r="I424">
        <f>IFERROR(_xlfn.XLOOKUP('PARAMÈTRES'!$C$100,'BASE_ACIERS'!$B$5:$B$20,'BASE_ACIERS'!$D$5:$D$20),IFERROR(INDEX('BASE_ACIERS'!$D$5:$D$20,MATCH('PARAMÈTRES'!$C$100,'BASE_ACIERS'!$B$5:$B$20,0)),0))</f>
        <v>0.222</v>
      </c>
      <c r="J424">
        <f>IFERROR(_xlfn.XLOOKUP('PARAMÈTRES'!$C$100,'BASE_ACIERS'!$B$5:$B$20,'BASE_ACIERS'!$D$5:$D$20),IFERROR(INDEX('BASE_ACIERS'!$D$5:$D$20,MATCH('PARAMÈTRES'!$C$100,'BASE_ACIERS'!$B$5:$B$20,0)),0))</f>
        <v>0.222</v>
      </c>
      <c r="K424">
        <f>IFERROR(_xlfn.XLOOKUP('PARAMÈTRES'!$C$100,'BASE_ACIERS'!$B$5:$B$20,'BASE_ACIERS'!$D$5:$D$20),IFERROR(INDEX('BASE_ACIERS'!$D$5:$D$20,MATCH('PARAMÈTRES'!$C$100,'BASE_ACIERS'!$B$5:$B$20,0)),0))</f>
        <v>0.222</v>
      </c>
      <c r="L424">
        <f>IFERROR(_xlfn.XLOOKUP('PARAMÈTRES'!$C$100,'BASE_ACIERS'!$B$5:$B$20,'BASE_ACIERS'!$D$5:$D$20),IFERROR(INDEX('BASE_ACIERS'!$D$5:$D$20,MATCH('PARAMÈTRES'!$C$100,'BASE_ACIERS'!$B$5:$B$20,0)),0))</f>
        <v>0.222</v>
      </c>
      <c r="M424">
        <f>IFERROR(_xlfn.XLOOKUP('PARAMÈTRES'!$C$100,'BASE_ACIERS'!$B$5:$B$20,'BASE_ACIERS'!$D$5:$D$20),IFERROR(INDEX('BASE_ACIERS'!$D$5:$D$20,MATCH('PARAMÈTRES'!$C$100,'BASE_ACIERS'!$B$5:$B$20,0)),0))</f>
        <v>0.222</v>
      </c>
      <c r="N424">
        <f>IFERROR(_xlfn.XLOOKUP('PARAMÈTRES'!$C$100,'BASE_ACIERS'!$B$5:$B$20,'BASE_ACIERS'!$D$5:$D$20),IFERROR(INDEX('BASE_ACIERS'!$D$5:$D$20,MATCH('PARAMÈTRES'!$C$100,'BASE_ACIERS'!$B$5:$B$20,0)),0))</f>
        <v>0.222</v>
      </c>
      <c r="O424">
        <f>IFERROR(_xlfn.XLOOKUP('PARAMÈTRES'!$C$100,'BASE_ACIERS'!$B$5:$B$20,'BASE_ACIERS'!$D$5:$D$20),IFERROR(INDEX('BASE_ACIERS'!$D$5:$D$20,MATCH('PARAMÈTRES'!$C$100,'BASE_ACIERS'!$B$5:$B$20,0)),0))</f>
        <v>0.222</v>
      </c>
      <c r="P424">
        <f>IFERROR(_xlfn.XLOOKUP('PARAMÈTRES'!$C$100,'BASE_ACIERS'!$B$5:$B$20,'BASE_ACIERS'!$D$5:$D$20),IFERROR(INDEX('BASE_ACIERS'!$D$5:$D$20,MATCH('PARAMÈTRES'!$C$100,'BASE_ACIERS'!$B$5:$B$20,0)),0))</f>
        <v>0.222</v>
      </c>
      <c r="Q424">
        <f>IFERROR(_xlfn.XLOOKUP('PARAMÈTRES'!$C$100,'BASE_ACIERS'!$B$5:$B$20,'BASE_ACIERS'!$D$5:$D$20),IFERROR(INDEX('BASE_ACIERS'!$D$5:$D$20,MATCH('PARAMÈTRES'!$C$100,'BASE_ACIERS'!$B$5:$B$20,0)),0))</f>
        <v>0.222</v>
      </c>
      <c r="R424">
        <f>IFERROR(_xlfn.XLOOKUP('PARAMÈTRES'!$C$100,'BASE_ACIERS'!$B$5:$B$20,'BASE_ACIERS'!$D$5:$D$20),IFERROR(INDEX('BASE_ACIERS'!$D$5:$D$20,MATCH('PARAMÈTRES'!$C$100,'BASE_ACIERS'!$B$5:$B$20,0)),0))</f>
        <v>0.222</v>
      </c>
      <c r="S424">
        <f>IFERROR(_xlfn.XLOOKUP('PARAMÈTRES'!$C$100,'BASE_ACIERS'!$B$5:$B$20,'BASE_ACIERS'!$D$5:$D$20),IFERROR(INDEX('BASE_ACIERS'!$D$5:$D$20,MATCH('PARAMÈTRES'!$C$100,'BASE_ACIERS'!$B$5:$B$20,0)),0))</f>
        <v>0.222</v>
      </c>
      <c r="T424">
        <f>IFERROR(_xlfn.XLOOKUP('PARAMÈTRES'!$C$100,'BASE_ACIERS'!$B$5:$B$20,'BASE_ACIERS'!$D$5:$D$20),IFERROR(INDEX('BASE_ACIERS'!$D$5:$D$20,MATCH('PARAMÈTRES'!$C$100,'BASE_ACIERS'!$B$5:$B$20,0)),0))</f>
        <v>0.222</v>
      </c>
      <c r="U424">
        <f>IFERROR(_xlfn.XLOOKUP('PARAMÈTRES'!$C$100,'BASE_ACIERS'!$B$5:$B$20,'BASE_ACIERS'!$D$5:$D$20),IFERROR(INDEX('BASE_ACIERS'!$D$5:$D$20,MATCH('PARAMÈTRES'!$C$100,'BASE_ACIERS'!$B$5:$B$20,0)),0))</f>
        <v>0.222</v>
      </c>
      <c r="V424">
        <f>IFERROR(_xlfn.XLOOKUP('PARAMÈTRES'!$C$100,'BASE_ACIERS'!$B$5:$B$20,'BASE_ACIERS'!$D$5:$D$20),IFERROR(INDEX('BASE_ACIERS'!$D$5:$D$20,MATCH('PARAMÈTRES'!$C$100,'BASE_ACIERS'!$B$5:$B$20,0)),0))</f>
        <v>0.222</v>
      </c>
      <c r="W424">
        <f>IFERROR(_xlfn.XLOOKUP('PARAMÈTRES'!$C$100,'BASE_ACIERS'!$B$5:$B$20,'BASE_ACIERS'!$D$5:$D$20),IFERROR(INDEX('BASE_ACIERS'!$D$5:$D$20,MATCH('PARAMÈTRES'!$C$100,'BASE_ACIERS'!$B$5:$B$20,0)),0))</f>
        <v>0.222</v>
      </c>
      <c r="X424">
        <f>IFERROR(_xlfn.XLOOKUP('PARAMÈTRES'!$C$100,'BASE_ACIERS'!$B$5:$B$20,'BASE_ACIERS'!$D$5:$D$20),IFERROR(INDEX('BASE_ACIERS'!$D$5:$D$20,MATCH('PARAMÈTRES'!$C$100,'BASE_ACIERS'!$B$5:$B$20,0)),0))</f>
        <v>0.222</v>
      </c>
    </row>
    <row r="425">
      <c r="A425" t="inlineStr">
        <is>
          <t>s2_ac_kg</t>
        </is>
      </c>
      <c r="B425" t="inlineStr">
        <is>
          <t>GROS_ŒUVRE!I47</t>
        </is>
      </c>
      <c r="D425">
        <f>D423*D424</f>
        <v>3.996</v>
      </c>
      <c r="E425">
        <f>E423*E424</f>
        <v>3.996</v>
      </c>
      <c r="F425">
        <f>F423*F424</f>
        <v>3.996</v>
      </c>
      <c r="G425">
        <f>G423*G424</f>
        <v>7.992</v>
      </c>
      <c r="H425">
        <f>H423*H424</f>
        <v>7.992</v>
      </c>
      <c r="I425">
        <f>I423*I424</f>
        <v>7.992</v>
      </c>
      <c r="J425">
        <f>J423*J424</f>
        <v>7.992</v>
      </c>
      <c r="K425">
        <f>K423*K424</f>
        <v>7.992</v>
      </c>
      <c r="L425">
        <f>L423*L424</f>
        <v>7.992</v>
      </c>
      <c r="M425">
        <f>M423*M424</f>
        <v>11.988</v>
      </c>
      <c r="N425">
        <f>N423*N424</f>
        <v>11.988</v>
      </c>
      <c r="O425">
        <f>O423*O424</f>
        <v>11.988</v>
      </c>
      <c r="P425">
        <f>P423*P424</f>
        <v>11.988</v>
      </c>
      <c r="Q425">
        <f>Q423*Q424</f>
        <v>11.988</v>
      </c>
      <c r="R425">
        <f>R423*R424</f>
        <v>11.988</v>
      </c>
      <c r="S425">
        <f>S423*S424</f>
        <v>15.984</v>
      </c>
      <c r="T425">
        <f>T423*T424</f>
        <v>15.984</v>
      </c>
      <c r="U425">
        <f>U423*U424</f>
        <v>15.984</v>
      </c>
      <c r="V425">
        <f>V423*V424</f>
        <v>23.976</v>
      </c>
      <c r="W425">
        <f>W423*W424</f>
        <v>23.976</v>
      </c>
      <c r="X425">
        <f>X423*X424</f>
        <v>23.976</v>
      </c>
    </row>
    <row r="426">
      <c r="A426" t="inlineStr">
        <is>
          <t>sf_bp_q</t>
        </is>
      </c>
      <c r="B426" t="inlineStr">
        <is>
          <t>GROS_ŒUVRE!E50</t>
        </is>
      </c>
      <c r="D426">
        <f>D366*'PARAMÈTRES'!$C$102*'PARAMÈTRES'!$C$88</f>
        <v>1.92</v>
      </c>
      <c r="E426">
        <f>E366*'PARAMÈTRES'!$C$102*'PARAMÈTRES'!$C$88</f>
        <v>1.92</v>
      </c>
      <c r="F426">
        <f>F366*'PARAMÈTRES'!$C$102*'PARAMÈTRES'!$C$88</f>
        <v>1.92</v>
      </c>
      <c r="G426">
        <f>G366*'PARAMÈTRES'!$C$102*'PARAMÈTRES'!$C$88</f>
        <v>1.644</v>
      </c>
      <c r="H426">
        <f>H366*'PARAMÈTRES'!$C$102*'PARAMÈTRES'!$C$88</f>
        <v>1.644</v>
      </c>
      <c r="I426">
        <f>I366*'PARAMÈTRES'!$C$102*'PARAMÈTRES'!$C$88</f>
        <v>1.644</v>
      </c>
      <c r="J426">
        <f>J366*'PARAMÈTRES'!$C$102*'PARAMÈTRES'!$C$88</f>
        <v>2.172</v>
      </c>
      <c r="K426">
        <f>K366*'PARAMÈTRES'!$C$102*'PARAMÈTRES'!$C$88</f>
        <v>2.172</v>
      </c>
      <c r="L426">
        <f>L366*'PARAMÈTRES'!$C$102*'PARAMÈTRES'!$C$88</f>
        <v>2.172</v>
      </c>
      <c r="M426">
        <f>M366*'PARAMÈTRES'!$C$102*'PARAMÈTRES'!$C$88</f>
        <v>1.896</v>
      </c>
      <c r="N426">
        <f>N366*'PARAMÈTRES'!$C$102*'PARAMÈTRES'!$C$88</f>
        <v>1.896</v>
      </c>
      <c r="O426">
        <f>O366*'PARAMÈTRES'!$C$102*'PARAMÈTRES'!$C$88</f>
        <v>1.896</v>
      </c>
      <c r="P426">
        <f>P366*'PARAMÈTRES'!$C$102*'PARAMÈTRES'!$C$88</f>
        <v>2.88</v>
      </c>
      <c r="Q426">
        <f>Q366*'PARAMÈTRES'!$C$102*'PARAMÈTRES'!$C$88</f>
        <v>2.88</v>
      </c>
      <c r="R426">
        <f>R366*'PARAMÈTRES'!$C$102*'PARAMÈTRES'!$C$88</f>
        <v>2.88</v>
      </c>
      <c r="S426">
        <f>S366*'PARAMÈTRES'!$C$102*'PARAMÈTRES'!$C$88</f>
        <v>3.432</v>
      </c>
      <c r="T426">
        <f>T366*'PARAMÈTRES'!$C$102*'PARAMÈTRES'!$C$88</f>
        <v>3.432</v>
      </c>
      <c r="U426">
        <f>U366*'PARAMÈTRES'!$C$102*'PARAMÈTRES'!$C$88</f>
        <v>3.432</v>
      </c>
      <c r="V426">
        <f>V366*'PARAMÈTRES'!$C$102*'PARAMÈTRES'!$C$88</f>
        <v>3.936</v>
      </c>
      <c r="W426">
        <f>W366*'PARAMÈTRES'!$C$102*'PARAMÈTRES'!$C$88</f>
        <v>3.936</v>
      </c>
      <c r="X426">
        <f>X366*'PARAMÈTRES'!$C$102*'PARAMÈTRES'!$C$88</f>
        <v>3.936</v>
      </c>
    </row>
    <row r="427">
      <c r="A427" t="inlineStr">
        <is>
          <t>sf_ba_q</t>
        </is>
      </c>
      <c r="B427" t="inlineStr">
        <is>
          <t>GROS_ŒUVRE!E51</t>
        </is>
      </c>
      <c r="D427">
        <f>D366*'PARAMÈTRES'!$C$102*'PARAMÈTRES'!$C$103</f>
        <v>7.68</v>
      </c>
      <c r="E427">
        <f>E366*'PARAMÈTRES'!$C$102*'PARAMÈTRES'!$C$103</f>
        <v>7.68</v>
      </c>
      <c r="F427">
        <f>F366*'PARAMÈTRES'!$C$102*'PARAMÈTRES'!$C$103</f>
        <v>7.68</v>
      </c>
      <c r="G427">
        <f>G366*'PARAMÈTRES'!$C$102*'PARAMÈTRES'!$C$103</f>
        <v>6.576</v>
      </c>
      <c r="H427">
        <f>H366*'PARAMÈTRES'!$C$102*'PARAMÈTRES'!$C$103</f>
        <v>6.576</v>
      </c>
      <c r="I427">
        <f>I366*'PARAMÈTRES'!$C$102*'PARAMÈTRES'!$C$103</f>
        <v>6.576</v>
      </c>
      <c r="J427">
        <f>J366*'PARAMÈTRES'!$C$102*'PARAMÈTRES'!$C$103</f>
        <v>8.688</v>
      </c>
      <c r="K427">
        <f>K366*'PARAMÈTRES'!$C$102*'PARAMÈTRES'!$C$103</f>
        <v>8.688</v>
      </c>
      <c r="L427">
        <f>L366*'PARAMÈTRES'!$C$102*'PARAMÈTRES'!$C$103</f>
        <v>8.688</v>
      </c>
      <c r="M427">
        <f>M366*'PARAMÈTRES'!$C$102*'PARAMÈTRES'!$C$103</f>
        <v>7.584</v>
      </c>
      <c r="N427">
        <f>N366*'PARAMÈTRES'!$C$102*'PARAMÈTRES'!$C$103</f>
        <v>7.584</v>
      </c>
      <c r="O427">
        <f>O366*'PARAMÈTRES'!$C$102*'PARAMÈTRES'!$C$103</f>
        <v>7.584</v>
      </c>
      <c r="P427">
        <f>P366*'PARAMÈTRES'!$C$102*'PARAMÈTRES'!$C$103</f>
        <v>11.52</v>
      </c>
      <c r="Q427">
        <f>Q366*'PARAMÈTRES'!$C$102*'PARAMÈTRES'!$C$103</f>
        <v>11.52</v>
      </c>
      <c r="R427">
        <f>R366*'PARAMÈTRES'!$C$102*'PARAMÈTRES'!$C$103</f>
        <v>11.52</v>
      </c>
      <c r="S427">
        <f>S366*'PARAMÈTRES'!$C$102*'PARAMÈTRES'!$C$103</f>
        <v>13.728</v>
      </c>
      <c r="T427">
        <f>T366*'PARAMÈTRES'!$C$102*'PARAMÈTRES'!$C$103</f>
        <v>13.728</v>
      </c>
      <c r="U427">
        <f>U366*'PARAMÈTRES'!$C$102*'PARAMÈTRES'!$C$103</f>
        <v>13.728</v>
      </c>
      <c r="V427">
        <f>V366*'PARAMÈTRES'!$C$102*'PARAMÈTRES'!$C$103</f>
        <v>15.744</v>
      </c>
      <c r="W427">
        <f>W366*'PARAMÈTRES'!$C$102*'PARAMÈTRES'!$C$103</f>
        <v>15.744</v>
      </c>
      <c r="X427">
        <f>X366*'PARAMÈTRES'!$C$102*'PARAMÈTRES'!$C$103</f>
        <v>15.744</v>
      </c>
    </row>
    <row r="428">
      <c r="A428" t="inlineStr">
        <is>
          <t>sf_cf_q</t>
        </is>
      </c>
      <c r="B428" t="inlineStr">
        <is>
          <t>GROS_ŒUVRE!E52</t>
        </is>
      </c>
      <c r="D428">
        <f>2*D366*'PARAMÈTRES'!$C$103</f>
        <v>25.6</v>
      </c>
      <c r="E428">
        <f>2*E366*'PARAMÈTRES'!$C$103</f>
        <v>25.6</v>
      </c>
      <c r="F428">
        <f>2*F366*'PARAMÈTRES'!$C$103</f>
        <v>25.6</v>
      </c>
      <c r="G428">
        <f>2*G366*'PARAMÈTRES'!$C$103</f>
        <v>21.92</v>
      </c>
      <c r="H428">
        <f>2*H366*'PARAMÈTRES'!$C$103</f>
        <v>21.92</v>
      </c>
      <c r="I428">
        <f>2*I366*'PARAMÈTRES'!$C$103</f>
        <v>21.92</v>
      </c>
      <c r="J428">
        <f>2*J366*'PARAMÈTRES'!$C$103</f>
        <v>28.96</v>
      </c>
      <c r="K428">
        <f>2*K366*'PARAMÈTRES'!$C$103</f>
        <v>28.96</v>
      </c>
      <c r="L428">
        <f>2*L366*'PARAMÈTRES'!$C$103</f>
        <v>28.96</v>
      </c>
      <c r="M428">
        <f>2*M366*'PARAMÈTRES'!$C$103</f>
        <v>25.28</v>
      </c>
      <c r="N428">
        <f>2*N366*'PARAMÈTRES'!$C$103</f>
        <v>25.28</v>
      </c>
      <c r="O428">
        <f>2*O366*'PARAMÈTRES'!$C$103</f>
        <v>25.28</v>
      </c>
      <c r="P428">
        <f>2*P366*'PARAMÈTRES'!$C$103</f>
        <v>38.4</v>
      </c>
      <c r="Q428">
        <f>2*Q366*'PARAMÈTRES'!$C$103</f>
        <v>38.4</v>
      </c>
      <c r="R428">
        <f>2*R366*'PARAMÈTRES'!$C$103</f>
        <v>38.4</v>
      </c>
      <c r="S428">
        <f>2*S366*'PARAMÈTRES'!$C$103</f>
        <v>45.76</v>
      </c>
      <c r="T428">
        <f>2*T366*'PARAMÈTRES'!$C$103</f>
        <v>45.76</v>
      </c>
      <c r="U428">
        <f>2*U366*'PARAMÈTRES'!$C$103</f>
        <v>45.76</v>
      </c>
      <c r="V428">
        <f>2*V366*'PARAMÈTRES'!$C$103</f>
        <v>52.48</v>
      </c>
      <c r="W428">
        <f>2*W366*'PARAMÈTRES'!$C$103</f>
        <v>52.48</v>
      </c>
      <c r="X428">
        <f>2*X366*'PARAMÈTRES'!$C$103</f>
        <v>52.48</v>
      </c>
    </row>
    <row r="429">
      <c r="A429" t="inlineStr">
        <is>
          <t>sf_al_p</t>
        </is>
      </c>
      <c r="B429" t="inlineStr">
        <is>
          <t>GROS_ŒUVRE!C53</t>
        </is>
      </c>
      <c r="D429" t="str">
        <f>'PARAMÈTRES'!$C$104</f>
        <v>HA10</v>
      </c>
      <c r="E429" t="str">
        <f>'PARAMÈTRES'!$C$104</f>
        <v>HA10</v>
      </c>
      <c r="F429" t="str">
        <f>'PARAMÈTRES'!$C$104</f>
        <v>HA10</v>
      </c>
      <c r="G429" t="str">
        <f>'PARAMÈTRES'!$C$104</f>
        <v>HA10</v>
      </c>
      <c r="H429" t="str">
        <f>'PARAMÈTRES'!$C$104</f>
        <v>HA10</v>
      </c>
      <c r="I429" t="str">
        <f>'PARAMÈTRES'!$C$104</f>
        <v>HA10</v>
      </c>
      <c r="J429" t="str">
        <f>'PARAMÈTRES'!$C$104</f>
        <v>HA10</v>
      </c>
      <c r="K429" t="str">
        <f>'PARAMÈTRES'!$C$104</f>
        <v>HA10</v>
      </c>
      <c r="L429" t="str">
        <f>'PARAMÈTRES'!$C$104</f>
        <v>HA10</v>
      </c>
      <c r="M429" t="str">
        <f>'PARAMÈTRES'!$C$104</f>
        <v>HA10</v>
      </c>
      <c r="N429" t="str">
        <f>'PARAMÈTRES'!$C$104</f>
        <v>HA10</v>
      </c>
      <c r="O429" t="str">
        <f>'PARAMÈTRES'!$C$104</f>
        <v>HA10</v>
      </c>
      <c r="P429" t="str">
        <f>'PARAMÈTRES'!$C$104</f>
        <v>HA10</v>
      </c>
      <c r="Q429" t="str">
        <f>'PARAMÈTRES'!$C$104</f>
        <v>HA10</v>
      </c>
      <c r="R429" t="str">
        <f>'PARAMÈTRES'!$C$104</f>
        <v>HA10</v>
      </c>
      <c r="S429" t="str">
        <f>'PARAMÈTRES'!$C$104</f>
        <v>HA10</v>
      </c>
      <c r="T429" t="str">
        <f>'PARAMÈTRES'!$C$104</f>
        <v>HA10</v>
      </c>
      <c r="U429" t="str">
        <f>'PARAMÈTRES'!$C$104</f>
        <v>HA10</v>
      </c>
      <c r="V429" t="str">
        <f>'PARAMÈTRES'!$C$104</f>
        <v>HA10</v>
      </c>
      <c r="W429" t="str">
        <f>'PARAMÈTRES'!$C$104</f>
        <v>HA10</v>
      </c>
      <c r="X429" t="str">
        <f>'PARAMÈTRES'!$C$104</f>
        <v>HA10</v>
      </c>
    </row>
    <row r="430">
      <c r="A430" t="inlineStr">
        <is>
          <t>sf_al_q</t>
        </is>
      </c>
      <c r="B430" t="inlineStr">
        <is>
          <t>GROS_ŒUVRE!E53</t>
        </is>
      </c>
      <c r="D430">
        <f>'PARAMÈTRES'!$C$105</f>
        <v>4</v>
      </c>
      <c r="E430">
        <f>'PARAMÈTRES'!$C$105</f>
        <v>4</v>
      </c>
      <c r="F430">
        <f>'PARAMÈTRES'!$C$105</f>
        <v>4</v>
      </c>
      <c r="G430">
        <f>'PARAMÈTRES'!$C$105</f>
        <v>4</v>
      </c>
      <c r="H430">
        <f>'PARAMÈTRES'!$C$105</f>
        <v>4</v>
      </c>
      <c r="I430">
        <f>'PARAMÈTRES'!$C$105</f>
        <v>4</v>
      </c>
      <c r="J430">
        <f>'PARAMÈTRES'!$C$105</f>
        <v>4</v>
      </c>
      <c r="K430">
        <f>'PARAMÈTRES'!$C$105</f>
        <v>4</v>
      </c>
      <c r="L430">
        <f>'PARAMÈTRES'!$C$105</f>
        <v>4</v>
      </c>
      <c r="M430">
        <f>'PARAMÈTRES'!$C$105</f>
        <v>4</v>
      </c>
      <c r="N430">
        <f>'PARAMÈTRES'!$C$105</f>
        <v>4</v>
      </c>
      <c r="O430">
        <f>'PARAMÈTRES'!$C$105</f>
        <v>4</v>
      </c>
      <c r="P430">
        <f>'PARAMÈTRES'!$C$105</f>
        <v>4</v>
      </c>
      <c r="Q430">
        <f>'PARAMÈTRES'!$C$105</f>
        <v>4</v>
      </c>
      <c r="R430">
        <f>'PARAMÈTRES'!$C$105</f>
        <v>4</v>
      </c>
      <c r="S430">
        <f>'PARAMÈTRES'!$C$105</f>
        <v>4</v>
      </c>
      <c r="T430">
        <f>'PARAMÈTRES'!$C$105</f>
        <v>4</v>
      </c>
      <c r="U430">
        <f>'PARAMÈTRES'!$C$105</f>
        <v>4</v>
      </c>
      <c r="V430">
        <f>'PARAMÈTRES'!$C$105</f>
        <v>4</v>
      </c>
      <c r="W430">
        <f>'PARAMÈTRES'!$C$105</f>
        <v>4</v>
      </c>
      <c r="X430">
        <f>'PARAMÈTRES'!$C$105</f>
        <v>4</v>
      </c>
    </row>
    <row r="431">
      <c r="A431" t="inlineStr">
        <is>
          <t>sf_al_lu</t>
        </is>
      </c>
      <c r="B431" t="inlineStr">
        <is>
          <t>GROS_ŒUVRE!F53</t>
        </is>
      </c>
      <c r="D431">
        <f>(D366+MAX(0,ROUNDUP((D366)/'PARAMÈTRES'!$C$58,0)-1)*'PARAMÈTRES'!$C$153*IFERROR(_xlfn.XLOOKUP('PARAMÈTRES'!$C$104,'BASE_ACIERS'!$B$5:$B$20,'BASE_ACIERS'!$C$5:$C$20),IFERROR(INDEX('BASE_ACIERS'!$C$5:$C$20,MATCH('PARAMÈTRES'!$C$104,'BASE_ACIERS'!$B$5:$B$20,0)),0))/1000)</f>
        <v>66</v>
      </c>
      <c r="E431">
        <f>(E366+MAX(0,ROUNDUP((E366)/'PARAMÈTRES'!$C$58,0)-1)*'PARAMÈTRES'!$C$153*IFERROR(_xlfn.XLOOKUP('PARAMÈTRES'!$C$104,'BASE_ACIERS'!$B$5:$B$20,'BASE_ACIERS'!$C$5:$C$20),IFERROR(INDEX('BASE_ACIERS'!$C$5:$C$20,MATCH('PARAMÈTRES'!$C$104,'BASE_ACIERS'!$B$5:$B$20,0)),0))/1000)</f>
        <v>66</v>
      </c>
      <c r="F431">
        <f>(F366+MAX(0,ROUNDUP((F366)/'PARAMÈTRES'!$C$58,0)-1)*'PARAMÈTRES'!$C$153*IFERROR(_xlfn.XLOOKUP('PARAMÈTRES'!$C$104,'BASE_ACIERS'!$B$5:$B$20,'BASE_ACIERS'!$C$5:$C$20),IFERROR(INDEX('BASE_ACIERS'!$C$5:$C$20,MATCH('PARAMÈTRES'!$C$104,'BASE_ACIERS'!$B$5:$B$20,0)),0))/1000)</f>
        <v>66</v>
      </c>
      <c r="G431">
        <f>(G366+MAX(0,ROUNDUP((G366)/'PARAMÈTRES'!$C$58,0)-1)*'PARAMÈTRES'!$C$153*IFERROR(_xlfn.XLOOKUP('PARAMÈTRES'!$C$104,'BASE_ACIERS'!$B$5:$B$20,'BASE_ACIERS'!$C$5:$C$20),IFERROR(INDEX('BASE_ACIERS'!$C$5:$C$20,MATCH('PARAMÈTRES'!$C$104,'BASE_ACIERS'!$B$5:$B$20,0)),0))/1000)</f>
        <v>56.4</v>
      </c>
      <c r="H431">
        <f>(H366+MAX(0,ROUNDUP((H366)/'PARAMÈTRES'!$C$58,0)-1)*'PARAMÈTRES'!$C$153*IFERROR(_xlfn.XLOOKUP('PARAMÈTRES'!$C$104,'BASE_ACIERS'!$B$5:$B$20,'BASE_ACIERS'!$C$5:$C$20),IFERROR(INDEX('BASE_ACIERS'!$C$5:$C$20,MATCH('PARAMÈTRES'!$C$104,'BASE_ACIERS'!$B$5:$B$20,0)),0))/1000)</f>
        <v>56.4</v>
      </c>
      <c r="I431">
        <f>(I366+MAX(0,ROUNDUP((I366)/'PARAMÈTRES'!$C$58,0)-1)*'PARAMÈTRES'!$C$153*IFERROR(_xlfn.XLOOKUP('PARAMÈTRES'!$C$104,'BASE_ACIERS'!$B$5:$B$20,'BASE_ACIERS'!$C$5:$C$20),IFERROR(INDEX('BASE_ACIERS'!$C$5:$C$20,MATCH('PARAMÈTRES'!$C$104,'BASE_ACIERS'!$B$5:$B$20,0)),0))/1000)</f>
        <v>56.4</v>
      </c>
      <c r="J431">
        <f>(J366+MAX(0,ROUNDUP((J366)/'PARAMÈTRES'!$C$58,0)-1)*'PARAMÈTRES'!$C$153*IFERROR(_xlfn.XLOOKUP('PARAMÈTRES'!$C$104,'BASE_ACIERS'!$B$5:$B$20,'BASE_ACIERS'!$C$5:$C$20),IFERROR(INDEX('BASE_ACIERS'!$C$5:$C$20,MATCH('PARAMÈTRES'!$C$104,'BASE_ACIERS'!$B$5:$B$20,0)),0))/1000)</f>
        <v>74.8</v>
      </c>
      <c r="K431">
        <f>(K366+MAX(0,ROUNDUP((K366)/'PARAMÈTRES'!$C$58,0)-1)*'PARAMÈTRES'!$C$153*IFERROR(_xlfn.XLOOKUP('PARAMÈTRES'!$C$104,'BASE_ACIERS'!$B$5:$B$20,'BASE_ACIERS'!$C$5:$C$20),IFERROR(INDEX('BASE_ACIERS'!$C$5:$C$20,MATCH('PARAMÈTRES'!$C$104,'BASE_ACIERS'!$B$5:$B$20,0)),0))/1000)</f>
        <v>74.8</v>
      </c>
      <c r="L431">
        <f>(L366+MAX(0,ROUNDUP((L366)/'PARAMÈTRES'!$C$58,0)-1)*'PARAMÈTRES'!$C$153*IFERROR(_xlfn.XLOOKUP('PARAMÈTRES'!$C$104,'BASE_ACIERS'!$B$5:$B$20,'BASE_ACIERS'!$C$5:$C$20),IFERROR(INDEX('BASE_ACIERS'!$C$5:$C$20,MATCH('PARAMÈTRES'!$C$104,'BASE_ACIERS'!$B$5:$B$20,0)),0))/1000)</f>
        <v>74.8</v>
      </c>
      <c r="M431">
        <f>(M366+MAX(0,ROUNDUP((M366)/'PARAMÈTRES'!$C$58,0)-1)*'PARAMÈTRES'!$C$153*IFERROR(_xlfn.XLOOKUP('PARAMÈTRES'!$C$104,'BASE_ACIERS'!$B$5:$B$20,'BASE_ACIERS'!$C$5:$C$20),IFERROR(INDEX('BASE_ACIERS'!$C$5:$C$20,MATCH('PARAMÈTRES'!$C$104,'BASE_ACIERS'!$B$5:$B$20,0)),0))/1000)</f>
        <v>65.2</v>
      </c>
      <c r="N431">
        <f>(N366+MAX(0,ROUNDUP((N366)/'PARAMÈTRES'!$C$58,0)-1)*'PARAMÈTRES'!$C$153*IFERROR(_xlfn.XLOOKUP('PARAMÈTRES'!$C$104,'BASE_ACIERS'!$B$5:$B$20,'BASE_ACIERS'!$C$5:$C$20),IFERROR(INDEX('BASE_ACIERS'!$C$5:$C$20,MATCH('PARAMÈTRES'!$C$104,'BASE_ACIERS'!$B$5:$B$20,0)),0))/1000)</f>
        <v>65.2</v>
      </c>
      <c r="O431">
        <f>(O366+MAX(0,ROUNDUP((O366)/'PARAMÈTRES'!$C$58,0)-1)*'PARAMÈTRES'!$C$153*IFERROR(_xlfn.XLOOKUP('PARAMÈTRES'!$C$104,'BASE_ACIERS'!$B$5:$B$20,'BASE_ACIERS'!$C$5:$C$20),IFERROR(INDEX('BASE_ACIERS'!$C$5:$C$20,MATCH('PARAMÈTRES'!$C$104,'BASE_ACIERS'!$B$5:$B$20,0)),0))/1000)</f>
        <v>65.2</v>
      </c>
      <c r="P431">
        <f>(P366+MAX(0,ROUNDUP((P366)/'PARAMÈTRES'!$C$58,0)-1)*'PARAMÈTRES'!$C$153*IFERROR(_xlfn.XLOOKUP('PARAMÈTRES'!$C$104,'BASE_ACIERS'!$B$5:$B$20,'BASE_ACIERS'!$C$5:$C$20),IFERROR(INDEX('BASE_ACIERS'!$C$5:$C$20,MATCH('PARAMÈTRES'!$C$104,'BASE_ACIERS'!$B$5:$B$20,0)),0))/1000)</f>
        <v>98.8</v>
      </c>
      <c r="Q431">
        <f>(Q366+MAX(0,ROUNDUP((Q366)/'PARAMÈTRES'!$C$58,0)-1)*'PARAMÈTRES'!$C$153*IFERROR(_xlfn.XLOOKUP('PARAMÈTRES'!$C$104,'BASE_ACIERS'!$B$5:$B$20,'BASE_ACIERS'!$C$5:$C$20),IFERROR(INDEX('BASE_ACIERS'!$C$5:$C$20,MATCH('PARAMÈTRES'!$C$104,'BASE_ACIERS'!$B$5:$B$20,0)),0))/1000)</f>
        <v>98.8</v>
      </c>
      <c r="R431">
        <f>(R366+MAX(0,ROUNDUP((R366)/'PARAMÈTRES'!$C$58,0)-1)*'PARAMÈTRES'!$C$153*IFERROR(_xlfn.XLOOKUP('PARAMÈTRES'!$C$104,'BASE_ACIERS'!$B$5:$B$20,'BASE_ACIERS'!$C$5:$C$20),IFERROR(INDEX('BASE_ACIERS'!$C$5:$C$20,MATCH('PARAMÈTRES'!$C$104,'BASE_ACIERS'!$B$5:$B$20,0)),0))/1000)</f>
        <v>98.8</v>
      </c>
      <c r="S431">
        <f>(S366+MAX(0,ROUNDUP((S366)/'PARAMÈTRES'!$C$58,0)-1)*'PARAMÈTRES'!$C$153*IFERROR(_xlfn.XLOOKUP('PARAMÈTRES'!$C$104,'BASE_ACIERS'!$B$5:$B$20,'BASE_ACIERS'!$C$5:$C$20),IFERROR(INDEX('BASE_ACIERS'!$C$5:$C$20,MATCH('PARAMÈTRES'!$C$104,'BASE_ACIERS'!$B$5:$B$20,0)),0))/1000)</f>
        <v>118</v>
      </c>
      <c r="T431">
        <f>(T366+MAX(0,ROUNDUP((T366)/'PARAMÈTRES'!$C$58,0)-1)*'PARAMÈTRES'!$C$153*IFERROR(_xlfn.XLOOKUP('PARAMÈTRES'!$C$104,'BASE_ACIERS'!$B$5:$B$20,'BASE_ACIERS'!$C$5:$C$20),IFERROR(INDEX('BASE_ACIERS'!$C$5:$C$20,MATCH('PARAMÈTRES'!$C$104,'BASE_ACIERS'!$B$5:$B$20,0)),0))/1000)</f>
        <v>118</v>
      </c>
      <c r="U431">
        <f>(U366+MAX(0,ROUNDUP((U366)/'PARAMÈTRES'!$C$58,0)-1)*'PARAMÈTRES'!$C$153*IFERROR(_xlfn.XLOOKUP('PARAMÈTRES'!$C$104,'BASE_ACIERS'!$B$5:$B$20,'BASE_ACIERS'!$C$5:$C$20),IFERROR(INDEX('BASE_ACIERS'!$C$5:$C$20,MATCH('PARAMÈTRES'!$C$104,'BASE_ACIERS'!$B$5:$B$20,0)),0))/1000)</f>
        <v>118</v>
      </c>
      <c r="V431">
        <f>(V366+MAX(0,ROUNDUP((V366)/'PARAMÈTRES'!$C$58,0)-1)*'PARAMÈTRES'!$C$153*IFERROR(_xlfn.XLOOKUP('PARAMÈTRES'!$C$104,'BASE_ACIERS'!$B$5:$B$20,'BASE_ACIERS'!$C$5:$C$20),IFERROR(INDEX('BASE_ACIERS'!$C$5:$C$20,MATCH('PARAMÈTRES'!$C$104,'BASE_ACIERS'!$B$5:$B$20,0)),0))/1000)</f>
        <v>135.2</v>
      </c>
      <c r="W431">
        <f>(W366+MAX(0,ROUNDUP((W366)/'PARAMÈTRES'!$C$58,0)-1)*'PARAMÈTRES'!$C$153*IFERROR(_xlfn.XLOOKUP('PARAMÈTRES'!$C$104,'BASE_ACIERS'!$B$5:$B$20,'BASE_ACIERS'!$C$5:$C$20),IFERROR(INDEX('BASE_ACIERS'!$C$5:$C$20,MATCH('PARAMÈTRES'!$C$104,'BASE_ACIERS'!$B$5:$B$20,0)),0))/1000)</f>
        <v>135.2</v>
      </c>
      <c r="X431">
        <f>(X366+MAX(0,ROUNDUP((X366)/'PARAMÈTRES'!$C$58,0)-1)*'PARAMÈTRES'!$C$153*IFERROR(_xlfn.XLOOKUP('PARAMÈTRES'!$C$104,'BASE_ACIERS'!$B$5:$B$20,'BASE_ACIERS'!$C$5:$C$20),IFERROR(INDEX('BASE_ACIERS'!$C$5:$C$20,MATCH('PARAMÈTRES'!$C$104,'BASE_ACIERS'!$B$5:$B$20,0)),0))/1000)</f>
        <v>135.2</v>
      </c>
    </row>
    <row r="432">
      <c r="A432" t="inlineStr">
        <is>
          <t>sf_al_lt</t>
        </is>
      </c>
      <c r="B432" t="inlineStr">
        <is>
          <t>GROS_ŒUVRE!G53</t>
        </is>
      </c>
      <c r="D432">
        <f>D430*D431</f>
        <v>264</v>
      </c>
      <c r="E432">
        <f>E430*E431</f>
        <v>264</v>
      </c>
      <c r="F432">
        <f>F430*F431</f>
        <v>264</v>
      </c>
      <c r="G432">
        <f>G430*G431</f>
        <v>225.6</v>
      </c>
      <c r="H432">
        <f>H430*H431</f>
        <v>225.6</v>
      </c>
      <c r="I432">
        <f>I430*I431</f>
        <v>225.6</v>
      </c>
      <c r="J432">
        <f>J430*J431</f>
        <v>299.2</v>
      </c>
      <c r="K432">
        <f>K430*K431</f>
        <v>299.2</v>
      </c>
      <c r="L432">
        <f>L430*L431</f>
        <v>299.2</v>
      </c>
      <c r="M432">
        <f>M430*M431</f>
        <v>260.8</v>
      </c>
      <c r="N432">
        <f>N430*N431</f>
        <v>260.8</v>
      </c>
      <c r="O432">
        <f>O430*O431</f>
        <v>260.8</v>
      </c>
      <c r="P432">
        <f>P430*P431</f>
        <v>395.2</v>
      </c>
      <c r="Q432">
        <f>Q430*Q431</f>
        <v>395.2</v>
      </c>
      <c r="R432">
        <f>R430*R431</f>
        <v>395.2</v>
      </c>
      <c r="S432">
        <f>S430*S431</f>
        <v>472</v>
      </c>
      <c r="T432">
        <f>T430*T431</f>
        <v>472</v>
      </c>
      <c r="U432">
        <f>U430*U431</f>
        <v>472</v>
      </c>
      <c r="V432">
        <f>V430*V431</f>
        <v>540.8</v>
      </c>
      <c r="W432">
        <f>W430*W431</f>
        <v>540.8</v>
      </c>
      <c r="X432">
        <f>X430*X431</f>
        <v>540.8</v>
      </c>
    </row>
    <row r="433">
      <c r="A433" t="inlineStr">
        <is>
          <t>sf_al_kgml</t>
        </is>
      </c>
      <c r="B433" t="inlineStr">
        <is>
          <t>GROS_ŒUVRE!H53</t>
        </is>
      </c>
      <c r="D433">
        <f>IFERROR(_xlfn.XLOOKUP('PARAMÈTRES'!$C$104,'BASE_ACIERS'!$B$5:$B$20,'BASE_ACIERS'!$D$5:$D$20),IFERROR(INDEX('BASE_ACIERS'!$D$5:$D$20,MATCH('PARAMÈTRES'!$C$104,'BASE_ACIERS'!$B$5:$B$20,0)),0))</f>
        <v>0.617</v>
      </c>
      <c r="E433">
        <f>IFERROR(_xlfn.XLOOKUP('PARAMÈTRES'!$C$104,'BASE_ACIERS'!$B$5:$B$20,'BASE_ACIERS'!$D$5:$D$20),IFERROR(INDEX('BASE_ACIERS'!$D$5:$D$20,MATCH('PARAMÈTRES'!$C$104,'BASE_ACIERS'!$B$5:$B$20,0)),0))</f>
        <v>0.617</v>
      </c>
      <c r="F433">
        <f>IFERROR(_xlfn.XLOOKUP('PARAMÈTRES'!$C$104,'BASE_ACIERS'!$B$5:$B$20,'BASE_ACIERS'!$D$5:$D$20),IFERROR(INDEX('BASE_ACIERS'!$D$5:$D$20,MATCH('PARAMÈTRES'!$C$104,'BASE_ACIERS'!$B$5:$B$20,0)),0))</f>
        <v>0.617</v>
      </c>
      <c r="G433">
        <f>IFERROR(_xlfn.XLOOKUP('PARAMÈTRES'!$C$104,'BASE_ACIERS'!$B$5:$B$20,'BASE_ACIERS'!$D$5:$D$20),IFERROR(INDEX('BASE_ACIERS'!$D$5:$D$20,MATCH('PARAMÈTRES'!$C$104,'BASE_ACIERS'!$B$5:$B$20,0)),0))</f>
        <v>0.617</v>
      </c>
      <c r="H433">
        <f>IFERROR(_xlfn.XLOOKUP('PARAMÈTRES'!$C$104,'BASE_ACIERS'!$B$5:$B$20,'BASE_ACIERS'!$D$5:$D$20),IFERROR(INDEX('BASE_ACIERS'!$D$5:$D$20,MATCH('PARAMÈTRES'!$C$104,'BASE_ACIERS'!$B$5:$B$20,0)),0))</f>
        <v>0.617</v>
      </c>
      <c r="I433">
        <f>IFERROR(_xlfn.XLOOKUP('PARAMÈTRES'!$C$104,'BASE_ACIERS'!$B$5:$B$20,'BASE_ACIERS'!$D$5:$D$20),IFERROR(INDEX('BASE_ACIERS'!$D$5:$D$20,MATCH('PARAMÈTRES'!$C$104,'BASE_ACIERS'!$B$5:$B$20,0)),0))</f>
        <v>0.617</v>
      </c>
      <c r="J433">
        <f>IFERROR(_xlfn.XLOOKUP('PARAMÈTRES'!$C$104,'BASE_ACIERS'!$B$5:$B$20,'BASE_ACIERS'!$D$5:$D$20),IFERROR(INDEX('BASE_ACIERS'!$D$5:$D$20,MATCH('PARAMÈTRES'!$C$104,'BASE_ACIERS'!$B$5:$B$20,0)),0))</f>
        <v>0.617</v>
      </c>
      <c r="K433">
        <f>IFERROR(_xlfn.XLOOKUP('PARAMÈTRES'!$C$104,'BASE_ACIERS'!$B$5:$B$20,'BASE_ACIERS'!$D$5:$D$20),IFERROR(INDEX('BASE_ACIERS'!$D$5:$D$20,MATCH('PARAMÈTRES'!$C$104,'BASE_ACIERS'!$B$5:$B$20,0)),0))</f>
        <v>0.617</v>
      </c>
      <c r="L433">
        <f>IFERROR(_xlfn.XLOOKUP('PARAMÈTRES'!$C$104,'BASE_ACIERS'!$B$5:$B$20,'BASE_ACIERS'!$D$5:$D$20),IFERROR(INDEX('BASE_ACIERS'!$D$5:$D$20,MATCH('PARAMÈTRES'!$C$104,'BASE_ACIERS'!$B$5:$B$20,0)),0))</f>
        <v>0.617</v>
      </c>
      <c r="M433">
        <f>IFERROR(_xlfn.XLOOKUP('PARAMÈTRES'!$C$104,'BASE_ACIERS'!$B$5:$B$20,'BASE_ACIERS'!$D$5:$D$20),IFERROR(INDEX('BASE_ACIERS'!$D$5:$D$20,MATCH('PARAMÈTRES'!$C$104,'BASE_ACIERS'!$B$5:$B$20,0)),0))</f>
        <v>0.617</v>
      </c>
      <c r="N433">
        <f>IFERROR(_xlfn.XLOOKUP('PARAMÈTRES'!$C$104,'BASE_ACIERS'!$B$5:$B$20,'BASE_ACIERS'!$D$5:$D$20),IFERROR(INDEX('BASE_ACIERS'!$D$5:$D$20,MATCH('PARAMÈTRES'!$C$104,'BASE_ACIERS'!$B$5:$B$20,0)),0))</f>
        <v>0.617</v>
      </c>
      <c r="O433">
        <f>IFERROR(_xlfn.XLOOKUP('PARAMÈTRES'!$C$104,'BASE_ACIERS'!$B$5:$B$20,'BASE_ACIERS'!$D$5:$D$20),IFERROR(INDEX('BASE_ACIERS'!$D$5:$D$20,MATCH('PARAMÈTRES'!$C$104,'BASE_ACIERS'!$B$5:$B$20,0)),0))</f>
        <v>0.617</v>
      </c>
      <c r="P433">
        <f>IFERROR(_xlfn.XLOOKUP('PARAMÈTRES'!$C$104,'BASE_ACIERS'!$B$5:$B$20,'BASE_ACIERS'!$D$5:$D$20),IFERROR(INDEX('BASE_ACIERS'!$D$5:$D$20,MATCH('PARAMÈTRES'!$C$104,'BASE_ACIERS'!$B$5:$B$20,0)),0))</f>
        <v>0.617</v>
      </c>
      <c r="Q433">
        <f>IFERROR(_xlfn.XLOOKUP('PARAMÈTRES'!$C$104,'BASE_ACIERS'!$B$5:$B$20,'BASE_ACIERS'!$D$5:$D$20),IFERROR(INDEX('BASE_ACIERS'!$D$5:$D$20,MATCH('PARAMÈTRES'!$C$104,'BASE_ACIERS'!$B$5:$B$20,0)),0))</f>
        <v>0.617</v>
      </c>
      <c r="R433">
        <f>IFERROR(_xlfn.XLOOKUP('PARAMÈTRES'!$C$104,'BASE_ACIERS'!$B$5:$B$20,'BASE_ACIERS'!$D$5:$D$20),IFERROR(INDEX('BASE_ACIERS'!$D$5:$D$20,MATCH('PARAMÈTRES'!$C$104,'BASE_ACIERS'!$B$5:$B$20,0)),0))</f>
        <v>0.617</v>
      </c>
      <c r="S433">
        <f>IFERROR(_xlfn.XLOOKUP('PARAMÈTRES'!$C$104,'BASE_ACIERS'!$B$5:$B$20,'BASE_ACIERS'!$D$5:$D$20),IFERROR(INDEX('BASE_ACIERS'!$D$5:$D$20,MATCH('PARAMÈTRES'!$C$104,'BASE_ACIERS'!$B$5:$B$20,0)),0))</f>
        <v>0.617</v>
      </c>
      <c r="T433">
        <f>IFERROR(_xlfn.XLOOKUP('PARAMÈTRES'!$C$104,'BASE_ACIERS'!$B$5:$B$20,'BASE_ACIERS'!$D$5:$D$20),IFERROR(INDEX('BASE_ACIERS'!$D$5:$D$20,MATCH('PARAMÈTRES'!$C$104,'BASE_ACIERS'!$B$5:$B$20,0)),0))</f>
        <v>0.617</v>
      </c>
      <c r="U433">
        <f>IFERROR(_xlfn.XLOOKUP('PARAMÈTRES'!$C$104,'BASE_ACIERS'!$B$5:$B$20,'BASE_ACIERS'!$D$5:$D$20),IFERROR(INDEX('BASE_ACIERS'!$D$5:$D$20,MATCH('PARAMÈTRES'!$C$104,'BASE_ACIERS'!$B$5:$B$20,0)),0))</f>
        <v>0.617</v>
      </c>
      <c r="V433">
        <f>IFERROR(_xlfn.XLOOKUP('PARAMÈTRES'!$C$104,'BASE_ACIERS'!$B$5:$B$20,'BASE_ACIERS'!$D$5:$D$20),IFERROR(INDEX('BASE_ACIERS'!$D$5:$D$20,MATCH('PARAMÈTRES'!$C$104,'BASE_ACIERS'!$B$5:$B$20,0)),0))</f>
        <v>0.617</v>
      </c>
      <c r="W433">
        <f>IFERROR(_xlfn.XLOOKUP('PARAMÈTRES'!$C$104,'BASE_ACIERS'!$B$5:$B$20,'BASE_ACIERS'!$D$5:$D$20),IFERROR(INDEX('BASE_ACIERS'!$D$5:$D$20,MATCH('PARAMÈTRES'!$C$104,'BASE_ACIERS'!$B$5:$B$20,0)),0))</f>
        <v>0.617</v>
      </c>
      <c r="X433">
        <f>IFERROR(_xlfn.XLOOKUP('PARAMÈTRES'!$C$104,'BASE_ACIERS'!$B$5:$B$20,'BASE_ACIERS'!$D$5:$D$20),IFERROR(INDEX('BASE_ACIERS'!$D$5:$D$20,MATCH('PARAMÈTRES'!$C$104,'BASE_ACIERS'!$B$5:$B$20,0)),0))</f>
        <v>0.617</v>
      </c>
    </row>
    <row r="434">
      <c r="A434" t="inlineStr">
        <is>
          <t>sf_al_kg</t>
        </is>
      </c>
      <c r="B434" t="inlineStr">
        <is>
          <t>GROS_ŒUVRE!I53</t>
        </is>
      </c>
      <c r="D434">
        <f>D432*D433</f>
        <v>162.888</v>
      </c>
      <c r="E434">
        <f>E432*E433</f>
        <v>162.888</v>
      </c>
      <c r="F434">
        <f>F432*F433</f>
        <v>162.888</v>
      </c>
      <c r="G434">
        <f>G432*G433</f>
        <v>139.1952</v>
      </c>
      <c r="H434">
        <f>H432*H433</f>
        <v>139.1952</v>
      </c>
      <c r="I434">
        <f>I432*I433</f>
        <v>139.1952</v>
      </c>
      <c r="J434">
        <f>J432*J433</f>
        <v>184.6064</v>
      </c>
      <c r="K434">
        <f>K432*K433</f>
        <v>184.6064</v>
      </c>
      <c r="L434">
        <f>L432*L433</f>
        <v>184.6064</v>
      </c>
      <c r="M434">
        <f>M432*M433</f>
        <v>160.9136</v>
      </c>
      <c r="N434">
        <f>N432*N433</f>
        <v>160.9136</v>
      </c>
      <c r="O434">
        <f>O432*O433</f>
        <v>160.9136</v>
      </c>
      <c r="P434">
        <f>P432*P433</f>
        <v>243.8384</v>
      </c>
      <c r="Q434">
        <f>Q432*Q433</f>
        <v>243.8384</v>
      </c>
      <c r="R434">
        <f>R432*R433</f>
        <v>243.8384</v>
      </c>
      <c r="S434">
        <f>S432*S433</f>
        <v>291.224</v>
      </c>
      <c r="T434">
        <f>T432*T433</f>
        <v>291.224</v>
      </c>
      <c r="U434">
        <f>U432*U433</f>
        <v>291.224</v>
      </c>
      <c r="V434">
        <f>V432*V433</f>
        <v>333.6736</v>
      </c>
      <c r="W434">
        <f>W432*W433</f>
        <v>333.6736</v>
      </c>
      <c r="X434">
        <f>X432*X433</f>
        <v>333.6736</v>
      </c>
    </row>
    <row r="435">
      <c r="A435" t="inlineStr">
        <is>
          <t>sf_ar_p</t>
        </is>
      </c>
      <c r="B435" t="inlineStr">
        <is>
          <t>GROS_ŒUVRE!C54</t>
        </is>
      </c>
      <c r="D435" t="str">
        <f>'PARAMÈTRES'!$C$106</f>
        <v>HA8</v>
      </c>
      <c r="E435" t="str">
        <f>'PARAMÈTRES'!$C$106</f>
        <v>HA8</v>
      </c>
      <c r="F435" t="str">
        <f>'PARAMÈTRES'!$C$106</f>
        <v>HA8</v>
      </c>
      <c r="G435" t="str">
        <f>'PARAMÈTRES'!$C$106</f>
        <v>HA8</v>
      </c>
      <c r="H435" t="str">
        <f>'PARAMÈTRES'!$C$106</f>
        <v>HA8</v>
      </c>
      <c r="I435" t="str">
        <f>'PARAMÈTRES'!$C$106</f>
        <v>HA8</v>
      </c>
      <c r="J435" t="str">
        <f>'PARAMÈTRES'!$C$106</f>
        <v>HA8</v>
      </c>
      <c r="K435" t="str">
        <f>'PARAMÈTRES'!$C$106</f>
        <v>HA8</v>
      </c>
      <c r="L435" t="str">
        <f>'PARAMÈTRES'!$C$106</f>
        <v>HA8</v>
      </c>
      <c r="M435" t="str">
        <f>'PARAMÈTRES'!$C$106</f>
        <v>HA8</v>
      </c>
      <c r="N435" t="str">
        <f>'PARAMÈTRES'!$C$106</f>
        <v>HA8</v>
      </c>
      <c r="O435" t="str">
        <f>'PARAMÈTRES'!$C$106</f>
        <v>HA8</v>
      </c>
      <c r="P435" t="str">
        <f>'PARAMÈTRES'!$C$106</f>
        <v>HA8</v>
      </c>
      <c r="Q435" t="str">
        <f>'PARAMÈTRES'!$C$106</f>
        <v>HA8</v>
      </c>
      <c r="R435" t="str">
        <f>'PARAMÈTRES'!$C$106</f>
        <v>HA8</v>
      </c>
      <c r="S435" t="str">
        <f>'PARAMÈTRES'!$C$106</f>
        <v>HA8</v>
      </c>
      <c r="T435" t="str">
        <f>'PARAMÈTRES'!$C$106</f>
        <v>HA8</v>
      </c>
      <c r="U435" t="str">
        <f>'PARAMÈTRES'!$C$106</f>
        <v>HA8</v>
      </c>
      <c r="V435" t="str">
        <f>'PARAMÈTRES'!$C$106</f>
        <v>HA8</v>
      </c>
      <c r="W435" t="str">
        <f>'PARAMÈTRES'!$C$106</f>
        <v>HA8</v>
      </c>
      <c r="X435" t="str">
        <f>'PARAMÈTRES'!$C$106</f>
        <v>HA8</v>
      </c>
    </row>
    <row r="436">
      <c r="A436" t="inlineStr">
        <is>
          <t>sf_ar_q</t>
        </is>
      </c>
      <c r="B436" t="inlineStr">
        <is>
          <t>GROS_ŒUVRE!E54</t>
        </is>
      </c>
      <c r="D436">
        <f>ROUNDDOWN(D366/'PARAMÈTRES'!$C$107,0)+1</f>
        <v>321</v>
      </c>
      <c r="E436">
        <f>ROUNDDOWN(E366/'PARAMÈTRES'!$C$107,0)+1</f>
        <v>321</v>
      </c>
      <c r="F436">
        <f>ROUNDDOWN(F366/'PARAMÈTRES'!$C$107,0)+1</f>
        <v>321</v>
      </c>
      <c r="G436">
        <f>ROUNDDOWN(G366/'PARAMÈTRES'!$C$107,0)+1</f>
        <v>275</v>
      </c>
      <c r="H436">
        <f>ROUNDDOWN(H366/'PARAMÈTRES'!$C$107,0)+1</f>
        <v>275</v>
      </c>
      <c r="I436">
        <f>ROUNDDOWN(I366/'PARAMÈTRES'!$C$107,0)+1</f>
        <v>275</v>
      </c>
      <c r="J436">
        <f>ROUNDDOWN(J366/'PARAMÈTRES'!$C$107,0)+1</f>
        <v>363</v>
      </c>
      <c r="K436">
        <f>ROUNDDOWN(K366/'PARAMÈTRES'!$C$107,0)+1</f>
        <v>363</v>
      </c>
      <c r="L436">
        <f>ROUNDDOWN(L366/'PARAMÈTRES'!$C$107,0)+1</f>
        <v>363</v>
      </c>
      <c r="M436">
        <f>ROUNDDOWN(M366/'PARAMÈTRES'!$C$107,0)+1</f>
        <v>317</v>
      </c>
      <c r="N436">
        <f>ROUNDDOWN(N366/'PARAMÈTRES'!$C$107,0)+1</f>
        <v>317</v>
      </c>
      <c r="O436">
        <f>ROUNDDOWN(O366/'PARAMÈTRES'!$C$107,0)+1</f>
        <v>317</v>
      </c>
      <c r="P436">
        <f>ROUNDDOWN(P366/'PARAMÈTRES'!$C$107,0)+1</f>
        <v>481</v>
      </c>
      <c r="Q436">
        <f>ROUNDDOWN(Q366/'PARAMÈTRES'!$C$107,0)+1</f>
        <v>481</v>
      </c>
      <c r="R436">
        <f>ROUNDDOWN(R366/'PARAMÈTRES'!$C$107,0)+1</f>
        <v>481</v>
      </c>
      <c r="S436">
        <f>ROUNDDOWN(S366/'PARAMÈTRES'!$C$107,0)+1</f>
        <v>573</v>
      </c>
      <c r="T436">
        <f>ROUNDDOWN(T366/'PARAMÈTRES'!$C$107,0)+1</f>
        <v>573</v>
      </c>
      <c r="U436">
        <f>ROUNDDOWN(U366/'PARAMÈTRES'!$C$107,0)+1</f>
        <v>573</v>
      </c>
      <c r="V436">
        <f>ROUNDDOWN(V366/'PARAMÈTRES'!$C$107,0)+1</f>
        <v>657</v>
      </c>
      <c r="W436">
        <f>ROUNDDOWN(W366/'PARAMÈTRES'!$C$107,0)+1</f>
        <v>657</v>
      </c>
      <c r="X436">
        <f>ROUNDDOWN(X366/'PARAMÈTRES'!$C$107,0)+1</f>
        <v>657</v>
      </c>
    </row>
    <row r="437">
      <c r="A437" t="inlineStr">
        <is>
          <t>sf_ar_lu</t>
        </is>
      </c>
      <c r="B437" t="inlineStr">
        <is>
          <t>GROS_ŒUVRE!F54</t>
        </is>
      </c>
      <c r="D437">
        <f>'PARAMÈTRES'!$C$102-2*'PARAMÈTRES'!$C$108</f>
        <v>0.5</v>
      </c>
      <c r="E437">
        <f>'PARAMÈTRES'!$C$102-2*'PARAMÈTRES'!$C$108</f>
        <v>0.5</v>
      </c>
      <c r="F437">
        <f>'PARAMÈTRES'!$C$102-2*'PARAMÈTRES'!$C$108</f>
        <v>0.5</v>
      </c>
      <c r="G437">
        <f>'PARAMÈTRES'!$C$102-2*'PARAMÈTRES'!$C$108</f>
        <v>0.5</v>
      </c>
      <c r="H437">
        <f>'PARAMÈTRES'!$C$102-2*'PARAMÈTRES'!$C$108</f>
        <v>0.5</v>
      </c>
      <c r="I437">
        <f>'PARAMÈTRES'!$C$102-2*'PARAMÈTRES'!$C$108</f>
        <v>0.5</v>
      </c>
      <c r="J437">
        <f>'PARAMÈTRES'!$C$102-2*'PARAMÈTRES'!$C$108</f>
        <v>0.5</v>
      </c>
      <c r="K437">
        <f>'PARAMÈTRES'!$C$102-2*'PARAMÈTRES'!$C$108</f>
        <v>0.5</v>
      </c>
      <c r="L437">
        <f>'PARAMÈTRES'!$C$102-2*'PARAMÈTRES'!$C$108</f>
        <v>0.5</v>
      </c>
      <c r="M437">
        <f>'PARAMÈTRES'!$C$102-2*'PARAMÈTRES'!$C$108</f>
        <v>0.5</v>
      </c>
      <c r="N437">
        <f>'PARAMÈTRES'!$C$102-2*'PARAMÈTRES'!$C$108</f>
        <v>0.5</v>
      </c>
      <c r="O437">
        <f>'PARAMÈTRES'!$C$102-2*'PARAMÈTRES'!$C$108</f>
        <v>0.5</v>
      </c>
      <c r="P437">
        <f>'PARAMÈTRES'!$C$102-2*'PARAMÈTRES'!$C$108</f>
        <v>0.5</v>
      </c>
      <c r="Q437">
        <f>'PARAMÈTRES'!$C$102-2*'PARAMÈTRES'!$C$108</f>
        <v>0.5</v>
      </c>
      <c r="R437">
        <f>'PARAMÈTRES'!$C$102-2*'PARAMÈTRES'!$C$108</f>
        <v>0.5</v>
      </c>
      <c r="S437">
        <f>'PARAMÈTRES'!$C$102-2*'PARAMÈTRES'!$C$108</f>
        <v>0.5</v>
      </c>
      <c r="T437">
        <f>'PARAMÈTRES'!$C$102-2*'PARAMÈTRES'!$C$108</f>
        <v>0.5</v>
      </c>
      <c r="U437">
        <f>'PARAMÈTRES'!$C$102-2*'PARAMÈTRES'!$C$108</f>
        <v>0.5</v>
      </c>
      <c r="V437">
        <f>'PARAMÈTRES'!$C$102-2*'PARAMÈTRES'!$C$108</f>
        <v>0.5</v>
      </c>
      <c r="W437">
        <f>'PARAMÈTRES'!$C$102-2*'PARAMÈTRES'!$C$108</f>
        <v>0.5</v>
      </c>
      <c r="X437">
        <f>'PARAMÈTRES'!$C$102-2*'PARAMÈTRES'!$C$108</f>
        <v>0.5</v>
      </c>
    </row>
    <row r="438">
      <c r="A438" t="inlineStr">
        <is>
          <t>sf_ar_lt</t>
        </is>
      </c>
      <c r="B438" t="inlineStr">
        <is>
          <t>GROS_ŒUVRE!G54</t>
        </is>
      </c>
      <c r="D438">
        <f>D436*D437</f>
        <v>160.5</v>
      </c>
      <c r="E438">
        <f>E436*E437</f>
        <v>160.5</v>
      </c>
      <c r="F438">
        <f>F436*F437</f>
        <v>160.5</v>
      </c>
      <c r="G438">
        <f>G436*G437</f>
        <v>137.5</v>
      </c>
      <c r="H438">
        <f>H436*H437</f>
        <v>137.5</v>
      </c>
      <c r="I438">
        <f>I436*I437</f>
        <v>137.5</v>
      </c>
      <c r="J438">
        <f>J436*J437</f>
        <v>181.5</v>
      </c>
      <c r="K438">
        <f>K436*K437</f>
        <v>181.5</v>
      </c>
      <c r="L438">
        <f>L436*L437</f>
        <v>181.5</v>
      </c>
      <c r="M438">
        <f>M436*M437</f>
        <v>158.5</v>
      </c>
      <c r="N438">
        <f>N436*N437</f>
        <v>158.5</v>
      </c>
      <c r="O438">
        <f>O436*O437</f>
        <v>158.5</v>
      </c>
      <c r="P438">
        <f>P436*P437</f>
        <v>240.5</v>
      </c>
      <c r="Q438">
        <f>Q436*Q437</f>
        <v>240.5</v>
      </c>
      <c r="R438">
        <f>R436*R437</f>
        <v>240.5</v>
      </c>
      <c r="S438">
        <f>S436*S437</f>
        <v>286.5</v>
      </c>
      <c r="T438">
        <f>T436*T437</f>
        <v>286.5</v>
      </c>
      <c r="U438">
        <f>U436*U437</f>
        <v>286.5</v>
      </c>
      <c r="V438">
        <f>V436*V437</f>
        <v>328.5</v>
      </c>
      <c r="W438">
        <f>W436*W437</f>
        <v>328.5</v>
      </c>
      <c r="X438">
        <f>X436*X437</f>
        <v>328.5</v>
      </c>
    </row>
    <row r="439">
      <c r="A439" t="inlineStr">
        <is>
          <t>sf_ar_kgml</t>
        </is>
      </c>
      <c r="B439" t="inlineStr">
        <is>
          <t>GROS_ŒUVRE!H54</t>
        </is>
      </c>
      <c r="D439">
        <f>IFERROR(_xlfn.XLOOKUP('PARAMÈTRES'!$C$106,'BASE_ACIERS'!$B$5:$B$20,'BASE_ACIERS'!$D$5:$D$20),IFERROR(INDEX('BASE_ACIERS'!$D$5:$D$20,MATCH('PARAMÈTRES'!$C$106,'BASE_ACIERS'!$B$5:$B$20,0)),0))</f>
        <v>0.395</v>
      </c>
      <c r="E439">
        <f>IFERROR(_xlfn.XLOOKUP('PARAMÈTRES'!$C$106,'BASE_ACIERS'!$B$5:$B$20,'BASE_ACIERS'!$D$5:$D$20),IFERROR(INDEX('BASE_ACIERS'!$D$5:$D$20,MATCH('PARAMÈTRES'!$C$106,'BASE_ACIERS'!$B$5:$B$20,0)),0))</f>
        <v>0.395</v>
      </c>
      <c r="F439">
        <f>IFERROR(_xlfn.XLOOKUP('PARAMÈTRES'!$C$106,'BASE_ACIERS'!$B$5:$B$20,'BASE_ACIERS'!$D$5:$D$20),IFERROR(INDEX('BASE_ACIERS'!$D$5:$D$20,MATCH('PARAMÈTRES'!$C$106,'BASE_ACIERS'!$B$5:$B$20,0)),0))</f>
        <v>0.395</v>
      </c>
      <c r="G439">
        <f>IFERROR(_xlfn.XLOOKUP('PARAMÈTRES'!$C$106,'BASE_ACIERS'!$B$5:$B$20,'BASE_ACIERS'!$D$5:$D$20),IFERROR(INDEX('BASE_ACIERS'!$D$5:$D$20,MATCH('PARAMÈTRES'!$C$106,'BASE_ACIERS'!$B$5:$B$20,0)),0))</f>
        <v>0.395</v>
      </c>
      <c r="H439">
        <f>IFERROR(_xlfn.XLOOKUP('PARAMÈTRES'!$C$106,'BASE_ACIERS'!$B$5:$B$20,'BASE_ACIERS'!$D$5:$D$20),IFERROR(INDEX('BASE_ACIERS'!$D$5:$D$20,MATCH('PARAMÈTRES'!$C$106,'BASE_ACIERS'!$B$5:$B$20,0)),0))</f>
        <v>0.395</v>
      </c>
      <c r="I439">
        <f>IFERROR(_xlfn.XLOOKUP('PARAMÈTRES'!$C$106,'BASE_ACIERS'!$B$5:$B$20,'BASE_ACIERS'!$D$5:$D$20),IFERROR(INDEX('BASE_ACIERS'!$D$5:$D$20,MATCH('PARAMÈTRES'!$C$106,'BASE_ACIERS'!$B$5:$B$20,0)),0))</f>
        <v>0.395</v>
      </c>
      <c r="J439">
        <f>IFERROR(_xlfn.XLOOKUP('PARAMÈTRES'!$C$106,'BASE_ACIERS'!$B$5:$B$20,'BASE_ACIERS'!$D$5:$D$20),IFERROR(INDEX('BASE_ACIERS'!$D$5:$D$20,MATCH('PARAMÈTRES'!$C$106,'BASE_ACIERS'!$B$5:$B$20,0)),0))</f>
        <v>0.395</v>
      </c>
      <c r="K439">
        <f>IFERROR(_xlfn.XLOOKUP('PARAMÈTRES'!$C$106,'BASE_ACIERS'!$B$5:$B$20,'BASE_ACIERS'!$D$5:$D$20),IFERROR(INDEX('BASE_ACIERS'!$D$5:$D$20,MATCH('PARAMÈTRES'!$C$106,'BASE_ACIERS'!$B$5:$B$20,0)),0))</f>
        <v>0.395</v>
      </c>
      <c r="L439">
        <f>IFERROR(_xlfn.XLOOKUP('PARAMÈTRES'!$C$106,'BASE_ACIERS'!$B$5:$B$20,'BASE_ACIERS'!$D$5:$D$20),IFERROR(INDEX('BASE_ACIERS'!$D$5:$D$20,MATCH('PARAMÈTRES'!$C$106,'BASE_ACIERS'!$B$5:$B$20,0)),0))</f>
        <v>0.395</v>
      </c>
      <c r="M439">
        <f>IFERROR(_xlfn.XLOOKUP('PARAMÈTRES'!$C$106,'BASE_ACIERS'!$B$5:$B$20,'BASE_ACIERS'!$D$5:$D$20),IFERROR(INDEX('BASE_ACIERS'!$D$5:$D$20,MATCH('PARAMÈTRES'!$C$106,'BASE_ACIERS'!$B$5:$B$20,0)),0))</f>
        <v>0.395</v>
      </c>
      <c r="N439">
        <f>IFERROR(_xlfn.XLOOKUP('PARAMÈTRES'!$C$106,'BASE_ACIERS'!$B$5:$B$20,'BASE_ACIERS'!$D$5:$D$20),IFERROR(INDEX('BASE_ACIERS'!$D$5:$D$20,MATCH('PARAMÈTRES'!$C$106,'BASE_ACIERS'!$B$5:$B$20,0)),0))</f>
        <v>0.395</v>
      </c>
      <c r="O439">
        <f>IFERROR(_xlfn.XLOOKUP('PARAMÈTRES'!$C$106,'BASE_ACIERS'!$B$5:$B$20,'BASE_ACIERS'!$D$5:$D$20),IFERROR(INDEX('BASE_ACIERS'!$D$5:$D$20,MATCH('PARAMÈTRES'!$C$106,'BASE_ACIERS'!$B$5:$B$20,0)),0))</f>
        <v>0.395</v>
      </c>
      <c r="P439">
        <f>IFERROR(_xlfn.XLOOKUP('PARAMÈTRES'!$C$106,'BASE_ACIERS'!$B$5:$B$20,'BASE_ACIERS'!$D$5:$D$20),IFERROR(INDEX('BASE_ACIERS'!$D$5:$D$20,MATCH('PARAMÈTRES'!$C$106,'BASE_ACIERS'!$B$5:$B$20,0)),0))</f>
        <v>0.395</v>
      </c>
      <c r="Q439">
        <f>IFERROR(_xlfn.XLOOKUP('PARAMÈTRES'!$C$106,'BASE_ACIERS'!$B$5:$B$20,'BASE_ACIERS'!$D$5:$D$20),IFERROR(INDEX('BASE_ACIERS'!$D$5:$D$20,MATCH('PARAMÈTRES'!$C$106,'BASE_ACIERS'!$B$5:$B$20,0)),0))</f>
        <v>0.395</v>
      </c>
      <c r="R439">
        <f>IFERROR(_xlfn.XLOOKUP('PARAMÈTRES'!$C$106,'BASE_ACIERS'!$B$5:$B$20,'BASE_ACIERS'!$D$5:$D$20),IFERROR(INDEX('BASE_ACIERS'!$D$5:$D$20,MATCH('PARAMÈTRES'!$C$106,'BASE_ACIERS'!$B$5:$B$20,0)),0))</f>
        <v>0.395</v>
      </c>
      <c r="S439">
        <f>IFERROR(_xlfn.XLOOKUP('PARAMÈTRES'!$C$106,'BASE_ACIERS'!$B$5:$B$20,'BASE_ACIERS'!$D$5:$D$20),IFERROR(INDEX('BASE_ACIERS'!$D$5:$D$20,MATCH('PARAMÈTRES'!$C$106,'BASE_ACIERS'!$B$5:$B$20,0)),0))</f>
        <v>0.395</v>
      </c>
      <c r="T439">
        <f>IFERROR(_xlfn.XLOOKUP('PARAMÈTRES'!$C$106,'BASE_ACIERS'!$B$5:$B$20,'BASE_ACIERS'!$D$5:$D$20),IFERROR(INDEX('BASE_ACIERS'!$D$5:$D$20,MATCH('PARAMÈTRES'!$C$106,'BASE_ACIERS'!$B$5:$B$20,0)),0))</f>
        <v>0.395</v>
      </c>
      <c r="U439">
        <f>IFERROR(_xlfn.XLOOKUP('PARAMÈTRES'!$C$106,'BASE_ACIERS'!$B$5:$B$20,'BASE_ACIERS'!$D$5:$D$20),IFERROR(INDEX('BASE_ACIERS'!$D$5:$D$20,MATCH('PARAMÈTRES'!$C$106,'BASE_ACIERS'!$B$5:$B$20,0)),0))</f>
        <v>0.395</v>
      </c>
      <c r="V439">
        <f>IFERROR(_xlfn.XLOOKUP('PARAMÈTRES'!$C$106,'BASE_ACIERS'!$B$5:$B$20,'BASE_ACIERS'!$D$5:$D$20),IFERROR(INDEX('BASE_ACIERS'!$D$5:$D$20,MATCH('PARAMÈTRES'!$C$106,'BASE_ACIERS'!$B$5:$B$20,0)),0))</f>
        <v>0.395</v>
      </c>
      <c r="W439">
        <f>IFERROR(_xlfn.XLOOKUP('PARAMÈTRES'!$C$106,'BASE_ACIERS'!$B$5:$B$20,'BASE_ACIERS'!$D$5:$D$20),IFERROR(INDEX('BASE_ACIERS'!$D$5:$D$20,MATCH('PARAMÈTRES'!$C$106,'BASE_ACIERS'!$B$5:$B$20,0)),0))</f>
        <v>0.395</v>
      </c>
      <c r="X439">
        <f>IFERROR(_xlfn.XLOOKUP('PARAMÈTRES'!$C$106,'BASE_ACIERS'!$B$5:$B$20,'BASE_ACIERS'!$D$5:$D$20),IFERROR(INDEX('BASE_ACIERS'!$D$5:$D$20,MATCH('PARAMÈTRES'!$C$106,'BASE_ACIERS'!$B$5:$B$20,0)),0))</f>
        <v>0.395</v>
      </c>
    </row>
    <row r="440">
      <c r="A440" t="inlineStr">
        <is>
          <t>sf_ar_kg</t>
        </is>
      </c>
      <c r="B440" t="inlineStr">
        <is>
          <t>GROS_ŒUVRE!I54</t>
        </is>
      </c>
      <c r="D440">
        <f>D438*D439</f>
        <v>63.3975</v>
      </c>
      <c r="E440">
        <f>E438*E439</f>
        <v>63.3975</v>
      </c>
      <c r="F440">
        <f>F438*F439</f>
        <v>63.3975</v>
      </c>
      <c r="G440">
        <f>G438*G439</f>
        <v>54.3125</v>
      </c>
      <c r="H440">
        <f>H438*H439</f>
        <v>54.3125</v>
      </c>
      <c r="I440">
        <f>I438*I439</f>
        <v>54.3125</v>
      </c>
      <c r="J440">
        <f>J438*J439</f>
        <v>71.6925</v>
      </c>
      <c r="K440">
        <f>K438*K439</f>
        <v>71.6925</v>
      </c>
      <c r="L440">
        <f>L438*L439</f>
        <v>71.6925</v>
      </c>
      <c r="M440">
        <f>M438*M439</f>
        <v>62.6075</v>
      </c>
      <c r="N440">
        <f>N438*N439</f>
        <v>62.6075</v>
      </c>
      <c r="O440">
        <f>O438*O439</f>
        <v>62.6075</v>
      </c>
      <c r="P440">
        <f>P438*P439</f>
        <v>94.9975</v>
      </c>
      <c r="Q440">
        <f>Q438*Q439</f>
        <v>94.9975</v>
      </c>
      <c r="R440">
        <f>R438*R439</f>
        <v>94.9975</v>
      </c>
      <c r="S440">
        <f>S438*S439</f>
        <v>113.1675</v>
      </c>
      <c r="T440">
        <f>T438*T439</f>
        <v>113.1675</v>
      </c>
      <c r="U440">
        <f>U438*U439</f>
        <v>113.1675</v>
      </c>
      <c r="V440">
        <f>V438*V439</f>
        <v>129.7575</v>
      </c>
      <c r="W440">
        <f>W438*W439</f>
        <v>129.7575</v>
      </c>
      <c r="X440">
        <f>X438*X439</f>
        <v>129.7575</v>
      </c>
    </row>
    <row r="441">
      <c r="A441" t="inlineStr">
        <is>
          <t>mf_s_q</t>
        </is>
      </c>
      <c r="B441" t="inlineStr">
        <is>
          <t>GROS_ŒUVRE!E57</t>
        </is>
      </c>
      <c r="D441">
        <f>D32*'PARAMÈTRES'!$C$111</f>
        <v>80</v>
      </c>
      <c r="E441">
        <f>E32*'PARAMÈTRES'!$C$111</f>
        <v>80</v>
      </c>
      <c r="F441">
        <f>F32*'PARAMÈTRES'!$C$111</f>
        <v>80</v>
      </c>
      <c r="G441">
        <f>G32*'PARAMÈTRES'!$C$111</f>
        <v>70</v>
      </c>
      <c r="H441">
        <f>H32*'PARAMÈTRES'!$C$111</f>
        <v>70</v>
      </c>
      <c r="I441">
        <f>I32*'PARAMÈTRES'!$C$111</f>
        <v>70</v>
      </c>
      <c r="J441">
        <f>J32*'PARAMÈTRES'!$C$111</f>
        <v>90</v>
      </c>
      <c r="K441">
        <f>K32*'PARAMÈTRES'!$C$111</f>
        <v>90</v>
      </c>
      <c r="L441">
        <f>L32*'PARAMÈTRES'!$C$111</f>
        <v>90</v>
      </c>
      <c r="M441">
        <f>M32*'PARAMÈTRES'!$C$111</f>
        <v>80</v>
      </c>
      <c r="N441">
        <f>N32*'PARAMÈTRES'!$C$111</f>
        <v>80</v>
      </c>
      <c r="O441">
        <f>O32*'PARAMÈTRES'!$C$111</f>
        <v>80</v>
      </c>
      <c r="P441">
        <f>P32*'PARAMÈTRES'!$C$111</f>
        <v>120</v>
      </c>
      <c r="Q441">
        <f>Q32*'PARAMÈTRES'!$C$111</f>
        <v>120</v>
      </c>
      <c r="R441">
        <f>R32*'PARAMÈTRES'!$C$111</f>
        <v>120</v>
      </c>
      <c r="S441">
        <f>S32*'PARAMÈTRES'!$C$111</f>
        <v>140</v>
      </c>
      <c r="T441">
        <f>T32*'PARAMÈTRES'!$C$111</f>
        <v>140</v>
      </c>
      <c r="U441">
        <f>U32*'PARAMÈTRES'!$C$111</f>
        <v>140</v>
      </c>
      <c r="V441">
        <f>V32*'PARAMÈTRES'!$C$111</f>
        <v>160</v>
      </c>
      <c r="W441">
        <f>W32*'PARAMÈTRES'!$C$111</f>
        <v>160</v>
      </c>
      <c r="X441">
        <f>X32*'PARAMÈTRES'!$C$111</f>
        <v>160</v>
      </c>
    </row>
    <row r="442">
      <c r="A442" t="inlineStr">
        <is>
          <t>mf_u_q</t>
        </is>
      </c>
      <c r="B442" t="inlineStr">
        <is>
          <t>GROS_ŒUVRE!E58</t>
        </is>
      </c>
      <c r="D442">
        <f>ROUNDUP(D441*'PARAMÈTRES'!$C$151*(1+'PARAMÈTRES'!$C$152),0)</f>
        <v>1050</v>
      </c>
      <c r="E442">
        <f>ROUNDUP(E441*'PARAMÈTRES'!$C$151*(1+'PARAMÈTRES'!$C$152),0)</f>
        <v>1050</v>
      </c>
      <c r="F442">
        <f>ROUNDUP(F441*'PARAMÈTRES'!$C$151*(1+'PARAMÈTRES'!$C$152),0)</f>
        <v>1050</v>
      </c>
      <c r="G442">
        <f>ROUNDUP(G441*'PARAMÈTRES'!$C$151*(1+'PARAMÈTRES'!$C$152),0)</f>
        <v>919</v>
      </c>
      <c r="H442">
        <f>ROUNDUP(H441*'PARAMÈTRES'!$C$151*(1+'PARAMÈTRES'!$C$152),0)</f>
        <v>919</v>
      </c>
      <c r="I442">
        <f>ROUNDUP(I441*'PARAMÈTRES'!$C$151*(1+'PARAMÈTRES'!$C$152),0)</f>
        <v>919</v>
      </c>
      <c r="J442">
        <f>ROUNDUP(J441*'PARAMÈTRES'!$C$151*(1+'PARAMÈTRES'!$C$152),0)</f>
        <v>1182</v>
      </c>
      <c r="K442">
        <f>ROUNDUP(K441*'PARAMÈTRES'!$C$151*(1+'PARAMÈTRES'!$C$152),0)</f>
        <v>1182</v>
      </c>
      <c r="L442">
        <f>ROUNDUP(L441*'PARAMÈTRES'!$C$151*(1+'PARAMÈTRES'!$C$152),0)</f>
        <v>1182</v>
      </c>
      <c r="M442">
        <f>ROUNDUP(M441*'PARAMÈTRES'!$C$151*(1+'PARAMÈTRES'!$C$152),0)</f>
        <v>1050</v>
      </c>
      <c r="N442">
        <f>ROUNDUP(N441*'PARAMÈTRES'!$C$151*(1+'PARAMÈTRES'!$C$152),0)</f>
        <v>1050</v>
      </c>
      <c r="O442">
        <f>ROUNDUP(O441*'PARAMÈTRES'!$C$151*(1+'PARAMÈTRES'!$C$152),0)</f>
        <v>1050</v>
      </c>
      <c r="P442">
        <f>ROUNDUP(P441*'PARAMÈTRES'!$C$151*(1+'PARAMÈTRES'!$C$152),0)</f>
        <v>1575</v>
      </c>
      <c r="Q442">
        <f>ROUNDUP(Q441*'PARAMÈTRES'!$C$151*(1+'PARAMÈTRES'!$C$152),0)</f>
        <v>1575</v>
      </c>
      <c r="R442">
        <f>ROUNDUP(R441*'PARAMÈTRES'!$C$151*(1+'PARAMÈTRES'!$C$152),0)</f>
        <v>1575</v>
      </c>
      <c r="S442">
        <f>ROUNDUP(S441*'PARAMÈTRES'!$C$151*(1+'PARAMÈTRES'!$C$152),0)</f>
        <v>1838</v>
      </c>
      <c r="T442">
        <f>ROUNDUP(T441*'PARAMÈTRES'!$C$151*(1+'PARAMÈTRES'!$C$152),0)</f>
        <v>1838</v>
      </c>
      <c r="U442">
        <f>ROUNDUP(U441*'PARAMÈTRES'!$C$151*(1+'PARAMÈTRES'!$C$152),0)</f>
        <v>1838</v>
      </c>
      <c r="V442">
        <f>ROUNDUP(V441*'PARAMÈTRES'!$C$151*(1+'PARAMÈTRES'!$C$152),0)</f>
        <v>2100</v>
      </c>
      <c r="W442">
        <f>ROUNDUP(W441*'PARAMÈTRES'!$C$151*(1+'PARAMÈTRES'!$C$152),0)</f>
        <v>2100</v>
      </c>
      <c r="X442">
        <f>ROUNDUP(X441*'PARAMÈTRES'!$C$151*(1+'PARAMÈTRES'!$C$152),0)</f>
        <v>2100</v>
      </c>
    </row>
    <row r="443">
      <c r="A443" t="inlineStr">
        <is>
          <t>mf_m_q</t>
        </is>
      </c>
      <c r="B443" t="inlineStr">
        <is>
          <t>GROS_ŒUVRE!E59</t>
        </is>
      </c>
      <c r="D443">
        <f>D441*'PARAMÈTRES'!$C$150</f>
        <v>1.2</v>
      </c>
      <c r="E443">
        <f>E441*'PARAMÈTRES'!$C$150</f>
        <v>1.2</v>
      </c>
      <c r="F443">
        <f>F441*'PARAMÈTRES'!$C$150</f>
        <v>1.2</v>
      </c>
      <c r="G443">
        <f>G441*'PARAMÈTRES'!$C$150</f>
        <v>1.05</v>
      </c>
      <c r="H443">
        <f>H441*'PARAMÈTRES'!$C$150</f>
        <v>1.05</v>
      </c>
      <c r="I443">
        <f>I441*'PARAMÈTRES'!$C$150</f>
        <v>1.05</v>
      </c>
      <c r="J443">
        <f>J441*'PARAMÈTRES'!$C$150</f>
        <v>1.35</v>
      </c>
      <c r="K443">
        <f>K441*'PARAMÈTRES'!$C$150</f>
        <v>1.35</v>
      </c>
      <c r="L443">
        <f>L441*'PARAMÈTRES'!$C$150</f>
        <v>1.35</v>
      </c>
      <c r="M443">
        <f>M441*'PARAMÈTRES'!$C$150</f>
        <v>1.2</v>
      </c>
      <c r="N443">
        <f>N441*'PARAMÈTRES'!$C$150</f>
        <v>1.2</v>
      </c>
      <c r="O443">
        <f>O441*'PARAMÈTRES'!$C$150</f>
        <v>1.2</v>
      </c>
      <c r="P443">
        <f>P441*'PARAMÈTRES'!$C$150</f>
        <v>1.8</v>
      </c>
      <c r="Q443">
        <f>Q441*'PARAMÈTRES'!$C$150</f>
        <v>1.8</v>
      </c>
      <c r="R443">
        <f>R441*'PARAMÈTRES'!$C$150</f>
        <v>1.8</v>
      </c>
      <c r="S443">
        <f>S441*'PARAMÈTRES'!$C$150</f>
        <v>2.1</v>
      </c>
      <c r="T443">
        <f>T441*'PARAMÈTRES'!$C$150</f>
        <v>2.1</v>
      </c>
      <c r="U443">
        <f>U441*'PARAMÈTRES'!$C$150</f>
        <v>2.1</v>
      </c>
      <c r="V443">
        <f>V441*'PARAMÈTRES'!$C$150</f>
        <v>2.4</v>
      </c>
      <c r="W443">
        <f>W441*'PARAMÈTRES'!$C$150</f>
        <v>2.4</v>
      </c>
      <c r="X443">
        <f>X441*'PARAMÈTRES'!$C$150</f>
        <v>2.4</v>
      </c>
    </row>
    <row r="444">
      <c r="A444" t="inlineStr">
        <is>
          <t>poly_q</t>
        </is>
      </c>
      <c r="B444" t="inlineStr">
        <is>
          <t>GROS_ŒUVRE!E62</t>
        </is>
      </c>
      <c r="D444">
        <f>D369*(1+'PARAMÈTRES'!$C$126)</f>
        <v>323.42475</v>
      </c>
      <c r="E444">
        <f>E369*(1+'PARAMÈTRES'!$C$126)</f>
        <v>323.42475</v>
      </c>
      <c r="F444">
        <f>F369*(1+'PARAMÈTRES'!$C$126)</f>
        <v>323.42475</v>
      </c>
      <c r="G444">
        <f>G369*(1+'PARAMÈTRES'!$C$126)</f>
        <v>324.24975</v>
      </c>
      <c r="H444">
        <f>H369*(1+'PARAMÈTRES'!$C$126)</f>
        <v>324.24975</v>
      </c>
      <c r="I444">
        <f>I369*(1+'PARAMÈTRES'!$C$126)</f>
        <v>324.24975</v>
      </c>
      <c r="J444">
        <f>J369*(1+'PARAMÈTRES'!$C$126)</f>
        <v>487.59975</v>
      </c>
      <c r="K444">
        <f>K369*(1+'PARAMÈTRES'!$C$126)</f>
        <v>487.59975</v>
      </c>
      <c r="L444">
        <f>L369*(1+'PARAMÈTRES'!$C$126)</f>
        <v>487.59975</v>
      </c>
      <c r="M444">
        <f>M369*(1+'PARAMÈTRES'!$C$126)</f>
        <v>433.42475</v>
      </c>
      <c r="N444">
        <f>N369*(1+'PARAMÈTRES'!$C$126)</f>
        <v>433.42475</v>
      </c>
      <c r="O444">
        <f>O369*(1+'PARAMÈTRES'!$C$126)</f>
        <v>433.42475</v>
      </c>
      <c r="P444">
        <f>P369*(1+'PARAMÈTRES'!$C$126)</f>
        <v>870.12475</v>
      </c>
      <c r="Q444">
        <f>Q369*(1+'PARAMÈTRES'!$C$126)</f>
        <v>870.12475</v>
      </c>
      <c r="R444">
        <f>R369*(1+'PARAMÈTRES'!$C$126)</f>
        <v>870.12475</v>
      </c>
      <c r="S444">
        <f>S369*(1+'PARAMÈTRES'!$C$126)</f>
        <v>1308.47475</v>
      </c>
      <c r="T444">
        <f>T369*(1+'PARAMÈTRES'!$C$126)</f>
        <v>1308.47475</v>
      </c>
      <c r="U444">
        <f>U369*(1+'PARAMÈTRES'!$C$126)</f>
        <v>1308.47475</v>
      </c>
      <c r="V444">
        <f>V369*(1+'PARAMÈTRES'!$C$126)</f>
        <v>1746.82475</v>
      </c>
      <c r="W444">
        <f>W369*(1+'PARAMÈTRES'!$C$126)</f>
        <v>1746.82475</v>
      </c>
      <c r="X444">
        <f>X369*(1+'PARAMÈTRES'!$C$126)</f>
        <v>1746.82475</v>
      </c>
    </row>
    <row r="445">
      <c r="A445" t="inlineStr">
        <is>
          <t>dal_q</t>
        </is>
      </c>
      <c r="B445" t="inlineStr">
        <is>
          <t>GROS_ŒUVRE!E63</t>
        </is>
      </c>
      <c r="D445">
        <f>D369*D360</f>
        <v>58.8045</v>
      </c>
      <c r="E445">
        <f>E369*E360</f>
        <v>58.8045</v>
      </c>
      <c r="F445">
        <f>F369*F360</f>
        <v>58.8045</v>
      </c>
      <c r="G445">
        <f>G369*G360</f>
        <v>58.9545</v>
      </c>
      <c r="H445">
        <f>H369*H360</f>
        <v>58.9545</v>
      </c>
      <c r="I445">
        <f>I369*I360</f>
        <v>58.9545</v>
      </c>
      <c r="J445">
        <f>J369*J360</f>
        <v>88.6545</v>
      </c>
      <c r="K445">
        <f>K369*K360</f>
        <v>88.6545</v>
      </c>
      <c r="L445">
        <f>L369*L360</f>
        <v>88.6545</v>
      </c>
      <c r="M445">
        <f>M369*M360</f>
        <v>78.8045</v>
      </c>
      <c r="N445">
        <f>N369*N360</f>
        <v>78.8045</v>
      </c>
      <c r="O445">
        <f>O369*O360</f>
        <v>78.8045</v>
      </c>
      <c r="P445">
        <f>P369*P360</f>
        <v>158.2045</v>
      </c>
      <c r="Q445">
        <f>Q369*Q360</f>
        <v>158.2045</v>
      </c>
      <c r="R445">
        <f>R369*R360</f>
        <v>158.2045</v>
      </c>
      <c r="S445">
        <f>S369*S360</f>
        <v>237.9045</v>
      </c>
      <c r="T445">
        <f>T369*T360</f>
        <v>237.9045</v>
      </c>
      <c r="U445">
        <f>U369*U360</f>
        <v>237.9045</v>
      </c>
      <c r="V445">
        <f>V369*V360</f>
        <v>317.6045</v>
      </c>
      <c r="W445">
        <f>W369*W360</f>
        <v>317.6045</v>
      </c>
      <c r="X445">
        <f>X369*X360</f>
        <v>317.6045</v>
      </c>
    </row>
    <row r="446">
      <c r="A446" t="inlineStr">
        <is>
          <t>di_x_p</t>
        </is>
      </c>
      <c r="B446" t="inlineStr">
        <is>
          <t>GROS_ŒUVRE!C64</t>
        </is>
      </c>
      <c r="D446" t="str">
        <f>'PARAMÈTRES'!$C$116</f>
        <v>HA10</v>
      </c>
      <c r="E446" t="str">
        <f>'PARAMÈTRES'!$C$116</f>
        <v>HA10</v>
      </c>
      <c r="F446" t="str">
        <f>'PARAMÈTRES'!$C$116</f>
        <v>HA10</v>
      </c>
      <c r="G446" t="str">
        <f>'PARAMÈTRES'!$C$116</f>
        <v>HA10</v>
      </c>
      <c r="H446" t="str">
        <f>'PARAMÈTRES'!$C$116</f>
        <v>HA10</v>
      </c>
      <c r="I446" t="str">
        <f>'PARAMÈTRES'!$C$116</f>
        <v>HA10</v>
      </c>
      <c r="J446" t="str">
        <f>'PARAMÈTRES'!$C$116</f>
        <v>HA10</v>
      </c>
      <c r="K446" t="str">
        <f>'PARAMÈTRES'!$C$116</f>
        <v>HA10</v>
      </c>
      <c r="L446" t="str">
        <f>'PARAMÈTRES'!$C$116</f>
        <v>HA10</v>
      </c>
      <c r="M446" t="str">
        <f>'PARAMÈTRES'!$C$116</f>
        <v>HA10</v>
      </c>
      <c r="N446" t="str">
        <f>'PARAMÈTRES'!$C$116</f>
        <v>HA10</v>
      </c>
      <c r="O446" t="str">
        <f>'PARAMÈTRES'!$C$116</f>
        <v>HA10</v>
      </c>
      <c r="P446" t="str">
        <f>'PARAMÈTRES'!$C$116</f>
        <v>HA10</v>
      </c>
      <c r="Q446" t="str">
        <f>'PARAMÈTRES'!$C$116</f>
        <v>HA10</v>
      </c>
      <c r="R446" t="str">
        <f>'PARAMÈTRES'!$C$116</f>
        <v>HA10</v>
      </c>
      <c r="S446" t="str">
        <f>'PARAMÈTRES'!$C$116</f>
        <v>HA10</v>
      </c>
      <c r="T446" t="str">
        <f>'PARAMÈTRES'!$C$116</f>
        <v>HA10</v>
      </c>
      <c r="U446" t="str">
        <f>'PARAMÈTRES'!$C$116</f>
        <v>HA10</v>
      </c>
      <c r="V446" t="str">
        <f>'PARAMÈTRES'!$C$116</f>
        <v>HA10</v>
      </c>
      <c r="W446" t="str">
        <f>'PARAMÈTRES'!$C$116</f>
        <v>HA10</v>
      </c>
      <c r="X446" t="str">
        <f>'PARAMÈTRES'!$C$116</f>
        <v>HA10</v>
      </c>
    </row>
    <row r="447">
      <c r="A447" t="inlineStr">
        <is>
          <t>di_x_q</t>
        </is>
      </c>
      <c r="B447" t="inlineStr">
        <is>
          <t>GROS_ŒUVRE!E64</t>
        </is>
      </c>
      <c r="D447">
        <f>ROUNDDOWN(D368/D362,0)+1</f>
        <v>50</v>
      </c>
      <c r="E447">
        <f>ROUNDDOWN(E368/E362,0)+1</f>
        <v>50</v>
      </c>
      <c r="F447">
        <f>ROUNDDOWN(F368/F362,0)+1</f>
        <v>50</v>
      </c>
      <c r="G447">
        <f>ROUNDDOWN(G368/G362,0)+1</f>
        <v>75</v>
      </c>
      <c r="H447">
        <f>ROUNDDOWN(H368/H362,0)+1</f>
        <v>75</v>
      </c>
      <c r="I447">
        <f>ROUNDDOWN(I368/I362,0)+1</f>
        <v>75</v>
      </c>
      <c r="J447">
        <f>ROUNDDOWN(J368/J362,0)+1</f>
        <v>75</v>
      </c>
      <c r="K447">
        <f>ROUNDDOWN(K368/K362,0)+1</f>
        <v>75</v>
      </c>
      <c r="L447">
        <f>ROUNDDOWN(L368/L362,0)+1</f>
        <v>75</v>
      </c>
      <c r="M447">
        <f>ROUNDDOWN(M368/M362,0)+1</f>
        <v>100</v>
      </c>
      <c r="N447">
        <f>ROUNDDOWN(N368/N362,0)+1</f>
        <v>100</v>
      </c>
      <c r="O447">
        <f>ROUNDDOWN(O368/O362,0)+1</f>
        <v>100</v>
      </c>
      <c r="P447">
        <f>ROUNDDOWN(P368/P362,0)+1</f>
        <v>100</v>
      </c>
      <c r="Q447">
        <f>ROUNDDOWN(Q368/Q362,0)+1</f>
        <v>100</v>
      </c>
      <c r="R447">
        <f>ROUNDDOWN(R368/R362,0)+1</f>
        <v>100</v>
      </c>
      <c r="S447">
        <f>ROUNDDOWN(S368/S362,0)+1</f>
        <v>150</v>
      </c>
      <c r="T447">
        <f>ROUNDDOWN(T368/T362,0)+1</f>
        <v>150</v>
      </c>
      <c r="U447">
        <f>ROUNDDOWN(U368/U362,0)+1</f>
        <v>150</v>
      </c>
      <c r="V447">
        <f>ROUNDDOWN(V368/V362,0)+1</f>
        <v>200</v>
      </c>
      <c r="W447">
        <f>ROUNDDOWN(W368/W362,0)+1</f>
        <v>200</v>
      </c>
      <c r="X447">
        <f>ROUNDDOWN(X368/X362,0)+1</f>
        <v>200</v>
      </c>
    </row>
    <row r="448">
      <c r="A448" t="inlineStr">
        <is>
          <t>di_x_lu</t>
        </is>
      </c>
      <c r="B448" t="inlineStr">
        <is>
          <t>GROS_ŒUVRE!F64</t>
        </is>
      </c>
      <c r="D448">
        <f>(D367-2*'PARAMÈTRES'!$C$121+MAX(0,ROUNDUP((D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30.59</v>
      </c>
      <c r="E448">
        <f>(E367-2*'PARAMÈTRES'!$C$121+MAX(0,ROUNDUP((E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30.59</v>
      </c>
      <c r="F448">
        <f>(F367-2*'PARAMÈTRES'!$C$121+MAX(0,ROUNDUP((F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30.59</v>
      </c>
      <c r="G448">
        <f>(G367-2*'PARAMÈTRES'!$C$121+MAX(0,ROUNDUP((G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20.19</v>
      </c>
      <c r="H448">
        <f>(H367-2*'PARAMÈTRES'!$C$121+MAX(0,ROUNDUP((H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20.19</v>
      </c>
      <c r="I448">
        <f>(I367-2*'PARAMÈTRES'!$C$121+MAX(0,ROUNDUP((I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20.19</v>
      </c>
      <c r="J448">
        <f>(J367-2*'PARAMÈTRES'!$C$121+MAX(0,ROUNDUP((J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30.59</v>
      </c>
      <c r="K448">
        <f>(K367-2*'PARAMÈTRES'!$C$121+MAX(0,ROUNDUP((K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30.59</v>
      </c>
      <c r="L448">
        <f>(L367-2*'PARAMÈTRES'!$C$121+MAX(0,ROUNDUP((L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30.59</v>
      </c>
      <c r="M448">
        <f>(M367-2*'PARAMÈTRES'!$C$121+MAX(0,ROUNDUP((M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20.19</v>
      </c>
      <c r="N448">
        <f>(N367-2*'PARAMÈTRES'!$C$121+MAX(0,ROUNDUP((N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20.19</v>
      </c>
      <c r="O448">
        <f>(O367-2*'PARAMÈTRES'!$C$121+MAX(0,ROUNDUP((O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20.19</v>
      </c>
      <c r="P448">
        <f>(P367-2*'PARAMÈTRES'!$C$121+MAX(0,ROUNDUP((P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40.99</v>
      </c>
      <c r="Q448">
        <f>(Q367-2*'PARAMÈTRES'!$C$121+MAX(0,ROUNDUP((Q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40.99</v>
      </c>
      <c r="R448">
        <f>(R367-2*'PARAMÈTRES'!$C$121+MAX(0,ROUNDUP((R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40.99</v>
      </c>
      <c r="S448">
        <f>(S367-2*'PARAMÈTRES'!$C$121+MAX(0,ROUNDUP((S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40.99</v>
      </c>
      <c r="T448">
        <f>(T367-2*'PARAMÈTRES'!$C$121+MAX(0,ROUNDUP((T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40.99</v>
      </c>
      <c r="U448">
        <f>(U367-2*'PARAMÈTRES'!$C$121+MAX(0,ROUNDUP((U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40.99</v>
      </c>
      <c r="V448">
        <f>(V367-2*'PARAMÈTRES'!$C$121+MAX(0,ROUNDUP((V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40.99</v>
      </c>
      <c r="W448">
        <f>(W367-2*'PARAMÈTRES'!$C$121+MAX(0,ROUNDUP((W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40.99</v>
      </c>
      <c r="X448">
        <f>(X367-2*'PARAMÈTRES'!$C$121+MAX(0,ROUNDUP((X367-2*'PARAMÈTRES'!$C$121)/'PARAMÈTRES'!$C$58,0)-1)*'PARAMÈTRES'!$C$153*IFERROR(_xlfn.XLOOKUP('PARAMÈTRES'!$C$116,'BASE_ACIERS'!$B$5:$B$20,'BASE_ACIERS'!$C$5:$C$20),IFERROR(INDEX('BASE_ACIERS'!$C$5:$C$20,MATCH('PARAMÈTRES'!$C$116,'BASE_ACIERS'!$B$5:$B$20,0)),0))/1000)</f>
        <v>40.99</v>
      </c>
    </row>
    <row r="449">
      <c r="A449" t="inlineStr">
        <is>
          <t>di_x_lt</t>
        </is>
      </c>
      <c r="B449" t="inlineStr">
        <is>
          <t>GROS_ŒUVRE!G64</t>
        </is>
      </c>
      <c r="D449">
        <f>D447*D448</f>
        <v>1529.5</v>
      </c>
      <c r="E449">
        <f>E447*E448</f>
        <v>1529.5</v>
      </c>
      <c r="F449">
        <f>F447*F448</f>
        <v>1529.5</v>
      </c>
      <c r="G449">
        <f>G447*G448</f>
        <v>1514.25</v>
      </c>
      <c r="H449">
        <f>H447*H448</f>
        <v>1514.25</v>
      </c>
      <c r="I449">
        <f>I447*I448</f>
        <v>1514.25</v>
      </c>
      <c r="J449">
        <f>J447*J448</f>
        <v>2294.25</v>
      </c>
      <c r="K449">
        <f>K447*K448</f>
        <v>2294.25</v>
      </c>
      <c r="L449">
        <f>L447*L448</f>
        <v>2294.25</v>
      </c>
      <c r="M449">
        <f>M447*M448</f>
        <v>2019</v>
      </c>
      <c r="N449">
        <f>N447*N448</f>
        <v>2019</v>
      </c>
      <c r="O449">
        <f>O447*O448</f>
        <v>2019</v>
      </c>
      <c r="P449">
        <f>P447*P448</f>
        <v>4099</v>
      </c>
      <c r="Q449">
        <f>Q447*Q448</f>
        <v>4099</v>
      </c>
      <c r="R449">
        <f>R447*R448</f>
        <v>4099</v>
      </c>
      <c r="S449">
        <f>S447*S448</f>
        <v>6148.5</v>
      </c>
      <c r="T449">
        <f>T447*T448</f>
        <v>6148.5</v>
      </c>
      <c r="U449">
        <f>U447*U448</f>
        <v>6148.5</v>
      </c>
      <c r="V449">
        <f>V447*V448</f>
        <v>8198</v>
      </c>
      <c r="W449">
        <f>W447*W448</f>
        <v>8198</v>
      </c>
      <c r="X449">
        <f>X447*X448</f>
        <v>8198</v>
      </c>
    </row>
    <row r="450">
      <c r="A450" t="inlineStr">
        <is>
          <t>di_x_kgml</t>
        </is>
      </c>
      <c r="B450" t="inlineStr">
        <is>
          <t>GROS_ŒUVRE!H64</t>
        </is>
      </c>
      <c r="D450">
        <f>IFERROR(_xlfn.XLOOKUP('PARAMÈTRES'!$C$116,'BASE_ACIERS'!$B$5:$B$20,'BASE_ACIERS'!$D$5:$D$20),IFERROR(INDEX('BASE_ACIERS'!$D$5:$D$20,MATCH('PARAMÈTRES'!$C$116,'BASE_ACIERS'!$B$5:$B$20,0)),0))</f>
        <v>0.617</v>
      </c>
      <c r="E450">
        <f>IFERROR(_xlfn.XLOOKUP('PARAMÈTRES'!$C$116,'BASE_ACIERS'!$B$5:$B$20,'BASE_ACIERS'!$D$5:$D$20),IFERROR(INDEX('BASE_ACIERS'!$D$5:$D$20,MATCH('PARAMÈTRES'!$C$116,'BASE_ACIERS'!$B$5:$B$20,0)),0))</f>
        <v>0.617</v>
      </c>
      <c r="F450">
        <f>IFERROR(_xlfn.XLOOKUP('PARAMÈTRES'!$C$116,'BASE_ACIERS'!$B$5:$B$20,'BASE_ACIERS'!$D$5:$D$20),IFERROR(INDEX('BASE_ACIERS'!$D$5:$D$20,MATCH('PARAMÈTRES'!$C$116,'BASE_ACIERS'!$B$5:$B$20,0)),0))</f>
        <v>0.617</v>
      </c>
      <c r="G450">
        <f>IFERROR(_xlfn.XLOOKUP('PARAMÈTRES'!$C$116,'BASE_ACIERS'!$B$5:$B$20,'BASE_ACIERS'!$D$5:$D$20),IFERROR(INDEX('BASE_ACIERS'!$D$5:$D$20,MATCH('PARAMÈTRES'!$C$116,'BASE_ACIERS'!$B$5:$B$20,0)),0))</f>
        <v>0.617</v>
      </c>
      <c r="H450">
        <f>IFERROR(_xlfn.XLOOKUP('PARAMÈTRES'!$C$116,'BASE_ACIERS'!$B$5:$B$20,'BASE_ACIERS'!$D$5:$D$20),IFERROR(INDEX('BASE_ACIERS'!$D$5:$D$20,MATCH('PARAMÈTRES'!$C$116,'BASE_ACIERS'!$B$5:$B$20,0)),0))</f>
        <v>0.617</v>
      </c>
      <c r="I450">
        <f>IFERROR(_xlfn.XLOOKUP('PARAMÈTRES'!$C$116,'BASE_ACIERS'!$B$5:$B$20,'BASE_ACIERS'!$D$5:$D$20),IFERROR(INDEX('BASE_ACIERS'!$D$5:$D$20,MATCH('PARAMÈTRES'!$C$116,'BASE_ACIERS'!$B$5:$B$20,0)),0))</f>
        <v>0.617</v>
      </c>
      <c r="J450">
        <f>IFERROR(_xlfn.XLOOKUP('PARAMÈTRES'!$C$116,'BASE_ACIERS'!$B$5:$B$20,'BASE_ACIERS'!$D$5:$D$20),IFERROR(INDEX('BASE_ACIERS'!$D$5:$D$20,MATCH('PARAMÈTRES'!$C$116,'BASE_ACIERS'!$B$5:$B$20,0)),0))</f>
        <v>0.617</v>
      </c>
      <c r="K450">
        <f>IFERROR(_xlfn.XLOOKUP('PARAMÈTRES'!$C$116,'BASE_ACIERS'!$B$5:$B$20,'BASE_ACIERS'!$D$5:$D$20),IFERROR(INDEX('BASE_ACIERS'!$D$5:$D$20,MATCH('PARAMÈTRES'!$C$116,'BASE_ACIERS'!$B$5:$B$20,0)),0))</f>
        <v>0.617</v>
      </c>
      <c r="L450">
        <f>IFERROR(_xlfn.XLOOKUP('PARAMÈTRES'!$C$116,'BASE_ACIERS'!$B$5:$B$20,'BASE_ACIERS'!$D$5:$D$20),IFERROR(INDEX('BASE_ACIERS'!$D$5:$D$20,MATCH('PARAMÈTRES'!$C$116,'BASE_ACIERS'!$B$5:$B$20,0)),0))</f>
        <v>0.617</v>
      </c>
      <c r="M450">
        <f>IFERROR(_xlfn.XLOOKUP('PARAMÈTRES'!$C$116,'BASE_ACIERS'!$B$5:$B$20,'BASE_ACIERS'!$D$5:$D$20),IFERROR(INDEX('BASE_ACIERS'!$D$5:$D$20,MATCH('PARAMÈTRES'!$C$116,'BASE_ACIERS'!$B$5:$B$20,0)),0))</f>
        <v>0.617</v>
      </c>
      <c r="N450">
        <f>IFERROR(_xlfn.XLOOKUP('PARAMÈTRES'!$C$116,'BASE_ACIERS'!$B$5:$B$20,'BASE_ACIERS'!$D$5:$D$20),IFERROR(INDEX('BASE_ACIERS'!$D$5:$D$20,MATCH('PARAMÈTRES'!$C$116,'BASE_ACIERS'!$B$5:$B$20,0)),0))</f>
        <v>0.617</v>
      </c>
      <c r="O450">
        <f>IFERROR(_xlfn.XLOOKUP('PARAMÈTRES'!$C$116,'BASE_ACIERS'!$B$5:$B$20,'BASE_ACIERS'!$D$5:$D$20),IFERROR(INDEX('BASE_ACIERS'!$D$5:$D$20,MATCH('PARAMÈTRES'!$C$116,'BASE_ACIERS'!$B$5:$B$20,0)),0))</f>
        <v>0.617</v>
      </c>
      <c r="P450">
        <f>IFERROR(_xlfn.XLOOKUP('PARAMÈTRES'!$C$116,'BASE_ACIERS'!$B$5:$B$20,'BASE_ACIERS'!$D$5:$D$20),IFERROR(INDEX('BASE_ACIERS'!$D$5:$D$20,MATCH('PARAMÈTRES'!$C$116,'BASE_ACIERS'!$B$5:$B$20,0)),0))</f>
        <v>0.617</v>
      </c>
      <c r="Q450">
        <f>IFERROR(_xlfn.XLOOKUP('PARAMÈTRES'!$C$116,'BASE_ACIERS'!$B$5:$B$20,'BASE_ACIERS'!$D$5:$D$20),IFERROR(INDEX('BASE_ACIERS'!$D$5:$D$20,MATCH('PARAMÈTRES'!$C$116,'BASE_ACIERS'!$B$5:$B$20,0)),0))</f>
        <v>0.617</v>
      </c>
      <c r="R450">
        <f>IFERROR(_xlfn.XLOOKUP('PARAMÈTRES'!$C$116,'BASE_ACIERS'!$B$5:$B$20,'BASE_ACIERS'!$D$5:$D$20),IFERROR(INDEX('BASE_ACIERS'!$D$5:$D$20,MATCH('PARAMÈTRES'!$C$116,'BASE_ACIERS'!$B$5:$B$20,0)),0))</f>
        <v>0.617</v>
      </c>
      <c r="S450">
        <f>IFERROR(_xlfn.XLOOKUP('PARAMÈTRES'!$C$116,'BASE_ACIERS'!$B$5:$B$20,'BASE_ACIERS'!$D$5:$D$20),IFERROR(INDEX('BASE_ACIERS'!$D$5:$D$20,MATCH('PARAMÈTRES'!$C$116,'BASE_ACIERS'!$B$5:$B$20,0)),0))</f>
        <v>0.617</v>
      </c>
      <c r="T450">
        <f>IFERROR(_xlfn.XLOOKUP('PARAMÈTRES'!$C$116,'BASE_ACIERS'!$B$5:$B$20,'BASE_ACIERS'!$D$5:$D$20),IFERROR(INDEX('BASE_ACIERS'!$D$5:$D$20,MATCH('PARAMÈTRES'!$C$116,'BASE_ACIERS'!$B$5:$B$20,0)),0))</f>
        <v>0.617</v>
      </c>
      <c r="U450">
        <f>IFERROR(_xlfn.XLOOKUP('PARAMÈTRES'!$C$116,'BASE_ACIERS'!$B$5:$B$20,'BASE_ACIERS'!$D$5:$D$20),IFERROR(INDEX('BASE_ACIERS'!$D$5:$D$20,MATCH('PARAMÈTRES'!$C$116,'BASE_ACIERS'!$B$5:$B$20,0)),0))</f>
        <v>0.617</v>
      </c>
      <c r="V450">
        <f>IFERROR(_xlfn.XLOOKUP('PARAMÈTRES'!$C$116,'BASE_ACIERS'!$B$5:$B$20,'BASE_ACIERS'!$D$5:$D$20),IFERROR(INDEX('BASE_ACIERS'!$D$5:$D$20,MATCH('PARAMÈTRES'!$C$116,'BASE_ACIERS'!$B$5:$B$20,0)),0))</f>
        <v>0.617</v>
      </c>
      <c r="W450">
        <f>IFERROR(_xlfn.XLOOKUP('PARAMÈTRES'!$C$116,'BASE_ACIERS'!$B$5:$B$20,'BASE_ACIERS'!$D$5:$D$20),IFERROR(INDEX('BASE_ACIERS'!$D$5:$D$20,MATCH('PARAMÈTRES'!$C$116,'BASE_ACIERS'!$B$5:$B$20,0)),0))</f>
        <v>0.617</v>
      </c>
      <c r="X450">
        <f>IFERROR(_xlfn.XLOOKUP('PARAMÈTRES'!$C$116,'BASE_ACIERS'!$B$5:$B$20,'BASE_ACIERS'!$D$5:$D$20),IFERROR(INDEX('BASE_ACIERS'!$D$5:$D$20,MATCH('PARAMÈTRES'!$C$116,'BASE_ACIERS'!$B$5:$B$20,0)),0))</f>
        <v>0.617</v>
      </c>
    </row>
    <row r="451">
      <c r="A451" t="inlineStr">
        <is>
          <t>di_x_kg</t>
        </is>
      </c>
      <c r="B451" t="inlineStr">
        <is>
          <t>GROS_ŒUVRE!I64</t>
        </is>
      </c>
      <c r="D451">
        <f>D449*D450</f>
        <v>943.7015</v>
      </c>
      <c r="E451">
        <f>E449*E450</f>
        <v>943.7015</v>
      </c>
      <c r="F451">
        <f>F449*F450</f>
        <v>943.7015</v>
      </c>
      <c r="G451">
        <f>G449*G450</f>
        <v>934.29225</v>
      </c>
      <c r="H451">
        <f>H449*H450</f>
        <v>934.29225</v>
      </c>
      <c r="I451">
        <f>I449*I450</f>
        <v>934.29225</v>
      </c>
      <c r="J451">
        <f>J449*J450</f>
        <v>1415.55225</v>
      </c>
      <c r="K451">
        <f>K449*K450</f>
        <v>1415.55225</v>
      </c>
      <c r="L451">
        <f>L449*L450</f>
        <v>1415.55225</v>
      </c>
      <c r="M451">
        <f>M449*M450</f>
        <v>1245.723</v>
      </c>
      <c r="N451">
        <f>N449*N450</f>
        <v>1245.723</v>
      </c>
      <c r="O451">
        <f>O449*O450</f>
        <v>1245.723</v>
      </c>
      <c r="P451">
        <f>P449*P450</f>
        <v>2529.083</v>
      </c>
      <c r="Q451">
        <f>Q449*Q450</f>
        <v>2529.083</v>
      </c>
      <c r="R451">
        <f>R449*R450</f>
        <v>2529.083</v>
      </c>
      <c r="S451">
        <f>S449*S450</f>
        <v>3793.6245</v>
      </c>
      <c r="T451">
        <f>T449*T450</f>
        <v>3793.6245</v>
      </c>
      <c r="U451">
        <f>U449*U450</f>
        <v>3793.6245</v>
      </c>
      <c r="V451">
        <f>V449*V450</f>
        <v>5058.166</v>
      </c>
      <c r="W451">
        <f>W449*W450</f>
        <v>5058.166</v>
      </c>
      <c r="X451">
        <f>X449*X450</f>
        <v>5058.166</v>
      </c>
    </row>
    <row r="452">
      <c r="A452" t="inlineStr">
        <is>
          <t>di_y_p</t>
        </is>
      </c>
      <c r="B452" t="inlineStr">
        <is>
          <t>GROS_ŒUVRE!C65</t>
        </is>
      </c>
      <c r="D452" t="str">
        <f>'PARAMÈTRES'!$C$117</f>
        <v>HA10</v>
      </c>
      <c r="E452" t="str">
        <f>'PARAMÈTRES'!$C$117</f>
        <v>HA10</v>
      </c>
      <c r="F452" t="str">
        <f>'PARAMÈTRES'!$C$117</f>
        <v>HA10</v>
      </c>
      <c r="G452" t="str">
        <f>'PARAMÈTRES'!$C$117</f>
        <v>HA10</v>
      </c>
      <c r="H452" t="str">
        <f>'PARAMÈTRES'!$C$117</f>
        <v>HA10</v>
      </c>
      <c r="I452" t="str">
        <f>'PARAMÈTRES'!$C$117</f>
        <v>HA10</v>
      </c>
      <c r="J452" t="str">
        <f>'PARAMÈTRES'!$C$117</f>
        <v>HA10</v>
      </c>
      <c r="K452" t="str">
        <f>'PARAMÈTRES'!$C$117</f>
        <v>HA10</v>
      </c>
      <c r="L452" t="str">
        <f>'PARAMÈTRES'!$C$117</f>
        <v>HA10</v>
      </c>
      <c r="M452" t="str">
        <f>'PARAMÈTRES'!$C$117</f>
        <v>HA10</v>
      </c>
      <c r="N452" t="str">
        <f>'PARAMÈTRES'!$C$117</f>
        <v>HA10</v>
      </c>
      <c r="O452" t="str">
        <f>'PARAMÈTRES'!$C$117</f>
        <v>HA10</v>
      </c>
      <c r="P452" t="str">
        <f>'PARAMÈTRES'!$C$117</f>
        <v>HA10</v>
      </c>
      <c r="Q452" t="str">
        <f>'PARAMÈTRES'!$C$117</f>
        <v>HA10</v>
      </c>
      <c r="R452" t="str">
        <f>'PARAMÈTRES'!$C$117</f>
        <v>HA10</v>
      </c>
      <c r="S452" t="str">
        <f>'PARAMÈTRES'!$C$117</f>
        <v>HA10</v>
      </c>
      <c r="T452" t="str">
        <f>'PARAMÈTRES'!$C$117</f>
        <v>HA10</v>
      </c>
      <c r="U452" t="str">
        <f>'PARAMÈTRES'!$C$117</f>
        <v>HA10</v>
      </c>
      <c r="V452" t="str">
        <f>'PARAMÈTRES'!$C$117</f>
        <v>HA10</v>
      </c>
      <c r="W452" t="str">
        <f>'PARAMÈTRES'!$C$117</f>
        <v>HA10</v>
      </c>
      <c r="X452" t="str">
        <f>'PARAMÈTRES'!$C$117</f>
        <v>HA10</v>
      </c>
    </row>
    <row r="453">
      <c r="A453" t="inlineStr">
        <is>
          <t>di_y_q</t>
        </is>
      </c>
      <c r="B453" t="inlineStr">
        <is>
          <t>GROS_ŒUVRE!E65</t>
        </is>
      </c>
      <c r="D453">
        <f>ROUNDDOWN(D367/D362,0)+1</f>
        <v>150</v>
      </c>
      <c r="E453">
        <f>ROUNDDOWN(E367/E362,0)+1</f>
        <v>150</v>
      </c>
      <c r="F453">
        <f>ROUNDDOWN(F367/F362,0)+1</f>
        <v>150</v>
      </c>
      <c r="G453">
        <f>ROUNDDOWN(G367/G362,0)+1</f>
        <v>100</v>
      </c>
      <c r="H453">
        <f>ROUNDDOWN(H367/H362,0)+1</f>
        <v>100</v>
      </c>
      <c r="I453">
        <f>ROUNDDOWN(I367/I362,0)+1</f>
        <v>100</v>
      </c>
      <c r="J453">
        <f>ROUNDDOWN(J367/J362,0)+1</f>
        <v>150</v>
      </c>
      <c r="K453">
        <f>ROUNDDOWN(K367/K362,0)+1</f>
        <v>150</v>
      </c>
      <c r="L453">
        <f>ROUNDDOWN(L367/L362,0)+1</f>
        <v>150</v>
      </c>
      <c r="M453">
        <f>ROUNDDOWN(M367/M362,0)+1</f>
        <v>100</v>
      </c>
      <c r="N453">
        <f>ROUNDDOWN(N367/N362,0)+1</f>
        <v>100</v>
      </c>
      <c r="O453">
        <f>ROUNDDOWN(O367/O362,0)+1</f>
        <v>100</v>
      </c>
      <c r="P453">
        <f>ROUNDDOWN(P367/P362,0)+1</f>
        <v>200</v>
      </c>
      <c r="Q453">
        <f>ROUNDDOWN(Q367/Q362,0)+1</f>
        <v>200</v>
      </c>
      <c r="R453">
        <f>ROUNDDOWN(R367/R362,0)+1</f>
        <v>200</v>
      </c>
      <c r="S453">
        <f>ROUNDDOWN(S367/S362,0)+1</f>
        <v>200</v>
      </c>
      <c r="T453">
        <f>ROUNDDOWN(T367/T362,0)+1</f>
        <v>200</v>
      </c>
      <c r="U453">
        <f>ROUNDDOWN(U367/U362,0)+1</f>
        <v>200</v>
      </c>
      <c r="V453">
        <f>ROUNDDOWN(V367/V362,0)+1</f>
        <v>200</v>
      </c>
      <c r="W453">
        <f>ROUNDDOWN(W367/W362,0)+1</f>
        <v>200</v>
      </c>
      <c r="X453">
        <f>ROUNDDOWN(X367/X362,0)+1</f>
        <v>200</v>
      </c>
    </row>
    <row r="454">
      <c r="A454" t="inlineStr">
        <is>
          <t>di_y_lu</t>
        </is>
      </c>
      <c r="B454" t="inlineStr">
        <is>
          <t>GROS_ŒUVRE!F65</t>
        </is>
      </c>
      <c r="D454">
        <f>(D368-2*'PARAMÈTRES'!$C$121+MAX(0,ROUNDUP((D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9.79</v>
      </c>
      <c r="E454">
        <f>(E368-2*'PARAMÈTRES'!$C$121+MAX(0,ROUNDUP((E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9.79</v>
      </c>
      <c r="F454">
        <f>(F368-2*'PARAMÈTRES'!$C$121+MAX(0,ROUNDUP((F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9.79</v>
      </c>
      <c r="G454">
        <f>(G368-2*'PARAMÈTRES'!$C$121+MAX(0,ROUNDUP((G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15.19</v>
      </c>
      <c r="H454">
        <f>(H368-2*'PARAMÈTRES'!$C$121+MAX(0,ROUNDUP((H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15.19</v>
      </c>
      <c r="I454">
        <f>(I368-2*'PARAMÈTRES'!$C$121+MAX(0,ROUNDUP((I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15.19</v>
      </c>
      <c r="J454">
        <f>(J368-2*'PARAMÈTRES'!$C$121+MAX(0,ROUNDUP((J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15.19</v>
      </c>
      <c r="K454">
        <f>(K368-2*'PARAMÈTRES'!$C$121+MAX(0,ROUNDUP((K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15.19</v>
      </c>
      <c r="L454">
        <f>(L368-2*'PARAMÈTRES'!$C$121+MAX(0,ROUNDUP((L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15.19</v>
      </c>
      <c r="M454">
        <f>(M368-2*'PARAMÈTRES'!$C$121+MAX(0,ROUNDUP((M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20.19</v>
      </c>
      <c r="N454">
        <f>(N368-2*'PARAMÈTRES'!$C$121+MAX(0,ROUNDUP((N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20.19</v>
      </c>
      <c r="O454">
        <f>(O368-2*'PARAMÈTRES'!$C$121+MAX(0,ROUNDUP((O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20.19</v>
      </c>
      <c r="P454">
        <f>(P368-2*'PARAMÈTRES'!$C$121+MAX(0,ROUNDUP((P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20.19</v>
      </c>
      <c r="Q454">
        <f>(Q368-2*'PARAMÈTRES'!$C$121+MAX(0,ROUNDUP((Q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20.19</v>
      </c>
      <c r="R454">
        <f>(R368-2*'PARAMÈTRES'!$C$121+MAX(0,ROUNDUP((R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20.19</v>
      </c>
      <c r="S454">
        <f>(S368-2*'PARAMÈTRES'!$C$121+MAX(0,ROUNDUP((S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30.59</v>
      </c>
      <c r="T454">
        <f>(T368-2*'PARAMÈTRES'!$C$121+MAX(0,ROUNDUP((T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30.59</v>
      </c>
      <c r="U454">
        <f>(U368-2*'PARAMÈTRES'!$C$121+MAX(0,ROUNDUP((U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30.59</v>
      </c>
      <c r="V454">
        <f>(V368-2*'PARAMÈTRES'!$C$121+MAX(0,ROUNDUP((V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40.99</v>
      </c>
      <c r="W454">
        <f>(W368-2*'PARAMÈTRES'!$C$121+MAX(0,ROUNDUP((W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40.99</v>
      </c>
      <c r="X454">
        <f>(X368-2*'PARAMÈTRES'!$C$121+MAX(0,ROUNDUP((X368-2*'PARAMÈTRES'!$C$121)/'PARAMÈTRES'!$C$58,0)-1)*'PARAMÈTRES'!$C$153*IFERROR(_xlfn.XLOOKUP('PARAMÈTRES'!$C$117,'BASE_ACIERS'!$B$5:$B$20,'BASE_ACIERS'!$C$5:$C$20),IFERROR(INDEX('BASE_ACIERS'!$C$5:$C$20,MATCH('PARAMÈTRES'!$C$117,'BASE_ACIERS'!$B$5:$B$20,0)),0))/1000)</f>
        <v>40.99</v>
      </c>
    </row>
    <row r="455">
      <c r="A455" t="inlineStr">
        <is>
          <t>di_y_lt</t>
        </is>
      </c>
      <c r="B455" t="inlineStr">
        <is>
          <t>GROS_ŒUVRE!G65</t>
        </is>
      </c>
      <c r="D455">
        <f>D453*D454</f>
        <v>1468.5</v>
      </c>
      <c r="E455">
        <f>E453*E454</f>
        <v>1468.5</v>
      </c>
      <c r="F455">
        <f>F453*F454</f>
        <v>1468.5</v>
      </c>
      <c r="G455">
        <f>G453*G454</f>
        <v>1519</v>
      </c>
      <c r="H455">
        <f>H453*H454</f>
        <v>1519</v>
      </c>
      <c r="I455">
        <f>I453*I454</f>
        <v>1519</v>
      </c>
      <c r="J455">
        <f>J453*J454</f>
        <v>2278.5</v>
      </c>
      <c r="K455">
        <f>K453*K454</f>
        <v>2278.5</v>
      </c>
      <c r="L455">
        <f>L453*L454</f>
        <v>2278.5</v>
      </c>
      <c r="M455">
        <f>M453*M454</f>
        <v>2019</v>
      </c>
      <c r="N455">
        <f>N453*N454</f>
        <v>2019</v>
      </c>
      <c r="O455">
        <f>O453*O454</f>
        <v>2019</v>
      </c>
      <c r="P455">
        <f>P453*P454</f>
        <v>4038</v>
      </c>
      <c r="Q455">
        <f>Q453*Q454</f>
        <v>4038</v>
      </c>
      <c r="R455">
        <f>R453*R454</f>
        <v>4038</v>
      </c>
      <c r="S455">
        <f>S453*S454</f>
        <v>6118</v>
      </c>
      <c r="T455">
        <f>T453*T454</f>
        <v>6118</v>
      </c>
      <c r="U455">
        <f>U453*U454</f>
        <v>6118</v>
      </c>
      <c r="V455">
        <f>V453*V454</f>
        <v>8198</v>
      </c>
      <c r="W455">
        <f>W453*W454</f>
        <v>8198</v>
      </c>
      <c r="X455">
        <f>X453*X454</f>
        <v>8198</v>
      </c>
    </row>
    <row r="456">
      <c r="A456" t="inlineStr">
        <is>
          <t>di_y_kgml</t>
        </is>
      </c>
      <c r="B456" t="inlineStr">
        <is>
          <t>GROS_ŒUVRE!H65</t>
        </is>
      </c>
      <c r="D456">
        <f>IFERROR(_xlfn.XLOOKUP('PARAMÈTRES'!$C$117,'BASE_ACIERS'!$B$5:$B$20,'BASE_ACIERS'!$D$5:$D$20),IFERROR(INDEX('BASE_ACIERS'!$D$5:$D$20,MATCH('PARAMÈTRES'!$C$117,'BASE_ACIERS'!$B$5:$B$20,0)),0))</f>
        <v>0.617</v>
      </c>
      <c r="E456">
        <f>IFERROR(_xlfn.XLOOKUP('PARAMÈTRES'!$C$117,'BASE_ACIERS'!$B$5:$B$20,'BASE_ACIERS'!$D$5:$D$20),IFERROR(INDEX('BASE_ACIERS'!$D$5:$D$20,MATCH('PARAMÈTRES'!$C$117,'BASE_ACIERS'!$B$5:$B$20,0)),0))</f>
        <v>0.617</v>
      </c>
      <c r="F456">
        <f>IFERROR(_xlfn.XLOOKUP('PARAMÈTRES'!$C$117,'BASE_ACIERS'!$B$5:$B$20,'BASE_ACIERS'!$D$5:$D$20),IFERROR(INDEX('BASE_ACIERS'!$D$5:$D$20,MATCH('PARAMÈTRES'!$C$117,'BASE_ACIERS'!$B$5:$B$20,0)),0))</f>
        <v>0.617</v>
      </c>
      <c r="G456">
        <f>IFERROR(_xlfn.XLOOKUP('PARAMÈTRES'!$C$117,'BASE_ACIERS'!$B$5:$B$20,'BASE_ACIERS'!$D$5:$D$20),IFERROR(INDEX('BASE_ACIERS'!$D$5:$D$20,MATCH('PARAMÈTRES'!$C$117,'BASE_ACIERS'!$B$5:$B$20,0)),0))</f>
        <v>0.617</v>
      </c>
      <c r="H456">
        <f>IFERROR(_xlfn.XLOOKUP('PARAMÈTRES'!$C$117,'BASE_ACIERS'!$B$5:$B$20,'BASE_ACIERS'!$D$5:$D$20),IFERROR(INDEX('BASE_ACIERS'!$D$5:$D$20,MATCH('PARAMÈTRES'!$C$117,'BASE_ACIERS'!$B$5:$B$20,0)),0))</f>
        <v>0.617</v>
      </c>
      <c r="I456">
        <f>IFERROR(_xlfn.XLOOKUP('PARAMÈTRES'!$C$117,'BASE_ACIERS'!$B$5:$B$20,'BASE_ACIERS'!$D$5:$D$20),IFERROR(INDEX('BASE_ACIERS'!$D$5:$D$20,MATCH('PARAMÈTRES'!$C$117,'BASE_ACIERS'!$B$5:$B$20,0)),0))</f>
        <v>0.617</v>
      </c>
      <c r="J456">
        <f>IFERROR(_xlfn.XLOOKUP('PARAMÈTRES'!$C$117,'BASE_ACIERS'!$B$5:$B$20,'BASE_ACIERS'!$D$5:$D$20),IFERROR(INDEX('BASE_ACIERS'!$D$5:$D$20,MATCH('PARAMÈTRES'!$C$117,'BASE_ACIERS'!$B$5:$B$20,0)),0))</f>
        <v>0.617</v>
      </c>
      <c r="K456">
        <f>IFERROR(_xlfn.XLOOKUP('PARAMÈTRES'!$C$117,'BASE_ACIERS'!$B$5:$B$20,'BASE_ACIERS'!$D$5:$D$20),IFERROR(INDEX('BASE_ACIERS'!$D$5:$D$20,MATCH('PARAMÈTRES'!$C$117,'BASE_ACIERS'!$B$5:$B$20,0)),0))</f>
        <v>0.617</v>
      </c>
      <c r="L456">
        <f>IFERROR(_xlfn.XLOOKUP('PARAMÈTRES'!$C$117,'BASE_ACIERS'!$B$5:$B$20,'BASE_ACIERS'!$D$5:$D$20),IFERROR(INDEX('BASE_ACIERS'!$D$5:$D$20,MATCH('PARAMÈTRES'!$C$117,'BASE_ACIERS'!$B$5:$B$20,0)),0))</f>
        <v>0.617</v>
      </c>
      <c r="M456">
        <f>IFERROR(_xlfn.XLOOKUP('PARAMÈTRES'!$C$117,'BASE_ACIERS'!$B$5:$B$20,'BASE_ACIERS'!$D$5:$D$20),IFERROR(INDEX('BASE_ACIERS'!$D$5:$D$20,MATCH('PARAMÈTRES'!$C$117,'BASE_ACIERS'!$B$5:$B$20,0)),0))</f>
        <v>0.617</v>
      </c>
      <c r="N456">
        <f>IFERROR(_xlfn.XLOOKUP('PARAMÈTRES'!$C$117,'BASE_ACIERS'!$B$5:$B$20,'BASE_ACIERS'!$D$5:$D$20),IFERROR(INDEX('BASE_ACIERS'!$D$5:$D$20,MATCH('PARAMÈTRES'!$C$117,'BASE_ACIERS'!$B$5:$B$20,0)),0))</f>
        <v>0.617</v>
      </c>
      <c r="O456">
        <f>IFERROR(_xlfn.XLOOKUP('PARAMÈTRES'!$C$117,'BASE_ACIERS'!$B$5:$B$20,'BASE_ACIERS'!$D$5:$D$20),IFERROR(INDEX('BASE_ACIERS'!$D$5:$D$20,MATCH('PARAMÈTRES'!$C$117,'BASE_ACIERS'!$B$5:$B$20,0)),0))</f>
        <v>0.617</v>
      </c>
      <c r="P456">
        <f>IFERROR(_xlfn.XLOOKUP('PARAMÈTRES'!$C$117,'BASE_ACIERS'!$B$5:$B$20,'BASE_ACIERS'!$D$5:$D$20),IFERROR(INDEX('BASE_ACIERS'!$D$5:$D$20,MATCH('PARAMÈTRES'!$C$117,'BASE_ACIERS'!$B$5:$B$20,0)),0))</f>
        <v>0.617</v>
      </c>
      <c r="Q456">
        <f>IFERROR(_xlfn.XLOOKUP('PARAMÈTRES'!$C$117,'BASE_ACIERS'!$B$5:$B$20,'BASE_ACIERS'!$D$5:$D$20),IFERROR(INDEX('BASE_ACIERS'!$D$5:$D$20,MATCH('PARAMÈTRES'!$C$117,'BASE_ACIERS'!$B$5:$B$20,0)),0))</f>
        <v>0.617</v>
      </c>
      <c r="R456">
        <f>IFERROR(_xlfn.XLOOKUP('PARAMÈTRES'!$C$117,'BASE_ACIERS'!$B$5:$B$20,'BASE_ACIERS'!$D$5:$D$20),IFERROR(INDEX('BASE_ACIERS'!$D$5:$D$20,MATCH('PARAMÈTRES'!$C$117,'BASE_ACIERS'!$B$5:$B$20,0)),0))</f>
        <v>0.617</v>
      </c>
      <c r="S456">
        <f>IFERROR(_xlfn.XLOOKUP('PARAMÈTRES'!$C$117,'BASE_ACIERS'!$B$5:$B$20,'BASE_ACIERS'!$D$5:$D$20),IFERROR(INDEX('BASE_ACIERS'!$D$5:$D$20,MATCH('PARAMÈTRES'!$C$117,'BASE_ACIERS'!$B$5:$B$20,0)),0))</f>
        <v>0.617</v>
      </c>
      <c r="T456">
        <f>IFERROR(_xlfn.XLOOKUP('PARAMÈTRES'!$C$117,'BASE_ACIERS'!$B$5:$B$20,'BASE_ACIERS'!$D$5:$D$20),IFERROR(INDEX('BASE_ACIERS'!$D$5:$D$20,MATCH('PARAMÈTRES'!$C$117,'BASE_ACIERS'!$B$5:$B$20,0)),0))</f>
        <v>0.617</v>
      </c>
      <c r="U456">
        <f>IFERROR(_xlfn.XLOOKUP('PARAMÈTRES'!$C$117,'BASE_ACIERS'!$B$5:$B$20,'BASE_ACIERS'!$D$5:$D$20),IFERROR(INDEX('BASE_ACIERS'!$D$5:$D$20,MATCH('PARAMÈTRES'!$C$117,'BASE_ACIERS'!$B$5:$B$20,0)),0))</f>
        <v>0.617</v>
      </c>
      <c r="V456">
        <f>IFERROR(_xlfn.XLOOKUP('PARAMÈTRES'!$C$117,'BASE_ACIERS'!$B$5:$B$20,'BASE_ACIERS'!$D$5:$D$20),IFERROR(INDEX('BASE_ACIERS'!$D$5:$D$20,MATCH('PARAMÈTRES'!$C$117,'BASE_ACIERS'!$B$5:$B$20,0)),0))</f>
        <v>0.617</v>
      </c>
      <c r="W456">
        <f>IFERROR(_xlfn.XLOOKUP('PARAMÈTRES'!$C$117,'BASE_ACIERS'!$B$5:$B$20,'BASE_ACIERS'!$D$5:$D$20),IFERROR(INDEX('BASE_ACIERS'!$D$5:$D$20,MATCH('PARAMÈTRES'!$C$117,'BASE_ACIERS'!$B$5:$B$20,0)),0))</f>
        <v>0.617</v>
      </c>
      <c r="X456">
        <f>IFERROR(_xlfn.XLOOKUP('PARAMÈTRES'!$C$117,'BASE_ACIERS'!$B$5:$B$20,'BASE_ACIERS'!$D$5:$D$20),IFERROR(INDEX('BASE_ACIERS'!$D$5:$D$20,MATCH('PARAMÈTRES'!$C$117,'BASE_ACIERS'!$B$5:$B$20,0)),0))</f>
        <v>0.617</v>
      </c>
    </row>
    <row r="457">
      <c r="A457" t="inlineStr">
        <is>
          <t>di_y_kg</t>
        </is>
      </c>
      <c r="B457" t="inlineStr">
        <is>
          <t>GROS_ŒUVRE!I65</t>
        </is>
      </c>
      <c r="D457">
        <f>D455*D456</f>
        <v>906.0645</v>
      </c>
      <c r="E457">
        <f>E455*E456</f>
        <v>906.0645</v>
      </c>
      <c r="F457">
        <f>F455*F456</f>
        <v>906.0645</v>
      </c>
      <c r="G457">
        <f>G455*G456</f>
        <v>937.223</v>
      </c>
      <c r="H457">
        <f>H455*H456</f>
        <v>937.223</v>
      </c>
      <c r="I457">
        <f>I455*I456</f>
        <v>937.223</v>
      </c>
      <c r="J457">
        <f>J455*J456</f>
        <v>1405.8345</v>
      </c>
      <c r="K457">
        <f>K455*K456</f>
        <v>1405.8345</v>
      </c>
      <c r="L457">
        <f>L455*L456</f>
        <v>1405.8345</v>
      </c>
      <c r="M457">
        <f>M455*M456</f>
        <v>1245.723</v>
      </c>
      <c r="N457">
        <f>N455*N456</f>
        <v>1245.723</v>
      </c>
      <c r="O457">
        <f>O455*O456</f>
        <v>1245.723</v>
      </c>
      <c r="P457">
        <f>P455*P456</f>
        <v>2491.446</v>
      </c>
      <c r="Q457">
        <f>Q455*Q456</f>
        <v>2491.446</v>
      </c>
      <c r="R457">
        <f>R455*R456</f>
        <v>2491.446</v>
      </c>
      <c r="S457">
        <f>S455*S456</f>
        <v>3774.806</v>
      </c>
      <c r="T457">
        <f>T455*T456</f>
        <v>3774.806</v>
      </c>
      <c r="U457">
        <f>U455*U456</f>
        <v>3774.806</v>
      </c>
      <c r="V457">
        <f>V455*V456</f>
        <v>5058.166</v>
      </c>
      <c r="W457">
        <f>W455*W456</f>
        <v>5058.166</v>
      </c>
      <c r="X457">
        <f>X455*X456</f>
        <v>5058.166</v>
      </c>
    </row>
    <row r="458">
      <c r="A458" t="inlineStr">
        <is>
          <t>ds_x_p</t>
        </is>
      </c>
      <c r="B458" t="inlineStr">
        <is>
          <t>GROS_ŒUVRE!C66</t>
        </is>
      </c>
      <c r="D458" t="str">
        <f>'PARAMÈTRES'!$C$118</f>
        <v>HA8</v>
      </c>
      <c r="E458" t="str">
        <f>'PARAMÈTRES'!$C$118</f>
        <v>HA8</v>
      </c>
      <c r="F458" t="str">
        <f>'PARAMÈTRES'!$C$118</f>
        <v>HA8</v>
      </c>
      <c r="G458" t="str">
        <f>'PARAMÈTRES'!$C$118</f>
        <v>HA8</v>
      </c>
      <c r="H458" t="str">
        <f>'PARAMÈTRES'!$C$118</f>
        <v>HA8</v>
      </c>
      <c r="I458" t="str">
        <f>'PARAMÈTRES'!$C$118</f>
        <v>HA8</v>
      </c>
      <c r="J458" t="str">
        <f>'PARAMÈTRES'!$C$118</f>
        <v>HA8</v>
      </c>
      <c r="K458" t="str">
        <f>'PARAMÈTRES'!$C$118</f>
        <v>HA8</v>
      </c>
      <c r="L458" t="str">
        <f>'PARAMÈTRES'!$C$118</f>
        <v>HA8</v>
      </c>
      <c r="M458" t="str">
        <f>'PARAMÈTRES'!$C$118</f>
        <v>HA8</v>
      </c>
      <c r="N458" t="str">
        <f>'PARAMÈTRES'!$C$118</f>
        <v>HA8</v>
      </c>
      <c r="O458" t="str">
        <f>'PARAMÈTRES'!$C$118</f>
        <v>HA8</v>
      </c>
      <c r="P458" t="str">
        <f>'PARAMÈTRES'!$C$118</f>
        <v>HA8</v>
      </c>
      <c r="Q458" t="str">
        <f>'PARAMÈTRES'!$C$118</f>
        <v>HA8</v>
      </c>
      <c r="R458" t="str">
        <f>'PARAMÈTRES'!$C$118</f>
        <v>HA8</v>
      </c>
      <c r="S458" t="str">
        <f>'PARAMÈTRES'!$C$118</f>
        <v>HA8</v>
      </c>
      <c r="T458" t="str">
        <f>'PARAMÈTRES'!$C$118</f>
        <v>HA8</v>
      </c>
      <c r="U458" t="str">
        <f>'PARAMÈTRES'!$C$118</f>
        <v>HA8</v>
      </c>
      <c r="V458" t="str">
        <f>'PARAMÈTRES'!$C$118</f>
        <v>HA8</v>
      </c>
      <c r="W458" t="str">
        <f>'PARAMÈTRES'!$C$118</f>
        <v>HA8</v>
      </c>
      <c r="X458" t="str">
        <f>'PARAMÈTRES'!$C$118</f>
        <v>HA8</v>
      </c>
    </row>
    <row r="459">
      <c r="A459" t="inlineStr">
        <is>
          <t>ds_x_q</t>
        </is>
      </c>
      <c r="B459" t="inlineStr">
        <is>
          <t>GROS_ŒUVRE!E66</t>
        </is>
      </c>
      <c r="D459">
        <f>D363*(ROUNDDOWN(D368/D362,0)+1)</f>
        <v>0</v>
      </c>
      <c r="E459">
        <f>E363*(ROUNDDOWN(E368/E362,0)+1)</f>
        <v>0</v>
      </c>
      <c r="F459">
        <f>F363*(ROUNDDOWN(F368/F362,0)+1)</f>
        <v>0</v>
      </c>
      <c r="G459">
        <f>G363*(ROUNDDOWN(G368/G362,0)+1)</f>
        <v>0</v>
      </c>
      <c r="H459">
        <f>H363*(ROUNDDOWN(H368/H362,0)+1)</f>
        <v>0</v>
      </c>
      <c r="I459">
        <f>I363*(ROUNDDOWN(I368/I362,0)+1)</f>
        <v>0</v>
      </c>
      <c r="J459">
        <f>J363*(ROUNDDOWN(J368/J362,0)+1)</f>
        <v>0</v>
      </c>
      <c r="K459">
        <f>K363*(ROUNDDOWN(K368/K362,0)+1)</f>
        <v>0</v>
      </c>
      <c r="L459">
        <f>L363*(ROUNDDOWN(L368/L362,0)+1)</f>
        <v>0</v>
      </c>
      <c r="M459">
        <f>M363*(ROUNDDOWN(M368/M362,0)+1)</f>
        <v>0</v>
      </c>
      <c r="N459">
        <f>N363*(ROUNDDOWN(N368/N362,0)+1)</f>
        <v>0</v>
      </c>
      <c r="O459">
        <f>O363*(ROUNDDOWN(O368/O362,0)+1)</f>
        <v>0</v>
      </c>
      <c r="P459">
        <f>P363*(ROUNDDOWN(P368/P362,0)+1)</f>
        <v>0</v>
      </c>
      <c r="Q459">
        <f>Q363*(ROUNDDOWN(Q368/Q362,0)+1)</f>
        <v>0</v>
      </c>
      <c r="R459">
        <f>R363*(ROUNDDOWN(R368/R362,0)+1)</f>
        <v>0</v>
      </c>
      <c r="S459">
        <f>S363*(ROUNDDOWN(S368/S362,0)+1)</f>
        <v>0</v>
      </c>
      <c r="T459">
        <f>T363*(ROUNDDOWN(T368/T362,0)+1)</f>
        <v>0</v>
      </c>
      <c r="U459">
        <f>U363*(ROUNDDOWN(U368/U362,0)+1)</f>
        <v>0</v>
      </c>
      <c r="V459">
        <f>V363*(ROUNDDOWN(V368/V362,0)+1)</f>
        <v>0</v>
      </c>
      <c r="W459">
        <f>W363*(ROUNDDOWN(W368/W362,0)+1)</f>
        <v>0</v>
      </c>
      <c r="X459">
        <f>X363*(ROUNDDOWN(X368/X362,0)+1)</f>
        <v>0</v>
      </c>
    </row>
    <row r="460">
      <c r="A460" t="inlineStr">
        <is>
          <t>ds_x_lu</t>
        </is>
      </c>
      <c r="B460" t="inlineStr">
        <is>
          <t>GROS_ŒUVRE!F66</t>
        </is>
      </c>
      <c r="D460">
        <f>(D367-2*'PARAMÈTRES'!$C$121+MAX(0,ROUNDUP((D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30.43</v>
      </c>
      <c r="E460">
        <f>(E367-2*'PARAMÈTRES'!$C$121+MAX(0,ROUNDUP((E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30.43</v>
      </c>
      <c r="F460">
        <f>(F367-2*'PARAMÈTRES'!$C$121+MAX(0,ROUNDUP((F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30.43</v>
      </c>
      <c r="G460">
        <f>(G367-2*'PARAMÈTRES'!$C$121+MAX(0,ROUNDUP((G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20.11</v>
      </c>
      <c r="H460">
        <f>(H367-2*'PARAMÈTRES'!$C$121+MAX(0,ROUNDUP((H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20.11</v>
      </c>
      <c r="I460">
        <f>(I367-2*'PARAMÈTRES'!$C$121+MAX(0,ROUNDUP((I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20.11</v>
      </c>
      <c r="J460">
        <f>(J367-2*'PARAMÈTRES'!$C$121+MAX(0,ROUNDUP((J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30.43</v>
      </c>
      <c r="K460">
        <f>(K367-2*'PARAMÈTRES'!$C$121+MAX(0,ROUNDUP((K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30.43</v>
      </c>
      <c r="L460">
        <f>(L367-2*'PARAMÈTRES'!$C$121+MAX(0,ROUNDUP((L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30.43</v>
      </c>
      <c r="M460">
        <f>(M367-2*'PARAMÈTRES'!$C$121+MAX(0,ROUNDUP((M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20.11</v>
      </c>
      <c r="N460">
        <f>(N367-2*'PARAMÈTRES'!$C$121+MAX(0,ROUNDUP((N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20.11</v>
      </c>
      <c r="O460">
        <f>(O367-2*'PARAMÈTRES'!$C$121+MAX(0,ROUNDUP((O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20.11</v>
      </c>
      <c r="P460">
        <f>(P367-2*'PARAMÈTRES'!$C$121+MAX(0,ROUNDUP((P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40.75</v>
      </c>
      <c r="Q460">
        <f>(Q367-2*'PARAMÈTRES'!$C$121+MAX(0,ROUNDUP((Q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40.75</v>
      </c>
      <c r="R460">
        <f>(R367-2*'PARAMÈTRES'!$C$121+MAX(0,ROUNDUP((R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40.75</v>
      </c>
      <c r="S460">
        <f>(S367-2*'PARAMÈTRES'!$C$121+MAX(0,ROUNDUP((S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40.75</v>
      </c>
      <c r="T460">
        <f>(T367-2*'PARAMÈTRES'!$C$121+MAX(0,ROUNDUP((T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40.75</v>
      </c>
      <c r="U460">
        <f>(U367-2*'PARAMÈTRES'!$C$121+MAX(0,ROUNDUP((U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40.75</v>
      </c>
      <c r="V460">
        <f>(V367-2*'PARAMÈTRES'!$C$121+MAX(0,ROUNDUP((V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40.75</v>
      </c>
      <c r="W460">
        <f>(W367-2*'PARAMÈTRES'!$C$121+MAX(0,ROUNDUP((W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40.75</v>
      </c>
      <c r="X460">
        <f>(X367-2*'PARAMÈTRES'!$C$121+MAX(0,ROUNDUP((X367-2*'PARAMÈTRES'!$C$121)/'PARAMÈTRES'!$C$58,0)-1)*'PARAMÈTRES'!$C$153*IFERROR(_xlfn.XLOOKUP('PARAMÈTRES'!$C$118,'BASE_ACIERS'!$B$5:$B$20,'BASE_ACIERS'!$C$5:$C$20),IFERROR(INDEX('BASE_ACIERS'!$C$5:$C$20,MATCH('PARAMÈTRES'!$C$118,'BASE_ACIERS'!$B$5:$B$20,0)),0))/1000)</f>
        <v>40.75</v>
      </c>
    </row>
    <row r="461">
      <c r="A461" t="inlineStr">
        <is>
          <t>ds_x_lt</t>
        </is>
      </c>
      <c r="B461" t="inlineStr">
        <is>
          <t>GROS_ŒUVRE!G66</t>
        </is>
      </c>
      <c r="D461">
        <f>D459*D460</f>
        <v>0</v>
      </c>
      <c r="E461">
        <f>E459*E460</f>
        <v>0</v>
      </c>
      <c r="F461">
        <f>F459*F460</f>
        <v>0</v>
      </c>
      <c r="G461">
        <f>G459*G460</f>
        <v>0</v>
      </c>
      <c r="H461">
        <f>H459*H460</f>
        <v>0</v>
      </c>
      <c r="I461">
        <f>I459*I460</f>
        <v>0</v>
      </c>
      <c r="J461">
        <f>J459*J460</f>
        <v>0</v>
      </c>
      <c r="K461">
        <f>K459*K460</f>
        <v>0</v>
      </c>
      <c r="L461">
        <f>L459*L460</f>
        <v>0</v>
      </c>
      <c r="M461">
        <f>M459*M460</f>
        <v>0</v>
      </c>
      <c r="N461">
        <f>N459*N460</f>
        <v>0</v>
      </c>
      <c r="O461">
        <f>O459*O460</f>
        <v>0</v>
      </c>
      <c r="P461">
        <f>P459*P460</f>
        <v>0</v>
      </c>
      <c r="Q461">
        <f>Q459*Q460</f>
        <v>0</v>
      </c>
      <c r="R461">
        <f>R459*R460</f>
        <v>0</v>
      </c>
      <c r="S461">
        <f>S459*S460</f>
        <v>0</v>
      </c>
      <c r="T461">
        <f>T459*T460</f>
        <v>0</v>
      </c>
      <c r="U461">
        <f>U459*U460</f>
        <v>0</v>
      </c>
      <c r="V461">
        <f>V459*V460</f>
        <v>0</v>
      </c>
      <c r="W461">
        <f>W459*W460</f>
        <v>0</v>
      </c>
      <c r="X461">
        <f>X459*X460</f>
        <v>0</v>
      </c>
    </row>
    <row r="462">
      <c r="A462" t="inlineStr">
        <is>
          <t>ds_x_kgml</t>
        </is>
      </c>
      <c r="B462" t="inlineStr">
        <is>
          <t>GROS_ŒUVRE!H66</t>
        </is>
      </c>
      <c r="D462">
        <f>IFERROR(_xlfn.XLOOKUP('PARAMÈTRES'!$C$118,'BASE_ACIERS'!$B$5:$B$20,'BASE_ACIERS'!$D$5:$D$20),IFERROR(INDEX('BASE_ACIERS'!$D$5:$D$20,MATCH('PARAMÈTRES'!$C$118,'BASE_ACIERS'!$B$5:$B$20,0)),0))</f>
        <v>0.395</v>
      </c>
      <c r="E462">
        <f>IFERROR(_xlfn.XLOOKUP('PARAMÈTRES'!$C$118,'BASE_ACIERS'!$B$5:$B$20,'BASE_ACIERS'!$D$5:$D$20),IFERROR(INDEX('BASE_ACIERS'!$D$5:$D$20,MATCH('PARAMÈTRES'!$C$118,'BASE_ACIERS'!$B$5:$B$20,0)),0))</f>
        <v>0.395</v>
      </c>
      <c r="F462">
        <f>IFERROR(_xlfn.XLOOKUP('PARAMÈTRES'!$C$118,'BASE_ACIERS'!$B$5:$B$20,'BASE_ACIERS'!$D$5:$D$20),IFERROR(INDEX('BASE_ACIERS'!$D$5:$D$20,MATCH('PARAMÈTRES'!$C$118,'BASE_ACIERS'!$B$5:$B$20,0)),0))</f>
        <v>0.395</v>
      </c>
      <c r="G462">
        <f>IFERROR(_xlfn.XLOOKUP('PARAMÈTRES'!$C$118,'BASE_ACIERS'!$B$5:$B$20,'BASE_ACIERS'!$D$5:$D$20),IFERROR(INDEX('BASE_ACIERS'!$D$5:$D$20,MATCH('PARAMÈTRES'!$C$118,'BASE_ACIERS'!$B$5:$B$20,0)),0))</f>
        <v>0.395</v>
      </c>
      <c r="H462">
        <f>IFERROR(_xlfn.XLOOKUP('PARAMÈTRES'!$C$118,'BASE_ACIERS'!$B$5:$B$20,'BASE_ACIERS'!$D$5:$D$20),IFERROR(INDEX('BASE_ACIERS'!$D$5:$D$20,MATCH('PARAMÈTRES'!$C$118,'BASE_ACIERS'!$B$5:$B$20,0)),0))</f>
        <v>0.395</v>
      </c>
      <c r="I462">
        <f>IFERROR(_xlfn.XLOOKUP('PARAMÈTRES'!$C$118,'BASE_ACIERS'!$B$5:$B$20,'BASE_ACIERS'!$D$5:$D$20),IFERROR(INDEX('BASE_ACIERS'!$D$5:$D$20,MATCH('PARAMÈTRES'!$C$118,'BASE_ACIERS'!$B$5:$B$20,0)),0))</f>
        <v>0.395</v>
      </c>
      <c r="J462">
        <f>IFERROR(_xlfn.XLOOKUP('PARAMÈTRES'!$C$118,'BASE_ACIERS'!$B$5:$B$20,'BASE_ACIERS'!$D$5:$D$20),IFERROR(INDEX('BASE_ACIERS'!$D$5:$D$20,MATCH('PARAMÈTRES'!$C$118,'BASE_ACIERS'!$B$5:$B$20,0)),0))</f>
        <v>0.395</v>
      </c>
      <c r="K462">
        <f>IFERROR(_xlfn.XLOOKUP('PARAMÈTRES'!$C$118,'BASE_ACIERS'!$B$5:$B$20,'BASE_ACIERS'!$D$5:$D$20),IFERROR(INDEX('BASE_ACIERS'!$D$5:$D$20,MATCH('PARAMÈTRES'!$C$118,'BASE_ACIERS'!$B$5:$B$20,0)),0))</f>
        <v>0.395</v>
      </c>
      <c r="L462">
        <f>IFERROR(_xlfn.XLOOKUP('PARAMÈTRES'!$C$118,'BASE_ACIERS'!$B$5:$B$20,'BASE_ACIERS'!$D$5:$D$20),IFERROR(INDEX('BASE_ACIERS'!$D$5:$D$20,MATCH('PARAMÈTRES'!$C$118,'BASE_ACIERS'!$B$5:$B$20,0)),0))</f>
        <v>0.395</v>
      </c>
      <c r="M462">
        <f>IFERROR(_xlfn.XLOOKUP('PARAMÈTRES'!$C$118,'BASE_ACIERS'!$B$5:$B$20,'BASE_ACIERS'!$D$5:$D$20),IFERROR(INDEX('BASE_ACIERS'!$D$5:$D$20,MATCH('PARAMÈTRES'!$C$118,'BASE_ACIERS'!$B$5:$B$20,0)),0))</f>
        <v>0.395</v>
      </c>
      <c r="N462">
        <f>IFERROR(_xlfn.XLOOKUP('PARAMÈTRES'!$C$118,'BASE_ACIERS'!$B$5:$B$20,'BASE_ACIERS'!$D$5:$D$20),IFERROR(INDEX('BASE_ACIERS'!$D$5:$D$20,MATCH('PARAMÈTRES'!$C$118,'BASE_ACIERS'!$B$5:$B$20,0)),0))</f>
        <v>0.395</v>
      </c>
      <c r="O462">
        <f>IFERROR(_xlfn.XLOOKUP('PARAMÈTRES'!$C$118,'BASE_ACIERS'!$B$5:$B$20,'BASE_ACIERS'!$D$5:$D$20),IFERROR(INDEX('BASE_ACIERS'!$D$5:$D$20,MATCH('PARAMÈTRES'!$C$118,'BASE_ACIERS'!$B$5:$B$20,0)),0))</f>
        <v>0.395</v>
      </c>
      <c r="P462">
        <f>IFERROR(_xlfn.XLOOKUP('PARAMÈTRES'!$C$118,'BASE_ACIERS'!$B$5:$B$20,'BASE_ACIERS'!$D$5:$D$20),IFERROR(INDEX('BASE_ACIERS'!$D$5:$D$20,MATCH('PARAMÈTRES'!$C$118,'BASE_ACIERS'!$B$5:$B$20,0)),0))</f>
        <v>0.395</v>
      </c>
      <c r="Q462">
        <f>IFERROR(_xlfn.XLOOKUP('PARAMÈTRES'!$C$118,'BASE_ACIERS'!$B$5:$B$20,'BASE_ACIERS'!$D$5:$D$20),IFERROR(INDEX('BASE_ACIERS'!$D$5:$D$20,MATCH('PARAMÈTRES'!$C$118,'BASE_ACIERS'!$B$5:$B$20,0)),0))</f>
        <v>0.395</v>
      </c>
      <c r="R462">
        <f>IFERROR(_xlfn.XLOOKUP('PARAMÈTRES'!$C$118,'BASE_ACIERS'!$B$5:$B$20,'BASE_ACIERS'!$D$5:$D$20),IFERROR(INDEX('BASE_ACIERS'!$D$5:$D$20,MATCH('PARAMÈTRES'!$C$118,'BASE_ACIERS'!$B$5:$B$20,0)),0))</f>
        <v>0.395</v>
      </c>
      <c r="S462">
        <f>IFERROR(_xlfn.XLOOKUP('PARAMÈTRES'!$C$118,'BASE_ACIERS'!$B$5:$B$20,'BASE_ACIERS'!$D$5:$D$20),IFERROR(INDEX('BASE_ACIERS'!$D$5:$D$20,MATCH('PARAMÈTRES'!$C$118,'BASE_ACIERS'!$B$5:$B$20,0)),0))</f>
        <v>0.395</v>
      </c>
      <c r="T462">
        <f>IFERROR(_xlfn.XLOOKUP('PARAMÈTRES'!$C$118,'BASE_ACIERS'!$B$5:$B$20,'BASE_ACIERS'!$D$5:$D$20),IFERROR(INDEX('BASE_ACIERS'!$D$5:$D$20,MATCH('PARAMÈTRES'!$C$118,'BASE_ACIERS'!$B$5:$B$20,0)),0))</f>
        <v>0.395</v>
      </c>
      <c r="U462">
        <f>IFERROR(_xlfn.XLOOKUP('PARAMÈTRES'!$C$118,'BASE_ACIERS'!$B$5:$B$20,'BASE_ACIERS'!$D$5:$D$20),IFERROR(INDEX('BASE_ACIERS'!$D$5:$D$20,MATCH('PARAMÈTRES'!$C$118,'BASE_ACIERS'!$B$5:$B$20,0)),0))</f>
        <v>0.395</v>
      </c>
      <c r="V462">
        <f>IFERROR(_xlfn.XLOOKUP('PARAMÈTRES'!$C$118,'BASE_ACIERS'!$B$5:$B$20,'BASE_ACIERS'!$D$5:$D$20),IFERROR(INDEX('BASE_ACIERS'!$D$5:$D$20,MATCH('PARAMÈTRES'!$C$118,'BASE_ACIERS'!$B$5:$B$20,0)),0))</f>
        <v>0.395</v>
      </c>
      <c r="W462">
        <f>IFERROR(_xlfn.XLOOKUP('PARAMÈTRES'!$C$118,'BASE_ACIERS'!$B$5:$B$20,'BASE_ACIERS'!$D$5:$D$20),IFERROR(INDEX('BASE_ACIERS'!$D$5:$D$20,MATCH('PARAMÈTRES'!$C$118,'BASE_ACIERS'!$B$5:$B$20,0)),0))</f>
        <v>0.395</v>
      </c>
      <c r="X462">
        <f>IFERROR(_xlfn.XLOOKUP('PARAMÈTRES'!$C$118,'BASE_ACIERS'!$B$5:$B$20,'BASE_ACIERS'!$D$5:$D$20),IFERROR(INDEX('BASE_ACIERS'!$D$5:$D$20,MATCH('PARAMÈTRES'!$C$118,'BASE_ACIERS'!$B$5:$B$20,0)),0))</f>
        <v>0.395</v>
      </c>
    </row>
    <row r="463">
      <c r="A463" t="inlineStr">
        <is>
          <t>ds_x_kg</t>
        </is>
      </c>
      <c r="B463" t="inlineStr">
        <is>
          <t>GROS_ŒUVRE!I66</t>
        </is>
      </c>
      <c r="D463">
        <f>D461*D462</f>
        <v>0</v>
      </c>
      <c r="E463">
        <f>E461*E462</f>
        <v>0</v>
      </c>
      <c r="F463">
        <f>F461*F462</f>
        <v>0</v>
      </c>
      <c r="G463">
        <f>G461*G462</f>
        <v>0</v>
      </c>
      <c r="H463">
        <f>H461*H462</f>
        <v>0</v>
      </c>
      <c r="I463">
        <f>I461*I462</f>
        <v>0</v>
      </c>
      <c r="J463">
        <f>J461*J462</f>
        <v>0</v>
      </c>
      <c r="K463">
        <f>K461*K462</f>
        <v>0</v>
      </c>
      <c r="L463">
        <f>L461*L462</f>
        <v>0</v>
      </c>
      <c r="M463">
        <f>M461*M462</f>
        <v>0</v>
      </c>
      <c r="N463">
        <f>N461*N462</f>
        <v>0</v>
      </c>
      <c r="O463">
        <f>O461*O462</f>
        <v>0</v>
      </c>
      <c r="P463">
        <f>P461*P462</f>
        <v>0</v>
      </c>
      <c r="Q463">
        <f>Q461*Q462</f>
        <v>0</v>
      </c>
      <c r="R463">
        <f>R461*R462</f>
        <v>0</v>
      </c>
      <c r="S463">
        <f>S461*S462</f>
        <v>0</v>
      </c>
      <c r="T463">
        <f>T461*T462</f>
        <v>0</v>
      </c>
      <c r="U463">
        <f>U461*U462</f>
        <v>0</v>
      </c>
      <c r="V463">
        <f>V461*V462</f>
        <v>0</v>
      </c>
      <c r="W463">
        <f>W461*W462</f>
        <v>0</v>
      </c>
      <c r="X463">
        <f>X461*X462</f>
        <v>0</v>
      </c>
    </row>
    <row r="464">
      <c r="A464" t="inlineStr">
        <is>
          <t>ds_y_p</t>
        </is>
      </c>
      <c r="B464" t="inlineStr">
        <is>
          <t>GROS_ŒUVRE!C67</t>
        </is>
      </c>
      <c r="D464" t="str">
        <f>'PARAMÈTRES'!$C$119</f>
        <v>HA8</v>
      </c>
      <c r="E464" t="str">
        <f>'PARAMÈTRES'!$C$119</f>
        <v>HA8</v>
      </c>
      <c r="F464" t="str">
        <f>'PARAMÈTRES'!$C$119</f>
        <v>HA8</v>
      </c>
      <c r="G464" t="str">
        <f>'PARAMÈTRES'!$C$119</f>
        <v>HA8</v>
      </c>
      <c r="H464" t="str">
        <f>'PARAMÈTRES'!$C$119</f>
        <v>HA8</v>
      </c>
      <c r="I464" t="str">
        <f>'PARAMÈTRES'!$C$119</f>
        <v>HA8</v>
      </c>
      <c r="J464" t="str">
        <f>'PARAMÈTRES'!$C$119</f>
        <v>HA8</v>
      </c>
      <c r="K464" t="str">
        <f>'PARAMÈTRES'!$C$119</f>
        <v>HA8</v>
      </c>
      <c r="L464" t="str">
        <f>'PARAMÈTRES'!$C$119</f>
        <v>HA8</v>
      </c>
      <c r="M464" t="str">
        <f>'PARAMÈTRES'!$C$119</f>
        <v>HA8</v>
      </c>
      <c r="N464" t="str">
        <f>'PARAMÈTRES'!$C$119</f>
        <v>HA8</v>
      </c>
      <c r="O464" t="str">
        <f>'PARAMÈTRES'!$C$119</f>
        <v>HA8</v>
      </c>
      <c r="P464" t="str">
        <f>'PARAMÈTRES'!$C$119</f>
        <v>HA8</v>
      </c>
      <c r="Q464" t="str">
        <f>'PARAMÈTRES'!$C$119</f>
        <v>HA8</v>
      </c>
      <c r="R464" t="str">
        <f>'PARAMÈTRES'!$C$119</f>
        <v>HA8</v>
      </c>
      <c r="S464" t="str">
        <f>'PARAMÈTRES'!$C$119</f>
        <v>HA8</v>
      </c>
      <c r="T464" t="str">
        <f>'PARAMÈTRES'!$C$119</f>
        <v>HA8</v>
      </c>
      <c r="U464" t="str">
        <f>'PARAMÈTRES'!$C$119</f>
        <v>HA8</v>
      </c>
      <c r="V464" t="str">
        <f>'PARAMÈTRES'!$C$119</f>
        <v>HA8</v>
      </c>
      <c r="W464" t="str">
        <f>'PARAMÈTRES'!$C$119</f>
        <v>HA8</v>
      </c>
      <c r="X464" t="str">
        <f>'PARAMÈTRES'!$C$119</f>
        <v>HA8</v>
      </c>
    </row>
    <row r="465">
      <c r="A465" t="inlineStr">
        <is>
          <t>ds_y_q</t>
        </is>
      </c>
      <c r="B465" t="inlineStr">
        <is>
          <t>GROS_ŒUVRE!E67</t>
        </is>
      </c>
      <c r="D465">
        <f>D363*(ROUNDDOWN(D367/D362,0)+1)</f>
        <v>0</v>
      </c>
      <c r="E465">
        <f>E363*(ROUNDDOWN(E367/E362,0)+1)</f>
        <v>0</v>
      </c>
      <c r="F465">
        <f>F363*(ROUNDDOWN(F367/F362,0)+1)</f>
        <v>0</v>
      </c>
      <c r="G465">
        <f>G363*(ROUNDDOWN(G367/G362,0)+1)</f>
        <v>0</v>
      </c>
      <c r="H465">
        <f>H363*(ROUNDDOWN(H367/H362,0)+1)</f>
        <v>0</v>
      </c>
      <c r="I465">
        <f>I363*(ROUNDDOWN(I367/I362,0)+1)</f>
        <v>0</v>
      </c>
      <c r="J465">
        <f>J363*(ROUNDDOWN(J367/J362,0)+1)</f>
        <v>0</v>
      </c>
      <c r="K465">
        <f>K363*(ROUNDDOWN(K367/K362,0)+1)</f>
        <v>0</v>
      </c>
      <c r="L465">
        <f>L363*(ROUNDDOWN(L367/L362,0)+1)</f>
        <v>0</v>
      </c>
      <c r="M465">
        <f>M363*(ROUNDDOWN(M367/M362,0)+1)</f>
        <v>0</v>
      </c>
      <c r="N465">
        <f>N363*(ROUNDDOWN(N367/N362,0)+1)</f>
        <v>0</v>
      </c>
      <c r="O465">
        <f>O363*(ROUNDDOWN(O367/O362,0)+1)</f>
        <v>0</v>
      </c>
      <c r="P465">
        <f>P363*(ROUNDDOWN(P367/P362,0)+1)</f>
        <v>0</v>
      </c>
      <c r="Q465">
        <f>Q363*(ROUNDDOWN(Q367/Q362,0)+1)</f>
        <v>0</v>
      </c>
      <c r="R465">
        <f>R363*(ROUNDDOWN(R367/R362,0)+1)</f>
        <v>0</v>
      </c>
      <c r="S465">
        <f>S363*(ROUNDDOWN(S367/S362,0)+1)</f>
        <v>0</v>
      </c>
      <c r="T465">
        <f>T363*(ROUNDDOWN(T367/T362,0)+1)</f>
        <v>0</v>
      </c>
      <c r="U465">
        <f>U363*(ROUNDDOWN(U367/U362,0)+1)</f>
        <v>0</v>
      </c>
      <c r="V465">
        <f>V363*(ROUNDDOWN(V367/V362,0)+1)</f>
        <v>0</v>
      </c>
      <c r="W465">
        <f>W363*(ROUNDDOWN(W367/W362,0)+1)</f>
        <v>0</v>
      </c>
      <c r="X465">
        <f>X363*(ROUNDDOWN(X367/X362,0)+1)</f>
        <v>0</v>
      </c>
    </row>
    <row r="466">
      <c r="A466" t="inlineStr">
        <is>
          <t>ds_y_lu</t>
        </is>
      </c>
      <c r="B466" t="inlineStr">
        <is>
          <t>GROS_ŒUVRE!F67</t>
        </is>
      </c>
      <c r="D466">
        <f>(D368-2*'PARAMÈTRES'!$C$121+MAX(0,ROUNDUP((D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9.79</v>
      </c>
      <c r="E466">
        <f>(E368-2*'PARAMÈTRES'!$C$121+MAX(0,ROUNDUP((E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9.79</v>
      </c>
      <c r="F466">
        <f>(F368-2*'PARAMÈTRES'!$C$121+MAX(0,ROUNDUP((F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9.79</v>
      </c>
      <c r="G466">
        <f>(G368-2*'PARAMÈTRES'!$C$121+MAX(0,ROUNDUP((G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15.11</v>
      </c>
      <c r="H466">
        <f>(H368-2*'PARAMÈTRES'!$C$121+MAX(0,ROUNDUP((H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15.11</v>
      </c>
      <c r="I466">
        <f>(I368-2*'PARAMÈTRES'!$C$121+MAX(0,ROUNDUP((I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15.11</v>
      </c>
      <c r="J466">
        <f>(J368-2*'PARAMÈTRES'!$C$121+MAX(0,ROUNDUP((J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15.11</v>
      </c>
      <c r="K466">
        <f>(K368-2*'PARAMÈTRES'!$C$121+MAX(0,ROUNDUP((K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15.11</v>
      </c>
      <c r="L466">
        <f>(L368-2*'PARAMÈTRES'!$C$121+MAX(0,ROUNDUP((L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15.11</v>
      </c>
      <c r="M466">
        <f>(M368-2*'PARAMÈTRES'!$C$121+MAX(0,ROUNDUP((M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20.11</v>
      </c>
      <c r="N466">
        <f>(N368-2*'PARAMÈTRES'!$C$121+MAX(0,ROUNDUP((N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20.11</v>
      </c>
      <c r="O466">
        <f>(O368-2*'PARAMÈTRES'!$C$121+MAX(0,ROUNDUP((O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20.11</v>
      </c>
      <c r="P466">
        <f>(P368-2*'PARAMÈTRES'!$C$121+MAX(0,ROUNDUP((P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20.11</v>
      </c>
      <c r="Q466">
        <f>(Q368-2*'PARAMÈTRES'!$C$121+MAX(0,ROUNDUP((Q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20.11</v>
      </c>
      <c r="R466">
        <f>(R368-2*'PARAMÈTRES'!$C$121+MAX(0,ROUNDUP((R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20.11</v>
      </c>
      <c r="S466">
        <f>(S368-2*'PARAMÈTRES'!$C$121+MAX(0,ROUNDUP((S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30.43</v>
      </c>
      <c r="T466">
        <f>(T368-2*'PARAMÈTRES'!$C$121+MAX(0,ROUNDUP((T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30.43</v>
      </c>
      <c r="U466">
        <f>(U368-2*'PARAMÈTRES'!$C$121+MAX(0,ROUNDUP((U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30.43</v>
      </c>
      <c r="V466">
        <f>(V368-2*'PARAMÈTRES'!$C$121+MAX(0,ROUNDUP((V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40.75</v>
      </c>
      <c r="W466">
        <f>(W368-2*'PARAMÈTRES'!$C$121+MAX(0,ROUNDUP((W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40.75</v>
      </c>
      <c r="X466">
        <f>(X368-2*'PARAMÈTRES'!$C$121+MAX(0,ROUNDUP((X368-2*'PARAMÈTRES'!$C$121)/'PARAMÈTRES'!$C$58,0)-1)*'PARAMÈTRES'!$C$153*IFERROR(_xlfn.XLOOKUP('PARAMÈTRES'!$C$119,'BASE_ACIERS'!$B$5:$B$20,'BASE_ACIERS'!$C$5:$C$20),IFERROR(INDEX('BASE_ACIERS'!$C$5:$C$20,MATCH('PARAMÈTRES'!$C$119,'BASE_ACIERS'!$B$5:$B$20,0)),0))/1000)</f>
        <v>40.75</v>
      </c>
    </row>
    <row r="467">
      <c r="A467" t="inlineStr">
        <is>
          <t>ds_y_lt</t>
        </is>
      </c>
      <c r="B467" t="inlineStr">
        <is>
          <t>GROS_ŒUVRE!G67</t>
        </is>
      </c>
      <c r="D467">
        <f>D465*D466</f>
        <v>0</v>
      </c>
      <c r="E467">
        <f>E465*E466</f>
        <v>0</v>
      </c>
      <c r="F467">
        <f>F465*F466</f>
        <v>0</v>
      </c>
      <c r="G467">
        <f>G465*G466</f>
        <v>0</v>
      </c>
      <c r="H467">
        <f>H465*H466</f>
        <v>0</v>
      </c>
      <c r="I467">
        <f>I465*I466</f>
        <v>0</v>
      </c>
      <c r="J467">
        <f>J465*J466</f>
        <v>0</v>
      </c>
      <c r="K467">
        <f>K465*K466</f>
        <v>0</v>
      </c>
      <c r="L467">
        <f>L465*L466</f>
        <v>0</v>
      </c>
      <c r="M467">
        <f>M465*M466</f>
        <v>0</v>
      </c>
      <c r="N467">
        <f>N465*N466</f>
        <v>0</v>
      </c>
      <c r="O467">
        <f>O465*O466</f>
        <v>0</v>
      </c>
      <c r="P467">
        <f>P465*P466</f>
        <v>0</v>
      </c>
      <c r="Q467">
        <f>Q465*Q466</f>
        <v>0</v>
      </c>
      <c r="R467">
        <f>R465*R466</f>
        <v>0</v>
      </c>
      <c r="S467">
        <f>S465*S466</f>
        <v>0</v>
      </c>
      <c r="T467">
        <f>T465*T466</f>
        <v>0</v>
      </c>
      <c r="U467">
        <f>U465*U466</f>
        <v>0</v>
      </c>
      <c r="V467">
        <f>V465*V466</f>
        <v>0</v>
      </c>
      <c r="W467">
        <f>W465*W466</f>
        <v>0</v>
      </c>
      <c r="X467">
        <f>X465*X466</f>
        <v>0</v>
      </c>
    </row>
    <row r="468">
      <c r="A468" t="inlineStr">
        <is>
          <t>ds_y_kgml</t>
        </is>
      </c>
      <c r="B468" t="inlineStr">
        <is>
          <t>GROS_ŒUVRE!H67</t>
        </is>
      </c>
      <c r="D468">
        <f>IFERROR(_xlfn.XLOOKUP('PARAMÈTRES'!$C$119,'BASE_ACIERS'!$B$5:$B$20,'BASE_ACIERS'!$D$5:$D$20),IFERROR(INDEX('BASE_ACIERS'!$D$5:$D$20,MATCH('PARAMÈTRES'!$C$119,'BASE_ACIERS'!$B$5:$B$20,0)),0))</f>
        <v>0.395</v>
      </c>
      <c r="E468">
        <f>IFERROR(_xlfn.XLOOKUP('PARAMÈTRES'!$C$119,'BASE_ACIERS'!$B$5:$B$20,'BASE_ACIERS'!$D$5:$D$20),IFERROR(INDEX('BASE_ACIERS'!$D$5:$D$20,MATCH('PARAMÈTRES'!$C$119,'BASE_ACIERS'!$B$5:$B$20,0)),0))</f>
        <v>0.395</v>
      </c>
      <c r="F468">
        <f>IFERROR(_xlfn.XLOOKUP('PARAMÈTRES'!$C$119,'BASE_ACIERS'!$B$5:$B$20,'BASE_ACIERS'!$D$5:$D$20),IFERROR(INDEX('BASE_ACIERS'!$D$5:$D$20,MATCH('PARAMÈTRES'!$C$119,'BASE_ACIERS'!$B$5:$B$20,0)),0))</f>
        <v>0.395</v>
      </c>
      <c r="G468">
        <f>IFERROR(_xlfn.XLOOKUP('PARAMÈTRES'!$C$119,'BASE_ACIERS'!$B$5:$B$20,'BASE_ACIERS'!$D$5:$D$20),IFERROR(INDEX('BASE_ACIERS'!$D$5:$D$20,MATCH('PARAMÈTRES'!$C$119,'BASE_ACIERS'!$B$5:$B$20,0)),0))</f>
        <v>0.395</v>
      </c>
      <c r="H468">
        <f>IFERROR(_xlfn.XLOOKUP('PARAMÈTRES'!$C$119,'BASE_ACIERS'!$B$5:$B$20,'BASE_ACIERS'!$D$5:$D$20),IFERROR(INDEX('BASE_ACIERS'!$D$5:$D$20,MATCH('PARAMÈTRES'!$C$119,'BASE_ACIERS'!$B$5:$B$20,0)),0))</f>
        <v>0.395</v>
      </c>
      <c r="I468">
        <f>IFERROR(_xlfn.XLOOKUP('PARAMÈTRES'!$C$119,'BASE_ACIERS'!$B$5:$B$20,'BASE_ACIERS'!$D$5:$D$20),IFERROR(INDEX('BASE_ACIERS'!$D$5:$D$20,MATCH('PARAMÈTRES'!$C$119,'BASE_ACIERS'!$B$5:$B$20,0)),0))</f>
        <v>0.395</v>
      </c>
      <c r="J468">
        <f>IFERROR(_xlfn.XLOOKUP('PARAMÈTRES'!$C$119,'BASE_ACIERS'!$B$5:$B$20,'BASE_ACIERS'!$D$5:$D$20),IFERROR(INDEX('BASE_ACIERS'!$D$5:$D$20,MATCH('PARAMÈTRES'!$C$119,'BASE_ACIERS'!$B$5:$B$20,0)),0))</f>
        <v>0.395</v>
      </c>
      <c r="K468">
        <f>IFERROR(_xlfn.XLOOKUP('PARAMÈTRES'!$C$119,'BASE_ACIERS'!$B$5:$B$20,'BASE_ACIERS'!$D$5:$D$20),IFERROR(INDEX('BASE_ACIERS'!$D$5:$D$20,MATCH('PARAMÈTRES'!$C$119,'BASE_ACIERS'!$B$5:$B$20,0)),0))</f>
        <v>0.395</v>
      </c>
      <c r="L468">
        <f>IFERROR(_xlfn.XLOOKUP('PARAMÈTRES'!$C$119,'BASE_ACIERS'!$B$5:$B$20,'BASE_ACIERS'!$D$5:$D$20),IFERROR(INDEX('BASE_ACIERS'!$D$5:$D$20,MATCH('PARAMÈTRES'!$C$119,'BASE_ACIERS'!$B$5:$B$20,0)),0))</f>
        <v>0.395</v>
      </c>
      <c r="M468">
        <f>IFERROR(_xlfn.XLOOKUP('PARAMÈTRES'!$C$119,'BASE_ACIERS'!$B$5:$B$20,'BASE_ACIERS'!$D$5:$D$20),IFERROR(INDEX('BASE_ACIERS'!$D$5:$D$20,MATCH('PARAMÈTRES'!$C$119,'BASE_ACIERS'!$B$5:$B$20,0)),0))</f>
        <v>0.395</v>
      </c>
      <c r="N468">
        <f>IFERROR(_xlfn.XLOOKUP('PARAMÈTRES'!$C$119,'BASE_ACIERS'!$B$5:$B$20,'BASE_ACIERS'!$D$5:$D$20),IFERROR(INDEX('BASE_ACIERS'!$D$5:$D$20,MATCH('PARAMÈTRES'!$C$119,'BASE_ACIERS'!$B$5:$B$20,0)),0))</f>
        <v>0.395</v>
      </c>
      <c r="O468">
        <f>IFERROR(_xlfn.XLOOKUP('PARAMÈTRES'!$C$119,'BASE_ACIERS'!$B$5:$B$20,'BASE_ACIERS'!$D$5:$D$20),IFERROR(INDEX('BASE_ACIERS'!$D$5:$D$20,MATCH('PARAMÈTRES'!$C$119,'BASE_ACIERS'!$B$5:$B$20,0)),0))</f>
        <v>0.395</v>
      </c>
      <c r="P468">
        <f>IFERROR(_xlfn.XLOOKUP('PARAMÈTRES'!$C$119,'BASE_ACIERS'!$B$5:$B$20,'BASE_ACIERS'!$D$5:$D$20),IFERROR(INDEX('BASE_ACIERS'!$D$5:$D$20,MATCH('PARAMÈTRES'!$C$119,'BASE_ACIERS'!$B$5:$B$20,0)),0))</f>
        <v>0.395</v>
      </c>
      <c r="Q468">
        <f>IFERROR(_xlfn.XLOOKUP('PARAMÈTRES'!$C$119,'BASE_ACIERS'!$B$5:$B$20,'BASE_ACIERS'!$D$5:$D$20),IFERROR(INDEX('BASE_ACIERS'!$D$5:$D$20,MATCH('PARAMÈTRES'!$C$119,'BASE_ACIERS'!$B$5:$B$20,0)),0))</f>
        <v>0.395</v>
      </c>
      <c r="R468">
        <f>IFERROR(_xlfn.XLOOKUP('PARAMÈTRES'!$C$119,'BASE_ACIERS'!$B$5:$B$20,'BASE_ACIERS'!$D$5:$D$20),IFERROR(INDEX('BASE_ACIERS'!$D$5:$D$20,MATCH('PARAMÈTRES'!$C$119,'BASE_ACIERS'!$B$5:$B$20,0)),0))</f>
        <v>0.395</v>
      </c>
      <c r="S468">
        <f>IFERROR(_xlfn.XLOOKUP('PARAMÈTRES'!$C$119,'BASE_ACIERS'!$B$5:$B$20,'BASE_ACIERS'!$D$5:$D$20),IFERROR(INDEX('BASE_ACIERS'!$D$5:$D$20,MATCH('PARAMÈTRES'!$C$119,'BASE_ACIERS'!$B$5:$B$20,0)),0))</f>
        <v>0.395</v>
      </c>
      <c r="T468">
        <f>IFERROR(_xlfn.XLOOKUP('PARAMÈTRES'!$C$119,'BASE_ACIERS'!$B$5:$B$20,'BASE_ACIERS'!$D$5:$D$20),IFERROR(INDEX('BASE_ACIERS'!$D$5:$D$20,MATCH('PARAMÈTRES'!$C$119,'BASE_ACIERS'!$B$5:$B$20,0)),0))</f>
        <v>0.395</v>
      </c>
      <c r="U468">
        <f>IFERROR(_xlfn.XLOOKUP('PARAMÈTRES'!$C$119,'BASE_ACIERS'!$B$5:$B$20,'BASE_ACIERS'!$D$5:$D$20),IFERROR(INDEX('BASE_ACIERS'!$D$5:$D$20,MATCH('PARAMÈTRES'!$C$119,'BASE_ACIERS'!$B$5:$B$20,0)),0))</f>
        <v>0.395</v>
      </c>
      <c r="V468">
        <f>IFERROR(_xlfn.XLOOKUP('PARAMÈTRES'!$C$119,'BASE_ACIERS'!$B$5:$B$20,'BASE_ACIERS'!$D$5:$D$20),IFERROR(INDEX('BASE_ACIERS'!$D$5:$D$20,MATCH('PARAMÈTRES'!$C$119,'BASE_ACIERS'!$B$5:$B$20,0)),0))</f>
        <v>0.395</v>
      </c>
      <c r="W468">
        <f>IFERROR(_xlfn.XLOOKUP('PARAMÈTRES'!$C$119,'BASE_ACIERS'!$B$5:$B$20,'BASE_ACIERS'!$D$5:$D$20),IFERROR(INDEX('BASE_ACIERS'!$D$5:$D$20,MATCH('PARAMÈTRES'!$C$119,'BASE_ACIERS'!$B$5:$B$20,0)),0))</f>
        <v>0.395</v>
      </c>
      <c r="X468">
        <f>IFERROR(_xlfn.XLOOKUP('PARAMÈTRES'!$C$119,'BASE_ACIERS'!$B$5:$B$20,'BASE_ACIERS'!$D$5:$D$20),IFERROR(INDEX('BASE_ACIERS'!$D$5:$D$20,MATCH('PARAMÈTRES'!$C$119,'BASE_ACIERS'!$B$5:$B$20,0)),0))</f>
        <v>0.395</v>
      </c>
    </row>
    <row r="469">
      <c r="A469" t="inlineStr">
        <is>
          <t>ds_y_kg</t>
        </is>
      </c>
      <c r="B469" t="inlineStr">
        <is>
          <t>GROS_ŒUVRE!I67</t>
        </is>
      </c>
      <c r="D469">
        <f>D467*D468</f>
        <v>0</v>
      </c>
      <c r="E469">
        <f>E467*E468</f>
        <v>0</v>
      </c>
      <c r="F469">
        <f>F467*F468</f>
        <v>0</v>
      </c>
      <c r="G469">
        <f>G467*G468</f>
        <v>0</v>
      </c>
      <c r="H469">
        <f>H467*H468</f>
        <v>0</v>
      </c>
      <c r="I469">
        <f>I467*I468</f>
        <v>0</v>
      </c>
      <c r="J469">
        <f>J467*J468</f>
        <v>0</v>
      </c>
      <c r="K469">
        <f>K467*K468</f>
        <v>0</v>
      </c>
      <c r="L469">
        <f>L467*L468</f>
        <v>0</v>
      </c>
      <c r="M469">
        <f>M467*M468</f>
        <v>0</v>
      </c>
      <c r="N469">
        <f>N467*N468</f>
        <v>0</v>
      </c>
      <c r="O469">
        <f>O467*O468</f>
        <v>0</v>
      </c>
      <c r="P469">
        <f>P467*P468</f>
        <v>0</v>
      </c>
      <c r="Q469">
        <f>Q467*Q468</f>
        <v>0</v>
      </c>
      <c r="R469">
        <f>R467*R468</f>
        <v>0</v>
      </c>
      <c r="S469">
        <f>S467*S468</f>
        <v>0</v>
      </c>
      <c r="T469">
        <f>T467*T468</f>
        <v>0</v>
      </c>
      <c r="U469">
        <f>U467*U468</f>
        <v>0</v>
      </c>
      <c r="V469">
        <f>V467*V468</f>
        <v>0</v>
      </c>
      <c r="W469">
        <f>W467*W468</f>
        <v>0</v>
      </c>
      <c r="X469">
        <f>X467*X468</f>
        <v>0</v>
      </c>
    </row>
    <row r="470">
      <c r="A470" t="inlineStr">
        <is>
          <t>chai_p</t>
        </is>
      </c>
      <c r="B470" t="inlineStr">
        <is>
          <t>GROS_ŒUVRE!C68</t>
        </is>
      </c>
      <c r="D470" t="str">
        <f>'PARAMÈTRES'!$C$122</f>
        <v>HA8</v>
      </c>
      <c r="E470" t="str">
        <f>'PARAMÈTRES'!$C$122</f>
        <v>HA8</v>
      </c>
      <c r="F470" t="str">
        <f>'PARAMÈTRES'!$C$122</f>
        <v>HA8</v>
      </c>
      <c r="G470" t="str">
        <f>'PARAMÈTRES'!$C$122</f>
        <v>HA8</v>
      </c>
      <c r="H470" t="str">
        <f>'PARAMÈTRES'!$C$122</f>
        <v>HA8</v>
      </c>
      <c r="I470" t="str">
        <f>'PARAMÈTRES'!$C$122</f>
        <v>HA8</v>
      </c>
      <c r="J470" t="str">
        <f>'PARAMÈTRES'!$C$122</f>
        <v>HA8</v>
      </c>
      <c r="K470" t="str">
        <f>'PARAMÈTRES'!$C$122</f>
        <v>HA8</v>
      </c>
      <c r="L470" t="str">
        <f>'PARAMÈTRES'!$C$122</f>
        <v>HA8</v>
      </c>
      <c r="M470" t="str">
        <f>'PARAMÈTRES'!$C$122</f>
        <v>HA8</v>
      </c>
      <c r="N470" t="str">
        <f>'PARAMÈTRES'!$C$122</f>
        <v>HA8</v>
      </c>
      <c r="O470" t="str">
        <f>'PARAMÈTRES'!$C$122</f>
        <v>HA8</v>
      </c>
      <c r="P470" t="str">
        <f>'PARAMÈTRES'!$C$122</f>
        <v>HA8</v>
      </c>
      <c r="Q470" t="str">
        <f>'PARAMÈTRES'!$C$122</f>
        <v>HA8</v>
      </c>
      <c r="R470" t="str">
        <f>'PARAMÈTRES'!$C$122</f>
        <v>HA8</v>
      </c>
      <c r="S470" t="str">
        <f>'PARAMÈTRES'!$C$122</f>
        <v>HA8</v>
      </c>
      <c r="T470" t="str">
        <f>'PARAMÈTRES'!$C$122</f>
        <v>HA8</v>
      </c>
      <c r="U470" t="str">
        <f>'PARAMÈTRES'!$C$122</f>
        <v>HA8</v>
      </c>
      <c r="V470" t="str">
        <f>'PARAMÈTRES'!$C$122</f>
        <v>HA8</v>
      </c>
      <c r="W470" t="str">
        <f>'PARAMÈTRES'!$C$122</f>
        <v>HA8</v>
      </c>
      <c r="X470" t="str">
        <f>'PARAMÈTRES'!$C$122</f>
        <v>HA8</v>
      </c>
    </row>
    <row r="471">
      <c r="A471" t="inlineStr">
        <is>
          <t>chai_q</t>
        </is>
      </c>
      <c r="B471" t="inlineStr">
        <is>
          <t>GROS_ŒUVRE!E68</t>
        </is>
      </c>
      <c r="D471">
        <f>D363*ROUNDUP('PARAMÈTRES'!$C$123*D369,0)</f>
        <v>0</v>
      </c>
      <c r="E471">
        <f>E363*ROUNDUP('PARAMÈTRES'!$C$123*E369,0)</f>
        <v>0</v>
      </c>
      <c r="F471">
        <f>F363*ROUNDUP('PARAMÈTRES'!$C$123*F369,0)</f>
        <v>0</v>
      </c>
      <c r="G471">
        <f>G363*ROUNDUP('PARAMÈTRES'!$C$123*G369,0)</f>
        <v>0</v>
      </c>
      <c r="H471">
        <f>H363*ROUNDUP('PARAMÈTRES'!$C$123*H369,0)</f>
        <v>0</v>
      </c>
      <c r="I471">
        <f>I363*ROUNDUP('PARAMÈTRES'!$C$123*I369,0)</f>
        <v>0</v>
      </c>
      <c r="J471">
        <f>J363*ROUNDUP('PARAMÈTRES'!$C$123*J369,0)</f>
        <v>0</v>
      </c>
      <c r="K471">
        <f>K363*ROUNDUP('PARAMÈTRES'!$C$123*K369,0)</f>
        <v>0</v>
      </c>
      <c r="L471">
        <f>L363*ROUNDUP('PARAMÈTRES'!$C$123*L369,0)</f>
        <v>0</v>
      </c>
      <c r="M471">
        <f>M363*ROUNDUP('PARAMÈTRES'!$C$123*M369,0)</f>
        <v>0</v>
      </c>
      <c r="N471">
        <f>N363*ROUNDUP('PARAMÈTRES'!$C$123*N369,0)</f>
        <v>0</v>
      </c>
      <c r="O471">
        <f>O363*ROUNDUP('PARAMÈTRES'!$C$123*O369,0)</f>
        <v>0</v>
      </c>
      <c r="P471">
        <f>P363*ROUNDUP('PARAMÈTRES'!$C$123*P369,0)</f>
        <v>0</v>
      </c>
      <c r="Q471">
        <f>Q363*ROUNDUP('PARAMÈTRES'!$C$123*Q369,0)</f>
        <v>0</v>
      </c>
      <c r="R471">
        <f>R363*ROUNDUP('PARAMÈTRES'!$C$123*R369,0)</f>
        <v>0</v>
      </c>
      <c r="S471">
        <f>S363*ROUNDUP('PARAMÈTRES'!$C$123*S369,0)</f>
        <v>0</v>
      </c>
      <c r="T471">
        <f>T363*ROUNDUP('PARAMÈTRES'!$C$123*T369,0)</f>
        <v>0</v>
      </c>
      <c r="U471">
        <f>U363*ROUNDUP('PARAMÈTRES'!$C$123*U369,0)</f>
        <v>0</v>
      </c>
      <c r="V471">
        <f>V363*ROUNDUP('PARAMÈTRES'!$C$123*V369,0)</f>
        <v>0</v>
      </c>
      <c r="W471">
        <f>W363*ROUNDUP('PARAMÈTRES'!$C$123*W369,0)</f>
        <v>0</v>
      </c>
      <c r="X471">
        <f>X363*ROUNDUP('PARAMÈTRES'!$C$123*X369,0)</f>
        <v>0</v>
      </c>
    </row>
    <row r="472">
      <c r="A472" t="inlineStr">
        <is>
          <t>chai_lu</t>
        </is>
      </c>
      <c r="B472" t="inlineStr">
        <is>
          <t>GROS_ŒUVRE!F68</t>
        </is>
      </c>
      <c r="D472">
        <f>'PARAMÈTRES'!$C$124</f>
        <v>0.6</v>
      </c>
      <c r="E472">
        <f>'PARAMÈTRES'!$C$124</f>
        <v>0.6</v>
      </c>
      <c r="F472">
        <f>'PARAMÈTRES'!$C$124</f>
        <v>0.6</v>
      </c>
      <c r="G472">
        <f>'PARAMÈTRES'!$C$124</f>
        <v>0.6</v>
      </c>
      <c r="H472">
        <f>'PARAMÈTRES'!$C$124</f>
        <v>0.6</v>
      </c>
      <c r="I472">
        <f>'PARAMÈTRES'!$C$124</f>
        <v>0.6</v>
      </c>
      <c r="J472">
        <f>'PARAMÈTRES'!$C$124</f>
        <v>0.6</v>
      </c>
      <c r="K472">
        <f>'PARAMÈTRES'!$C$124</f>
        <v>0.6</v>
      </c>
      <c r="L472">
        <f>'PARAMÈTRES'!$C$124</f>
        <v>0.6</v>
      </c>
      <c r="M472">
        <f>'PARAMÈTRES'!$C$124</f>
        <v>0.6</v>
      </c>
      <c r="N472">
        <f>'PARAMÈTRES'!$C$124</f>
        <v>0.6</v>
      </c>
      <c r="O472">
        <f>'PARAMÈTRES'!$C$124</f>
        <v>0.6</v>
      </c>
      <c r="P472">
        <f>'PARAMÈTRES'!$C$124</f>
        <v>0.6</v>
      </c>
      <c r="Q472">
        <f>'PARAMÈTRES'!$C$124</f>
        <v>0.6</v>
      </c>
      <c r="R472">
        <f>'PARAMÈTRES'!$C$124</f>
        <v>0.6</v>
      </c>
      <c r="S472">
        <f>'PARAMÈTRES'!$C$124</f>
        <v>0.6</v>
      </c>
      <c r="T472">
        <f>'PARAMÈTRES'!$C$124</f>
        <v>0.6</v>
      </c>
      <c r="U472">
        <f>'PARAMÈTRES'!$C$124</f>
        <v>0.6</v>
      </c>
      <c r="V472">
        <f>'PARAMÈTRES'!$C$124</f>
        <v>0.6</v>
      </c>
      <c r="W472">
        <f>'PARAMÈTRES'!$C$124</f>
        <v>0.6</v>
      </c>
      <c r="X472">
        <f>'PARAMÈTRES'!$C$124</f>
        <v>0.6</v>
      </c>
    </row>
    <row r="473">
      <c r="A473" t="inlineStr">
        <is>
          <t>chai_lt</t>
        </is>
      </c>
      <c r="B473" t="inlineStr">
        <is>
          <t>GROS_ŒUVRE!G68</t>
        </is>
      </c>
      <c r="D473">
        <f>D471*D472</f>
        <v>0</v>
      </c>
      <c r="E473">
        <f>E471*E472</f>
        <v>0</v>
      </c>
      <c r="F473">
        <f>F471*F472</f>
        <v>0</v>
      </c>
      <c r="G473">
        <f>G471*G472</f>
        <v>0</v>
      </c>
      <c r="H473">
        <f>H471*H472</f>
        <v>0</v>
      </c>
      <c r="I473">
        <f>I471*I472</f>
        <v>0</v>
      </c>
      <c r="J473">
        <f>J471*J472</f>
        <v>0</v>
      </c>
      <c r="K473">
        <f>K471*K472</f>
        <v>0</v>
      </c>
      <c r="L473">
        <f>L471*L472</f>
        <v>0</v>
      </c>
      <c r="M473">
        <f>M471*M472</f>
        <v>0</v>
      </c>
      <c r="N473">
        <f>N471*N472</f>
        <v>0</v>
      </c>
      <c r="O473">
        <f>O471*O472</f>
        <v>0</v>
      </c>
      <c r="P473">
        <f>P471*P472</f>
        <v>0</v>
      </c>
      <c r="Q473">
        <f>Q471*Q472</f>
        <v>0</v>
      </c>
      <c r="R473">
        <f>R471*R472</f>
        <v>0</v>
      </c>
      <c r="S473">
        <f>S471*S472</f>
        <v>0</v>
      </c>
      <c r="T473">
        <f>T471*T472</f>
        <v>0</v>
      </c>
      <c r="U473">
        <f>U471*U472</f>
        <v>0</v>
      </c>
      <c r="V473">
        <f>V471*V472</f>
        <v>0</v>
      </c>
      <c r="W473">
        <f>W471*W472</f>
        <v>0</v>
      </c>
      <c r="X473">
        <f>X471*X472</f>
        <v>0</v>
      </c>
    </row>
    <row r="474">
      <c r="A474" t="inlineStr">
        <is>
          <t>chai_kgml</t>
        </is>
      </c>
      <c r="B474" t="inlineStr">
        <is>
          <t>GROS_ŒUVRE!H68</t>
        </is>
      </c>
      <c r="D474">
        <f>IFERROR(_xlfn.XLOOKUP('PARAMÈTRES'!$C$122,'BASE_ACIERS'!$B$5:$B$20,'BASE_ACIERS'!$D$5:$D$20),IFERROR(INDEX('BASE_ACIERS'!$D$5:$D$20,MATCH('PARAMÈTRES'!$C$122,'BASE_ACIERS'!$B$5:$B$20,0)),0))</f>
        <v>0.395</v>
      </c>
      <c r="E474">
        <f>IFERROR(_xlfn.XLOOKUP('PARAMÈTRES'!$C$122,'BASE_ACIERS'!$B$5:$B$20,'BASE_ACIERS'!$D$5:$D$20),IFERROR(INDEX('BASE_ACIERS'!$D$5:$D$20,MATCH('PARAMÈTRES'!$C$122,'BASE_ACIERS'!$B$5:$B$20,0)),0))</f>
        <v>0.395</v>
      </c>
      <c r="F474">
        <f>IFERROR(_xlfn.XLOOKUP('PARAMÈTRES'!$C$122,'BASE_ACIERS'!$B$5:$B$20,'BASE_ACIERS'!$D$5:$D$20),IFERROR(INDEX('BASE_ACIERS'!$D$5:$D$20,MATCH('PARAMÈTRES'!$C$122,'BASE_ACIERS'!$B$5:$B$20,0)),0))</f>
        <v>0.395</v>
      </c>
      <c r="G474">
        <f>IFERROR(_xlfn.XLOOKUP('PARAMÈTRES'!$C$122,'BASE_ACIERS'!$B$5:$B$20,'BASE_ACIERS'!$D$5:$D$20),IFERROR(INDEX('BASE_ACIERS'!$D$5:$D$20,MATCH('PARAMÈTRES'!$C$122,'BASE_ACIERS'!$B$5:$B$20,0)),0))</f>
        <v>0.395</v>
      </c>
      <c r="H474">
        <f>IFERROR(_xlfn.XLOOKUP('PARAMÈTRES'!$C$122,'BASE_ACIERS'!$B$5:$B$20,'BASE_ACIERS'!$D$5:$D$20),IFERROR(INDEX('BASE_ACIERS'!$D$5:$D$20,MATCH('PARAMÈTRES'!$C$122,'BASE_ACIERS'!$B$5:$B$20,0)),0))</f>
        <v>0.395</v>
      </c>
      <c r="I474">
        <f>IFERROR(_xlfn.XLOOKUP('PARAMÈTRES'!$C$122,'BASE_ACIERS'!$B$5:$B$20,'BASE_ACIERS'!$D$5:$D$20),IFERROR(INDEX('BASE_ACIERS'!$D$5:$D$20,MATCH('PARAMÈTRES'!$C$122,'BASE_ACIERS'!$B$5:$B$20,0)),0))</f>
        <v>0.395</v>
      </c>
      <c r="J474">
        <f>IFERROR(_xlfn.XLOOKUP('PARAMÈTRES'!$C$122,'BASE_ACIERS'!$B$5:$B$20,'BASE_ACIERS'!$D$5:$D$20),IFERROR(INDEX('BASE_ACIERS'!$D$5:$D$20,MATCH('PARAMÈTRES'!$C$122,'BASE_ACIERS'!$B$5:$B$20,0)),0))</f>
        <v>0.395</v>
      </c>
      <c r="K474">
        <f>IFERROR(_xlfn.XLOOKUP('PARAMÈTRES'!$C$122,'BASE_ACIERS'!$B$5:$B$20,'BASE_ACIERS'!$D$5:$D$20),IFERROR(INDEX('BASE_ACIERS'!$D$5:$D$20,MATCH('PARAMÈTRES'!$C$122,'BASE_ACIERS'!$B$5:$B$20,0)),0))</f>
        <v>0.395</v>
      </c>
      <c r="L474">
        <f>IFERROR(_xlfn.XLOOKUP('PARAMÈTRES'!$C$122,'BASE_ACIERS'!$B$5:$B$20,'BASE_ACIERS'!$D$5:$D$20),IFERROR(INDEX('BASE_ACIERS'!$D$5:$D$20,MATCH('PARAMÈTRES'!$C$122,'BASE_ACIERS'!$B$5:$B$20,0)),0))</f>
        <v>0.395</v>
      </c>
      <c r="M474">
        <f>IFERROR(_xlfn.XLOOKUP('PARAMÈTRES'!$C$122,'BASE_ACIERS'!$B$5:$B$20,'BASE_ACIERS'!$D$5:$D$20),IFERROR(INDEX('BASE_ACIERS'!$D$5:$D$20,MATCH('PARAMÈTRES'!$C$122,'BASE_ACIERS'!$B$5:$B$20,0)),0))</f>
        <v>0.395</v>
      </c>
      <c r="N474">
        <f>IFERROR(_xlfn.XLOOKUP('PARAMÈTRES'!$C$122,'BASE_ACIERS'!$B$5:$B$20,'BASE_ACIERS'!$D$5:$D$20),IFERROR(INDEX('BASE_ACIERS'!$D$5:$D$20,MATCH('PARAMÈTRES'!$C$122,'BASE_ACIERS'!$B$5:$B$20,0)),0))</f>
        <v>0.395</v>
      </c>
      <c r="O474">
        <f>IFERROR(_xlfn.XLOOKUP('PARAMÈTRES'!$C$122,'BASE_ACIERS'!$B$5:$B$20,'BASE_ACIERS'!$D$5:$D$20),IFERROR(INDEX('BASE_ACIERS'!$D$5:$D$20,MATCH('PARAMÈTRES'!$C$122,'BASE_ACIERS'!$B$5:$B$20,0)),0))</f>
        <v>0.395</v>
      </c>
      <c r="P474">
        <f>IFERROR(_xlfn.XLOOKUP('PARAMÈTRES'!$C$122,'BASE_ACIERS'!$B$5:$B$20,'BASE_ACIERS'!$D$5:$D$20),IFERROR(INDEX('BASE_ACIERS'!$D$5:$D$20,MATCH('PARAMÈTRES'!$C$122,'BASE_ACIERS'!$B$5:$B$20,0)),0))</f>
        <v>0.395</v>
      </c>
      <c r="Q474">
        <f>IFERROR(_xlfn.XLOOKUP('PARAMÈTRES'!$C$122,'BASE_ACIERS'!$B$5:$B$20,'BASE_ACIERS'!$D$5:$D$20),IFERROR(INDEX('BASE_ACIERS'!$D$5:$D$20,MATCH('PARAMÈTRES'!$C$122,'BASE_ACIERS'!$B$5:$B$20,0)),0))</f>
        <v>0.395</v>
      </c>
      <c r="R474">
        <f>IFERROR(_xlfn.XLOOKUP('PARAMÈTRES'!$C$122,'BASE_ACIERS'!$B$5:$B$20,'BASE_ACIERS'!$D$5:$D$20),IFERROR(INDEX('BASE_ACIERS'!$D$5:$D$20,MATCH('PARAMÈTRES'!$C$122,'BASE_ACIERS'!$B$5:$B$20,0)),0))</f>
        <v>0.395</v>
      </c>
      <c r="S474">
        <f>IFERROR(_xlfn.XLOOKUP('PARAMÈTRES'!$C$122,'BASE_ACIERS'!$B$5:$B$20,'BASE_ACIERS'!$D$5:$D$20),IFERROR(INDEX('BASE_ACIERS'!$D$5:$D$20,MATCH('PARAMÈTRES'!$C$122,'BASE_ACIERS'!$B$5:$B$20,0)),0))</f>
        <v>0.395</v>
      </c>
      <c r="T474">
        <f>IFERROR(_xlfn.XLOOKUP('PARAMÈTRES'!$C$122,'BASE_ACIERS'!$B$5:$B$20,'BASE_ACIERS'!$D$5:$D$20),IFERROR(INDEX('BASE_ACIERS'!$D$5:$D$20,MATCH('PARAMÈTRES'!$C$122,'BASE_ACIERS'!$B$5:$B$20,0)),0))</f>
        <v>0.395</v>
      </c>
      <c r="U474">
        <f>IFERROR(_xlfn.XLOOKUP('PARAMÈTRES'!$C$122,'BASE_ACIERS'!$B$5:$B$20,'BASE_ACIERS'!$D$5:$D$20),IFERROR(INDEX('BASE_ACIERS'!$D$5:$D$20,MATCH('PARAMÈTRES'!$C$122,'BASE_ACIERS'!$B$5:$B$20,0)),0))</f>
        <v>0.395</v>
      </c>
      <c r="V474">
        <f>IFERROR(_xlfn.XLOOKUP('PARAMÈTRES'!$C$122,'BASE_ACIERS'!$B$5:$B$20,'BASE_ACIERS'!$D$5:$D$20),IFERROR(INDEX('BASE_ACIERS'!$D$5:$D$20,MATCH('PARAMÈTRES'!$C$122,'BASE_ACIERS'!$B$5:$B$20,0)),0))</f>
        <v>0.395</v>
      </c>
      <c r="W474">
        <f>IFERROR(_xlfn.XLOOKUP('PARAMÈTRES'!$C$122,'BASE_ACIERS'!$B$5:$B$20,'BASE_ACIERS'!$D$5:$D$20),IFERROR(INDEX('BASE_ACIERS'!$D$5:$D$20,MATCH('PARAMÈTRES'!$C$122,'BASE_ACIERS'!$B$5:$B$20,0)),0))</f>
        <v>0.395</v>
      </c>
      <c r="X474">
        <f>IFERROR(_xlfn.XLOOKUP('PARAMÈTRES'!$C$122,'BASE_ACIERS'!$B$5:$B$20,'BASE_ACIERS'!$D$5:$D$20),IFERROR(INDEX('BASE_ACIERS'!$D$5:$D$20,MATCH('PARAMÈTRES'!$C$122,'BASE_ACIERS'!$B$5:$B$20,0)),0))</f>
        <v>0.395</v>
      </c>
    </row>
    <row r="475">
      <c r="A475" t="inlineStr">
        <is>
          <t>chai_kg</t>
        </is>
      </c>
      <c r="B475" t="inlineStr">
        <is>
          <t>GROS_ŒUVRE!I68</t>
        </is>
      </c>
      <c r="D475">
        <f>D473*D474</f>
        <v>0</v>
      </c>
      <c r="E475">
        <f>E473*E474</f>
        <v>0</v>
      </c>
      <c r="F475">
        <f>F473*F474</f>
        <v>0</v>
      </c>
      <c r="G475">
        <f>G473*G474</f>
        <v>0</v>
      </c>
      <c r="H475">
        <f>H473*H474</f>
        <v>0</v>
      </c>
      <c r="I475">
        <f>I473*I474</f>
        <v>0</v>
      </c>
      <c r="J475">
        <f>J473*J474</f>
        <v>0</v>
      </c>
      <c r="K475">
        <f>K473*K474</f>
        <v>0</v>
      </c>
      <c r="L475">
        <f>L473*L474</f>
        <v>0</v>
      </c>
      <c r="M475">
        <f>M473*M474</f>
        <v>0</v>
      </c>
      <c r="N475">
        <f>N473*N474</f>
        <v>0</v>
      </c>
      <c r="O475">
        <f>O473*O474</f>
        <v>0</v>
      </c>
      <c r="P475">
        <f>P473*P474</f>
        <v>0</v>
      </c>
      <c r="Q475">
        <f>Q473*Q474</f>
        <v>0</v>
      </c>
      <c r="R475">
        <f>R473*R474</f>
        <v>0</v>
      </c>
      <c r="S475">
        <f>S473*S474</f>
        <v>0</v>
      </c>
      <c r="T475">
        <f>T473*T474</f>
        <v>0</v>
      </c>
      <c r="U475">
        <f>U473*U474</f>
        <v>0</v>
      </c>
      <c r="V475">
        <f>V473*V474</f>
        <v>0</v>
      </c>
      <c r="W475">
        <f>W473*W474</f>
        <v>0</v>
      </c>
      <c r="X475">
        <f>X473*X474</f>
        <v>0</v>
      </c>
    </row>
    <row r="476">
      <c r="A476" t="inlineStr">
        <is>
          <t>joint_q</t>
        </is>
      </c>
      <c r="B476" t="inlineStr">
        <is>
          <t>GROS_ŒUVRE!E69</t>
        </is>
      </c>
      <c r="D476">
        <f>(ROUNDUP(D367/'PARAMÈTRES'!$C$125,0)-1)*D368+(ROUNDUP(D368/'PARAMÈTRES'!$C$125,0)-1)*D367</f>
        <v>79.1</v>
      </c>
      <c r="E476">
        <f>(ROUNDUP(E367/'PARAMÈTRES'!$C$125,0)-1)*E368+(ROUNDUP(E368/'PARAMÈTRES'!$C$125,0)-1)*E367</f>
        <v>79.1</v>
      </c>
      <c r="F476">
        <f>(ROUNDUP(F367/'PARAMÈTRES'!$C$125,0)-1)*F368+(ROUNDUP(F368/'PARAMÈTRES'!$C$125,0)-1)*F367</f>
        <v>79.1</v>
      </c>
      <c r="G476">
        <f>(ROUNDUP(G367/'PARAMÈTRES'!$C$125,0)-1)*G368+(ROUNDUP(G368/'PARAMÈTRES'!$C$125,0)-1)*G367</f>
        <v>84.25</v>
      </c>
      <c r="H476">
        <f>(ROUNDUP(H367/'PARAMÈTRES'!$C$125,0)-1)*H368+(ROUNDUP(H368/'PARAMÈTRES'!$C$125,0)-1)*H367</f>
        <v>84.25</v>
      </c>
      <c r="I476">
        <f>(ROUNDUP(I367/'PARAMÈTRES'!$C$125,0)-1)*I368+(ROUNDUP(I368/'PARAMÈTRES'!$C$125,0)-1)*I367</f>
        <v>84.25</v>
      </c>
      <c r="J476">
        <f>(ROUNDUP(J367/'PARAMÈTRES'!$C$125,0)-1)*J368+(ROUNDUP(J368/'PARAMÈTRES'!$C$125,0)-1)*J367</f>
        <v>133.95</v>
      </c>
      <c r="K476">
        <f>(ROUNDUP(K367/'PARAMÈTRES'!$C$125,0)-1)*K368+(ROUNDUP(K368/'PARAMÈTRES'!$C$125,0)-1)*K367</f>
        <v>133.95</v>
      </c>
      <c r="L476">
        <f>(ROUNDUP(L367/'PARAMÈTRES'!$C$125,0)-1)*L368+(ROUNDUP(L368/'PARAMÈTRES'!$C$125,0)-1)*L367</f>
        <v>133.95</v>
      </c>
      <c r="M476">
        <f>(ROUNDUP(M367/'PARAMÈTRES'!$C$125,0)-1)*M368+(ROUNDUP(M368/'PARAMÈTRES'!$C$125,0)-1)*M367</f>
        <v>119.1</v>
      </c>
      <c r="N476">
        <f>(ROUNDUP(N367/'PARAMÈTRES'!$C$125,0)-1)*N368+(ROUNDUP(N368/'PARAMÈTRES'!$C$125,0)-1)*N367</f>
        <v>119.1</v>
      </c>
      <c r="O476">
        <f>(ROUNDUP(O367/'PARAMÈTRES'!$C$125,0)-1)*O368+(ROUNDUP(O368/'PARAMÈTRES'!$C$125,0)-1)*O367</f>
        <v>119.1</v>
      </c>
      <c r="P476">
        <f>(ROUNDUP(P367/'PARAMÈTRES'!$C$125,0)-1)*P368+(ROUNDUP(P368/'PARAMÈTRES'!$C$125,0)-1)*P367</f>
        <v>258.5</v>
      </c>
      <c r="Q476">
        <f>(ROUNDUP(Q367/'PARAMÈTRES'!$C$125,0)-1)*Q368+(ROUNDUP(Q368/'PARAMÈTRES'!$C$125,0)-1)*Q367</f>
        <v>258.5</v>
      </c>
      <c r="R476">
        <f>(ROUNDUP(R367/'PARAMÈTRES'!$C$125,0)-1)*R368+(ROUNDUP(R368/'PARAMÈTRES'!$C$125,0)-1)*R367</f>
        <v>258.5</v>
      </c>
      <c r="S476">
        <f>(ROUNDUP(S367/'PARAMÈTRES'!$C$125,0)-1)*S368+(ROUNDUP(S368/'PARAMÈTRES'!$C$125,0)-1)*S367</f>
        <v>408.2</v>
      </c>
      <c r="T476">
        <f>(ROUNDUP(T367/'PARAMÈTRES'!$C$125,0)-1)*T368+(ROUNDUP(T368/'PARAMÈTRES'!$C$125,0)-1)*T367</f>
        <v>408.2</v>
      </c>
      <c r="U476">
        <f>(ROUNDUP(U367/'PARAMÈTRES'!$C$125,0)-1)*U368+(ROUNDUP(U368/'PARAMÈTRES'!$C$125,0)-1)*U367</f>
        <v>408.2</v>
      </c>
      <c r="V476">
        <f>(ROUNDUP(V367/'PARAMÈTRES'!$C$125,0)-1)*V368+(ROUNDUP(V368/'PARAMÈTRES'!$C$125,0)-1)*V367</f>
        <v>557.9</v>
      </c>
      <c r="W476">
        <f>(ROUNDUP(W367/'PARAMÈTRES'!$C$125,0)-1)*W368+(ROUNDUP(W368/'PARAMÈTRES'!$C$125,0)-1)*W367</f>
        <v>557.9</v>
      </c>
      <c r="X476">
        <f>(ROUNDUP(X367/'PARAMÈTRES'!$C$125,0)-1)*X368+(ROUNDUP(X368/'PARAMÈTRES'!$C$125,0)-1)*X367</f>
        <v>557.9</v>
      </c>
    </row>
    <row r="477">
      <c r="A477" t="inlineStr">
        <is>
          <t>cure_q</t>
        </is>
      </c>
      <c r="B477" t="inlineStr">
        <is>
          <t>GROS_ŒUVRE!E70</t>
        </is>
      </c>
      <c r="D477">
        <f>D369</f>
        <v>294.0225</v>
      </c>
      <c r="E477">
        <f>E369</f>
        <v>294.0225</v>
      </c>
      <c r="F477">
        <f>F369</f>
        <v>294.0225</v>
      </c>
      <c r="G477">
        <f>G369</f>
        <v>294.7725</v>
      </c>
      <c r="H477">
        <f>H369</f>
        <v>294.7725</v>
      </c>
      <c r="I477">
        <f>I369</f>
        <v>294.7725</v>
      </c>
      <c r="J477">
        <f>J369</f>
        <v>443.2725</v>
      </c>
      <c r="K477">
        <f>K369</f>
        <v>443.2725</v>
      </c>
      <c r="L477">
        <f>L369</f>
        <v>443.2725</v>
      </c>
      <c r="M477">
        <f>M369</f>
        <v>394.0225</v>
      </c>
      <c r="N477">
        <f>N369</f>
        <v>394.0225</v>
      </c>
      <c r="O477">
        <f>O369</f>
        <v>394.0225</v>
      </c>
      <c r="P477">
        <f>P369</f>
        <v>791.0225</v>
      </c>
      <c r="Q477">
        <f>Q369</f>
        <v>791.0225</v>
      </c>
      <c r="R477">
        <f>R369</f>
        <v>791.0225</v>
      </c>
      <c r="S477">
        <f>S369</f>
        <v>1189.5225</v>
      </c>
      <c r="T477">
        <f>T369</f>
        <v>1189.5225</v>
      </c>
      <c r="U477">
        <f>U369</f>
        <v>1189.5225</v>
      </c>
      <c r="V477">
        <f>V369</f>
        <v>1588.0225</v>
      </c>
      <c r="W477">
        <f>W369</f>
        <v>1588.0225</v>
      </c>
      <c r="X477">
        <f>X369</f>
        <v>1588.0225</v>
      </c>
    </row>
    <row r="478">
      <c r="A478" t="inlineStr">
        <is>
          <t>ag_s_q</t>
        </is>
      </c>
      <c r="B478" t="inlineStr">
        <is>
          <t>GROS_ŒUVRE!E73</t>
        </is>
      </c>
      <c r="D478">
        <f>MAX(0,D36*(D32*D370+IF(D33="Agglos 15 creux",2*D9*D6^2/4,0))-D43)</f>
        <v>0</v>
      </c>
      <c r="E478">
        <f>MAX(0,E36*(E32*E370+IF(E33="Agglos 15 creux",2*E9*E6^2/4,0))-E43)</f>
        <v>0</v>
      </c>
      <c r="F478">
        <f>MAX(0,F36*(F32*F370+IF(F33="Agglos 15 creux",2*F9*F6^2/4,0))-F43)</f>
        <v>448</v>
      </c>
      <c r="G478">
        <f>MAX(0,G36*(G32*G370+IF(G33="Agglos 15 creux",2*G9*G6^2/4,0))-G43)</f>
        <v>0</v>
      </c>
      <c r="H478">
        <f>MAX(0,H36*(H32*H370+IF(H33="Agglos 15 creux",2*H9*H6^2/4,0))-H43)</f>
        <v>0</v>
      </c>
      <c r="I478">
        <f>MAX(0,I36*(I32*I370+IF(I33="Agglos 15 creux",2*I9*I6^2/4,0))-I43)</f>
        <v>398</v>
      </c>
      <c r="J478">
        <f>MAX(0,J36*(J32*J370+IF(J33="Agglos 15 creux",2*J9*J6^2/4,0))-J43)</f>
        <v>0</v>
      </c>
      <c r="K478">
        <f>MAX(0,K36*(K32*K370+IF(K33="Agglos 15 creux",2*K9*K6^2/4,0))-K43)</f>
        <v>0</v>
      </c>
      <c r="L478">
        <f>MAX(0,L36*(L32*L370+IF(L33="Agglos 15 creux",2*L9*L6^2/4,0))-L43)</f>
        <v>518</v>
      </c>
      <c r="M478">
        <f>MAX(0,M36*(M32*M370+IF(M33="Agglos 15 creux",2*M9*M6^2/4,0))-M43)</f>
        <v>0</v>
      </c>
      <c r="N478">
        <f>MAX(0,N36*(N32*N370+IF(N33="Agglos 15 creux",2*N9*N6^2/4,0))-N43)</f>
        <v>0</v>
      </c>
      <c r="O478">
        <f>MAX(0,O36*(O32*O370+IF(O33="Agglos 15 creux",2*O9*O6^2/4,0))-O43)</f>
        <v>472</v>
      </c>
      <c r="P478">
        <f>MAX(0,P36*(P32*P370+IF(P33="Agglos 15 creux",2*P9*P6^2/4,0))-P43)</f>
        <v>0</v>
      </c>
      <c r="Q478">
        <f>MAX(0,Q36*(Q32*Q370+IF(Q33="Agglos 15 creux",2*Q9*Q6^2/4,0))-Q43)</f>
        <v>0</v>
      </c>
      <c r="R478">
        <f>MAX(0,R36*(R32*R370+IF(R33="Agglos 15 creux",2*R9*R6^2/4,0))-R43)</f>
        <v>712</v>
      </c>
      <c r="S478">
        <f>MAX(0,S36*(S32*S370+IF(S33="Agglos 15 creux",2*S9*S6^2/4,0))-S43)</f>
        <v>0</v>
      </c>
      <c r="T478">
        <f>MAX(0,T36*(T32*T370+IF(T33="Agglos 15 creux",2*T9*T6^2/4,0))-T43)</f>
        <v>0</v>
      </c>
      <c r="U478">
        <f>MAX(0,U36*(U32*U370+IF(U33="Agglos 15 creux",2*U9*U6^2/4,0))-U43)</f>
        <v>872</v>
      </c>
      <c r="V478">
        <f>MAX(0,V36*(V32*V370+IF(V33="Agglos 15 creux",2*V9*V6^2/4,0))-V43)</f>
        <v>0</v>
      </c>
      <c r="W478">
        <f>MAX(0,W36*(W32*W370+IF(W33="Agglos 15 creux",2*W9*W6^2/4,0))-W43)</f>
        <v>0</v>
      </c>
      <c r="X478">
        <f>MAX(0,X36*(X32*X370+IF(X33="Agglos 15 creux",2*X9*X6^2/4,0))-X43)</f>
        <v>1261.33333333333</v>
      </c>
    </row>
    <row r="479">
      <c r="A479" t="inlineStr">
        <is>
          <t>ag_u_q</t>
        </is>
      </c>
      <c r="B479" t="inlineStr">
        <is>
          <t>GROS_ŒUVRE!E74</t>
        </is>
      </c>
      <c r="D479">
        <f>ROUNDUP(D478*'PARAMÈTRES'!$C$151*(1+'PARAMÈTRES'!$C$152),0)</f>
        <v>0</v>
      </c>
      <c r="E479">
        <f>ROUNDUP(E478*'PARAMÈTRES'!$C$151*(1+'PARAMÈTRES'!$C$152),0)</f>
        <v>0</v>
      </c>
      <c r="F479">
        <f>ROUNDUP(F478*'PARAMÈTRES'!$C$151*(1+'PARAMÈTRES'!$C$152),0)</f>
        <v>5880</v>
      </c>
      <c r="G479">
        <f>ROUNDUP(G478*'PARAMÈTRES'!$C$151*(1+'PARAMÈTRES'!$C$152),0)</f>
        <v>0</v>
      </c>
      <c r="H479">
        <f>ROUNDUP(H478*'PARAMÈTRES'!$C$151*(1+'PARAMÈTRES'!$C$152),0)</f>
        <v>0</v>
      </c>
      <c r="I479">
        <f>ROUNDUP(I478*'PARAMÈTRES'!$C$151*(1+'PARAMÈTRES'!$C$152),0)</f>
        <v>5224</v>
      </c>
      <c r="J479">
        <f>ROUNDUP(J478*'PARAMÈTRES'!$C$151*(1+'PARAMÈTRES'!$C$152),0)</f>
        <v>0</v>
      </c>
      <c r="K479">
        <f>ROUNDUP(K478*'PARAMÈTRES'!$C$151*(1+'PARAMÈTRES'!$C$152),0)</f>
        <v>0</v>
      </c>
      <c r="L479">
        <f>ROUNDUP(L478*'PARAMÈTRES'!$C$151*(1+'PARAMÈTRES'!$C$152),0)</f>
        <v>6799</v>
      </c>
      <c r="M479">
        <f>ROUNDUP(M478*'PARAMÈTRES'!$C$151*(1+'PARAMÈTRES'!$C$152),0)</f>
        <v>0</v>
      </c>
      <c r="N479">
        <f>ROUNDUP(N478*'PARAMÈTRES'!$C$151*(1+'PARAMÈTRES'!$C$152),0)</f>
        <v>0</v>
      </c>
      <c r="O479">
        <f>ROUNDUP(O478*'PARAMÈTRES'!$C$151*(1+'PARAMÈTRES'!$C$152),0)</f>
        <v>6195</v>
      </c>
      <c r="P479">
        <f>ROUNDUP(P478*'PARAMÈTRES'!$C$151*(1+'PARAMÈTRES'!$C$152),0)</f>
        <v>0</v>
      </c>
      <c r="Q479">
        <f>ROUNDUP(Q478*'PARAMÈTRES'!$C$151*(1+'PARAMÈTRES'!$C$152),0)</f>
        <v>0</v>
      </c>
      <c r="R479">
        <f>ROUNDUP(R478*'PARAMÈTRES'!$C$151*(1+'PARAMÈTRES'!$C$152),0)</f>
        <v>9345</v>
      </c>
      <c r="S479">
        <f>ROUNDUP(S478*'PARAMÈTRES'!$C$151*(1+'PARAMÈTRES'!$C$152),0)</f>
        <v>0</v>
      </c>
      <c r="T479">
        <f>ROUNDUP(T478*'PARAMÈTRES'!$C$151*(1+'PARAMÈTRES'!$C$152),0)</f>
        <v>0</v>
      </c>
      <c r="U479">
        <f>ROUNDUP(U478*'PARAMÈTRES'!$C$151*(1+'PARAMÈTRES'!$C$152),0)</f>
        <v>11445</v>
      </c>
      <c r="V479">
        <f>ROUNDUP(V478*'PARAMÈTRES'!$C$151*(1+'PARAMÈTRES'!$C$152),0)</f>
        <v>0</v>
      </c>
      <c r="W479">
        <f>ROUNDUP(W478*'PARAMÈTRES'!$C$151*(1+'PARAMÈTRES'!$C$152),0)</f>
        <v>0</v>
      </c>
      <c r="X479">
        <f>ROUNDUP(X478*'PARAMÈTRES'!$C$151*(1+'PARAMÈTRES'!$C$152),0)</f>
        <v>16555</v>
      </c>
    </row>
    <row r="480">
      <c r="A480" t="inlineStr">
        <is>
          <t>ag_m_q</t>
        </is>
      </c>
      <c r="B480" t="inlineStr">
        <is>
          <t>GROS_ŒUVRE!E75</t>
        </is>
      </c>
      <c r="D480">
        <f>D478*'PARAMÈTRES'!$C$150</f>
        <v>0</v>
      </c>
      <c r="E480">
        <f>E478*'PARAMÈTRES'!$C$150</f>
        <v>0</v>
      </c>
      <c r="F480">
        <f>F478*'PARAMÈTRES'!$C$150</f>
        <v>6.72</v>
      </c>
      <c r="G480">
        <f>G478*'PARAMÈTRES'!$C$150</f>
        <v>0</v>
      </c>
      <c r="H480">
        <f>H478*'PARAMÈTRES'!$C$150</f>
        <v>0</v>
      </c>
      <c r="I480">
        <f>I478*'PARAMÈTRES'!$C$150</f>
        <v>5.97</v>
      </c>
      <c r="J480">
        <f>J478*'PARAMÈTRES'!$C$150</f>
        <v>0</v>
      </c>
      <c r="K480">
        <f>K478*'PARAMÈTRES'!$C$150</f>
        <v>0</v>
      </c>
      <c r="L480">
        <f>L478*'PARAMÈTRES'!$C$150</f>
        <v>7.77</v>
      </c>
      <c r="M480">
        <f>M478*'PARAMÈTRES'!$C$150</f>
        <v>0</v>
      </c>
      <c r="N480">
        <f>N478*'PARAMÈTRES'!$C$150</f>
        <v>0</v>
      </c>
      <c r="O480">
        <f>O478*'PARAMÈTRES'!$C$150</f>
        <v>7.08</v>
      </c>
      <c r="P480">
        <f>P478*'PARAMÈTRES'!$C$150</f>
        <v>0</v>
      </c>
      <c r="Q480">
        <f>Q478*'PARAMÈTRES'!$C$150</f>
        <v>0</v>
      </c>
      <c r="R480">
        <f>R478*'PARAMÈTRES'!$C$150</f>
        <v>10.68</v>
      </c>
      <c r="S480">
        <f>S478*'PARAMÈTRES'!$C$150</f>
        <v>0</v>
      </c>
      <c r="T480">
        <f>T478*'PARAMÈTRES'!$C$150</f>
        <v>0</v>
      </c>
      <c r="U480">
        <f>U478*'PARAMÈTRES'!$C$150</f>
        <v>13.08</v>
      </c>
      <c r="V480">
        <f>V478*'PARAMÈTRES'!$C$150</f>
        <v>0</v>
      </c>
      <c r="W480">
        <f>W478*'PARAMÈTRES'!$C$150</f>
        <v>0</v>
      </c>
      <c r="X480">
        <f>X478*'PARAMÈTRES'!$C$150</f>
        <v>18.92</v>
      </c>
    </row>
    <row r="481">
      <c r="A481" t="inlineStr">
        <is>
          <t>ch_l_q</t>
        </is>
      </c>
      <c r="B481" t="inlineStr">
        <is>
          <t>GROS_ŒUVRE!E76</t>
        </is>
      </c>
      <c r="D481">
        <f>D371*D32+IF(D33="Agglos 15 creux",4*D16,0)</f>
        <v>0</v>
      </c>
      <c r="E481">
        <f>E371*E32+IF(E33="Agglos 15 creux",4*E16,0)</f>
        <v>0</v>
      </c>
      <c r="F481">
        <f>F371*F32+IF(F33="Agglos 15 creux",4*F16,0)</f>
        <v>260.254382241876</v>
      </c>
      <c r="G481">
        <f>G371*G32+IF(G33="Agglos 15 creux",4*G16,0)</f>
        <v>0</v>
      </c>
      <c r="H481">
        <f>H371*H32+IF(H33="Agglos 15 creux",4*H16,0)</f>
        <v>0</v>
      </c>
      <c r="I481">
        <f>I371*I32+IF(I33="Agglos 15 creux",4*I16,0)</f>
        <v>240.381573362813</v>
      </c>
      <c r="J481">
        <f>J371*J32+IF(J33="Agglos 15 creux",4*J16,0)</f>
        <v>0</v>
      </c>
      <c r="K481">
        <f>K371*K32+IF(K33="Agglos 15 creux",4*K16,0)</f>
        <v>0</v>
      </c>
      <c r="L481">
        <f>L371*L32+IF(L33="Agglos 15 creux",4*L16,0)</f>
        <v>300.381573362813</v>
      </c>
      <c r="M481">
        <f>M371*M32+IF(M33="Agglos 15 creux",4*M16,0)</f>
        <v>0</v>
      </c>
      <c r="N481">
        <f>N371*N32+IF(N33="Agglos 15 creux",4*N16,0)</f>
        <v>0</v>
      </c>
      <c r="O481">
        <f>O371*O32+IF(O33="Agglos 15 creux",4*O16,0)</f>
        <v>280.508764483751</v>
      </c>
      <c r="P481">
        <f>P371*P32+IF(P33="Agglos 15 creux",4*P16,0)</f>
        <v>0</v>
      </c>
      <c r="Q481">
        <f>Q371*Q32+IF(Q33="Agglos 15 creux",4*Q16,0)</f>
        <v>0</v>
      </c>
      <c r="R481">
        <f>R371*R32+IF(R33="Agglos 15 creux",4*R16,0)</f>
        <v>400.508764483751</v>
      </c>
      <c r="S481">
        <f>S371*S32+IF(S33="Agglos 15 creux",4*S16,0)</f>
        <v>0</v>
      </c>
      <c r="T481">
        <f>T371*T32+IF(T33="Agglos 15 creux",4*T16,0)</f>
        <v>0</v>
      </c>
      <c r="U481">
        <f>U371*U32+IF(U33="Agglos 15 creux",4*U16,0)</f>
        <v>480.763146725626</v>
      </c>
      <c r="V481">
        <f>V371*V32+IF(V33="Agglos 15 creux",4*V16,0)</f>
        <v>0</v>
      </c>
      <c r="W481">
        <f>W371*W32+IF(W33="Agglos 15 creux",4*W16,0)</f>
        <v>0</v>
      </c>
      <c r="X481">
        <f>X371*X32+IF(X33="Agglos 15 creux",4*X16,0)</f>
        <v>561.017528967502</v>
      </c>
    </row>
    <row r="482">
      <c r="A482" t="inlineStr">
        <is>
          <t>ch_b_q</t>
        </is>
      </c>
      <c r="B482" t="inlineStr">
        <is>
          <t>GROS_ŒUVRE!E77</t>
        </is>
      </c>
      <c r="D482">
        <f>D481*'PARAMÈTRES'!$C$129*'PARAMÈTRES'!$C$130</f>
        <v>0</v>
      </c>
      <c r="E482">
        <f>E481*'PARAMÈTRES'!$C$129*'PARAMÈTRES'!$C$130</f>
        <v>0</v>
      </c>
      <c r="F482">
        <f>F481*'PARAMÈTRES'!$C$129*'PARAMÈTRES'!$C$130</f>
        <v>7.80763146725627</v>
      </c>
      <c r="G482">
        <f>G481*'PARAMÈTRES'!$C$129*'PARAMÈTRES'!$C$130</f>
        <v>0</v>
      </c>
      <c r="H482">
        <f>H481*'PARAMÈTRES'!$C$129*'PARAMÈTRES'!$C$130</f>
        <v>0</v>
      </c>
      <c r="I482">
        <f>I481*'PARAMÈTRES'!$C$129*'PARAMÈTRES'!$C$130</f>
        <v>7.2114472008844</v>
      </c>
      <c r="J482">
        <f>J481*'PARAMÈTRES'!$C$129*'PARAMÈTRES'!$C$130</f>
        <v>0</v>
      </c>
      <c r="K482">
        <f>K481*'PARAMÈTRES'!$C$129*'PARAMÈTRES'!$C$130</f>
        <v>0</v>
      </c>
      <c r="L482">
        <f>L481*'PARAMÈTRES'!$C$129*'PARAMÈTRES'!$C$130</f>
        <v>9.0114472008844</v>
      </c>
      <c r="M482">
        <f>M481*'PARAMÈTRES'!$C$129*'PARAMÈTRES'!$C$130</f>
        <v>0</v>
      </c>
      <c r="N482">
        <f>N481*'PARAMÈTRES'!$C$129*'PARAMÈTRES'!$C$130</f>
        <v>0</v>
      </c>
      <c r="O482">
        <f>O481*'PARAMÈTRES'!$C$129*'PARAMÈTRES'!$C$130</f>
        <v>8.41526293451253</v>
      </c>
      <c r="P482">
        <f>P481*'PARAMÈTRES'!$C$129*'PARAMÈTRES'!$C$130</f>
        <v>0</v>
      </c>
      <c r="Q482">
        <f>Q481*'PARAMÈTRES'!$C$129*'PARAMÈTRES'!$C$130</f>
        <v>0</v>
      </c>
      <c r="R482">
        <f>R481*'PARAMÈTRES'!$C$129*'PARAMÈTRES'!$C$130</f>
        <v>12.0152629345125</v>
      </c>
      <c r="S482">
        <f>S481*'PARAMÈTRES'!$C$129*'PARAMÈTRES'!$C$130</f>
        <v>0</v>
      </c>
      <c r="T482">
        <f>T481*'PARAMÈTRES'!$C$129*'PARAMÈTRES'!$C$130</f>
        <v>0</v>
      </c>
      <c r="U482">
        <f>U481*'PARAMÈTRES'!$C$129*'PARAMÈTRES'!$C$130</f>
        <v>14.4228944017688</v>
      </c>
      <c r="V482">
        <f>V481*'PARAMÈTRES'!$C$129*'PARAMÈTRES'!$C$130</f>
        <v>0</v>
      </c>
      <c r="W482">
        <f>W481*'PARAMÈTRES'!$C$129*'PARAMÈTRES'!$C$130</f>
        <v>0</v>
      </c>
      <c r="X482">
        <f>X481*'PARAMÈTRES'!$C$129*'PARAMÈTRES'!$C$130</f>
        <v>16.8305258690251</v>
      </c>
    </row>
    <row r="483">
      <c r="A483" t="inlineStr">
        <is>
          <t>ch_c_q</t>
        </is>
      </c>
      <c r="B483" t="inlineStr">
        <is>
          <t>GROS_ŒUVRE!E78</t>
        </is>
      </c>
      <c r="D483">
        <f>D481*2*'PARAMÈTRES'!$C$130</f>
        <v>0</v>
      </c>
      <c r="E483">
        <f>E481*2*'PARAMÈTRES'!$C$130</f>
        <v>0</v>
      </c>
      <c r="F483">
        <f>F481*2*'PARAMÈTRES'!$C$130</f>
        <v>104.10175289675</v>
      </c>
      <c r="G483">
        <f>G481*2*'PARAMÈTRES'!$C$130</f>
        <v>0</v>
      </c>
      <c r="H483">
        <f>H481*2*'PARAMÈTRES'!$C$130</f>
        <v>0</v>
      </c>
      <c r="I483">
        <f>I481*2*'PARAMÈTRES'!$C$130</f>
        <v>96.1526293451253</v>
      </c>
      <c r="J483">
        <f>J481*2*'PARAMÈTRES'!$C$130</f>
        <v>0</v>
      </c>
      <c r="K483">
        <f>K481*2*'PARAMÈTRES'!$C$130</f>
        <v>0</v>
      </c>
      <c r="L483">
        <f>L481*2*'PARAMÈTRES'!$C$130</f>
        <v>120.152629345125</v>
      </c>
      <c r="M483">
        <f>M481*2*'PARAMÈTRES'!$C$130</f>
        <v>0</v>
      </c>
      <c r="N483">
        <f>N481*2*'PARAMÈTRES'!$C$130</f>
        <v>0</v>
      </c>
      <c r="O483">
        <f>O481*2*'PARAMÈTRES'!$C$130</f>
        <v>112.2035057935</v>
      </c>
      <c r="P483">
        <f>P481*2*'PARAMÈTRES'!$C$130</f>
        <v>0</v>
      </c>
      <c r="Q483">
        <f>Q481*2*'PARAMÈTRES'!$C$130</f>
        <v>0</v>
      </c>
      <c r="R483">
        <f>R481*2*'PARAMÈTRES'!$C$130</f>
        <v>160.2035057935</v>
      </c>
      <c r="S483">
        <f>S481*2*'PARAMÈTRES'!$C$130</f>
        <v>0</v>
      </c>
      <c r="T483">
        <f>T481*2*'PARAMÈTRES'!$C$130</f>
        <v>0</v>
      </c>
      <c r="U483">
        <f>U481*2*'PARAMÈTRES'!$C$130</f>
        <v>192.305258690251</v>
      </c>
      <c r="V483">
        <f>V481*2*'PARAMÈTRES'!$C$130</f>
        <v>0</v>
      </c>
      <c r="W483">
        <f>W481*2*'PARAMÈTRES'!$C$130</f>
        <v>0</v>
      </c>
      <c r="X483">
        <f>X481*2*'PARAMÈTRES'!$C$130</f>
        <v>224.407011587001</v>
      </c>
    </row>
    <row r="484">
      <c r="A484" t="inlineStr">
        <is>
          <t>ch_a_p</t>
        </is>
      </c>
      <c r="B484" t="inlineStr">
        <is>
          <t>GROS_ŒUVRE!C79</t>
        </is>
      </c>
      <c r="D484" t="str">
        <f>'PARAMÈTRES'!$C$131</f>
        <v>HA10</v>
      </c>
      <c r="E484" t="str">
        <f>'PARAMÈTRES'!$C$131</f>
        <v>HA10</v>
      </c>
      <c r="F484" t="str">
        <f>'PARAMÈTRES'!$C$131</f>
        <v>HA10</v>
      </c>
      <c r="G484" t="str">
        <f>'PARAMÈTRES'!$C$131</f>
        <v>HA10</v>
      </c>
      <c r="H484" t="str">
        <f>'PARAMÈTRES'!$C$131</f>
        <v>HA10</v>
      </c>
      <c r="I484" t="str">
        <f>'PARAMÈTRES'!$C$131</f>
        <v>HA10</v>
      </c>
      <c r="J484" t="str">
        <f>'PARAMÈTRES'!$C$131</f>
        <v>HA10</v>
      </c>
      <c r="K484" t="str">
        <f>'PARAMÈTRES'!$C$131</f>
        <v>HA10</v>
      </c>
      <c r="L484" t="str">
        <f>'PARAMÈTRES'!$C$131</f>
        <v>HA10</v>
      </c>
      <c r="M484" t="str">
        <f>'PARAMÈTRES'!$C$131</f>
        <v>HA10</v>
      </c>
      <c r="N484" t="str">
        <f>'PARAMÈTRES'!$C$131</f>
        <v>HA10</v>
      </c>
      <c r="O484" t="str">
        <f>'PARAMÈTRES'!$C$131</f>
        <v>HA10</v>
      </c>
      <c r="P484" t="str">
        <f>'PARAMÈTRES'!$C$131</f>
        <v>HA10</v>
      </c>
      <c r="Q484" t="str">
        <f>'PARAMÈTRES'!$C$131</f>
        <v>HA10</v>
      </c>
      <c r="R484" t="str">
        <f>'PARAMÈTRES'!$C$131</f>
        <v>HA10</v>
      </c>
      <c r="S484" t="str">
        <f>'PARAMÈTRES'!$C$131</f>
        <v>HA10</v>
      </c>
      <c r="T484" t="str">
        <f>'PARAMÈTRES'!$C$131</f>
        <v>HA10</v>
      </c>
      <c r="U484" t="str">
        <f>'PARAMÈTRES'!$C$131</f>
        <v>HA10</v>
      </c>
      <c r="V484" t="str">
        <f>'PARAMÈTRES'!$C$131</f>
        <v>HA10</v>
      </c>
      <c r="W484" t="str">
        <f>'PARAMÈTRES'!$C$131</f>
        <v>HA10</v>
      </c>
      <c r="X484" t="str">
        <f>'PARAMÈTRES'!$C$131</f>
        <v>HA10</v>
      </c>
    </row>
    <row r="485">
      <c r="A485" t="inlineStr">
        <is>
          <t>ch_a_q</t>
        </is>
      </c>
      <c r="B485" t="inlineStr">
        <is>
          <t>GROS_ŒUVRE!E79</t>
        </is>
      </c>
      <c r="D485">
        <f>'PARAMÈTRES'!$C$132</f>
        <v>4</v>
      </c>
      <c r="E485">
        <f>'PARAMÈTRES'!$C$132</f>
        <v>4</v>
      </c>
      <c r="F485">
        <f>'PARAMÈTRES'!$C$132</f>
        <v>4</v>
      </c>
      <c r="G485">
        <f>'PARAMÈTRES'!$C$132</f>
        <v>4</v>
      </c>
      <c r="H485">
        <f>'PARAMÈTRES'!$C$132</f>
        <v>4</v>
      </c>
      <c r="I485">
        <f>'PARAMÈTRES'!$C$132</f>
        <v>4</v>
      </c>
      <c r="J485">
        <f>'PARAMÈTRES'!$C$132</f>
        <v>4</v>
      </c>
      <c r="K485">
        <f>'PARAMÈTRES'!$C$132</f>
        <v>4</v>
      </c>
      <c r="L485">
        <f>'PARAMÈTRES'!$C$132</f>
        <v>4</v>
      </c>
      <c r="M485">
        <f>'PARAMÈTRES'!$C$132</f>
        <v>4</v>
      </c>
      <c r="N485">
        <f>'PARAMÈTRES'!$C$132</f>
        <v>4</v>
      </c>
      <c r="O485">
        <f>'PARAMÈTRES'!$C$132</f>
        <v>4</v>
      </c>
      <c r="P485">
        <f>'PARAMÈTRES'!$C$132</f>
        <v>4</v>
      </c>
      <c r="Q485">
        <f>'PARAMÈTRES'!$C$132</f>
        <v>4</v>
      </c>
      <c r="R485">
        <f>'PARAMÈTRES'!$C$132</f>
        <v>4</v>
      </c>
      <c r="S485">
        <f>'PARAMÈTRES'!$C$132</f>
        <v>4</v>
      </c>
      <c r="T485">
        <f>'PARAMÈTRES'!$C$132</f>
        <v>4</v>
      </c>
      <c r="U485">
        <f>'PARAMÈTRES'!$C$132</f>
        <v>4</v>
      </c>
      <c r="V485">
        <f>'PARAMÈTRES'!$C$132</f>
        <v>4</v>
      </c>
      <c r="W485">
        <f>'PARAMÈTRES'!$C$132</f>
        <v>4</v>
      </c>
      <c r="X485">
        <f>'PARAMÈTRES'!$C$132</f>
        <v>4</v>
      </c>
    </row>
    <row r="486">
      <c r="A486" t="inlineStr">
        <is>
          <t>ch_a_lu</t>
        </is>
      </c>
      <c r="B486" t="inlineStr">
        <is>
          <t>GROS_ŒUVRE!F79</t>
        </is>
      </c>
      <c r="D486">
        <f>D481*(1+'PARAMÈTRES'!$C$153*IFERROR(_xlfn.XLOOKUP('PARAMÈTRES'!$C$131,'BASE_ACIERS'!$B$5:$B$20,'BASE_ACIERS'!$C$5:$C$20),IFERROR(INDEX('BASE_ACIERS'!$C$5:$C$20,MATCH('PARAMÈTRES'!$C$131,'BASE_ACIERS'!$B$5:$B$20,0)),0))/1000/'PARAMÈTRES'!$C$58)</f>
        <v>0</v>
      </c>
      <c r="E486">
        <f>E481*(1+'PARAMÈTRES'!$C$153*IFERROR(_xlfn.XLOOKUP('PARAMÈTRES'!$C$131,'BASE_ACIERS'!$B$5:$B$20,'BASE_ACIERS'!$C$5:$C$20),IFERROR(INDEX('BASE_ACIERS'!$C$5:$C$20,MATCH('PARAMÈTRES'!$C$131,'BASE_ACIERS'!$B$5:$B$20,0)),0))/1000/'PARAMÈTRES'!$C$58)</f>
        <v>0</v>
      </c>
      <c r="F486">
        <f>F481*(1+'PARAMÈTRES'!$C$153*IFERROR(_xlfn.XLOOKUP('PARAMÈTRES'!$C$131,'BASE_ACIERS'!$B$5:$B$20,'BASE_ACIERS'!$C$5:$C$20),IFERROR(INDEX('BASE_ACIERS'!$C$5:$C$20,MATCH('PARAMÈTRES'!$C$131,'BASE_ACIERS'!$B$5:$B$20,0)),0))/1000/'PARAMÈTRES'!$C$58)</f>
        <v>268.929528316605</v>
      </c>
      <c r="G486">
        <f>G481*(1+'PARAMÈTRES'!$C$153*IFERROR(_xlfn.XLOOKUP('PARAMÈTRES'!$C$131,'BASE_ACIERS'!$B$5:$B$20,'BASE_ACIERS'!$C$5:$C$20),IFERROR(INDEX('BASE_ACIERS'!$C$5:$C$20,MATCH('PARAMÈTRES'!$C$131,'BASE_ACIERS'!$B$5:$B$20,0)),0))/1000/'PARAMÈTRES'!$C$58)</f>
        <v>0</v>
      </c>
      <c r="H486">
        <f>H481*(1+'PARAMÈTRES'!$C$153*IFERROR(_xlfn.XLOOKUP('PARAMÈTRES'!$C$131,'BASE_ACIERS'!$B$5:$B$20,'BASE_ACIERS'!$C$5:$C$20),IFERROR(INDEX('BASE_ACIERS'!$C$5:$C$20,MATCH('PARAMÈTRES'!$C$131,'BASE_ACIERS'!$B$5:$B$20,0)),0))/1000/'PARAMÈTRES'!$C$58)</f>
        <v>0</v>
      </c>
      <c r="I486">
        <f>I481*(1+'PARAMÈTRES'!$C$153*IFERROR(_xlfn.XLOOKUP('PARAMÈTRES'!$C$131,'BASE_ACIERS'!$B$5:$B$20,'BASE_ACIERS'!$C$5:$C$20),IFERROR(INDEX('BASE_ACIERS'!$C$5:$C$20,MATCH('PARAMÈTRES'!$C$131,'BASE_ACIERS'!$B$5:$B$20,0)),0))/1000/'PARAMÈTRES'!$C$58)</f>
        <v>248.394292474907</v>
      </c>
      <c r="J486">
        <f>J481*(1+'PARAMÈTRES'!$C$153*IFERROR(_xlfn.XLOOKUP('PARAMÈTRES'!$C$131,'BASE_ACIERS'!$B$5:$B$20,'BASE_ACIERS'!$C$5:$C$20),IFERROR(INDEX('BASE_ACIERS'!$C$5:$C$20,MATCH('PARAMÈTRES'!$C$131,'BASE_ACIERS'!$B$5:$B$20,0)),0))/1000/'PARAMÈTRES'!$C$58)</f>
        <v>0</v>
      </c>
      <c r="K486">
        <f>K481*(1+'PARAMÈTRES'!$C$153*IFERROR(_xlfn.XLOOKUP('PARAMÈTRES'!$C$131,'BASE_ACIERS'!$B$5:$B$20,'BASE_ACIERS'!$C$5:$C$20),IFERROR(INDEX('BASE_ACIERS'!$C$5:$C$20,MATCH('PARAMÈTRES'!$C$131,'BASE_ACIERS'!$B$5:$B$20,0)),0))/1000/'PARAMÈTRES'!$C$58)</f>
        <v>0</v>
      </c>
      <c r="L486">
        <f>L481*(1+'PARAMÈTRES'!$C$153*IFERROR(_xlfn.XLOOKUP('PARAMÈTRES'!$C$131,'BASE_ACIERS'!$B$5:$B$20,'BASE_ACIERS'!$C$5:$C$20),IFERROR(INDEX('BASE_ACIERS'!$C$5:$C$20,MATCH('PARAMÈTRES'!$C$131,'BASE_ACIERS'!$B$5:$B$20,0)),0))/1000/'PARAMÈTRES'!$C$58)</f>
        <v>310.394292474907</v>
      </c>
      <c r="M486">
        <f>M481*(1+'PARAMÈTRES'!$C$153*IFERROR(_xlfn.XLOOKUP('PARAMÈTRES'!$C$131,'BASE_ACIERS'!$B$5:$B$20,'BASE_ACIERS'!$C$5:$C$20),IFERROR(INDEX('BASE_ACIERS'!$C$5:$C$20,MATCH('PARAMÈTRES'!$C$131,'BASE_ACIERS'!$B$5:$B$20,0)),0))/1000/'PARAMÈTRES'!$C$58)</f>
        <v>0</v>
      </c>
      <c r="N486">
        <f>N481*(1+'PARAMÈTRES'!$C$153*IFERROR(_xlfn.XLOOKUP('PARAMÈTRES'!$C$131,'BASE_ACIERS'!$B$5:$B$20,'BASE_ACIERS'!$C$5:$C$20),IFERROR(INDEX('BASE_ACIERS'!$C$5:$C$20,MATCH('PARAMÈTRES'!$C$131,'BASE_ACIERS'!$B$5:$B$20,0)),0))/1000/'PARAMÈTRES'!$C$58)</f>
        <v>0</v>
      </c>
      <c r="O486">
        <f>O481*(1+'PARAMÈTRES'!$C$153*IFERROR(_xlfn.XLOOKUP('PARAMÈTRES'!$C$131,'BASE_ACIERS'!$B$5:$B$20,'BASE_ACIERS'!$C$5:$C$20),IFERROR(INDEX('BASE_ACIERS'!$C$5:$C$20,MATCH('PARAMÈTRES'!$C$131,'BASE_ACIERS'!$B$5:$B$20,0)),0))/1000/'PARAMÈTRES'!$C$58)</f>
        <v>289.859056633209</v>
      </c>
      <c r="P486">
        <f>P481*(1+'PARAMÈTRES'!$C$153*IFERROR(_xlfn.XLOOKUP('PARAMÈTRES'!$C$131,'BASE_ACIERS'!$B$5:$B$20,'BASE_ACIERS'!$C$5:$C$20),IFERROR(INDEX('BASE_ACIERS'!$C$5:$C$20,MATCH('PARAMÈTRES'!$C$131,'BASE_ACIERS'!$B$5:$B$20,0)),0))/1000/'PARAMÈTRES'!$C$58)</f>
        <v>0</v>
      </c>
      <c r="Q486">
        <f>Q481*(1+'PARAMÈTRES'!$C$153*IFERROR(_xlfn.XLOOKUP('PARAMÈTRES'!$C$131,'BASE_ACIERS'!$B$5:$B$20,'BASE_ACIERS'!$C$5:$C$20),IFERROR(INDEX('BASE_ACIERS'!$C$5:$C$20,MATCH('PARAMÈTRES'!$C$131,'BASE_ACIERS'!$B$5:$B$20,0)),0))/1000/'PARAMÈTRES'!$C$58)</f>
        <v>0</v>
      </c>
      <c r="R486">
        <f>R481*(1+'PARAMÈTRES'!$C$153*IFERROR(_xlfn.XLOOKUP('PARAMÈTRES'!$C$131,'BASE_ACIERS'!$B$5:$B$20,'BASE_ACIERS'!$C$5:$C$20),IFERROR(INDEX('BASE_ACIERS'!$C$5:$C$20,MATCH('PARAMÈTRES'!$C$131,'BASE_ACIERS'!$B$5:$B$20,0)),0))/1000/'PARAMÈTRES'!$C$58)</f>
        <v>413.859056633209</v>
      </c>
      <c r="S486">
        <f>S481*(1+'PARAMÈTRES'!$C$153*IFERROR(_xlfn.XLOOKUP('PARAMÈTRES'!$C$131,'BASE_ACIERS'!$B$5:$B$20,'BASE_ACIERS'!$C$5:$C$20),IFERROR(INDEX('BASE_ACIERS'!$C$5:$C$20,MATCH('PARAMÈTRES'!$C$131,'BASE_ACIERS'!$B$5:$B$20,0)),0))/1000/'PARAMÈTRES'!$C$58)</f>
        <v>0</v>
      </c>
      <c r="T486">
        <f>T481*(1+'PARAMÈTRES'!$C$153*IFERROR(_xlfn.XLOOKUP('PARAMÈTRES'!$C$131,'BASE_ACIERS'!$B$5:$B$20,'BASE_ACIERS'!$C$5:$C$20),IFERROR(INDEX('BASE_ACIERS'!$C$5:$C$20,MATCH('PARAMÈTRES'!$C$131,'BASE_ACIERS'!$B$5:$B$20,0)),0))/1000/'PARAMÈTRES'!$C$58)</f>
        <v>0</v>
      </c>
      <c r="U486">
        <f>U481*(1+'PARAMÈTRES'!$C$153*IFERROR(_xlfn.XLOOKUP('PARAMÈTRES'!$C$131,'BASE_ACIERS'!$B$5:$B$20,'BASE_ACIERS'!$C$5:$C$20),IFERROR(INDEX('BASE_ACIERS'!$C$5:$C$20,MATCH('PARAMÈTRES'!$C$131,'BASE_ACIERS'!$B$5:$B$20,0)),0))/1000/'PARAMÈTRES'!$C$58)</f>
        <v>496.788584949814</v>
      </c>
      <c r="V486">
        <f>V481*(1+'PARAMÈTRES'!$C$153*IFERROR(_xlfn.XLOOKUP('PARAMÈTRES'!$C$131,'BASE_ACIERS'!$B$5:$B$20,'BASE_ACIERS'!$C$5:$C$20),IFERROR(INDEX('BASE_ACIERS'!$C$5:$C$20,MATCH('PARAMÈTRES'!$C$131,'BASE_ACIERS'!$B$5:$B$20,0)),0))/1000/'PARAMÈTRES'!$C$58)</f>
        <v>0</v>
      </c>
      <c r="W486">
        <f>W481*(1+'PARAMÈTRES'!$C$153*IFERROR(_xlfn.XLOOKUP('PARAMÈTRES'!$C$131,'BASE_ACIERS'!$B$5:$B$20,'BASE_ACIERS'!$C$5:$C$20),IFERROR(INDEX('BASE_ACIERS'!$C$5:$C$20,MATCH('PARAMÈTRES'!$C$131,'BASE_ACIERS'!$B$5:$B$20,0)),0))/1000/'PARAMÈTRES'!$C$58)</f>
        <v>0</v>
      </c>
      <c r="X486">
        <f>X481*(1+'PARAMÈTRES'!$C$153*IFERROR(_xlfn.XLOOKUP('PARAMÈTRES'!$C$131,'BASE_ACIERS'!$B$5:$B$20,'BASE_ACIERS'!$C$5:$C$20),IFERROR(INDEX('BASE_ACIERS'!$C$5:$C$20,MATCH('PARAMÈTRES'!$C$131,'BASE_ACIERS'!$B$5:$B$20,0)),0))/1000/'PARAMÈTRES'!$C$58)</f>
        <v>579.718113266419</v>
      </c>
    </row>
    <row r="487">
      <c r="A487" t="inlineStr">
        <is>
          <t>ch_a_lt</t>
        </is>
      </c>
      <c r="B487" t="inlineStr">
        <is>
          <t>GROS_ŒUVRE!G79</t>
        </is>
      </c>
      <c r="D487">
        <f>D485*D486</f>
        <v>0</v>
      </c>
      <c r="E487">
        <f>E485*E486</f>
        <v>0</v>
      </c>
      <c r="F487">
        <f>F485*F486</f>
        <v>1075.71811326642</v>
      </c>
      <c r="G487">
        <f>G485*G486</f>
        <v>0</v>
      </c>
      <c r="H487">
        <f>H485*H486</f>
        <v>0</v>
      </c>
      <c r="I487">
        <f>I485*I486</f>
        <v>993.577169899628</v>
      </c>
      <c r="J487">
        <f>J485*J486</f>
        <v>0</v>
      </c>
      <c r="K487">
        <f>K485*K486</f>
        <v>0</v>
      </c>
      <c r="L487">
        <f>L485*L486</f>
        <v>1241.57716989963</v>
      </c>
      <c r="M487">
        <f>M485*M486</f>
        <v>0</v>
      </c>
      <c r="N487">
        <f>N485*N486</f>
        <v>0</v>
      </c>
      <c r="O487">
        <f>O485*O486</f>
        <v>1159.43622653284</v>
      </c>
      <c r="P487">
        <f>P485*P486</f>
        <v>0</v>
      </c>
      <c r="Q487">
        <f>Q485*Q486</f>
        <v>0</v>
      </c>
      <c r="R487">
        <f>R485*R486</f>
        <v>1655.43622653284</v>
      </c>
      <c r="S487">
        <f>S485*S486</f>
        <v>0</v>
      </c>
      <c r="T487">
        <f>T485*T486</f>
        <v>0</v>
      </c>
      <c r="U487">
        <f>U485*U486</f>
        <v>1987.15433979926</v>
      </c>
      <c r="V487">
        <f>V485*V486</f>
        <v>0</v>
      </c>
      <c r="W487">
        <f>W485*W486</f>
        <v>0</v>
      </c>
      <c r="X487">
        <f>X485*X486</f>
        <v>2318.87245306567</v>
      </c>
    </row>
    <row r="488">
      <c r="A488" t="inlineStr">
        <is>
          <t>ch_a_kgml</t>
        </is>
      </c>
      <c r="B488" t="inlineStr">
        <is>
          <t>GROS_ŒUVRE!H79</t>
        </is>
      </c>
      <c r="D488">
        <f>IFERROR(_xlfn.XLOOKUP('PARAMÈTRES'!$C$131,'BASE_ACIERS'!$B$5:$B$20,'BASE_ACIERS'!$D$5:$D$20),IFERROR(INDEX('BASE_ACIERS'!$D$5:$D$20,MATCH('PARAMÈTRES'!$C$131,'BASE_ACIERS'!$B$5:$B$20,0)),0))</f>
        <v>0.617</v>
      </c>
      <c r="E488">
        <f>IFERROR(_xlfn.XLOOKUP('PARAMÈTRES'!$C$131,'BASE_ACIERS'!$B$5:$B$20,'BASE_ACIERS'!$D$5:$D$20),IFERROR(INDEX('BASE_ACIERS'!$D$5:$D$20,MATCH('PARAMÈTRES'!$C$131,'BASE_ACIERS'!$B$5:$B$20,0)),0))</f>
        <v>0.617</v>
      </c>
      <c r="F488">
        <f>IFERROR(_xlfn.XLOOKUP('PARAMÈTRES'!$C$131,'BASE_ACIERS'!$B$5:$B$20,'BASE_ACIERS'!$D$5:$D$20),IFERROR(INDEX('BASE_ACIERS'!$D$5:$D$20,MATCH('PARAMÈTRES'!$C$131,'BASE_ACIERS'!$B$5:$B$20,0)),0))</f>
        <v>0.617</v>
      </c>
      <c r="G488">
        <f>IFERROR(_xlfn.XLOOKUP('PARAMÈTRES'!$C$131,'BASE_ACIERS'!$B$5:$B$20,'BASE_ACIERS'!$D$5:$D$20),IFERROR(INDEX('BASE_ACIERS'!$D$5:$D$20,MATCH('PARAMÈTRES'!$C$131,'BASE_ACIERS'!$B$5:$B$20,0)),0))</f>
        <v>0.617</v>
      </c>
      <c r="H488">
        <f>IFERROR(_xlfn.XLOOKUP('PARAMÈTRES'!$C$131,'BASE_ACIERS'!$B$5:$B$20,'BASE_ACIERS'!$D$5:$D$20),IFERROR(INDEX('BASE_ACIERS'!$D$5:$D$20,MATCH('PARAMÈTRES'!$C$131,'BASE_ACIERS'!$B$5:$B$20,0)),0))</f>
        <v>0.617</v>
      </c>
      <c r="I488">
        <f>IFERROR(_xlfn.XLOOKUP('PARAMÈTRES'!$C$131,'BASE_ACIERS'!$B$5:$B$20,'BASE_ACIERS'!$D$5:$D$20),IFERROR(INDEX('BASE_ACIERS'!$D$5:$D$20,MATCH('PARAMÈTRES'!$C$131,'BASE_ACIERS'!$B$5:$B$20,0)),0))</f>
        <v>0.617</v>
      </c>
      <c r="J488">
        <f>IFERROR(_xlfn.XLOOKUP('PARAMÈTRES'!$C$131,'BASE_ACIERS'!$B$5:$B$20,'BASE_ACIERS'!$D$5:$D$20),IFERROR(INDEX('BASE_ACIERS'!$D$5:$D$20,MATCH('PARAMÈTRES'!$C$131,'BASE_ACIERS'!$B$5:$B$20,0)),0))</f>
        <v>0.617</v>
      </c>
      <c r="K488">
        <f>IFERROR(_xlfn.XLOOKUP('PARAMÈTRES'!$C$131,'BASE_ACIERS'!$B$5:$B$20,'BASE_ACIERS'!$D$5:$D$20),IFERROR(INDEX('BASE_ACIERS'!$D$5:$D$20,MATCH('PARAMÈTRES'!$C$131,'BASE_ACIERS'!$B$5:$B$20,0)),0))</f>
        <v>0.617</v>
      </c>
      <c r="L488">
        <f>IFERROR(_xlfn.XLOOKUP('PARAMÈTRES'!$C$131,'BASE_ACIERS'!$B$5:$B$20,'BASE_ACIERS'!$D$5:$D$20),IFERROR(INDEX('BASE_ACIERS'!$D$5:$D$20,MATCH('PARAMÈTRES'!$C$131,'BASE_ACIERS'!$B$5:$B$20,0)),0))</f>
        <v>0.617</v>
      </c>
      <c r="M488">
        <f>IFERROR(_xlfn.XLOOKUP('PARAMÈTRES'!$C$131,'BASE_ACIERS'!$B$5:$B$20,'BASE_ACIERS'!$D$5:$D$20),IFERROR(INDEX('BASE_ACIERS'!$D$5:$D$20,MATCH('PARAMÈTRES'!$C$131,'BASE_ACIERS'!$B$5:$B$20,0)),0))</f>
        <v>0.617</v>
      </c>
      <c r="N488">
        <f>IFERROR(_xlfn.XLOOKUP('PARAMÈTRES'!$C$131,'BASE_ACIERS'!$B$5:$B$20,'BASE_ACIERS'!$D$5:$D$20),IFERROR(INDEX('BASE_ACIERS'!$D$5:$D$20,MATCH('PARAMÈTRES'!$C$131,'BASE_ACIERS'!$B$5:$B$20,0)),0))</f>
        <v>0.617</v>
      </c>
      <c r="O488">
        <f>IFERROR(_xlfn.XLOOKUP('PARAMÈTRES'!$C$131,'BASE_ACIERS'!$B$5:$B$20,'BASE_ACIERS'!$D$5:$D$20),IFERROR(INDEX('BASE_ACIERS'!$D$5:$D$20,MATCH('PARAMÈTRES'!$C$131,'BASE_ACIERS'!$B$5:$B$20,0)),0))</f>
        <v>0.617</v>
      </c>
      <c r="P488">
        <f>IFERROR(_xlfn.XLOOKUP('PARAMÈTRES'!$C$131,'BASE_ACIERS'!$B$5:$B$20,'BASE_ACIERS'!$D$5:$D$20),IFERROR(INDEX('BASE_ACIERS'!$D$5:$D$20,MATCH('PARAMÈTRES'!$C$131,'BASE_ACIERS'!$B$5:$B$20,0)),0))</f>
        <v>0.617</v>
      </c>
      <c r="Q488">
        <f>IFERROR(_xlfn.XLOOKUP('PARAMÈTRES'!$C$131,'BASE_ACIERS'!$B$5:$B$20,'BASE_ACIERS'!$D$5:$D$20),IFERROR(INDEX('BASE_ACIERS'!$D$5:$D$20,MATCH('PARAMÈTRES'!$C$131,'BASE_ACIERS'!$B$5:$B$20,0)),0))</f>
        <v>0.617</v>
      </c>
      <c r="R488">
        <f>IFERROR(_xlfn.XLOOKUP('PARAMÈTRES'!$C$131,'BASE_ACIERS'!$B$5:$B$20,'BASE_ACIERS'!$D$5:$D$20),IFERROR(INDEX('BASE_ACIERS'!$D$5:$D$20,MATCH('PARAMÈTRES'!$C$131,'BASE_ACIERS'!$B$5:$B$20,0)),0))</f>
        <v>0.617</v>
      </c>
      <c r="S488">
        <f>IFERROR(_xlfn.XLOOKUP('PARAMÈTRES'!$C$131,'BASE_ACIERS'!$B$5:$B$20,'BASE_ACIERS'!$D$5:$D$20),IFERROR(INDEX('BASE_ACIERS'!$D$5:$D$20,MATCH('PARAMÈTRES'!$C$131,'BASE_ACIERS'!$B$5:$B$20,0)),0))</f>
        <v>0.617</v>
      </c>
      <c r="T488">
        <f>IFERROR(_xlfn.XLOOKUP('PARAMÈTRES'!$C$131,'BASE_ACIERS'!$B$5:$B$20,'BASE_ACIERS'!$D$5:$D$20),IFERROR(INDEX('BASE_ACIERS'!$D$5:$D$20,MATCH('PARAMÈTRES'!$C$131,'BASE_ACIERS'!$B$5:$B$20,0)),0))</f>
        <v>0.617</v>
      </c>
      <c r="U488">
        <f>IFERROR(_xlfn.XLOOKUP('PARAMÈTRES'!$C$131,'BASE_ACIERS'!$B$5:$B$20,'BASE_ACIERS'!$D$5:$D$20),IFERROR(INDEX('BASE_ACIERS'!$D$5:$D$20,MATCH('PARAMÈTRES'!$C$131,'BASE_ACIERS'!$B$5:$B$20,0)),0))</f>
        <v>0.617</v>
      </c>
      <c r="V488">
        <f>IFERROR(_xlfn.XLOOKUP('PARAMÈTRES'!$C$131,'BASE_ACIERS'!$B$5:$B$20,'BASE_ACIERS'!$D$5:$D$20),IFERROR(INDEX('BASE_ACIERS'!$D$5:$D$20,MATCH('PARAMÈTRES'!$C$131,'BASE_ACIERS'!$B$5:$B$20,0)),0))</f>
        <v>0.617</v>
      </c>
      <c r="W488">
        <f>IFERROR(_xlfn.XLOOKUP('PARAMÈTRES'!$C$131,'BASE_ACIERS'!$B$5:$B$20,'BASE_ACIERS'!$D$5:$D$20),IFERROR(INDEX('BASE_ACIERS'!$D$5:$D$20,MATCH('PARAMÈTRES'!$C$131,'BASE_ACIERS'!$B$5:$B$20,0)),0))</f>
        <v>0.617</v>
      </c>
      <c r="X488">
        <f>IFERROR(_xlfn.XLOOKUP('PARAMÈTRES'!$C$131,'BASE_ACIERS'!$B$5:$B$20,'BASE_ACIERS'!$D$5:$D$20),IFERROR(INDEX('BASE_ACIERS'!$D$5:$D$20,MATCH('PARAMÈTRES'!$C$131,'BASE_ACIERS'!$B$5:$B$20,0)),0))</f>
        <v>0.617</v>
      </c>
    </row>
    <row r="489">
      <c r="A489" t="inlineStr">
        <is>
          <t>ch_a_kg</t>
        </is>
      </c>
      <c r="B489" t="inlineStr">
        <is>
          <t>GROS_ŒUVRE!I79</t>
        </is>
      </c>
      <c r="D489">
        <f>D487*D488</f>
        <v>0</v>
      </c>
      <c r="E489">
        <f>E487*E488</f>
        <v>0</v>
      </c>
      <c r="F489">
        <f>F487*F488</f>
        <v>663.71807588538</v>
      </c>
      <c r="G489">
        <f>G487*G488</f>
        <v>0</v>
      </c>
      <c r="H489">
        <f>H487*H488</f>
        <v>0</v>
      </c>
      <c r="I489">
        <f>I487*I488</f>
        <v>613.037113828071</v>
      </c>
      <c r="J489">
        <f>J487*J488</f>
        <v>0</v>
      </c>
      <c r="K489">
        <f>K487*K488</f>
        <v>0</v>
      </c>
      <c r="L489">
        <f>L487*L488</f>
        <v>766.05311382807</v>
      </c>
      <c r="M489">
        <f>M487*M488</f>
        <v>0</v>
      </c>
      <c r="N489">
        <f>N487*N488</f>
        <v>0</v>
      </c>
      <c r="O489">
        <f>O487*O488</f>
        <v>715.37215177076</v>
      </c>
      <c r="P489">
        <f>P487*P488</f>
        <v>0</v>
      </c>
      <c r="Q489">
        <f>Q487*Q488</f>
        <v>0</v>
      </c>
      <c r="R489">
        <f>R487*R488</f>
        <v>1021.40415177076</v>
      </c>
      <c r="S489">
        <f>S487*S488</f>
        <v>0</v>
      </c>
      <c r="T489">
        <f>T487*T488</f>
        <v>0</v>
      </c>
      <c r="U489">
        <f>U487*U488</f>
        <v>1226.07422765614</v>
      </c>
      <c r="V489">
        <f>V487*V488</f>
        <v>0</v>
      </c>
      <c r="W489">
        <f>W487*W488</f>
        <v>0</v>
      </c>
      <c r="X489">
        <f>X487*X488</f>
        <v>1430.74430354152</v>
      </c>
    </row>
    <row r="490">
      <c r="A490" t="inlineStr">
        <is>
          <t>ch_k_p</t>
        </is>
      </c>
      <c r="B490" t="inlineStr">
        <is>
          <t>GROS_ŒUVRE!C80</t>
        </is>
      </c>
      <c r="D490" t="str">
        <f>'PARAMÈTRES'!$C$133</f>
        <v>HA6</v>
      </c>
      <c r="E490" t="str">
        <f>'PARAMÈTRES'!$C$133</f>
        <v>HA6</v>
      </c>
      <c r="F490" t="str">
        <f>'PARAMÈTRES'!$C$133</f>
        <v>HA6</v>
      </c>
      <c r="G490" t="str">
        <f>'PARAMÈTRES'!$C$133</f>
        <v>HA6</v>
      </c>
      <c r="H490" t="str">
        <f>'PARAMÈTRES'!$C$133</f>
        <v>HA6</v>
      </c>
      <c r="I490" t="str">
        <f>'PARAMÈTRES'!$C$133</f>
        <v>HA6</v>
      </c>
      <c r="J490" t="str">
        <f>'PARAMÈTRES'!$C$133</f>
        <v>HA6</v>
      </c>
      <c r="K490" t="str">
        <f>'PARAMÈTRES'!$C$133</f>
        <v>HA6</v>
      </c>
      <c r="L490" t="str">
        <f>'PARAMÈTRES'!$C$133</f>
        <v>HA6</v>
      </c>
      <c r="M490" t="str">
        <f>'PARAMÈTRES'!$C$133</f>
        <v>HA6</v>
      </c>
      <c r="N490" t="str">
        <f>'PARAMÈTRES'!$C$133</f>
        <v>HA6</v>
      </c>
      <c r="O490" t="str">
        <f>'PARAMÈTRES'!$C$133</f>
        <v>HA6</v>
      </c>
      <c r="P490" t="str">
        <f>'PARAMÈTRES'!$C$133</f>
        <v>HA6</v>
      </c>
      <c r="Q490" t="str">
        <f>'PARAMÈTRES'!$C$133</f>
        <v>HA6</v>
      </c>
      <c r="R490" t="str">
        <f>'PARAMÈTRES'!$C$133</f>
        <v>HA6</v>
      </c>
      <c r="S490" t="str">
        <f>'PARAMÈTRES'!$C$133</f>
        <v>HA6</v>
      </c>
      <c r="T490" t="str">
        <f>'PARAMÈTRES'!$C$133</f>
        <v>HA6</v>
      </c>
      <c r="U490" t="str">
        <f>'PARAMÈTRES'!$C$133</f>
        <v>HA6</v>
      </c>
      <c r="V490" t="str">
        <f>'PARAMÈTRES'!$C$133</f>
        <v>HA6</v>
      </c>
      <c r="W490" t="str">
        <f>'PARAMÈTRES'!$C$133</f>
        <v>HA6</v>
      </c>
      <c r="X490" t="str">
        <f>'PARAMÈTRES'!$C$133</f>
        <v>HA6</v>
      </c>
    </row>
    <row r="491">
      <c r="A491" t="inlineStr">
        <is>
          <t>ch_k_q</t>
        </is>
      </c>
      <c r="B491" t="inlineStr">
        <is>
          <t>GROS_ŒUVRE!E80</t>
        </is>
      </c>
      <c r="D491">
        <f>ROUNDDOWN(D481/'PARAMÈTRES'!$C$134,0)+D371</f>
        <v>0</v>
      </c>
      <c r="E491">
        <f>ROUNDDOWN(E481/'PARAMÈTRES'!$C$134,0)+E371</f>
        <v>0</v>
      </c>
      <c r="F491">
        <f>ROUNDDOWN(F481/'PARAMÈTRES'!$C$134,0)+F371</f>
        <v>1304</v>
      </c>
      <c r="G491">
        <f>ROUNDDOWN(G481/'PARAMÈTRES'!$C$134,0)+G371</f>
        <v>0</v>
      </c>
      <c r="H491">
        <f>ROUNDDOWN(H481/'PARAMÈTRES'!$C$134,0)+H371</f>
        <v>0</v>
      </c>
      <c r="I491">
        <f>ROUNDDOWN(I481/'PARAMÈTRES'!$C$134,0)+I371</f>
        <v>1204</v>
      </c>
      <c r="J491">
        <f>ROUNDDOWN(J481/'PARAMÈTRES'!$C$134,0)+J371</f>
        <v>0</v>
      </c>
      <c r="K491">
        <f>ROUNDDOWN(K481/'PARAMÈTRES'!$C$134,0)+K371</f>
        <v>0</v>
      </c>
      <c r="L491">
        <f>ROUNDDOWN(L481/'PARAMÈTRES'!$C$134,0)+L371</f>
        <v>1504</v>
      </c>
      <c r="M491">
        <f>ROUNDDOWN(M481/'PARAMÈTRES'!$C$134,0)+M371</f>
        <v>0</v>
      </c>
      <c r="N491">
        <f>ROUNDDOWN(N481/'PARAMÈTRES'!$C$134,0)+N371</f>
        <v>0</v>
      </c>
      <c r="O491">
        <f>ROUNDDOWN(O481/'PARAMÈTRES'!$C$134,0)+O371</f>
        <v>1405</v>
      </c>
      <c r="P491">
        <f>ROUNDDOWN(P481/'PARAMÈTRES'!$C$134,0)+P371</f>
        <v>0</v>
      </c>
      <c r="Q491">
        <f>ROUNDDOWN(Q481/'PARAMÈTRES'!$C$134,0)+Q371</f>
        <v>0</v>
      </c>
      <c r="R491">
        <f>ROUNDDOWN(R481/'PARAMÈTRES'!$C$134,0)+R371</f>
        <v>2005</v>
      </c>
      <c r="S491">
        <f>ROUNDDOWN(S481/'PARAMÈTRES'!$C$134,0)+S371</f>
        <v>0</v>
      </c>
      <c r="T491">
        <f>ROUNDDOWN(T481/'PARAMÈTRES'!$C$134,0)+T371</f>
        <v>0</v>
      </c>
      <c r="U491">
        <f>ROUNDDOWN(U481/'PARAMÈTRES'!$C$134,0)+U371</f>
        <v>2406</v>
      </c>
      <c r="V491">
        <f>ROUNDDOWN(V481/'PARAMÈTRES'!$C$134,0)+V371</f>
        <v>0</v>
      </c>
      <c r="W491">
        <f>ROUNDDOWN(W481/'PARAMÈTRES'!$C$134,0)+W371</f>
        <v>0</v>
      </c>
      <c r="X491">
        <f>ROUNDDOWN(X481/'PARAMÈTRES'!$C$134,0)+X371</f>
        <v>2808</v>
      </c>
    </row>
    <row r="492">
      <c r="A492" t="inlineStr">
        <is>
          <t>ch_k_lu</t>
        </is>
      </c>
      <c r="B492" t="inlineStr">
        <is>
          <t>GROS_ŒUVRE!F80</t>
        </is>
      </c>
      <c r="D492">
        <f>2*('PARAMÈTRES'!$C$129+'PARAMÈTRES'!$C$130)-8*'PARAMÈTRES'!$C$108+2*'PARAMÈTRES'!$C$110</f>
        <v>0.5</v>
      </c>
      <c r="E492">
        <f>2*('PARAMÈTRES'!$C$129+'PARAMÈTRES'!$C$130)-8*'PARAMÈTRES'!$C$108+2*'PARAMÈTRES'!$C$110</f>
        <v>0.5</v>
      </c>
      <c r="F492">
        <f>2*('PARAMÈTRES'!$C$129+'PARAMÈTRES'!$C$130)-8*'PARAMÈTRES'!$C$108+2*'PARAMÈTRES'!$C$110</f>
        <v>0.5</v>
      </c>
      <c r="G492">
        <f>2*('PARAMÈTRES'!$C$129+'PARAMÈTRES'!$C$130)-8*'PARAMÈTRES'!$C$108+2*'PARAMÈTRES'!$C$110</f>
        <v>0.5</v>
      </c>
      <c r="H492">
        <f>2*('PARAMÈTRES'!$C$129+'PARAMÈTRES'!$C$130)-8*'PARAMÈTRES'!$C$108+2*'PARAMÈTRES'!$C$110</f>
        <v>0.5</v>
      </c>
      <c r="I492">
        <f>2*('PARAMÈTRES'!$C$129+'PARAMÈTRES'!$C$130)-8*'PARAMÈTRES'!$C$108+2*'PARAMÈTRES'!$C$110</f>
        <v>0.5</v>
      </c>
      <c r="J492">
        <f>2*('PARAMÈTRES'!$C$129+'PARAMÈTRES'!$C$130)-8*'PARAMÈTRES'!$C$108+2*'PARAMÈTRES'!$C$110</f>
        <v>0.5</v>
      </c>
      <c r="K492">
        <f>2*('PARAMÈTRES'!$C$129+'PARAMÈTRES'!$C$130)-8*'PARAMÈTRES'!$C$108+2*'PARAMÈTRES'!$C$110</f>
        <v>0.5</v>
      </c>
      <c r="L492">
        <f>2*('PARAMÈTRES'!$C$129+'PARAMÈTRES'!$C$130)-8*'PARAMÈTRES'!$C$108+2*'PARAMÈTRES'!$C$110</f>
        <v>0.5</v>
      </c>
      <c r="M492">
        <f>2*('PARAMÈTRES'!$C$129+'PARAMÈTRES'!$C$130)-8*'PARAMÈTRES'!$C$108+2*'PARAMÈTRES'!$C$110</f>
        <v>0.5</v>
      </c>
      <c r="N492">
        <f>2*('PARAMÈTRES'!$C$129+'PARAMÈTRES'!$C$130)-8*'PARAMÈTRES'!$C$108+2*'PARAMÈTRES'!$C$110</f>
        <v>0.5</v>
      </c>
      <c r="O492">
        <f>2*('PARAMÈTRES'!$C$129+'PARAMÈTRES'!$C$130)-8*'PARAMÈTRES'!$C$108+2*'PARAMÈTRES'!$C$110</f>
        <v>0.5</v>
      </c>
      <c r="P492">
        <f>2*('PARAMÈTRES'!$C$129+'PARAMÈTRES'!$C$130)-8*'PARAMÈTRES'!$C$108+2*'PARAMÈTRES'!$C$110</f>
        <v>0.5</v>
      </c>
      <c r="Q492">
        <f>2*('PARAMÈTRES'!$C$129+'PARAMÈTRES'!$C$130)-8*'PARAMÈTRES'!$C$108+2*'PARAMÈTRES'!$C$110</f>
        <v>0.5</v>
      </c>
      <c r="R492">
        <f>2*('PARAMÈTRES'!$C$129+'PARAMÈTRES'!$C$130)-8*'PARAMÈTRES'!$C$108+2*'PARAMÈTRES'!$C$110</f>
        <v>0.5</v>
      </c>
      <c r="S492">
        <f>2*('PARAMÈTRES'!$C$129+'PARAMÈTRES'!$C$130)-8*'PARAMÈTRES'!$C$108+2*'PARAMÈTRES'!$C$110</f>
        <v>0.5</v>
      </c>
      <c r="T492">
        <f>2*('PARAMÈTRES'!$C$129+'PARAMÈTRES'!$C$130)-8*'PARAMÈTRES'!$C$108+2*'PARAMÈTRES'!$C$110</f>
        <v>0.5</v>
      </c>
      <c r="U492">
        <f>2*('PARAMÈTRES'!$C$129+'PARAMÈTRES'!$C$130)-8*'PARAMÈTRES'!$C$108+2*'PARAMÈTRES'!$C$110</f>
        <v>0.5</v>
      </c>
      <c r="V492">
        <f>2*('PARAMÈTRES'!$C$129+'PARAMÈTRES'!$C$130)-8*'PARAMÈTRES'!$C$108+2*'PARAMÈTRES'!$C$110</f>
        <v>0.5</v>
      </c>
      <c r="W492">
        <f>2*('PARAMÈTRES'!$C$129+'PARAMÈTRES'!$C$130)-8*'PARAMÈTRES'!$C$108+2*'PARAMÈTRES'!$C$110</f>
        <v>0.5</v>
      </c>
      <c r="X492">
        <f>2*('PARAMÈTRES'!$C$129+'PARAMÈTRES'!$C$130)-8*'PARAMÈTRES'!$C$108+2*'PARAMÈTRES'!$C$110</f>
        <v>0.5</v>
      </c>
    </row>
    <row r="493">
      <c r="A493" t="inlineStr">
        <is>
          <t>ch_k_lt</t>
        </is>
      </c>
      <c r="B493" t="inlineStr">
        <is>
          <t>GROS_ŒUVRE!G80</t>
        </is>
      </c>
      <c r="D493">
        <f>D491*D492</f>
        <v>0</v>
      </c>
      <c r="E493">
        <f>E491*E492</f>
        <v>0</v>
      </c>
      <c r="F493">
        <f>F491*F492</f>
        <v>652</v>
      </c>
      <c r="G493">
        <f>G491*G492</f>
        <v>0</v>
      </c>
      <c r="H493">
        <f>H491*H492</f>
        <v>0</v>
      </c>
      <c r="I493">
        <f>I491*I492</f>
        <v>602</v>
      </c>
      <c r="J493">
        <f>J491*J492</f>
        <v>0</v>
      </c>
      <c r="K493">
        <f>K491*K492</f>
        <v>0</v>
      </c>
      <c r="L493">
        <f>L491*L492</f>
        <v>752</v>
      </c>
      <c r="M493">
        <f>M491*M492</f>
        <v>0</v>
      </c>
      <c r="N493">
        <f>N491*N492</f>
        <v>0</v>
      </c>
      <c r="O493">
        <f>O491*O492</f>
        <v>702.5</v>
      </c>
      <c r="P493">
        <f>P491*P492</f>
        <v>0</v>
      </c>
      <c r="Q493">
        <f>Q491*Q492</f>
        <v>0</v>
      </c>
      <c r="R493">
        <f>R491*R492</f>
        <v>1002.5</v>
      </c>
      <c r="S493">
        <f>S491*S492</f>
        <v>0</v>
      </c>
      <c r="T493">
        <f>T491*T492</f>
        <v>0</v>
      </c>
      <c r="U493">
        <f>U491*U492</f>
        <v>1203</v>
      </c>
      <c r="V493">
        <f>V491*V492</f>
        <v>0</v>
      </c>
      <c r="W493">
        <f>W491*W492</f>
        <v>0</v>
      </c>
      <c r="X493">
        <f>X491*X492</f>
        <v>1404</v>
      </c>
    </row>
    <row r="494">
      <c r="A494" t="inlineStr">
        <is>
          <t>ch_k_kgml</t>
        </is>
      </c>
      <c r="B494" t="inlineStr">
        <is>
          <t>GROS_ŒUVRE!H80</t>
        </is>
      </c>
      <c r="D494">
        <f>IFERROR(_xlfn.XLOOKUP('PARAMÈTRES'!$C$133,'BASE_ACIERS'!$B$5:$B$20,'BASE_ACIERS'!$D$5:$D$20),IFERROR(INDEX('BASE_ACIERS'!$D$5:$D$20,MATCH('PARAMÈTRES'!$C$133,'BASE_ACIERS'!$B$5:$B$20,0)),0))</f>
        <v>0.222</v>
      </c>
      <c r="E494">
        <f>IFERROR(_xlfn.XLOOKUP('PARAMÈTRES'!$C$133,'BASE_ACIERS'!$B$5:$B$20,'BASE_ACIERS'!$D$5:$D$20),IFERROR(INDEX('BASE_ACIERS'!$D$5:$D$20,MATCH('PARAMÈTRES'!$C$133,'BASE_ACIERS'!$B$5:$B$20,0)),0))</f>
        <v>0.222</v>
      </c>
      <c r="F494">
        <f>IFERROR(_xlfn.XLOOKUP('PARAMÈTRES'!$C$133,'BASE_ACIERS'!$B$5:$B$20,'BASE_ACIERS'!$D$5:$D$20),IFERROR(INDEX('BASE_ACIERS'!$D$5:$D$20,MATCH('PARAMÈTRES'!$C$133,'BASE_ACIERS'!$B$5:$B$20,0)),0))</f>
        <v>0.222</v>
      </c>
      <c r="G494">
        <f>IFERROR(_xlfn.XLOOKUP('PARAMÈTRES'!$C$133,'BASE_ACIERS'!$B$5:$B$20,'BASE_ACIERS'!$D$5:$D$20),IFERROR(INDEX('BASE_ACIERS'!$D$5:$D$20,MATCH('PARAMÈTRES'!$C$133,'BASE_ACIERS'!$B$5:$B$20,0)),0))</f>
        <v>0.222</v>
      </c>
      <c r="H494">
        <f>IFERROR(_xlfn.XLOOKUP('PARAMÈTRES'!$C$133,'BASE_ACIERS'!$B$5:$B$20,'BASE_ACIERS'!$D$5:$D$20),IFERROR(INDEX('BASE_ACIERS'!$D$5:$D$20,MATCH('PARAMÈTRES'!$C$133,'BASE_ACIERS'!$B$5:$B$20,0)),0))</f>
        <v>0.222</v>
      </c>
      <c r="I494">
        <f>IFERROR(_xlfn.XLOOKUP('PARAMÈTRES'!$C$133,'BASE_ACIERS'!$B$5:$B$20,'BASE_ACIERS'!$D$5:$D$20),IFERROR(INDEX('BASE_ACIERS'!$D$5:$D$20,MATCH('PARAMÈTRES'!$C$133,'BASE_ACIERS'!$B$5:$B$20,0)),0))</f>
        <v>0.222</v>
      </c>
      <c r="J494">
        <f>IFERROR(_xlfn.XLOOKUP('PARAMÈTRES'!$C$133,'BASE_ACIERS'!$B$5:$B$20,'BASE_ACIERS'!$D$5:$D$20),IFERROR(INDEX('BASE_ACIERS'!$D$5:$D$20,MATCH('PARAMÈTRES'!$C$133,'BASE_ACIERS'!$B$5:$B$20,0)),0))</f>
        <v>0.222</v>
      </c>
      <c r="K494">
        <f>IFERROR(_xlfn.XLOOKUP('PARAMÈTRES'!$C$133,'BASE_ACIERS'!$B$5:$B$20,'BASE_ACIERS'!$D$5:$D$20),IFERROR(INDEX('BASE_ACIERS'!$D$5:$D$20,MATCH('PARAMÈTRES'!$C$133,'BASE_ACIERS'!$B$5:$B$20,0)),0))</f>
        <v>0.222</v>
      </c>
      <c r="L494">
        <f>IFERROR(_xlfn.XLOOKUP('PARAMÈTRES'!$C$133,'BASE_ACIERS'!$B$5:$B$20,'BASE_ACIERS'!$D$5:$D$20),IFERROR(INDEX('BASE_ACIERS'!$D$5:$D$20,MATCH('PARAMÈTRES'!$C$133,'BASE_ACIERS'!$B$5:$B$20,0)),0))</f>
        <v>0.222</v>
      </c>
      <c r="M494">
        <f>IFERROR(_xlfn.XLOOKUP('PARAMÈTRES'!$C$133,'BASE_ACIERS'!$B$5:$B$20,'BASE_ACIERS'!$D$5:$D$20),IFERROR(INDEX('BASE_ACIERS'!$D$5:$D$20,MATCH('PARAMÈTRES'!$C$133,'BASE_ACIERS'!$B$5:$B$20,0)),0))</f>
        <v>0.222</v>
      </c>
      <c r="N494">
        <f>IFERROR(_xlfn.XLOOKUP('PARAMÈTRES'!$C$133,'BASE_ACIERS'!$B$5:$B$20,'BASE_ACIERS'!$D$5:$D$20),IFERROR(INDEX('BASE_ACIERS'!$D$5:$D$20,MATCH('PARAMÈTRES'!$C$133,'BASE_ACIERS'!$B$5:$B$20,0)),0))</f>
        <v>0.222</v>
      </c>
      <c r="O494">
        <f>IFERROR(_xlfn.XLOOKUP('PARAMÈTRES'!$C$133,'BASE_ACIERS'!$B$5:$B$20,'BASE_ACIERS'!$D$5:$D$20),IFERROR(INDEX('BASE_ACIERS'!$D$5:$D$20,MATCH('PARAMÈTRES'!$C$133,'BASE_ACIERS'!$B$5:$B$20,0)),0))</f>
        <v>0.222</v>
      </c>
      <c r="P494">
        <f>IFERROR(_xlfn.XLOOKUP('PARAMÈTRES'!$C$133,'BASE_ACIERS'!$B$5:$B$20,'BASE_ACIERS'!$D$5:$D$20),IFERROR(INDEX('BASE_ACIERS'!$D$5:$D$20,MATCH('PARAMÈTRES'!$C$133,'BASE_ACIERS'!$B$5:$B$20,0)),0))</f>
        <v>0.222</v>
      </c>
      <c r="Q494">
        <f>IFERROR(_xlfn.XLOOKUP('PARAMÈTRES'!$C$133,'BASE_ACIERS'!$B$5:$B$20,'BASE_ACIERS'!$D$5:$D$20),IFERROR(INDEX('BASE_ACIERS'!$D$5:$D$20,MATCH('PARAMÈTRES'!$C$133,'BASE_ACIERS'!$B$5:$B$20,0)),0))</f>
        <v>0.222</v>
      </c>
      <c r="R494">
        <f>IFERROR(_xlfn.XLOOKUP('PARAMÈTRES'!$C$133,'BASE_ACIERS'!$B$5:$B$20,'BASE_ACIERS'!$D$5:$D$20),IFERROR(INDEX('BASE_ACIERS'!$D$5:$D$20,MATCH('PARAMÈTRES'!$C$133,'BASE_ACIERS'!$B$5:$B$20,0)),0))</f>
        <v>0.222</v>
      </c>
      <c r="S494">
        <f>IFERROR(_xlfn.XLOOKUP('PARAMÈTRES'!$C$133,'BASE_ACIERS'!$B$5:$B$20,'BASE_ACIERS'!$D$5:$D$20),IFERROR(INDEX('BASE_ACIERS'!$D$5:$D$20,MATCH('PARAMÈTRES'!$C$133,'BASE_ACIERS'!$B$5:$B$20,0)),0))</f>
        <v>0.222</v>
      </c>
      <c r="T494">
        <f>IFERROR(_xlfn.XLOOKUP('PARAMÈTRES'!$C$133,'BASE_ACIERS'!$B$5:$B$20,'BASE_ACIERS'!$D$5:$D$20),IFERROR(INDEX('BASE_ACIERS'!$D$5:$D$20,MATCH('PARAMÈTRES'!$C$133,'BASE_ACIERS'!$B$5:$B$20,0)),0))</f>
        <v>0.222</v>
      </c>
      <c r="U494">
        <f>IFERROR(_xlfn.XLOOKUP('PARAMÈTRES'!$C$133,'BASE_ACIERS'!$B$5:$B$20,'BASE_ACIERS'!$D$5:$D$20),IFERROR(INDEX('BASE_ACIERS'!$D$5:$D$20,MATCH('PARAMÈTRES'!$C$133,'BASE_ACIERS'!$B$5:$B$20,0)),0))</f>
        <v>0.222</v>
      </c>
      <c r="V494">
        <f>IFERROR(_xlfn.XLOOKUP('PARAMÈTRES'!$C$133,'BASE_ACIERS'!$B$5:$B$20,'BASE_ACIERS'!$D$5:$D$20),IFERROR(INDEX('BASE_ACIERS'!$D$5:$D$20,MATCH('PARAMÈTRES'!$C$133,'BASE_ACIERS'!$B$5:$B$20,0)),0))</f>
        <v>0.222</v>
      </c>
      <c r="W494">
        <f>IFERROR(_xlfn.XLOOKUP('PARAMÈTRES'!$C$133,'BASE_ACIERS'!$B$5:$B$20,'BASE_ACIERS'!$D$5:$D$20),IFERROR(INDEX('BASE_ACIERS'!$D$5:$D$20,MATCH('PARAMÈTRES'!$C$133,'BASE_ACIERS'!$B$5:$B$20,0)),0))</f>
        <v>0.222</v>
      </c>
      <c r="X494">
        <f>IFERROR(_xlfn.XLOOKUP('PARAMÈTRES'!$C$133,'BASE_ACIERS'!$B$5:$B$20,'BASE_ACIERS'!$D$5:$D$20),IFERROR(INDEX('BASE_ACIERS'!$D$5:$D$20,MATCH('PARAMÈTRES'!$C$133,'BASE_ACIERS'!$B$5:$B$20,0)),0))</f>
        <v>0.222</v>
      </c>
    </row>
    <row r="495">
      <c r="A495" t="inlineStr">
        <is>
          <t>ch_k_kg</t>
        </is>
      </c>
      <c r="B495" t="inlineStr">
        <is>
          <t>GROS_ŒUVRE!I80</t>
        </is>
      </c>
      <c r="D495">
        <f>D493*D494</f>
        <v>0</v>
      </c>
      <c r="E495">
        <f>E493*E494</f>
        <v>0</v>
      </c>
      <c r="F495">
        <f>F493*F494</f>
        <v>144.744</v>
      </c>
      <c r="G495">
        <f>G493*G494</f>
        <v>0</v>
      </c>
      <c r="H495">
        <f>H493*H494</f>
        <v>0</v>
      </c>
      <c r="I495">
        <f>I493*I494</f>
        <v>133.644</v>
      </c>
      <c r="J495">
        <f>J493*J494</f>
        <v>0</v>
      </c>
      <c r="K495">
        <f>K493*K494</f>
        <v>0</v>
      </c>
      <c r="L495">
        <f>L493*L494</f>
        <v>166.944</v>
      </c>
      <c r="M495">
        <f>M493*M494</f>
        <v>0</v>
      </c>
      <c r="N495">
        <f>N493*N494</f>
        <v>0</v>
      </c>
      <c r="O495">
        <f>O493*O494</f>
        <v>155.955</v>
      </c>
      <c r="P495">
        <f>P493*P494</f>
        <v>0</v>
      </c>
      <c r="Q495">
        <f>Q493*Q494</f>
        <v>0</v>
      </c>
      <c r="R495">
        <f>R493*R494</f>
        <v>222.555</v>
      </c>
      <c r="S495">
        <f>S493*S494</f>
        <v>0</v>
      </c>
      <c r="T495">
        <f>T493*T494</f>
        <v>0</v>
      </c>
      <c r="U495">
        <f>U493*U494</f>
        <v>267.066</v>
      </c>
      <c r="V495">
        <f>V493*V494</f>
        <v>0</v>
      </c>
      <c r="W495">
        <f>W493*W494</f>
        <v>0</v>
      </c>
      <c r="X495">
        <f>X493*X494</f>
        <v>311.688</v>
      </c>
    </row>
    <row r="496">
      <c r="A496" t="inlineStr">
        <is>
          <t>rd_n_q</t>
        </is>
      </c>
      <c r="B496" t="inlineStr">
        <is>
          <t>GROS_ŒUVRE!E81</t>
        </is>
      </c>
      <c r="D496">
        <f>'PARAMÈTRES'!$C$136*D372</f>
        <v>0</v>
      </c>
      <c r="E496">
        <f>'PARAMÈTRES'!$C$136*E372</f>
        <v>0</v>
      </c>
      <c r="F496">
        <f>'PARAMÈTRES'!$C$136*F372</f>
        <v>42</v>
      </c>
      <c r="G496">
        <f>'PARAMÈTRES'!$C$136*G372</f>
        <v>0</v>
      </c>
      <c r="H496">
        <f>'PARAMÈTRES'!$C$136*H372</f>
        <v>0</v>
      </c>
      <c r="I496">
        <f>'PARAMÈTRES'!$C$136*I372</f>
        <v>42</v>
      </c>
      <c r="J496">
        <f>'PARAMÈTRES'!$C$136*J372</f>
        <v>0</v>
      </c>
      <c r="K496">
        <f>'PARAMÈTRES'!$C$136*K372</f>
        <v>0</v>
      </c>
      <c r="L496">
        <f>'PARAMÈTRES'!$C$136*L372</f>
        <v>48</v>
      </c>
      <c r="M496">
        <f>'PARAMÈTRES'!$C$136*M372</f>
        <v>0</v>
      </c>
      <c r="N496">
        <f>'PARAMÈTRES'!$C$136*N372</f>
        <v>0</v>
      </c>
      <c r="O496">
        <f>'PARAMÈTRES'!$C$136*O372</f>
        <v>48</v>
      </c>
      <c r="P496">
        <f>'PARAMÈTRES'!$C$136*P372</f>
        <v>0</v>
      </c>
      <c r="Q496">
        <f>'PARAMÈTRES'!$C$136*Q372</f>
        <v>0</v>
      </c>
      <c r="R496">
        <f>'PARAMÈTRES'!$C$136*R372</f>
        <v>66</v>
      </c>
      <c r="S496">
        <f>'PARAMÈTRES'!$C$136*S372</f>
        <v>0</v>
      </c>
      <c r="T496">
        <f>'PARAMÈTRES'!$C$136*T372</f>
        <v>0</v>
      </c>
      <c r="U496">
        <f>'PARAMÈTRES'!$C$136*U372</f>
        <v>72</v>
      </c>
      <c r="V496">
        <f>'PARAMÈTRES'!$C$136*V372</f>
        <v>0</v>
      </c>
      <c r="W496">
        <f>'PARAMÈTRES'!$C$136*W372</f>
        <v>0</v>
      </c>
      <c r="X496">
        <f>'PARAMÈTRES'!$C$136*X372</f>
        <v>84</v>
      </c>
    </row>
    <row r="497">
      <c r="A497" t="inlineStr">
        <is>
          <t>rd_b_q</t>
        </is>
      </c>
      <c r="B497" t="inlineStr">
        <is>
          <t>GROS_ŒUVRE!E82</t>
        </is>
      </c>
      <c r="D497">
        <f>D496*'PARAMÈTRES'!$C$135^2*D370</f>
        <v>0</v>
      </c>
      <c r="E497">
        <f>E496*'PARAMÈTRES'!$C$135^2*E370</f>
        <v>0</v>
      </c>
      <c r="F497">
        <f>F496*'PARAMÈTRES'!$C$135^2*F370</f>
        <v>5.67</v>
      </c>
      <c r="G497">
        <f>G496*'PARAMÈTRES'!$C$135^2*G370</f>
        <v>0</v>
      </c>
      <c r="H497">
        <f>H496*'PARAMÈTRES'!$C$135^2*H370</f>
        <v>0</v>
      </c>
      <c r="I497">
        <f>I496*'PARAMÈTRES'!$C$135^2*I370</f>
        <v>5.67</v>
      </c>
      <c r="J497">
        <f>J496*'PARAMÈTRES'!$C$135^2*J370</f>
        <v>0</v>
      </c>
      <c r="K497">
        <f>K496*'PARAMÈTRES'!$C$135^2*K370</f>
        <v>0</v>
      </c>
      <c r="L497">
        <f>L496*'PARAMÈTRES'!$C$135^2*L370</f>
        <v>6.48</v>
      </c>
      <c r="M497">
        <f>M496*'PARAMÈTRES'!$C$135^2*M370</f>
        <v>0</v>
      </c>
      <c r="N497">
        <f>N496*'PARAMÈTRES'!$C$135^2*N370</f>
        <v>0</v>
      </c>
      <c r="O497">
        <f>O496*'PARAMÈTRES'!$C$135^2*O370</f>
        <v>6.48</v>
      </c>
      <c r="P497">
        <f>P496*'PARAMÈTRES'!$C$135^2*P370</f>
        <v>0</v>
      </c>
      <c r="Q497">
        <f>Q496*'PARAMÈTRES'!$C$135^2*Q370</f>
        <v>0</v>
      </c>
      <c r="R497">
        <f>R496*'PARAMÈTRES'!$C$135^2*R370</f>
        <v>8.91</v>
      </c>
      <c r="S497">
        <f>S496*'PARAMÈTRES'!$C$135^2*S370</f>
        <v>0</v>
      </c>
      <c r="T497">
        <f>T496*'PARAMÈTRES'!$C$135^2*T370</f>
        <v>0</v>
      </c>
      <c r="U497">
        <f>U496*'PARAMÈTRES'!$C$135^2*U370</f>
        <v>9.72</v>
      </c>
      <c r="V497">
        <f>V496*'PARAMÈTRES'!$C$135^2*V370</f>
        <v>0</v>
      </c>
      <c r="W497">
        <f>W496*'PARAMÈTRES'!$C$135^2*W370</f>
        <v>0</v>
      </c>
      <c r="X497">
        <f>X496*'PARAMÈTRES'!$C$135^2*X370</f>
        <v>13.86</v>
      </c>
    </row>
    <row r="498">
      <c r="A498" t="inlineStr">
        <is>
          <t>rd_c_q</t>
        </is>
      </c>
      <c r="B498" t="inlineStr">
        <is>
          <t>GROS_ŒUVRE!E83</t>
        </is>
      </c>
      <c r="D498">
        <f>D496*2*'PARAMÈTRES'!$C$135*D370</f>
        <v>0</v>
      </c>
      <c r="E498">
        <f>E496*2*'PARAMÈTRES'!$C$135*E370</f>
        <v>0</v>
      </c>
      <c r="F498">
        <f>F496*2*'PARAMÈTRES'!$C$135*F370</f>
        <v>75.6</v>
      </c>
      <c r="G498">
        <f>G496*2*'PARAMÈTRES'!$C$135*G370</f>
        <v>0</v>
      </c>
      <c r="H498">
        <f>H496*2*'PARAMÈTRES'!$C$135*H370</f>
        <v>0</v>
      </c>
      <c r="I498">
        <f>I496*2*'PARAMÈTRES'!$C$135*I370</f>
        <v>75.6</v>
      </c>
      <c r="J498">
        <f>J496*2*'PARAMÈTRES'!$C$135*J370</f>
        <v>0</v>
      </c>
      <c r="K498">
        <f>K496*2*'PARAMÈTRES'!$C$135*K370</f>
        <v>0</v>
      </c>
      <c r="L498">
        <f>L496*2*'PARAMÈTRES'!$C$135*L370</f>
        <v>86.4</v>
      </c>
      <c r="M498">
        <f>M496*2*'PARAMÈTRES'!$C$135*M370</f>
        <v>0</v>
      </c>
      <c r="N498">
        <f>N496*2*'PARAMÈTRES'!$C$135*N370</f>
        <v>0</v>
      </c>
      <c r="O498">
        <f>O496*2*'PARAMÈTRES'!$C$135*O370</f>
        <v>86.4</v>
      </c>
      <c r="P498">
        <f>P496*2*'PARAMÈTRES'!$C$135*P370</f>
        <v>0</v>
      </c>
      <c r="Q498">
        <f>Q496*2*'PARAMÈTRES'!$C$135*Q370</f>
        <v>0</v>
      </c>
      <c r="R498">
        <f>R496*2*'PARAMÈTRES'!$C$135*R370</f>
        <v>118.8</v>
      </c>
      <c r="S498">
        <f>S496*2*'PARAMÈTRES'!$C$135*S370</f>
        <v>0</v>
      </c>
      <c r="T498">
        <f>T496*2*'PARAMÈTRES'!$C$135*T370</f>
        <v>0</v>
      </c>
      <c r="U498">
        <f>U496*2*'PARAMÈTRES'!$C$135*U370</f>
        <v>129.6</v>
      </c>
      <c r="V498">
        <f>V496*2*'PARAMÈTRES'!$C$135*V370</f>
        <v>0</v>
      </c>
      <c r="W498">
        <f>W496*2*'PARAMÈTRES'!$C$135*W370</f>
        <v>0</v>
      </c>
      <c r="X498">
        <f>X496*2*'PARAMÈTRES'!$C$135*X370</f>
        <v>184.8</v>
      </c>
    </row>
    <row r="499">
      <c r="A499" t="inlineStr">
        <is>
          <t>rd_a_p</t>
        </is>
      </c>
      <c r="B499" t="inlineStr">
        <is>
          <t>GROS_ŒUVRE!C84</t>
        </is>
      </c>
      <c r="D499" t="str">
        <f>'PARAMÈTRES'!$C$131</f>
        <v>HA10</v>
      </c>
      <c r="E499" t="str">
        <f>'PARAMÈTRES'!$C$131</f>
        <v>HA10</v>
      </c>
      <c r="F499" t="str">
        <f>'PARAMÈTRES'!$C$131</f>
        <v>HA10</v>
      </c>
      <c r="G499" t="str">
        <f>'PARAMÈTRES'!$C$131</f>
        <v>HA10</v>
      </c>
      <c r="H499" t="str">
        <f>'PARAMÈTRES'!$C$131</f>
        <v>HA10</v>
      </c>
      <c r="I499" t="str">
        <f>'PARAMÈTRES'!$C$131</f>
        <v>HA10</v>
      </c>
      <c r="J499" t="str">
        <f>'PARAMÈTRES'!$C$131</f>
        <v>HA10</v>
      </c>
      <c r="K499" t="str">
        <f>'PARAMÈTRES'!$C$131</f>
        <v>HA10</v>
      </c>
      <c r="L499" t="str">
        <f>'PARAMÈTRES'!$C$131</f>
        <v>HA10</v>
      </c>
      <c r="M499" t="str">
        <f>'PARAMÈTRES'!$C$131</f>
        <v>HA10</v>
      </c>
      <c r="N499" t="str">
        <f>'PARAMÈTRES'!$C$131</f>
        <v>HA10</v>
      </c>
      <c r="O499" t="str">
        <f>'PARAMÈTRES'!$C$131</f>
        <v>HA10</v>
      </c>
      <c r="P499" t="str">
        <f>'PARAMÈTRES'!$C$131</f>
        <v>HA10</v>
      </c>
      <c r="Q499" t="str">
        <f>'PARAMÈTRES'!$C$131</f>
        <v>HA10</v>
      </c>
      <c r="R499" t="str">
        <f>'PARAMÈTRES'!$C$131</f>
        <v>HA10</v>
      </c>
      <c r="S499" t="str">
        <f>'PARAMÈTRES'!$C$131</f>
        <v>HA10</v>
      </c>
      <c r="T499" t="str">
        <f>'PARAMÈTRES'!$C$131</f>
        <v>HA10</v>
      </c>
      <c r="U499" t="str">
        <f>'PARAMÈTRES'!$C$131</f>
        <v>HA10</v>
      </c>
      <c r="V499" t="str">
        <f>'PARAMÈTRES'!$C$131</f>
        <v>HA10</v>
      </c>
      <c r="W499" t="str">
        <f>'PARAMÈTRES'!$C$131</f>
        <v>HA10</v>
      </c>
      <c r="X499" t="str">
        <f>'PARAMÈTRES'!$C$131</f>
        <v>HA10</v>
      </c>
    </row>
    <row r="500">
      <c r="A500" t="inlineStr">
        <is>
          <t>rd_a_q</t>
        </is>
      </c>
      <c r="B500" t="inlineStr">
        <is>
          <t>GROS_ŒUVRE!E84</t>
        </is>
      </c>
      <c r="D500">
        <f>D496*'PARAMÈTRES'!$C$132</f>
        <v>0</v>
      </c>
      <c r="E500">
        <f>E496*'PARAMÈTRES'!$C$132</f>
        <v>0</v>
      </c>
      <c r="F500">
        <f>F496*'PARAMÈTRES'!$C$132</f>
        <v>168</v>
      </c>
      <c r="G500">
        <f>G496*'PARAMÈTRES'!$C$132</f>
        <v>0</v>
      </c>
      <c r="H500">
        <f>H496*'PARAMÈTRES'!$C$132</f>
        <v>0</v>
      </c>
      <c r="I500">
        <f>I496*'PARAMÈTRES'!$C$132</f>
        <v>168</v>
      </c>
      <c r="J500">
        <f>J496*'PARAMÈTRES'!$C$132</f>
        <v>0</v>
      </c>
      <c r="K500">
        <f>K496*'PARAMÈTRES'!$C$132</f>
        <v>0</v>
      </c>
      <c r="L500">
        <f>L496*'PARAMÈTRES'!$C$132</f>
        <v>192</v>
      </c>
      <c r="M500">
        <f>M496*'PARAMÈTRES'!$C$132</f>
        <v>0</v>
      </c>
      <c r="N500">
        <f>N496*'PARAMÈTRES'!$C$132</f>
        <v>0</v>
      </c>
      <c r="O500">
        <f>O496*'PARAMÈTRES'!$C$132</f>
        <v>192</v>
      </c>
      <c r="P500">
        <f>P496*'PARAMÈTRES'!$C$132</f>
        <v>0</v>
      </c>
      <c r="Q500">
        <f>Q496*'PARAMÈTRES'!$C$132</f>
        <v>0</v>
      </c>
      <c r="R500">
        <f>R496*'PARAMÈTRES'!$C$132</f>
        <v>264</v>
      </c>
      <c r="S500">
        <f>S496*'PARAMÈTRES'!$C$132</f>
        <v>0</v>
      </c>
      <c r="T500">
        <f>T496*'PARAMÈTRES'!$C$132</f>
        <v>0</v>
      </c>
      <c r="U500">
        <f>U496*'PARAMÈTRES'!$C$132</f>
        <v>288</v>
      </c>
      <c r="V500">
        <f>V496*'PARAMÈTRES'!$C$132</f>
        <v>0</v>
      </c>
      <c r="W500">
        <f>W496*'PARAMÈTRES'!$C$132</f>
        <v>0</v>
      </c>
      <c r="X500">
        <f>X496*'PARAMÈTRES'!$C$132</f>
        <v>336</v>
      </c>
    </row>
    <row r="501">
      <c r="A501" t="inlineStr">
        <is>
          <t>rd_a_lu</t>
        </is>
      </c>
      <c r="B501" t="inlineStr">
        <is>
          <t>GROS_ŒUVRE!F84</t>
        </is>
      </c>
      <c r="D501">
        <f>D370+2*'PARAMÈTRES'!$C$109</f>
        <v>0.3</v>
      </c>
      <c r="E501">
        <f>E370+2*'PARAMÈTRES'!$C$109</f>
        <v>0.3</v>
      </c>
      <c r="F501">
        <f>F370+2*'PARAMÈTRES'!$C$109</f>
        <v>6.3</v>
      </c>
      <c r="G501">
        <f>G370+2*'PARAMÈTRES'!$C$109</f>
        <v>0.3</v>
      </c>
      <c r="H501">
        <f>H370+2*'PARAMÈTRES'!$C$109</f>
        <v>0.3</v>
      </c>
      <c r="I501">
        <f>I370+2*'PARAMÈTRES'!$C$109</f>
        <v>6.3</v>
      </c>
      <c r="J501">
        <f>J370+2*'PARAMÈTRES'!$C$109</f>
        <v>0.3</v>
      </c>
      <c r="K501">
        <f>K370+2*'PARAMÈTRES'!$C$109</f>
        <v>0.3</v>
      </c>
      <c r="L501">
        <f>L370+2*'PARAMÈTRES'!$C$109</f>
        <v>6.3</v>
      </c>
      <c r="M501">
        <f>M370+2*'PARAMÈTRES'!$C$109</f>
        <v>0.3</v>
      </c>
      <c r="N501">
        <f>N370+2*'PARAMÈTRES'!$C$109</f>
        <v>0.3</v>
      </c>
      <c r="O501">
        <f>O370+2*'PARAMÈTRES'!$C$109</f>
        <v>6.3</v>
      </c>
      <c r="P501">
        <f>P370+2*'PARAMÈTRES'!$C$109</f>
        <v>0.3</v>
      </c>
      <c r="Q501">
        <f>Q370+2*'PARAMÈTRES'!$C$109</f>
        <v>0.3</v>
      </c>
      <c r="R501">
        <f>R370+2*'PARAMÈTRES'!$C$109</f>
        <v>6.3</v>
      </c>
      <c r="S501">
        <f>S370+2*'PARAMÈTRES'!$C$109</f>
        <v>0.3</v>
      </c>
      <c r="T501">
        <f>T370+2*'PARAMÈTRES'!$C$109</f>
        <v>0.3</v>
      </c>
      <c r="U501">
        <f>U370+2*'PARAMÈTRES'!$C$109</f>
        <v>6.3</v>
      </c>
      <c r="V501">
        <f>V370+2*'PARAMÈTRES'!$C$109</f>
        <v>0.3</v>
      </c>
      <c r="W501">
        <f>W370+2*'PARAMÈTRES'!$C$109</f>
        <v>0.3</v>
      </c>
      <c r="X501">
        <f>X370+2*'PARAMÈTRES'!$C$109</f>
        <v>7.63333333333333</v>
      </c>
    </row>
    <row r="502">
      <c r="A502" t="inlineStr">
        <is>
          <t>rd_a_lt</t>
        </is>
      </c>
      <c r="B502" t="inlineStr">
        <is>
          <t>GROS_ŒUVRE!G84</t>
        </is>
      </c>
      <c r="D502">
        <f>D500*D501</f>
        <v>0</v>
      </c>
      <c r="E502">
        <f>E500*E501</f>
        <v>0</v>
      </c>
      <c r="F502">
        <f>F500*F501</f>
        <v>1058.4</v>
      </c>
      <c r="G502">
        <f>G500*G501</f>
        <v>0</v>
      </c>
      <c r="H502">
        <f>H500*H501</f>
        <v>0</v>
      </c>
      <c r="I502">
        <f>I500*I501</f>
        <v>1058.4</v>
      </c>
      <c r="J502">
        <f>J500*J501</f>
        <v>0</v>
      </c>
      <c r="K502">
        <f>K500*K501</f>
        <v>0</v>
      </c>
      <c r="L502">
        <f>L500*L501</f>
        <v>1209.6</v>
      </c>
      <c r="M502">
        <f>M500*M501</f>
        <v>0</v>
      </c>
      <c r="N502">
        <f>N500*N501</f>
        <v>0</v>
      </c>
      <c r="O502">
        <f>O500*O501</f>
        <v>1209.6</v>
      </c>
      <c r="P502">
        <f>P500*P501</f>
        <v>0</v>
      </c>
      <c r="Q502">
        <f>Q500*Q501</f>
        <v>0</v>
      </c>
      <c r="R502">
        <f>R500*R501</f>
        <v>1663.2</v>
      </c>
      <c r="S502">
        <f>S500*S501</f>
        <v>0</v>
      </c>
      <c r="T502">
        <f>T500*T501</f>
        <v>0</v>
      </c>
      <c r="U502">
        <f>U500*U501</f>
        <v>1814.4</v>
      </c>
      <c r="V502">
        <f>V500*V501</f>
        <v>0</v>
      </c>
      <c r="W502">
        <f>W500*W501</f>
        <v>0</v>
      </c>
      <c r="X502">
        <f>X500*X501</f>
        <v>2564.8</v>
      </c>
    </row>
    <row r="503">
      <c r="A503" t="inlineStr">
        <is>
          <t>rd_a_kgml</t>
        </is>
      </c>
      <c r="B503" t="inlineStr">
        <is>
          <t>GROS_ŒUVRE!H84</t>
        </is>
      </c>
      <c r="D503">
        <f>IFERROR(_xlfn.XLOOKUP('PARAMÈTRES'!$C$131,'BASE_ACIERS'!$B$5:$B$20,'BASE_ACIERS'!$D$5:$D$20),IFERROR(INDEX('BASE_ACIERS'!$D$5:$D$20,MATCH('PARAMÈTRES'!$C$131,'BASE_ACIERS'!$B$5:$B$20,0)),0))</f>
        <v>0.617</v>
      </c>
      <c r="E503">
        <f>IFERROR(_xlfn.XLOOKUP('PARAMÈTRES'!$C$131,'BASE_ACIERS'!$B$5:$B$20,'BASE_ACIERS'!$D$5:$D$20),IFERROR(INDEX('BASE_ACIERS'!$D$5:$D$20,MATCH('PARAMÈTRES'!$C$131,'BASE_ACIERS'!$B$5:$B$20,0)),0))</f>
        <v>0.617</v>
      </c>
      <c r="F503">
        <f>IFERROR(_xlfn.XLOOKUP('PARAMÈTRES'!$C$131,'BASE_ACIERS'!$B$5:$B$20,'BASE_ACIERS'!$D$5:$D$20),IFERROR(INDEX('BASE_ACIERS'!$D$5:$D$20,MATCH('PARAMÈTRES'!$C$131,'BASE_ACIERS'!$B$5:$B$20,0)),0))</f>
        <v>0.617</v>
      </c>
      <c r="G503">
        <f>IFERROR(_xlfn.XLOOKUP('PARAMÈTRES'!$C$131,'BASE_ACIERS'!$B$5:$B$20,'BASE_ACIERS'!$D$5:$D$20),IFERROR(INDEX('BASE_ACIERS'!$D$5:$D$20,MATCH('PARAMÈTRES'!$C$131,'BASE_ACIERS'!$B$5:$B$20,0)),0))</f>
        <v>0.617</v>
      </c>
      <c r="H503">
        <f>IFERROR(_xlfn.XLOOKUP('PARAMÈTRES'!$C$131,'BASE_ACIERS'!$B$5:$B$20,'BASE_ACIERS'!$D$5:$D$20),IFERROR(INDEX('BASE_ACIERS'!$D$5:$D$20,MATCH('PARAMÈTRES'!$C$131,'BASE_ACIERS'!$B$5:$B$20,0)),0))</f>
        <v>0.617</v>
      </c>
      <c r="I503">
        <f>IFERROR(_xlfn.XLOOKUP('PARAMÈTRES'!$C$131,'BASE_ACIERS'!$B$5:$B$20,'BASE_ACIERS'!$D$5:$D$20),IFERROR(INDEX('BASE_ACIERS'!$D$5:$D$20,MATCH('PARAMÈTRES'!$C$131,'BASE_ACIERS'!$B$5:$B$20,0)),0))</f>
        <v>0.617</v>
      </c>
      <c r="J503">
        <f>IFERROR(_xlfn.XLOOKUP('PARAMÈTRES'!$C$131,'BASE_ACIERS'!$B$5:$B$20,'BASE_ACIERS'!$D$5:$D$20),IFERROR(INDEX('BASE_ACIERS'!$D$5:$D$20,MATCH('PARAMÈTRES'!$C$131,'BASE_ACIERS'!$B$5:$B$20,0)),0))</f>
        <v>0.617</v>
      </c>
      <c r="K503">
        <f>IFERROR(_xlfn.XLOOKUP('PARAMÈTRES'!$C$131,'BASE_ACIERS'!$B$5:$B$20,'BASE_ACIERS'!$D$5:$D$20),IFERROR(INDEX('BASE_ACIERS'!$D$5:$D$20,MATCH('PARAMÈTRES'!$C$131,'BASE_ACIERS'!$B$5:$B$20,0)),0))</f>
        <v>0.617</v>
      </c>
      <c r="L503">
        <f>IFERROR(_xlfn.XLOOKUP('PARAMÈTRES'!$C$131,'BASE_ACIERS'!$B$5:$B$20,'BASE_ACIERS'!$D$5:$D$20),IFERROR(INDEX('BASE_ACIERS'!$D$5:$D$20,MATCH('PARAMÈTRES'!$C$131,'BASE_ACIERS'!$B$5:$B$20,0)),0))</f>
        <v>0.617</v>
      </c>
      <c r="M503">
        <f>IFERROR(_xlfn.XLOOKUP('PARAMÈTRES'!$C$131,'BASE_ACIERS'!$B$5:$B$20,'BASE_ACIERS'!$D$5:$D$20),IFERROR(INDEX('BASE_ACIERS'!$D$5:$D$20,MATCH('PARAMÈTRES'!$C$131,'BASE_ACIERS'!$B$5:$B$20,0)),0))</f>
        <v>0.617</v>
      </c>
      <c r="N503">
        <f>IFERROR(_xlfn.XLOOKUP('PARAMÈTRES'!$C$131,'BASE_ACIERS'!$B$5:$B$20,'BASE_ACIERS'!$D$5:$D$20),IFERROR(INDEX('BASE_ACIERS'!$D$5:$D$20,MATCH('PARAMÈTRES'!$C$131,'BASE_ACIERS'!$B$5:$B$20,0)),0))</f>
        <v>0.617</v>
      </c>
      <c r="O503">
        <f>IFERROR(_xlfn.XLOOKUP('PARAMÈTRES'!$C$131,'BASE_ACIERS'!$B$5:$B$20,'BASE_ACIERS'!$D$5:$D$20),IFERROR(INDEX('BASE_ACIERS'!$D$5:$D$20,MATCH('PARAMÈTRES'!$C$131,'BASE_ACIERS'!$B$5:$B$20,0)),0))</f>
        <v>0.617</v>
      </c>
      <c r="P503">
        <f>IFERROR(_xlfn.XLOOKUP('PARAMÈTRES'!$C$131,'BASE_ACIERS'!$B$5:$B$20,'BASE_ACIERS'!$D$5:$D$20),IFERROR(INDEX('BASE_ACIERS'!$D$5:$D$20,MATCH('PARAMÈTRES'!$C$131,'BASE_ACIERS'!$B$5:$B$20,0)),0))</f>
        <v>0.617</v>
      </c>
      <c r="Q503">
        <f>IFERROR(_xlfn.XLOOKUP('PARAMÈTRES'!$C$131,'BASE_ACIERS'!$B$5:$B$20,'BASE_ACIERS'!$D$5:$D$20),IFERROR(INDEX('BASE_ACIERS'!$D$5:$D$20,MATCH('PARAMÈTRES'!$C$131,'BASE_ACIERS'!$B$5:$B$20,0)),0))</f>
        <v>0.617</v>
      </c>
      <c r="R503">
        <f>IFERROR(_xlfn.XLOOKUP('PARAMÈTRES'!$C$131,'BASE_ACIERS'!$B$5:$B$20,'BASE_ACIERS'!$D$5:$D$20),IFERROR(INDEX('BASE_ACIERS'!$D$5:$D$20,MATCH('PARAMÈTRES'!$C$131,'BASE_ACIERS'!$B$5:$B$20,0)),0))</f>
        <v>0.617</v>
      </c>
      <c r="S503">
        <f>IFERROR(_xlfn.XLOOKUP('PARAMÈTRES'!$C$131,'BASE_ACIERS'!$B$5:$B$20,'BASE_ACIERS'!$D$5:$D$20),IFERROR(INDEX('BASE_ACIERS'!$D$5:$D$20,MATCH('PARAMÈTRES'!$C$131,'BASE_ACIERS'!$B$5:$B$20,0)),0))</f>
        <v>0.617</v>
      </c>
      <c r="T503">
        <f>IFERROR(_xlfn.XLOOKUP('PARAMÈTRES'!$C$131,'BASE_ACIERS'!$B$5:$B$20,'BASE_ACIERS'!$D$5:$D$20),IFERROR(INDEX('BASE_ACIERS'!$D$5:$D$20,MATCH('PARAMÈTRES'!$C$131,'BASE_ACIERS'!$B$5:$B$20,0)),0))</f>
        <v>0.617</v>
      </c>
      <c r="U503">
        <f>IFERROR(_xlfn.XLOOKUP('PARAMÈTRES'!$C$131,'BASE_ACIERS'!$B$5:$B$20,'BASE_ACIERS'!$D$5:$D$20),IFERROR(INDEX('BASE_ACIERS'!$D$5:$D$20,MATCH('PARAMÈTRES'!$C$131,'BASE_ACIERS'!$B$5:$B$20,0)),0))</f>
        <v>0.617</v>
      </c>
      <c r="V503">
        <f>IFERROR(_xlfn.XLOOKUP('PARAMÈTRES'!$C$131,'BASE_ACIERS'!$B$5:$B$20,'BASE_ACIERS'!$D$5:$D$20),IFERROR(INDEX('BASE_ACIERS'!$D$5:$D$20,MATCH('PARAMÈTRES'!$C$131,'BASE_ACIERS'!$B$5:$B$20,0)),0))</f>
        <v>0.617</v>
      </c>
      <c r="W503">
        <f>IFERROR(_xlfn.XLOOKUP('PARAMÈTRES'!$C$131,'BASE_ACIERS'!$B$5:$B$20,'BASE_ACIERS'!$D$5:$D$20),IFERROR(INDEX('BASE_ACIERS'!$D$5:$D$20,MATCH('PARAMÈTRES'!$C$131,'BASE_ACIERS'!$B$5:$B$20,0)),0))</f>
        <v>0.617</v>
      </c>
      <c r="X503">
        <f>IFERROR(_xlfn.XLOOKUP('PARAMÈTRES'!$C$131,'BASE_ACIERS'!$B$5:$B$20,'BASE_ACIERS'!$D$5:$D$20),IFERROR(INDEX('BASE_ACIERS'!$D$5:$D$20,MATCH('PARAMÈTRES'!$C$131,'BASE_ACIERS'!$B$5:$B$20,0)),0))</f>
        <v>0.617</v>
      </c>
    </row>
    <row r="504">
      <c r="A504" t="inlineStr">
        <is>
          <t>rd_a_kg</t>
        </is>
      </c>
      <c r="B504" t="inlineStr">
        <is>
          <t>GROS_ŒUVRE!I84</t>
        </is>
      </c>
      <c r="D504">
        <f>D502*D503</f>
        <v>0</v>
      </c>
      <c r="E504">
        <f>E502*E503</f>
        <v>0</v>
      </c>
      <c r="F504">
        <f>F502*F503</f>
        <v>653.0328</v>
      </c>
      <c r="G504">
        <f>G502*G503</f>
        <v>0</v>
      </c>
      <c r="H504">
        <f>H502*H503</f>
        <v>0</v>
      </c>
      <c r="I504">
        <f>I502*I503</f>
        <v>653.0328</v>
      </c>
      <c r="J504">
        <f>J502*J503</f>
        <v>0</v>
      </c>
      <c r="K504">
        <f>K502*K503</f>
        <v>0</v>
      </c>
      <c r="L504">
        <f>L502*L503</f>
        <v>746.3232</v>
      </c>
      <c r="M504">
        <f>M502*M503</f>
        <v>0</v>
      </c>
      <c r="N504">
        <f>N502*N503</f>
        <v>0</v>
      </c>
      <c r="O504">
        <f>O502*O503</f>
        <v>746.3232</v>
      </c>
      <c r="P504">
        <f>P502*P503</f>
        <v>0</v>
      </c>
      <c r="Q504">
        <f>Q502*Q503</f>
        <v>0</v>
      </c>
      <c r="R504">
        <f>R502*R503</f>
        <v>1026.1944</v>
      </c>
      <c r="S504">
        <f>S502*S503</f>
        <v>0</v>
      </c>
      <c r="T504">
        <f>T502*T503</f>
        <v>0</v>
      </c>
      <c r="U504">
        <f>U502*U503</f>
        <v>1119.4848</v>
      </c>
      <c r="V504">
        <f>V502*V503</f>
        <v>0</v>
      </c>
      <c r="W504">
        <f>W502*W503</f>
        <v>0</v>
      </c>
      <c r="X504">
        <f>X502*X503</f>
        <v>1582.4816</v>
      </c>
    </row>
    <row r="505">
      <c r="A505" t="inlineStr">
        <is>
          <t>rd_k_p</t>
        </is>
      </c>
      <c r="B505" t="inlineStr">
        <is>
          <t>GROS_ŒUVRE!C85</t>
        </is>
      </c>
      <c r="D505" t="str">
        <f>'PARAMÈTRES'!$C$133</f>
        <v>HA6</v>
      </c>
      <c r="E505" t="str">
        <f>'PARAMÈTRES'!$C$133</f>
        <v>HA6</v>
      </c>
      <c r="F505" t="str">
        <f>'PARAMÈTRES'!$C$133</f>
        <v>HA6</v>
      </c>
      <c r="G505" t="str">
        <f>'PARAMÈTRES'!$C$133</f>
        <v>HA6</v>
      </c>
      <c r="H505" t="str">
        <f>'PARAMÈTRES'!$C$133</f>
        <v>HA6</v>
      </c>
      <c r="I505" t="str">
        <f>'PARAMÈTRES'!$C$133</f>
        <v>HA6</v>
      </c>
      <c r="J505" t="str">
        <f>'PARAMÈTRES'!$C$133</f>
        <v>HA6</v>
      </c>
      <c r="K505" t="str">
        <f>'PARAMÈTRES'!$C$133</f>
        <v>HA6</v>
      </c>
      <c r="L505" t="str">
        <f>'PARAMÈTRES'!$C$133</f>
        <v>HA6</v>
      </c>
      <c r="M505" t="str">
        <f>'PARAMÈTRES'!$C$133</f>
        <v>HA6</v>
      </c>
      <c r="N505" t="str">
        <f>'PARAMÈTRES'!$C$133</f>
        <v>HA6</v>
      </c>
      <c r="O505" t="str">
        <f>'PARAMÈTRES'!$C$133</f>
        <v>HA6</v>
      </c>
      <c r="P505" t="str">
        <f>'PARAMÈTRES'!$C$133</f>
        <v>HA6</v>
      </c>
      <c r="Q505" t="str">
        <f>'PARAMÈTRES'!$C$133</f>
        <v>HA6</v>
      </c>
      <c r="R505" t="str">
        <f>'PARAMÈTRES'!$C$133</f>
        <v>HA6</v>
      </c>
      <c r="S505" t="str">
        <f>'PARAMÈTRES'!$C$133</f>
        <v>HA6</v>
      </c>
      <c r="T505" t="str">
        <f>'PARAMÈTRES'!$C$133</f>
        <v>HA6</v>
      </c>
      <c r="U505" t="str">
        <f>'PARAMÈTRES'!$C$133</f>
        <v>HA6</v>
      </c>
      <c r="V505" t="str">
        <f>'PARAMÈTRES'!$C$133</f>
        <v>HA6</v>
      </c>
      <c r="W505" t="str">
        <f>'PARAMÈTRES'!$C$133</f>
        <v>HA6</v>
      </c>
      <c r="X505" t="str">
        <f>'PARAMÈTRES'!$C$133</f>
        <v>HA6</v>
      </c>
    </row>
    <row r="506">
      <c r="A506" t="inlineStr">
        <is>
          <t>rd_k_q</t>
        </is>
      </c>
      <c r="B506" t="inlineStr">
        <is>
          <t>GROS_ŒUVRE!E85</t>
        </is>
      </c>
      <c r="D506">
        <f>D496*(ROUNDDOWN(D370/'PARAMÈTRES'!$C$134,0)+1)</f>
        <v>0</v>
      </c>
      <c r="E506">
        <f>E496*(ROUNDDOWN(E370/'PARAMÈTRES'!$C$134,0)+1)</f>
        <v>0</v>
      </c>
      <c r="F506">
        <f>F496*(ROUNDDOWN(F370/'PARAMÈTRES'!$C$134,0)+1)</f>
        <v>1302</v>
      </c>
      <c r="G506">
        <f>G496*(ROUNDDOWN(G370/'PARAMÈTRES'!$C$134,0)+1)</f>
        <v>0</v>
      </c>
      <c r="H506">
        <f>H496*(ROUNDDOWN(H370/'PARAMÈTRES'!$C$134,0)+1)</f>
        <v>0</v>
      </c>
      <c r="I506">
        <f>I496*(ROUNDDOWN(I370/'PARAMÈTRES'!$C$134,0)+1)</f>
        <v>1302</v>
      </c>
      <c r="J506">
        <f>J496*(ROUNDDOWN(J370/'PARAMÈTRES'!$C$134,0)+1)</f>
        <v>0</v>
      </c>
      <c r="K506">
        <f>K496*(ROUNDDOWN(K370/'PARAMÈTRES'!$C$134,0)+1)</f>
        <v>0</v>
      </c>
      <c r="L506">
        <f>L496*(ROUNDDOWN(L370/'PARAMÈTRES'!$C$134,0)+1)</f>
        <v>1488</v>
      </c>
      <c r="M506">
        <f>M496*(ROUNDDOWN(M370/'PARAMÈTRES'!$C$134,0)+1)</f>
        <v>0</v>
      </c>
      <c r="N506">
        <f>N496*(ROUNDDOWN(N370/'PARAMÈTRES'!$C$134,0)+1)</f>
        <v>0</v>
      </c>
      <c r="O506">
        <f>O496*(ROUNDDOWN(O370/'PARAMÈTRES'!$C$134,0)+1)</f>
        <v>1488</v>
      </c>
      <c r="P506">
        <f>P496*(ROUNDDOWN(P370/'PARAMÈTRES'!$C$134,0)+1)</f>
        <v>0</v>
      </c>
      <c r="Q506">
        <f>Q496*(ROUNDDOWN(Q370/'PARAMÈTRES'!$C$134,0)+1)</f>
        <v>0</v>
      </c>
      <c r="R506">
        <f>R496*(ROUNDDOWN(R370/'PARAMÈTRES'!$C$134,0)+1)</f>
        <v>2046</v>
      </c>
      <c r="S506">
        <f>S496*(ROUNDDOWN(S370/'PARAMÈTRES'!$C$134,0)+1)</f>
        <v>0</v>
      </c>
      <c r="T506">
        <f>T496*(ROUNDDOWN(T370/'PARAMÈTRES'!$C$134,0)+1)</f>
        <v>0</v>
      </c>
      <c r="U506">
        <f>U496*(ROUNDDOWN(U370/'PARAMÈTRES'!$C$134,0)+1)</f>
        <v>2232</v>
      </c>
      <c r="V506">
        <f>V496*(ROUNDDOWN(V370/'PARAMÈTRES'!$C$134,0)+1)</f>
        <v>0</v>
      </c>
      <c r="W506">
        <f>W496*(ROUNDDOWN(W370/'PARAMÈTRES'!$C$134,0)+1)</f>
        <v>0</v>
      </c>
      <c r="X506">
        <f>X496*(ROUNDDOWN(X370/'PARAMÈTRES'!$C$134,0)+1)</f>
        <v>3108</v>
      </c>
    </row>
    <row r="507">
      <c r="A507" t="inlineStr">
        <is>
          <t>rd_k_lu</t>
        </is>
      </c>
      <c r="B507" t="inlineStr">
        <is>
          <t>GROS_ŒUVRE!F85</t>
        </is>
      </c>
      <c r="D507">
        <f>4*'PARAMÈTRES'!$C$135-8*'PARAMÈTRES'!$C$108+2*'PARAMÈTRES'!$C$110</f>
        <v>0.4</v>
      </c>
      <c r="E507">
        <f>4*'PARAMÈTRES'!$C$135-8*'PARAMÈTRES'!$C$108+2*'PARAMÈTRES'!$C$110</f>
        <v>0.4</v>
      </c>
      <c r="F507">
        <f>4*'PARAMÈTRES'!$C$135-8*'PARAMÈTRES'!$C$108+2*'PARAMÈTRES'!$C$110</f>
        <v>0.4</v>
      </c>
      <c r="G507">
        <f>4*'PARAMÈTRES'!$C$135-8*'PARAMÈTRES'!$C$108+2*'PARAMÈTRES'!$C$110</f>
        <v>0.4</v>
      </c>
      <c r="H507">
        <f>4*'PARAMÈTRES'!$C$135-8*'PARAMÈTRES'!$C$108+2*'PARAMÈTRES'!$C$110</f>
        <v>0.4</v>
      </c>
      <c r="I507">
        <f>4*'PARAMÈTRES'!$C$135-8*'PARAMÈTRES'!$C$108+2*'PARAMÈTRES'!$C$110</f>
        <v>0.4</v>
      </c>
      <c r="J507">
        <f>4*'PARAMÈTRES'!$C$135-8*'PARAMÈTRES'!$C$108+2*'PARAMÈTRES'!$C$110</f>
        <v>0.4</v>
      </c>
      <c r="K507">
        <f>4*'PARAMÈTRES'!$C$135-8*'PARAMÈTRES'!$C$108+2*'PARAMÈTRES'!$C$110</f>
        <v>0.4</v>
      </c>
      <c r="L507">
        <f>4*'PARAMÈTRES'!$C$135-8*'PARAMÈTRES'!$C$108+2*'PARAMÈTRES'!$C$110</f>
        <v>0.4</v>
      </c>
      <c r="M507">
        <f>4*'PARAMÈTRES'!$C$135-8*'PARAMÈTRES'!$C$108+2*'PARAMÈTRES'!$C$110</f>
        <v>0.4</v>
      </c>
      <c r="N507">
        <f>4*'PARAMÈTRES'!$C$135-8*'PARAMÈTRES'!$C$108+2*'PARAMÈTRES'!$C$110</f>
        <v>0.4</v>
      </c>
      <c r="O507">
        <f>4*'PARAMÈTRES'!$C$135-8*'PARAMÈTRES'!$C$108+2*'PARAMÈTRES'!$C$110</f>
        <v>0.4</v>
      </c>
      <c r="P507">
        <f>4*'PARAMÈTRES'!$C$135-8*'PARAMÈTRES'!$C$108+2*'PARAMÈTRES'!$C$110</f>
        <v>0.4</v>
      </c>
      <c r="Q507">
        <f>4*'PARAMÈTRES'!$C$135-8*'PARAMÈTRES'!$C$108+2*'PARAMÈTRES'!$C$110</f>
        <v>0.4</v>
      </c>
      <c r="R507">
        <f>4*'PARAMÈTRES'!$C$135-8*'PARAMÈTRES'!$C$108+2*'PARAMÈTRES'!$C$110</f>
        <v>0.4</v>
      </c>
      <c r="S507">
        <f>4*'PARAMÈTRES'!$C$135-8*'PARAMÈTRES'!$C$108+2*'PARAMÈTRES'!$C$110</f>
        <v>0.4</v>
      </c>
      <c r="T507">
        <f>4*'PARAMÈTRES'!$C$135-8*'PARAMÈTRES'!$C$108+2*'PARAMÈTRES'!$C$110</f>
        <v>0.4</v>
      </c>
      <c r="U507">
        <f>4*'PARAMÈTRES'!$C$135-8*'PARAMÈTRES'!$C$108+2*'PARAMÈTRES'!$C$110</f>
        <v>0.4</v>
      </c>
      <c r="V507">
        <f>4*'PARAMÈTRES'!$C$135-8*'PARAMÈTRES'!$C$108+2*'PARAMÈTRES'!$C$110</f>
        <v>0.4</v>
      </c>
      <c r="W507">
        <f>4*'PARAMÈTRES'!$C$135-8*'PARAMÈTRES'!$C$108+2*'PARAMÈTRES'!$C$110</f>
        <v>0.4</v>
      </c>
      <c r="X507">
        <f>4*'PARAMÈTRES'!$C$135-8*'PARAMÈTRES'!$C$108+2*'PARAMÈTRES'!$C$110</f>
        <v>0.4</v>
      </c>
    </row>
    <row r="508">
      <c r="A508" t="inlineStr">
        <is>
          <t>rd_k_lt</t>
        </is>
      </c>
      <c r="B508" t="inlineStr">
        <is>
          <t>GROS_ŒUVRE!G85</t>
        </is>
      </c>
      <c r="D508">
        <f>D506*D507</f>
        <v>0</v>
      </c>
      <c r="E508">
        <f>E506*E507</f>
        <v>0</v>
      </c>
      <c r="F508">
        <f>F506*F507</f>
        <v>520.8</v>
      </c>
      <c r="G508">
        <f>G506*G507</f>
        <v>0</v>
      </c>
      <c r="H508">
        <f>H506*H507</f>
        <v>0</v>
      </c>
      <c r="I508">
        <f>I506*I507</f>
        <v>520.8</v>
      </c>
      <c r="J508">
        <f>J506*J507</f>
        <v>0</v>
      </c>
      <c r="K508">
        <f>K506*K507</f>
        <v>0</v>
      </c>
      <c r="L508">
        <f>L506*L507</f>
        <v>595.2</v>
      </c>
      <c r="M508">
        <f>M506*M507</f>
        <v>0</v>
      </c>
      <c r="N508">
        <f>N506*N507</f>
        <v>0</v>
      </c>
      <c r="O508">
        <f>O506*O507</f>
        <v>595.2</v>
      </c>
      <c r="P508">
        <f>P506*P507</f>
        <v>0</v>
      </c>
      <c r="Q508">
        <f>Q506*Q507</f>
        <v>0</v>
      </c>
      <c r="R508">
        <f>R506*R507</f>
        <v>818.4</v>
      </c>
      <c r="S508">
        <f>S506*S507</f>
        <v>0</v>
      </c>
      <c r="T508">
        <f>T506*T507</f>
        <v>0</v>
      </c>
      <c r="U508">
        <f>U506*U507</f>
        <v>892.8</v>
      </c>
      <c r="V508">
        <f>V506*V507</f>
        <v>0</v>
      </c>
      <c r="W508">
        <f>W506*W507</f>
        <v>0</v>
      </c>
      <c r="X508">
        <f>X506*X507</f>
        <v>1243.2</v>
      </c>
    </row>
    <row r="509">
      <c r="A509" t="inlineStr">
        <is>
          <t>rd_k_kgml</t>
        </is>
      </c>
      <c r="B509" t="inlineStr">
        <is>
          <t>GROS_ŒUVRE!H85</t>
        </is>
      </c>
      <c r="D509">
        <f>IFERROR(_xlfn.XLOOKUP('PARAMÈTRES'!$C$133,'BASE_ACIERS'!$B$5:$B$20,'BASE_ACIERS'!$D$5:$D$20),IFERROR(INDEX('BASE_ACIERS'!$D$5:$D$20,MATCH('PARAMÈTRES'!$C$133,'BASE_ACIERS'!$B$5:$B$20,0)),0))</f>
        <v>0.222</v>
      </c>
      <c r="E509">
        <f>IFERROR(_xlfn.XLOOKUP('PARAMÈTRES'!$C$133,'BASE_ACIERS'!$B$5:$B$20,'BASE_ACIERS'!$D$5:$D$20),IFERROR(INDEX('BASE_ACIERS'!$D$5:$D$20,MATCH('PARAMÈTRES'!$C$133,'BASE_ACIERS'!$B$5:$B$20,0)),0))</f>
        <v>0.222</v>
      </c>
      <c r="F509">
        <f>IFERROR(_xlfn.XLOOKUP('PARAMÈTRES'!$C$133,'BASE_ACIERS'!$B$5:$B$20,'BASE_ACIERS'!$D$5:$D$20),IFERROR(INDEX('BASE_ACIERS'!$D$5:$D$20,MATCH('PARAMÈTRES'!$C$133,'BASE_ACIERS'!$B$5:$B$20,0)),0))</f>
        <v>0.222</v>
      </c>
      <c r="G509">
        <f>IFERROR(_xlfn.XLOOKUP('PARAMÈTRES'!$C$133,'BASE_ACIERS'!$B$5:$B$20,'BASE_ACIERS'!$D$5:$D$20),IFERROR(INDEX('BASE_ACIERS'!$D$5:$D$20,MATCH('PARAMÈTRES'!$C$133,'BASE_ACIERS'!$B$5:$B$20,0)),0))</f>
        <v>0.222</v>
      </c>
      <c r="H509">
        <f>IFERROR(_xlfn.XLOOKUP('PARAMÈTRES'!$C$133,'BASE_ACIERS'!$B$5:$B$20,'BASE_ACIERS'!$D$5:$D$20),IFERROR(INDEX('BASE_ACIERS'!$D$5:$D$20,MATCH('PARAMÈTRES'!$C$133,'BASE_ACIERS'!$B$5:$B$20,0)),0))</f>
        <v>0.222</v>
      </c>
      <c r="I509">
        <f>IFERROR(_xlfn.XLOOKUP('PARAMÈTRES'!$C$133,'BASE_ACIERS'!$B$5:$B$20,'BASE_ACIERS'!$D$5:$D$20),IFERROR(INDEX('BASE_ACIERS'!$D$5:$D$20,MATCH('PARAMÈTRES'!$C$133,'BASE_ACIERS'!$B$5:$B$20,0)),0))</f>
        <v>0.222</v>
      </c>
      <c r="J509">
        <f>IFERROR(_xlfn.XLOOKUP('PARAMÈTRES'!$C$133,'BASE_ACIERS'!$B$5:$B$20,'BASE_ACIERS'!$D$5:$D$20),IFERROR(INDEX('BASE_ACIERS'!$D$5:$D$20,MATCH('PARAMÈTRES'!$C$133,'BASE_ACIERS'!$B$5:$B$20,0)),0))</f>
        <v>0.222</v>
      </c>
      <c r="K509">
        <f>IFERROR(_xlfn.XLOOKUP('PARAMÈTRES'!$C$133,'BASE_ACIERS'!$B$5:$B$20,'BASE_ACIERS'!$D$5:$D$20),IFERROR(INDEX('BASE_ACIERS'!$D$5:$D$20,MATCH('PARAMÈTRES'!$C$133,'BASE_ACIERS'!$B$5:$B$20,0)),0))</f>
        <v>0.222</v>
      </c>
      <c r="L509">
        <f>IFERROR(_xlfn.XLOOKUP('PARAMÈTRES'!$C$133,'BASE_ACIERS'!$B$5:$B$20,'BASE_ACIERS'!$D$5:$D$20),IFERROR(INDEX('BASE_ACIERS'!$D$5:$D$20,MATCH('PARAMÈTRES'!$C$133,'BASE_ACIERS'!$B$5:$B$20,0)),0))</f>
        <v>0.222</v>
      </c>
      <c r="M509">
        <f>IFERROR(_xlfn.XLOOKUP('PARAMÈTRES'!$C$133,'BASE_ACIERS'!$B$5:$B$20,'BASE_ACIERS'!$D$5:$D$20),IFERROR(INDEX('BASE_ACIERS'!$D$5:$D$20,MATCH('PARAMÈTRES'!$C$133,'BASE_ACIERS'!$B$5:$B$20,0)),0))</f>
        <v>0.222</v>
      </c>
      <c r="N509">
        <f>IFERROR(_xlfn.XLOOKUP('PARAMÈTRES'!$C$133,'BASE_ACIERS'!$B$5:$B$20,'BASE_ACIERS'!$D$5:$D$20),IFERROR(INDEX('BASE_ACIERS'!$D$5:$D$20,MATCH('PARAMÈTRES'!$C$133,'BASE_ACIERS'!$B$5:$B$20,0)),0))</f>
        <v>0.222</v>
      </c>
      <c r="O509">
        <f>IFERROR(_xlfn.XLOOKUP('PARAMÈTRES'!$C$133,'BASE_ACIERS'!$B$5:$B$20,'BASE_ACIERS'!$D$5:$D$20),IFERROR(INDEX('BASE_ACIERS'!$D$5:$D$20,MATCH('PARAMÈTRES'!$C$133,'BASE_ACIERS'!$B$5:$B$20,0)),0))</f>
        <v>0.222</v>
      </c>
      <c r="P509">
        <f>IFERROR(_xlfn.XLOOKUP('PARAMÈTRES'!$C$133,'BASE_ACIERS'!$B$5:$B$20,'BASE_ACIERS'!$D$5:$D$20),IFERROR(INDEX('BASE_ACIERS'!$D$5:$D$20,MATCH('PARAMÈTRES'!$C$133,'BASE_ACIERS'!$B$5:$B$20,0)),0))</f>
        <v>0.222</v>
      </c>
      <c r="Q509">
        <f>IFERROR(_xlfn.XLOOKUP('PARAMÈTRES'!$C$133,'BASE_ACIERS'!$B$5:$B$20,'BASE_ACIERS'!$D$5:$D$20),IFERROR(INDEX('BASE_ACIERS'!$D$5:$D$20,MATCH('PARAMÈTRES'!$C$133,'BASE_ACIERS'!$B$5:$B$20,0)),0))</f>
        <v>0.222</v>
      </c>
      <c r="R509">
        <f>IFERROR(_xlfn.XLOOKUP('PARAMÈTRES'!$C$133,'BASE_ACIERS'!$B$5:$B$20,'BASE_ACIERS'!$D$5:$D$20),IFERROR(INDEX('BASE_ACIERS'!$D$5:$D$20,MATCH('PARAMÈTRES'!$C$133,'BASE_ACIERS'!$B$5:$B$20,0)),0))</f>
        <v>0.222</v>
      </c>
      <c r="S509">
        <f>IFERROR(_xlfn.XLOOKUP('PARAMÈTRES'!$C$133,'BASE_ACIERS'!$B$5:$B$20,'BASE_ACIERS'!$D$5:$D$20),IFERROR(INDEX('BASE_ACIERS'!$D$5:$D$20,MATCH('PARAMÈTRES'!$C$133,'BASE_ACIERS'!$B$5:$B$20,0)),0))</f>
        <v>0.222</v>
      </c>
      <c r="T509">
        <f>IFERROR(_xlfn.XLOOKUP('PARAMÈTRES'!$C$133,'BASE_ACIERS'!$B$5:$B$20,'BASE_ACIERS'!$D$5:$D$20),IFERROR(INDEX('BASE_ACIERS'!$D$5:$D$20,MATCH('PARAMÈTRES'!$C$133,'BASE_ACIERS'!$B$5:$B$20,0)),0))</f>
        <v>0.222</v>
      </c>
      <c r="U509">
        <f>IFERROR(_xlfn.XLOOKUP('PARAMÈTRES'!$C$133,'BASE_ACIERS'!$B$5:$B$20,'BASE_ACIERS'!$D$5:$D$20),IFERROR(INDEX('BASE_ACIERS'!$D$5:$D$20,MATCH('PARAMÈTRES'!$C$133,'BASE_ACIERS'!$B$5:$B$20,0)),0))</f>
        <v>0.222</v>
      </c>
      <c r="V509">
        <f>IFERROR(_xlfn.XLOOKUP('PARAMÈTRES'!$C$133,'BASE_ACIERS'!$B$5:$B$20,'BASE_ACIERS'!$D$5:$D$20),IFERROR(INDEX('BASE_ACIERS'!$D$5:$D$20,MATCH('PARAMÈTRES'!$C$133,'BASE_ACIERS'!$B$5:$B$20,0)),0))</f>
        <v>0.222</v>
      </c>
      <c r="W509">
        <f>IFERROR(_xlfn.XLOOKUP('PARAMÈTRES'!$C$133,'BASE_ACIERS'!$B$5:$B$20,'BASE_ACIERS'!$D$5:$D$20),IFERROR(INDEX('BASE_ACIERS'!$D$5:$D$20,MATCH('PARAMÈTRES'!$C$133,'BASE_ACIERS'!$B$5:$B$20,0)),0))</f>
        <v>0.222</v>
      </c>
      <c r="X509">
        <f>IFERROR(_xlfn.XLOOKUP('PARAMÈTRES'!$C$133,'BASE_ACIERS'!$B$5:$B$20,'BASE_ACIERS'!$D$5:$D$20),IFERROR(INDEX('BASE_ACIERS'!$D$5:$D$20,MATCH('PARAMÈTRES'!$C$133,'BASE_ACIERS'!$B$5:$B$20,0)),0))</f>
        <v>0.222</v>
      </c>
    </row>
    <row r="510">
      <c r="A510" t="inlineStr">
        <is>
          <t>rd_k_kg</t>
        </is>
      </c>
      <c r="B510" t="inlineStr">
        <is>
          <t>GROS_ŒUVRE!I85</t>
        </is>
      </c>
      <c r="D510">
        <f>D508*D509</f>
        <v>0</v>
      </c>
      <c r="E510">
        <f>E508*E509</f>
        <v>0</v>
      </c>
      <c r="F510">
        <f>F508*F509</f>
        <v>115.6176</v>
      </c>
      <c r="G510">
        <f>G508*G509</f>
        <v>0</v>
      </c>
      <c r="H510">
        <f>H508*H509</f>
        <v>0</v>
      </c>
      <c r="I510">
        <f>I508*I509</f>
        <v>115.6176</v>
      </c>
      <c r="J510">
        <f>J508*J509</f>
        <v>0</v>
      </c>
      <c r="K510">
        <f>K508*K509</f>
        <v>0</v>
      </c>
      <c r="L510">
        <f>L508*L509</f>
        <v>132.1344</v>
      </c>
      <c r="M510">
        <f>M508*M509</f>
        <v>0</v>
      </c>
      <c r="N510">
        <f>N508*N509</f>
        <v>0</v>
      </c>
      <c r="O510">
        <f>O508*O509</f>
        <v>132.1344</v>
      </c>
      <c r="P510">
        <f>P508*P509</f>
        <v>0</v>
      </c>
      <c r="Q510">
        <f>Q508*Q509</f>
        <v>0</v>
      </c>
      <c r="R510">
        <f>R508*R509</f>
        <v>181.6848</v>
      </c>
      <c r="S510">
        <f>S508*S509</f>
        <v>0</v>
      </c>
      <c r="T510">
        <f>T508*T509</f>
        <v>0</v>
      </c>
      <c r="U510">
        <f>U508*U509</f>
        <v>198.2016</v>
      </c>
      <c r="V510">
        <f>V508*V509</f>
        <v>0</v>
      </c>
      <c r="W510">
        <f>W508*W509</f>
        <v>0</v>
      </c>
      <c r="X510">
        <f>X508*X509</f>
        <v>275.9904</v>
      </c>
    </row>
    <row r="511">
      <c r="A511" t="inlineStr">
        <is>
          <t>li_l_q</t>
        </is>
      </c>
      <c r="B511" t="inlineStr">
        <is>
          <t>GROS_ŒUVRE!E86</t>
        </is>
      </c>
      <c r="D511">
        <f>D36*(IF('PARAMÈTRES'!$C$30&lt;D370,'PARAMÈTRES'!$C$28*('PARAMÈTRES'!$C$29+2*'PARAMÈTRES'!$C$137),0)+IF('PARAMÈTRES'!$C$34&lt;D370,'PARAMÈTRES'!$C$32*('PARAMÈTRES'!$C$33+2*'PARAMÈTRES'!$C$137),0))</f>
        <v>0</v>
      </c>
      <c r="E511">
        <f>E36*(IF('PARAMÈTRES'!$C$30&lt;E370,'PARAMÈTRES'!$C$28*('PARAMÈTRES'!$C$29+2*'PARAMÈTRES'!$C$137),0)+IF('PARAMÈTRES'!$C$34&lt;E370,'PARAMÈTRES'!$C$32*('PARAMÈTRES'!$C$33+2*'PARAMÈTRES'!$C$137),0))</f>
        <v>0</v>
      </c>
      <c r="F511">
        <f>F36*(IF('PARAMÈTRES'!$C$30&lt;F370,'PARAMÈTRES'!$C$28*('PARAMÈTRES'!$C$29+2*'PARAMÈTRES'!$C$137),0)+IF('PARAMÈTRES'!$C$34&lt;F370,'PARAMÈTRES'!$C$32*('PARAMÈTRES'!$C$33+2*'PARAMÈTRES'!$C$137),0))</f>
        <v>10.3</v>
      </c>
      <c r="G511">
        <f>G36*(IF('PARAMÈTRES'!$C$30&lt;G370,'PARAMÈTRES'!$C$28*('PARAMÈTRES'!$C$29+2*'PARAMÈTRES'!$C$137),0)+IF('PARAMÈTRES'!$C$34&lt;G370,'PARAMÈTRES'!$C$32*('PARAMÈTRES'!$C$33+2*'PARAMÈTRES'!$C$137),0))</f>
        <v>0</v>
      </c>
      <c r="H511">
        <f>H36*(IF('PARAMÈTRES'!$C$30&lt;H370,'PARAMÈTRES'!$C$28*('PARAMÈTRES'!$C$29+2*'PARAMÈTRES'!$C$137),0)+IF('PARAMÈTRES'!$C$34&lt;H370,'PARAMÈTRES'!$C$32*('PARAMÈTRES'!$C$33+2*'PARAMÈTRES'!$C$137),0))</f>
        <v>0</v>
      </c>
      <c r="I511">
        <f>I36*(IF('PARAMÈTRES'!$C$30&lt;I370,'PARAMÈTRES'!$C$28*('PARAMÈTRES'!$C$29+2*'PARAMÈTRES'!$C$137),0)+IF('PARAMÈTRES'!$C$34&lt;I370,'PARAMÈTRES'!$C$32*('PARAMÈTRES'!$C$33+2*'PARAMÈTRES'!$C$137),0))</f>
        <v>10.3</v>
      </c>
      <c r="J511">
        <f>J36*(IF('PARAMÈTRES'!$C$30&lt;J370,'PARAMÈTRES'!$C$28*('PARAMÈTRES'!$C$29+2*'PARAMÈTRES'!$C$137),0)+IF('PARAMÈTRES'!$C$34&lt;J370,'PARAMÈTRES'!$C$32*('PARAMÈTRES'!$C$33+2*'PARAMÈTRES'!$C$137),0))</f>
        <v>0</v>
      </c>
      <c r="K511">
        <f>K36*(IF('PARAMÈTRES'!$C$30&lt;K370,'PARAMÈTRES'!$C$28*('PARAMÈTRES'!$C$29+2*'PARAMÈTRES'!$C$137),0)+IF('PARAMÈTRES'!$C$34&lt;K370,'PARAMÈTRES'!$C$32*('PARAMÈTRES'!$C$33+2*'PARAMÈTRES'!$C$137),0))</f>
        <v>0</v>
      </c>
      <c r="L511">
        <f>L36*(IF('PARAMÈTRES'!$C$30&lt;L370,'PARAMÈTRES'!$C$28*('PARAMÈTRES'!$C$29+2*'PARAMÈTRES'!$C$137),0)+IF('PARAMÈTRES'!$C$34&lt;L370,'PARAMÈTRES'!$C$32*('PARAMÈTRES'!$C$33+2*'PARAMÈTRES'!$C$137),0))</f>
        <v>10.3</v>
      </c>
      <c r="M511">
        <f>M36*(IF('PARAMÈTRES'!$C$30&lt;M370,'PARAMÈTRES'!$C$28*('PARAMÈTRES'!$C$29+2*'PARAMÈTRES'!$C$137),0)+IF('PARAMÈTRES'!$C$34&lt;M370,'PARAMÈTRES'!$C$32*('PARAMÈTRES'!$C$33+2*'PARAMÈTRES'!$C$137),0))</f>
        <v>0</v>
      </c>
      <c r="N511">
        <f>N36*(IF('PARAMÈTRES'!$C$30&lt;N370,'PARAMÈTRES'!$C$28*('PARAMÈTRES'!$C$29+2*'PARAMÈTRES'!$C$137),0)+IF('PARAMÈTRES'!$C$34&lt;N370,'PARAMÈTRES'!$C$32*('PARAMÈTRES'!$C$33+2*'PARAMÈTRES'!$C$137),0))</f>
        <v>0</v>
      </c>
      <c r="O511">
        <f>O36*(IF('PARAMÈTRES'!$C$30&lt;O370,'PARAMÈTRES'!$C$28*('PARAMÈTRES'!$C$29+2*'PARAMÈTRES'!$C$137),0)+IF('PARAMÈTRES'!$C$34&lt;O370,'PARAMÈTRES'!$C$32*('PARAMÈTRES'!$C$33+2*'PARAMÈTRES'!$C$137),0))</f>
        <v>10.3</v>
      </c>
      <c r="P511">
        <f>P36*(IF('PARAMÈTRES'!$C$30&lt;P370,'PARAMÈTRES'!$C$28*('PARAMÈTRES'!$C$29+2*'PARAMÈTRES'!$C$137),0)+IF('PARAMÈTRES'!$C$34&lt;P370,'PARAMÈTRES'!$C$32*('PARAMÈTRES'!$C$33+2*'PARAMÈTRES'!$C$137),0))</f>
        <v>0</v>
      </c>
      <c r="Q511">
        <f>Q36*(IF('PARAMÈTRES'!$C$30&lt;Q370,'PARAMÈTRES'!$C$28*('PARAMÈTRES'!$C$29+2*'PARAMÈTRES'!$C$137),0)+IF('PARAMÈTRES'!$C$34&lt;Q370,'PARAMÈTRES'!$C$32*('PARAMÈTRES'!$C$33+2*'PARAMÈTRES'!$C$137),0))</f>
        <v>0</v>
      </c>
      <c r="R511">
        <f>R36*(IF('PARAMÈTRES'!$C$30&lt;R370,'PARAMÈTRES'!$C$28*('PARAMÈTRES'!$C$29+2*'PARAMÈTRES'!$C$137),0)+IF('PARAMÈTRES'!$C$34&lt;R370,'PARAMÈTRES'!$C$32*('PARAMÈTRES'!$C$33+2*'PARAMÈTRES'!$C$137),0))</f>
        <v>10.3</v>
      </c>
      <c r="S511">
        <f>S36*(IF('PARAMÈTRES'!$C$30&lt;S370,'PARAMÈTRES'!$C$28*('PARAMÈTRES'!$C$29+2*'PARAMÈTRES'!$C$137),0)+IF('PARAMÈTRES'!$C$34&lt;S370,'PARAMÈTRES'!$C$32*('PARAMÈTRES'!$C$33+2*'PARAMÈTRES'!$C$137),0))</f>
        <v>0</v>
      </c>
      <c r="T511">
        <f>T36*(IF('PARAMÈTRES'!$C$30&lt;T370,'PARAMÈTRES'!$C$28*('PARAMÈTRES'!$C$29+2*'PARAMÈTRES'!$C$137),0)+IF('PARAMÈTRES'!$C$34&lt;T370,'PARAMÈTRES'!$C$32*('PARAMÈTRES'!$C$33+2*'PARAMÈTRES'!$C$137),0))</f>
        <v>0</v>
      </c>
      <c r="U511">
        <f>U36*(IF('PARAMÈTRES'!$C$30&lt;U370,'PARAMÈTRES'!$C$28*('PARAMÈTRES'!$C$29+2*'PARAMÈTRES'!$C$137),0)+IF('PARAMÈTRES'!$C$34&lt;U370,'PARAMÈTRES'!$C$32*('PARAMÈTRES'!$C$33+2*'PARAMÈTRES'!$C$137),0))</f>
        <v>10.3</v>
      </c>
      <c r="V511">
        <f>V36*(IF('PARAMÈTRES'!$C$30&lt;V370,'PARAMÈTRES'!$C$28*('PARAMÈTRES'!$C$29+2*'PARAMÈTRES'!$C$137),0)+IF('PARAMÈTRES'!$C$34&lt;V370,'PARAMÈTRES'!$C$32*('PARAMÈTRES'!$C$33+2*'PARAMÈTRES'!$C$137),0))</f>
        <v>0</v>
      </c>
      <c r="W511">
        <f>W36*(IF('PARAMÈTRES'!$C$30&lt;W370,'PARAMÈTRES'!$C$28*('PARAMÈTRES'!$C$29+2*'PARAMÈTRES'!$C$137),0)+IF('PARAMÈTRES'!$C$34&lt;W370,'PARAMÈTRES'!$C$32*('PARAMÈTRES'!$C$33+2*'PARAMÈTRES'!$C$137),0))</f>
        <v>0</v>
      </c>
      <c r="X511">
        <f>X36*(IF('PARAMÈTRES'!$C$30&lt;X370,'PARAMÈTRES'!$C$28*('PARAMÈTRES'!$C$29+2*'PARAMÈTRES'!$C$137),0)+IF('PARAMÈTRES'!$C$34&lt;X370,'PARAMÈTRES'!$C$32*('PARAMÈTRES'!$C$33+2*'PARAMÈTRES'!$C$137),0))</f>
        <v>10.3</v>
      </c>
    </row>
    <row r="512">
      <c r="A512" t="inlineStr">
        <is>
          <t>li_b_q</t>
        </is>
      </c>
      <c r="B512" t="inlineStr">
        <is>
          <t>GROS_ŒUVRE!E87</t>
        </is>
      </c>
      <c r="D512">
        <f>D511*'PARAMÈTRES'!$C$129*'PARAMÈTRES'!$C$130</f>
        <v>0</v>
      </c>
      <c r="E512">
        <f>E511*'PARAMÈTRES'!$C$129*'PARAMÈTRES'!$C$130</f>
        <v>0</v>
      </c>
      <c r="F512">
        <f>F511*'PARAMÈTRES'!$C$129*'PARAMÈTRES'!$C$130</f>
        <v>0.309</v>
      </c>
      <c r="G512">
        <f>G511*'PARAMÈTRES'!$C$129*'PARAMÈTRES'!$C$130</f>
        <v>0</v>
      </c>
      <c r="H512">
        <f>H511*'PARAMÈTRES'!$C$129*'PARAMÈTRES'!$C$130</f>
        <v>0</v>
      </c>
      <c r="I512">
        <f>I511*'PARAMÈTRES'!$C$129*'PARAMÈTRES'!$C$130</f>
        <v>0.309</v>
      </c>
      <c r="J512">
        <f>J511*'PARAMÈTRES'!$C$129*'PARAMÈTRES'!$C$130</f>
        <v>0</v>
      </c>
      <c r="K512">
        <f>K511*'PARAMÈTRES'!$C$129*'PARAMÈTRES'!$C$130</f>
        <v>0</v>
      </c>
      <c r="L512">
        <f>L511*'PARAMÈTRES'!$C$129*'PARAMÈTRES'!$C$130</f>
        <v>0.309</v>
      </c>
      <c r="M512">
        <f>M511*'PARAMÈTRES'!$C$129*'PARAMÈTRES'!$C$130</f>
        <v>0</v>
      </c>
      <c r="N512">
        <f>N511*'PARAMÈTRES'!$C$129*'PARAMÈTRES'!$C$130</f>
        <v>0</v>
      </c>
      <c r="O512">
        <f>O511*'PARAMÈTRES'!$C$129*'PARAMÈTRES'!$C$130</f>
        <v>0.309</v>
      </c>
      <c r="P512">
        <f>P511*'PARAMÈTRES'!$C$129*'PARAMÈTRES'!$C$130</f>
        <v>0</v>
      </c>
      <c r="Q512">
        <f>Q511*'PARAMÈTRES'!$C$129*'PARAMÈTRES'!$C$130</f>
        <v>0</v>
      </c>
      <c r="R512">
        <f>R511*'PARAMÈTRES'!$C$129*'PARAMÈTRES'!$C$130</f>
        <v>0.309</v>
      </c>
      <c r="S512">
        <f>S511*'PARAMÈTRES'!$C$129*'PARAMÈTRES'!$C$130</f>
        <v>0</v>
      </c>
      <c r="T512">
        <f>T511*'PARAMÈTRES'!$C$129*'PARAMÈTRES'!$C$130</f>
        <v>0</v>
      </c>
      <c r="U512">
        <f>U511*'PARAMÈTRES'!$C$129*'PARAMÈTRES'!$C$130</f>
        <v>0.309</v>
      </c>
      <c r="V512">
        <f>V511*'PARAMÈTRES'!$C$129*'PARAMÈTRES'!$C$130</f>
        <v>0</v>
      </c>
      <c r="W512">
        <f>W511*'PARAMÈTRES'!$C$129*'PARAMÈTRES'!$C$130</f>
        <v>0</v>
      </c>
      <c r="X512">
        <f>X511*'PARAMÈTRES'!$C$129*'PARAMÈTRES'!$C$130</f>
        <v>0.309</v>
      </c>
    </row>
    <row r="513">
      <c r="A513" t="inlineStr">
        <is>
          <t>li_c_q</t>
        </is>
      </c>
      <c r="B513" t="inlineStr">
        <is>
          <t>GROS_ŒUVRE!E88</t>
        </is>
      </c>
      <c r="D513">
        <f>D511*(2*'PARAMÈTRES'!$C$130+'PARAMÈTRES'!$C$129)</f>
        <v>0</v>
      </c>
      <c r="E513">
        <f>E511*(2*'PARAMÈTRES'!$C$130+'PARAMÈTRES'!$C$129)</f>
        <v>0</v>
      </c>
      <c r="F513">
        <f>F511*(2*'PARAMÈTRES'!$C$130+'PARAMÈTRES'!$C$129)</f>
        <v>5.665</v>
      </c>
      <c r="G513">
        <f>G511*(2*'PARAMÈTRES'!$C$130+'PARAMÈTRES'!$C$129)</f>
        <v>0</v>
      </c>
      <c r="H513">
        <f>H511*(2*'PARAMÈTRES'!$C$130+'PARAMÈTRES'!$C$129)</f>
        <v>0</v>
      </c>
      <c r="I513">
        <f>I511*(2*'PARAMÈTRES'!$C$130+'PARAMÈTRES'!$C$129)</f>
        <v>5.665</v>
      </c>
      <c r="J513">
        <f>J511*(2*'PARAMÈTRES'!$C$130+'PARAMÈTRES'!$C$129)</f>
        <v>0</v>
      </c>
      <c r="K513">
        <f>K511*(2*'PARAMÈTRES'!$C$130+'PARAMÈTRES'!$C$129)</f>
        <v>0</v>
      </c>
      <c r="L513">
        <f>L511*(2*'PARAMÈTRES'!$C$130+'PARAMÈTRES'!$C$129)</f>
        <v>5.665</v>
      </c>
      <c r="M513">
        <f>M511*(2*'PARAMÈTRES'!$C$130+'PARAMÈTRES'!$C$129)</f>
        <v>0</v>
      </c>
      <c r="N513">
        <f>N511*(2*'PARAMÈTRES'!$C$130+'PARAMÈTRES'!$C$129)</f>
        <v>0</v>
      </c>
      <c r="O513">
        <f>O511*(2*'PARAMÈTRES'!$C$130+'PARAMÈTRES'!$C$129)</f>
        <v>5.665</v>
      </c>
      <c r="P513">
        <f>P511*(2*'PARAMÈTRES'!$C$130+'PARAMÈTRES'!$C$129)</f>
        <v>0</v>
      </c>
      <c r="Q513">
        <f>Q511*(2*'PARAMÈTRES'!$C$130+'PARAMÈTRES'!$C$129)</f>
        <v>0</v>
      </c>
      <c r="R513">
        <f>R511*(2*'PARAMÈTRES'!$C$130+'PARAMÈTRES'!$C$129)</f>
        <v>5.665</v>
      </c>
      <c r="S513">
        <f>S511*(2*'PARAMÈTRES'!$C$130+'PARAMÈTRES'!$C$129)</f>
        <v>0</v>
      </c>
      <c r="T513">
        <f>T511*(2*'PARAMÈTRES'!$C$130+'PARAMÈTRES'!$C$129)</f>
        <v>0</v>
      </c>
      <c r="U513">
        <f>U511*(2*'PARAMÈTRES'!$C$130+'PARAMÈTRES'!$C$129)</f>
        <v>5.665</v>
      </c>
      <c r="V513">
        <f>V511*(2*'PARAMÈTRES'!$C$130+'PARAMÈTRES'!$C$129)</f>
        <v>0</v>
      </c>
      <c r="W513">
        <f>W511*(2*'PARAMÈTRES'!$C$130+'PARAMÈTRES'!$C$129)</f>
        <v>0</v>
      </c>
      <c r="X513">
        <f>X511*(2*'PARAMÈTRES'!$C$130+'PARAMÈTRES'!$C$129)</f>
        <v>5.665</v>
      </c>
    </row>
    <row r="514">
      <c r="A514" t="inlineStr">
        <is>
          <t>li_a_p</t>
        </is>
      </c>
      <c r="B514" t="inlineStr">
        <is>
          <t>GROS_ŒUVRE!C89</t>
        </is>
      </c>
      <c r="D514" t="str">
        <f>'PARAMÈTRES'!$C$131</f>
        <v>HA10</v>
      </c>
      <c r="E514" t="str">
        <f>'PARAMÈTRES'!$C$131</f>
        <v>HA10</v>
      </c>
      <c r="F514" t="str">
        <f>'PARAMÈTRES'!$C$131</f>
        <v>HA10</v>
      </c>
      <c r="G514" t="str">
        <f>'PARAMÈTRES'!$C$131</f>
        <v>HA10</v>
      </c>
      <c r="H514" t="str">
        <f>'PARAMÈTRES'!$C$131</f>
        <v>HA10</v>
      </c>
      <c r="I514" t="str">
        <f>'PARAMÈTRES'!$C$131</f>
        <v>HA10</v>
      </c>
      <c r="J514" t="str">
        <f>'PARAMÈTRES'!$C$131</f>
        <v>HA10</v>
      </c>
      <c r="K514" t="str">
        <f>'PARAMÈTRES'!$C$131</f>
        <v>HA10</v>
      </c>
      <c r="L514" t="str">
        <f>'PARAMÈTRES'!$C$131</f>
        <v>HA10</v>
      </c>
      <c r="M514" t="str">
        <f>'PARAMÈTRES'!$C$131</f>
        <v>HA10</v>
      </c>
      <c r="N514" t="str">
        <f>'PARAMÈTRES'!$C$131</f>
        <v>HA10</v>
      </c>
      <c r="O514" t="str">
        <f>'PARAMÈTRES'!$C$131</f>
        <v>HA10</v>
      </c>
      <c r="P514" t="str">
        <f>'PARAMÈTRES'!$C$131</f>
        <v>HA10</v>
      </c>
      <c r="Q514" t="str">
        <f>'PARAMÈTRES'!$C$131</f>
        <v>HA10</v>
      </c>
      <c r="R514" t="str">
        <f>'PARAMÈTRES'!$C$131</f>
        <v>HA10</v>
      </c>
      <c r="S514" t="str">
        <f>'PARAMÈTRES'!$C$131</f>
        <v>HA10</v>
      </c>
      <c r="T514" t="str">
        <f>'PARAMÈTRES'!$C$131</f>
        <v>HA10</v>
      </c>
      <c r="U514" t="str">
        <f>'PARAMÈTRES'!$C$131</f>
        <v>HA10</v>
      </c>
      <c r="V514" t="str">
        <f>'PARAMÈTRES'!$C$131</f>
        <v>HA10</v>
      </c>
      <c r="W514" t="str">
        <f>'PARAMÈTRES'!$C$131</f>
        <v>HA10</v>
      </c>
      <c r="X514" t="str">
        <f>'PARAMÈTRES'!$C$131</f>
        <v>HA10</v>
      </c>
    </row>
    <row r="515">
      <c r="A515" t="inlineStr">
        <is>
          <t>li_a_q</t>
        </is>
      </c>
      <c r="B515" t="inlineStr">
        <is>
          <t>GROS_ŒUVRE!E89</t>
        </is>
      </c>
      <c r="D515">
        <f>'PARAMÈTRES'!$C$132</f>
        <v>4</v>
      </c>
      <c r="E515">
        <f>'PARAMÈTRES'!$C$132</f>
        <v>4</v>
      </c>
      <c r="F515">
        <f>'PARAMÈTRES'!$C$132</f>
        <v>4</v>
      </c>
      <c r="G515">
        <f>'PARAMÈTRES'!$C$132</f>
        <v>4</v>
      </c>
      <c r="H515">
        <f>'PARAMÈTRES'!$C$132</f>
        <v>4</v>
      </c>
      <c r="I515">
        <f>'PARAMÈTRES'!$C$132</f>
        <v>4</v>
      </c>
      <c r="J515">
        <f>'PARAMÈTRES'!$C$132</f>
        <v>4</v>
      </c>
      <c r="K515">
        <f>'PARAMÈTRES'!$C$132</f>
        <v>4</v>
      </c>
      <c r="L515">
        <f>'PARAMÈTRES'!$C$132</f>
        <v>4</v>
      </c>
      <c r="M515">
        <f>'PARAMÈTRES'!$C$132</f>
        <v>4</v>
      </c>
      <c r="N515">
        <f>'PARAMÈTRES'!$C$132</f>
        <v>4</v>
      </c>
      <c r="O515">
        <f>'PARAMÈTRES'!$C$132</f>
        <v>4</v>
      </c>
      <c r="P515">
        <f>'PARAMÈTRES'!$C$132</f>
        <v>4</v>
      </c>
      <c r="Q515">
        <f>'PARAMÈTRES'!$C$132</f>
        <v>4</v>
      </c>
      <c r="R515">
        <f>'PARAMÈTRES'!$C$132</f>
        <v>4</v>
      </c>
      <c r="S515">
        <f>'PARAMÈTRES'!$C$132</f>
        <v>4</v>
      </c>
      <c r="T515">
        <f>'PARAMÈTRES'!$C$132</f>
        <v>4</v>
      </c>
      <c r="U515">
        <f>'PARAMÈTRES'!$C$132</f>
        <v>4</v>
      </c>
      <c r="V515">
        <f>'PARAMÈTRES'!$C$132</f>
        <v>4</v>
      </c>
      <c r="W515">
        <f>'PARAMÈTRES'!$C$132</f>
        <v>4</v>
      </c>
      <c r="X515">
        <f>'PARAMÈTRES'!$C$132</f>
        <v>4</v>
      </c>
    </row>
    <row r="516">
      <c r="A516" t="inlineStr">
        <is>
          <t>li_a_lu</t>
        </is>
      </c>
      <c r="B516" t="inlineStr">
        <is>
          <t>GROS_ŒUVRE!F89</t>
        </is>
      </c>
      <c r="D516">
        <f>D511</f>
        <v>0</v>
      </c>
      <c r="E516">
        <f>E511</f>
        <v>0</v>
      </c>
      <c r="F516">
        <f>F511</f>
        <v>10.3</v>
      </c>
      <c r="G516">
        <f>G511</f>
        <v>0</v>
      </c>
      <c r="H516">
        <f>H511</f>
        <v>0</v>
      </c>
      <c r="I516">
        <f>I511</f>
        <v>10.3</v>
      </c>
      <c r="J516">
        <f>J511</f>
        <v>0</v>
      </c>
      <c r="K516">
        <f>K511</f>
        <v>0</v>
      </c>
      <c r="L516">
        <f>L511</f>
        <v>10.3</v>
      </c>
      <c r="M516">
        <f>M511</f>
        <v>0</v>
      </c>
      <c r="N516">
        <f>N511</f>
        <v>0</v>
      </c>
      <c r="O516">
        <f>O511</f>
        <v>10.3</v>
      </c>
      <c r="P516">
        <f>P511</f>
        <v>0</v>
      </c>
      <c r="Q516">
        <f>Q511</f>
        <v>0</v>
      </c>
      <c r="R516">
        <f>R511</f>
        <v>10.3</v>
      </c>
      <c r="S516">
        <f>S511</f>
        <v>0</v>
      </c>
      <c r="T516">
        <f>T511</f>
        <v>0</v>
      </c>
      <c r="U516">
        <f>U511</f>
        <v>10.3</v>
      </c>
      <c r="V516">
        <f>V511</f>
        <v>0</v>
      </c>
      <c r="W516">
        <f>W511</f>
        <v>0</v>
      </c>
      <c r="X516">
        <f>X511</f>
        <v>10.3</v>
      </c>
    </row>
    <row r="517">
      <c r="A517" t="inlineStr">
        <is>
          <t>li_a_lt</t>
        </is>
      </c>
      <c r="B517" t="inlineStr">
        <is>
          <t>GROS_ŒUVRE!G89</t>
        </is>
      </c>
      <c r="D517">
        <f>D515*D516</f>
        <v>0</v>
      </c>
      <c r="E517">
        <f>E515*E516</f>
        <v>0</v>
      </c>
      <c r="F517">
        <f>F515*F516</f>
        <v>41.2</v>
      </c>
      <c r="G517">
        <f>G515*G516</f>
        <v>0</v>
      </c>
      <c r="H517">
        <f>H515*H516</f>
        <v>0</v>
      </c>
      <c r="I517">
        <f>I515*I516</f>
        <v>41.2</v>
      </c>
      <c r="J517">
        <f>J515*J516</f>
        <v>0</v>
      </c>
      <c r="K517">
        <f>K515*K516</f>
        <v>0</v>
      </c>
      <c r="L517">
        <f>L515*L516</f>
        <v>41.2</v>
      </c>
      <c r="M517">
        <f>M515*M516</f>
        <v>0</v>
      </c>
      <c r="N517">
        <f>N515*N516</f>
        <v>0</v>
      </c>
      <c r="O517">
        <f>O515*O516</f>
        <v>41.2</v>
      </c>
      <c r="P517">
        <f>P515*P516</f>
        <v>0</v>
      </c>
      <c r="Q517">
        <f>Q515*Q516</f>
        <v>0</v>
      </c>
      <c r="R517">
        <f>R515*R516</f>
        <v>41.2</v>
      </c>
      <c r="S517">
        <f>S515*S516</f>
        <v>0</v>
      </c>
      <c r="T517">
        <f>T515*T516</f>
        <v>0</v>
      </c>
      <c r="U517">
        <f>U515*U516</f>
        <v>41.2</v>
      </c>
      <c r="V517">
        <f>V515*V516</f>
        <v>0</v>
      </c>
      <c r="W517">
        <f>W515*W516</f>
        <v>0</v>
      </c>
      <c r="X517">
        <f>X515*X516</f>
        <v>41.2</v>
      </c>
    </row>
    <row r="518">
      <c r="A518" t="inlineStr">
        <is>
          <t>li_a_kgml</t>
        </is>
      </c>
      <c r="B518" t="inlineStr">
        <is>
          <t>GROS_ŒUVRE!H89</t>
        </is>
      </c>
      <c r="D518">
        <f>IFERROR(_xlfn.XLOOKUP('PARAMÈTRES'!$C$131,'BASE_ACIERS'!$B$5:$B$20,'BASE_ACIERS'!$D$5:$D$20),IFERROR(INDEX('BASE_ACIERS'!$D$5:$D$20,MATCH('PARAMÈTRES'!$C$131,'BASE_ACIERS'!$B$5:$B$20,0)),0))</f>
        <v>0.617</v>
      </c>
      <c r="E518">
        <f>IFERROR(_xlfn.XLOOKUP('PARAMÈTRES'!$C$131,'BASE_ACIERS'!$B$5:$B$20,'BASE_ACIERS'!$D$5:$D$20),IFERROR(INDEX('BASE_ACIERS'!$D$5:$D$20,MATCH('PARAMÈTRES'!$C$131,'BASE_ACIERS'!$B$5:$B$20,0)),0))</f>
        <v>0.617</v>
      </c>
      <c r="F518">
        <f>IFERROR(_xlfn.XLOOKUP('PARAMÈTRES'!$C$131,'BASE_ACIERS'!$B$5:$B$20,'BASE_ACIERS'!$D$5:$D$20),IFERROR(INDEX('BASE_ACIERS'!$D$5:$D$20,MATCH('PARAMÈTRES'!$C$131,'BASE_ACIERS'!$B$5:$B$20,0)),0))</f>
        <v>0.617</v>
      </c>
      <c r="G518">
        <f>IFERROR(_xlfn.XLOOKUP('PARAMÈTRES'!$C$131,'BASE_ACIERS'!$B$5:$B$20,'BASE_ACIERS'!$D$5:$D$20),IFERROR(INDEX('BASE_ACIERS'!$D$5:$D$20,MATCH('PARAMÈTRES'!$C$131,'BASE_ACIERS'!$B$5:$B$20,0)),0))</f>
        <v>0.617</v>
      </c>
      <c r="H518">
        <f>IFERROR(_xlfn.XLOOKUP('PARAMÈTRES'!$C$131,'BASE_ACIERS'!$B$5:$B$20,'BASE_ACIERS'!$D$5:$D$20),IFERROR(INDEX('BASE_ACIERS'!$D$5:$D$20,MATCH('PARAMÈTRES'!$C$131,'BASE_ACIERS'!$B$5:$B$20,0)),0))</f>
        <v>0.617</v>
      </c>
      <c r="I518">
        <f>IFERROR(_xlfn.XLOOKUP('PARAMÈTRES'!$C$131,'BASE_ACIERS'!$B$5:$B$20,'BASE_ACIERS'!$D$5:$D$20),IFERROR(INDEX('BASE_ACIERS'!$D$5:$D$20,MATCH('PARAMÈTRES'!$C$131,'BASE_ACIERS'!$B$5:$B$20,0)),0))</f>
        <v>0.617</v>
      </c>
      <c r="J518">
        <f>IFERROR(_xlfn.XLOOKUP('PARAMÈTRES'!$C$131,'BASE_ACIERS'!$B$5:$B$20,'BASE_ACIERS'!$D$5:$D$20),IFERROR(INDEX('BASE_ACIERS'!$D$5:$D$20,MATCH('PARAMÈTRES'!$C$131,'BASE_ACIERS'!$B$5:$B$20,0)),0))</f>
        <v>0.617</v>
      </c>
      <c r="K518">
        <f>IFERROR(_xlfn.XLOOKUP('PARAMÈTRES'!$C$131,'BASE_ACIERS'!$B$5:$B$20,'BASE_ACIERS'!$D$5:$D$20),IFERROR(INDEX('BASE_ACIERS'!$D$5:$D$20,MATCH('PARAMÈTRES'!$C$131,'BASE_ACIERS'!$B$5:$B$20,0)),0))</f>
        <v>0.617</v>
      </c>
      <c r="L518">
        <f>IFERROR(_xlfn.XLOOKUP('PARAMÈTRES'!$C$131,'BASE_ACIERS'!$B$5:$B$20,'BASE_ACIERS'!$D$5:$D$20),IFERROR(INDEX('BASE_ACIERS'!$D$5:$D$20,MATCH('PARAMÈTRES'!$C$131,'BASE_ACIERS'!$B$5:$B$20,0)),0))</f>
        <v>0.617</v>
      </c>
      <c r="M518">
        <f>IFERROR(_xlfn.XLOOKUP('PARAMÈTRES'!$C$131,'BASE_ACIERS'!$B$5:$B$20,'BASE_ACIERS'!$D$5:$D$20),IFERROR(INDEX('BASE_ACIERS'!$D$5:$D$20,MATCH('PARAMÈTRES'!$C$131,'BASE_ACIERS'!$B$5:$B$20,0)),0))</f>
        <v>0.617</v>
      </c>
      <c r="N518">
        <f>IFERROR(_xlfn.XLOOKUP('PARAMÈTRES'!$C$131,'BASE_ACIERS'!$B$5:$B$20,'BASE_ACIERS'!$D$5:$D$20),IFERROR(INDEX('BASE_ACIERS'!$D$5:$D$20,MATCH('PARAMÈTRES'!$C$131,'BASE_ACIERS'!$B$5:$B$20,0)),0))</f>
        <v>0.617</v>
      </c>
      <c r="O518">
        <f>IFERROR(_xlfn.XLOOKUP('PARAMÈTRES'!$C$131,'BASE_ACIERS'!$B$5:$B$20,'BASE_ACIERS'!$D$5:$D$20),IFERROR(INDEX('BASE_ACIERS'!$D$5:$D$20,MATCH('PARAMÈTRES'!$C$131,'BASE_ACIERS'!$B$5:$B$20,0)),0))</f>
        <v>0.617</v>
      </c>
      <c r="P518">
        <f>IFERROR(_xlfn.XLOOKUP('PARAMÈTRES'!$C$131,'BASE_ACIERS'!$B$5:$B$20,'BASE_ACIERS'!$D$5:$D$20),IFERROR(INDEX('BASE_ACIERS'!$D$5:$D$20,MATCH('PARAMÈTRES'!$C$131,'BASE_ACIERS'!$B$5:$B$20,0)),0))</f>
        <v>0.617</v>
      </c>
      <c r="Q518">
        <f>IFERROR(_xlfn.XLOOKUP('PARAMÈTRES'!$C$131,'BASE_ACIERS'!$B$5:$B$20,'BASE_ACIERS'!$D$5:$D$20),IFERROR(INDEX('BASE_ACIERS'!$D$5:$D$20,MATCH('PARAMÈTRES'!$C$131,'BASE_ACIERS'!$B$5:$B$20,0)),0))</f>
        <v>0.617</v>
      </c>
      <c r="R518">
        <f>IFERROR(_xlfn.XLOOKUP('PARAMÈTRES'!$C$131,'BASE_ACIERS'!$B$5:$B$20,'BASE_ACIERS'!$D$5:$D$20),IFERROR(INDEX('BASE_ACIERS'!$D$5:$D$20,MATCH('PARAMÈTRES'!$C$131,'BASE_ACIERS'!$B$5:$B$20,0)),0))</f>
        <v>0.617</v>
      </c>
      <c r="S518">
        <f>IFERROR(_xlfn.XLOOKUP('PARAMÈTRES'!$C$131,'BASE_ACIERS'!$B$5:$B$20,'BASE_ACIERS'!$D$5:$D$20),IFERROR(INDEX('BASE_ACIERS'!$D$5:$D$20,MATCH('PARAMÈTRES'!$C$131,'BASE_ACIERS'!$B$5:$B$20,0)),0))</f>
        <v>0.617</v>
      </c>
      <c r="T518">
        <f>IFERROR(_xlfn.XLOOKUP('PARAMÈTRES'!$C$131,'BASE_ACIERS'!$B$5:$B$20,'BASE_ACIERS'!$D$5:$D$20),IFERROR(INDEX('BASE_ACIERS'!$D$5:$D$20,MATCH('PARAMÈTRES'!$C$131,'BASE_ACIERS'!$B$5:$B$20,0)),0))</f>
        <v>0.617</v>
      </c>
      <c r="U518">
        <f>IFERROR(_xlfn.XLOOKUP('PARAMÈTRES'!$C$131,'BASE_ACIERS'!$B$5:$B$20,'BASE_ACIERS'!$D$5:$D$20),IFERROR(INDEX('BASE_ACIERS'!$D$5:$D$20,MATCH('PARAMÈTRES'!$C$131,'BASE_ACIERS'!$B$5:$B$20,0)),0))</f>
        <v>0.617</v>
      </c>
      <c r="V518">
        <f>IFERROR(_xlfn.XLOOKUP('PARAMÈTRES'!$C$131,'BASE_ACIERS'!$B$5:$B$20,'BASE_ACIERS'!$D$5:$D$20),IFERROR(INDEX('BASE_ACIERS'!$D$5:$D$20,MATCH('PARAMÈTRES'!$C$131,'BASE_ACIERS'!$B$5:$B$20,0)),0))</f>
        <v>0.617</v>
      </c>
      <c r="W518">
        <f>IFERROR(_xlfn.XLOOKUP('PARAMÈTRES'!$C$131,'BASE_ACIERS'!$B$5:$B$20,'BASE_ACIERS'!$D$5:$D$20),IFERROR(INDEX('BASE_ACIERS'!$D$5:$D$20,MATCH('PARAMÈTRES'!$C$131,'BASE_ACIERS'!$B$5:$B$20,0)),0))</f>
        <v>0.617</v>
      </c>
      <c r="X518">
        <f>IFERROR(_xlfn.XLOOKUP('PARAMÈTRES'!$C$131,'BASE_ACIERS'!$B$5:$B$20,'BASE_ACIERS'!$D$5:$D$20),IFERROR(INDEX('BASE_ACIERS'!$D$5:$D$20,MATCH('PARAMÈTRES'!$C$131,'BASE_ACIERS'!$B$5:$B$20,0)),0))</f>
        <v>0.617</v>
      </c>
    </row>
    <row r="519">
      <c r="A519" t="inlineStr">
        <is>
          <t>li_a_kg</t>
        </is>
      </c>
      <c r="B519" t="inlineStr">
        <is>
          <t>GROS_ŒUVRE!I89</t>
        </is>
      </c>
      <c r="D519">
        <f>D517*D518</f>
        <v>0</v>
      </c>
      <c r="E519">
        <f>E517*E518</f>
        <v>0</v>
      </c>
      <c r="F519">
        <f>F517*F518</f>
        <v>25.4204</v>
      </c>
      <c r="G519">
        <f>G517*G518</f>
        <v>0</v>
      </c>
      <c r="H519">
        <f>H517*H518</f>
        <v>0</v>
      </c>
      <c r="I519">
        <f>I517*I518</f>
        <v>25.4204</v>
      </c>
      <c r="J519">
        <f>J517*J518</f>
        <v>0</v>
      </c>
      <c r="K519">
        <f>K517*K518</f>
        <v>0</v>
      </c>
      <c r="L519">
        <f>L517*L518</f>
        <v>25.4204</v>
      </c>
      <c r="M519">
        <f>M517*M518</f>
        <v>0</v>
      </c>
      <c r="N519">
        <f>N517*N518</f>
        <v>0</v>
      </c>
      <c r="O519">
        <f>O517*O518</f>
        <v>25.4204</v>
      </c>
      <c r="P519">
        <f>P517*P518</f>
        <v>0</v>
      </c>
      <c r="Q519">
        <f>Q517*Q518</f>
        <v>0</v>
      </c>
      <c r="R519">
        <f>R517*R518</f>
        <v>25.4204</v>
      </c>
      <c r="S519">
        <f>S517*S518</f>
        <v>0</v>
      </c>
      <c r="T519">
        <f>T517*T518</f>
        <v>0</v>
      </c>
      <c r="U519">
        <f>U517*U518</f>
        <v>25.4204</v>
      </c>
      <c r="V519">
        <f>V517*V518</f>
        <v>0</v>
      </c>
      <c r="W519">
        <f>W517*W518</f>
        <v>0</v>
      </c>
      <c r="X519">
        <f>X517*X518</f>
        <v>25.4204</v>
      </c>
    </row>
    <row r="520">
      <c r="A520" t="inlineStr">
        <is>
          <t>li_k_p</t>
        </is>
      </c>
      <c r="B520" t="inlineStr">
        <is>
          <t>GROS_ŒUVRE!C90</t>
        </is>
      </c>
      <c r="D520" t="str">
        <f>'PARAMÈTRES'!$C$133</f>
        <v>HA6</v>
      </c>
      <c r="E520" t="str">
        <f>'PARAMÈTRES'!$C$133</f>
        <v>HA6</v>
      </c>
      <c r="F520" t="str">
        <f>'PARAMÈTRES'!$C$133</f>
        <v>HA6</v>
      </c>
      <c r="G520" t="str">
        <f>'PARAMÈTRES'!$C$133</f>
        <v>HA6</v>
      </c>
      <c r="H520" t="str">
        <f>'PARAMÈTRES'!$C$133</f>
        <v>HA6</v>
      </c>
      <c r="I520" t="str">
        <f>'PARAMÈTRES'!$C$133</f>
        <v>HA6</v>
      </c>
      <c r="J520" t="str">
        <f>'PARAMÈTRES'!$C$133</f>
        <v>HA6</v>
      </c>
      <c r="K520" t="str">
        <f>'PARAMÈTRES'!$C$133</f>
        <v>HA6</v>
      </c>
      <c r="L520" t="str">
        <f>'PARAMÈTRES'!$C$133</f>
        <v>HA6</v>
      </c>
      <c r="M520" t="str">
        <f>'PARAMÈTRES'!$C$133</f>
        <v>HA6</v>
      </c>
      <c r="N520" t="str">
        <f>'PARAMÈTRES'!$C$133</f>
        <v>HA6</v>
      </c>
      <c r="O520" t="str">
        <f>'PARAMÈTRES'!$C$133</f>
        <v>HA6</v>
      </c>
      <c r="P520" t="str">
        <f>'PARAMÈTRES'!$C$133</f>
        <v>HA6</v>
      </c>
      <c r="Q520" t="str">
        <f>'PARAMÈTRES'!$C$133</f>
        <v>HA6</v>
      </c>
      <c r="R520" t="str">
        <f>'PARAMÈTRES'!$C$133</f>
        <v>HA6</v>
      </c>
      <c r="S520" t="str">
        <f>'PARAMÈTRES'!$C$133</f>
        <v>HA6</v>
      </c>
      <c r="T520" t="str">
        <f>'PARAMÈTRES'!$C$133</f>
        <v>HA6</v>
      </c>
      <c r="U520" t="str">
        <f>'PARAMÈTRES'!$C$133</f>
        <v>HA6</v>
      </c>
      <c r="V520" t="str">
        <f>'PARAMÈTRES'!$C$133</f>
        <v>HA6</v>
      </c>
      <c r="W520" t="str">
        <f>'PARAMÈTRES'!$C$133</f>
        <v>HA6</v>
      </c>
      <c r="X520" t="str">
        <f>'PARAMÈTRES'!$C$133</f>
        <v>HA6</v>
      </c>
    </row>
    <row r="521">
      <c r="A521" t="inlineStr">
        <is>
          <t>li_k_q</t>
        </is>
      </c>
      <c r="B521" t="inlineStr">
        <is>
          <t>GROS_ŒUVRE!E90</t>
        </is>
      </c>
      <c r="D521">
        <f>ROUNDDOWN(D511/'PARAMÈTRES'!$C$134,0)</f>
        <v>0</v>
      </c>
      <c r="E521">
        <f>ROUNDDOWN(E511/'PARAMÈTRES'!$C$134,0)</f>
        <v>0</v>
      </c>
      <c r="F521">
        <f>ROUNDDOWN(F511/'PARAMÈTRES'!$C$134,0)</f>
        <v>51</v>
      </c>
      <c r="G521">
        <f>ROUNDDOWN(G511/'PARAMÈTRES'!$C$134,0)</f>
        <v>0</v>
      </c>
      <c r="H521">
        <f>ROUNDDOWN(H511/'PARAMÈTRES'!$C$134,0)</f>
        <v>0</v>
      </c>
      <c r="I521">
        <f>ROUNDDOWN(I511/'PARAMÈTRES'!$C$134,0)</f>
        <v>51</v>
      </c>
      <c r="J521">
        <f>ROUNDDOWN(J511/'PARAMÈTRES'!$C$134,0)</f>
        <v>0</v>
      </c>
      <c r="K521">
        <f>ROUNDDOWN(K511/'PARAMÈTRES'!$C$134,0)</f>
        <v>0</v>
      </c>
      <c r="L521">
        <f>ROUNDDOWN(L511/'PARAMÈTRES'!$C$134,0)</f>
        <v>51</v>
      </c>
      <c r="M521">
        <f>ROUNDDOWN(M511/'PARAMÈTRES'!$C$134,0)</f>
        <v>0</v>
      </c>
      <c r="N521">
        <f>ROUNDDOWN(N511/'PARAMÈTRES'!$C$134,0)</f>
        <v>0</v>
      </c>
      <c r="O521">
        <f>ROUNDDOWN(O511/'PARAMÈTRES'!$C$134,0)</f>
        <v>51</v>
      </c>
      <c r="P521">
        <f>ROUNDDOWN(P511/'PARAMÈTRES'!$C$134,0)</f>
        <v>0</v>
      </c>
      <c r="Q521">
        <f>ROUNDDOWN(Q511/'PARAMÈTRES'!$C$134,0)</f>
        <v>0</v>
      </c>
      <c r="R521">
        <f>ROUNDDOWN(R511/'PARAMÈTRES'!$C$134,0)</f>
        <v>51</v>
      </c>
      <c r="S521">
        <f>ROUNDDOWN(S511/'PARAMÈTRES'!$C$134,0)</f>
        <v>0</v>
      </c>
      <c r="T521">
        <f>ROUNDDOWN(T511/'PARAMÈTRES'!$C$134,0)</f>
        <v>0</v>
      </c>
      <c r="U521">
        <f>ROUNDDOWN(U511/'PARAMÈTRES'!$C$134,0)</f>
        <v>51</v>
      </c>
      <c r="V521">
        <f>ROUNDDOWN(V511/'PARAMÈTRES'!$C$134,0)</f>
        <v>0</v>
      </c>
      <c r="W521">
        <f>ROUNDDOWN(W511/'PARAMÈTRES'!$C$134,0)</f>
        <v>0</v>
      </c>
      <c r="X521">
        <f>ROUNDDOWN(X511/'PARAMÈTRES'!$C$134,0)</f>
        <v>51</v>
      </c>
    </row>
    <row r="522">
      <c r="A522" t="inlineStr">
        <is>
          <t>li_k_lu</t>
        </is>
      </c>
      <c r="B522" t="inlineStr">
        <is>
          <t>GROS_ŒUVRE!F90</t>
        </is>
      </c>
      <c r="D522">
        <f>2*('PARAMÈTRES'!$C$129+'PARAMÈTRES'!$C$130)-8*'PARAMÈTRES'!$C$108+2*'PARAMÈTRES'!$C$110</f>
        <v>0.5</v>
      </c>
      <c r="E522">
        <f>2*('PARAMÈTRES'!$C$129+'PARAMÈTRES'!$C$130)-8*'PARAMÈTRES'!$C$108+2*'PARAMÈTRES'!$C$110</f>
        <v>0.5</v>
      </c>
      <c r="F522">
        <f>2*('PARAMÈTRES'!$C$129+'PARAMÈTRES'!$C$130)-8*'PARAMÈTRES'!$C$108+2*'PARAMÈTRES'!$C$110</f>
        <v>0.5</v>
      </c>
      <c r="G522">
        <f>2*('PARAMÈTRES'!$C$129+'PARAMÈTRES'!$C$130)-8*'PARAMÈTRES'!$C$108+2*'PARAMÈTRES'!$C$110</f>
        <v>0.5</v>
      </c>
      <c r="H522">
        <f>2*('PARAMÈTRES'!$C$129+'PARAMÈTRES'!$C$130)-8*'PARAMÈTRES'!$C$108+2*'PARAMÈTRES'!$C$110</f>
        <v>0.5</v>
      </c>
      <c r="I522">
        <f>2*('PARAMÈTRES'!$C$129+'PARAMÈTRES'!$C$130)-8*'PARAMÈTRES'!$C$108+2*'PARAMÈTRES'!$C$110</f>
        <v>0.5</v>
      </c>
      <c r="J522">
        <f>2*('PARAMÈTRES'!$C$129+'PARAMÈTRES'!$C$130)-8*'PARAMÈTRES'!$C$108+2*'PARAMÈTRES'!$C$110</f>
        <v>0.5</v>
      </c>
      <c r="K522">
        <f>2*('PARAMÈTRES'!$C$129+'PARAMÈTRES'!$C$130)-8*'PARAMÈTRES'!$C$108+2*'PARAMÈTRES'!$C$110</f>
        <v>0.5</v>
      </c>
      <c r="L522">
        <f>2*('PARAMÈTRES'!$C$129+'PARAMÈTRES'!$C$130)-8*'PARAMÈTRES'!$C$108+2*'PARAMÈTRES'!$C$110</f>
        <v>0.5</v>
      </c>
      <c r="M522">
        <f>2*('PARAMÈTRES'!$C$129+'PARAMÈTRES'!$C$130)-8*'PARAMÈTRES'!$C$108+2*'PARAMÈTRES'!$C$110</f>
        <v>0.5</v>
      </c>
      <c r="N522">
        <f>2*('PARAMÈTRES'!$C$129+'PARAMÈTRES'!$C$130)-8*'PARAMÈTRES'!$C$108+2*'PARAMÈTRES'!$C$110</f>
        <v>0.5</v>
      </c>
      <c r="O522">
        <f>2*('PARAMÈTRES'!$C$129+'PARAMÈTRES'!$C$130)-8*'PARAMÈTRES'!$C$108+2*'PARAMÈTRES'!$C$110</f>
        <v>0.5</v>
      </c>
      <c r="P522">
        <f>2*('PARAMÈTRES'!$C$129+'PARAMÈTRES'!$C$130)-8*'PARAMÈTRES'!$C$108+2*'PARAMÈTRES'!$C$110</f>
        <v>0.5</v>
      </c>
      <c r="Q522">
        <f>2*('PARAMÈTRES'!$C$129+'PARAMÈTRES'!$C$130)-8*'PARAMÈTRES'!$C$108+2*'PARAMÈTRES'!$C$110</f>
        <v>0.5</v>
      </c>
      <c r="R522">
        <f>2*('PARAMÈTRES'!$C$129+'PARAMÈTRES'!$C$130)-8*'PARAMÈTRES'!$C$108+2*'PARAMÈTRES'!$C$110</f>
        <v>0.5</v>
      </c>
      <c r="S522">
        <f>2*('PARAMÈTRES'!$C$129+'PARAMÈTRES'!$C$130)-8*'PARAMÈTRES'!$C$108+2*'PARAMÈTRES'!$C$110</f>
        <v>0.5</v>
      </c>
      <c r="T522">
        <f>2*('PARAMÈTRES'!$C$129+'PARAMÈTRES'!$C$130)-8*'PARAMÈTRES'!$C$108+2*'PARAMÈTRES'!$C$110</f>
        <v>0.5</v>
      </c>
      <c r="U522">
        <f>2*('PARAMÈTRES'!$C$129+'PARAMÈTRES'!$C$130)-8*'PARAMÈTRES'!$C$108+2*'PARAMÈTRES'!$C$110</f>
        <v>0.5</v>
      </c>
      <c r="V522">
        <f>2*('PARAMÈTRES'!$C$129+'PARAMÈTRES'!$C$130)-8*'PARAMÈTRES'!$C$108+2*'PARAMÈTRES'!$C$110</f>
        <v>0.5</v>
      </c>
      <c r="W522">
        <f>2*('PARAMÈTRES'!$C$129+'PARAMÈTRES'!$C$130)-8*'PARAMÈTRES'!$C$108+2*'PARAMÈTRES'!$C$110</f>
        <v>0.5</v>
      </c>
      <c r="X522">
        <f>2*('PARAMÈTRES'!$C$129+'PARAMÈTRES'!$C$130)-8*'PARAMÈTRES'!$C$108+2*'PARAMÈTRES'!$C$110</f>
        <v>0.5</v>
      </c>
    </row>
    <row r="523">
      <c r="A523" t="inlineStr">
        <is>
          <t>li_k_lt</t>
        </is>
      </c>
      <c r="B523" t="inlineStr">
        <is>
          <t>GROS_ŒUVRE!G90</t>
        </is>
      </c>
      <c r="D523">
        <f>D521*D522</f>
        <v>0</v>
      </c>
      <c r="E523">
        <f>E521*E522</f>
        <v>0</v>
      </c>
      <c r="F523">
        <f>F521*F522</f>
        <v>25.5</v>
      </c>
      <c r="G523">
        <f>G521*G522</f>
        <v>0</v>
      </c>
      <c r="H523">
        <f>H521*H522</f>
        <v>0</v>
      </c>
      <c r="I523">
        <f>I521*I522</f>
        <v>25.5</v>
      </c>
      <c r="J523">
        <f>J521*J522</f>
        <v>0</v>
      </c>
      <c r="K523">
        <f>K521*K522</f>
        <v>0</v>
      </c>
      <c r="L523">
        <f>L521*L522</f>
        <v>25.5</v>
      </c>
      <c r="M523">
        <f>M521*M522</f>
        <v>0</v>
      </c>
      <c r="N523">
        <f>N521*N522</f>
        <v>0</v>
      </c>
      <c r="O523">
        <f>O521*O522</f>
        <v>25.5</v>
      </c>
      <c r="P523">
        <f>P521*P522</f>
        <v>0</v>
      </c>
      <c r="Q523">
        <f>Q521*Q522</f>
        <v>0</v>
      </c>
      <c r="R523">
        <f>R521*R522</f>
        <v>25.5</v>
      </c>
      <c r="S523">
        <f>S521*S522</f>
        <v>0</v>
      </c>
      <c r="T523">
        <f>T521*T522</f>
        <v>0</v>
      </c>
      <c r="U523">
        <f>U521*U522</f>
        <v>25.5</v>
      </c>
      <c r="V523">
        <f>V521*V522</f>
        <v>0</v>
      </c>
      <c r="W523">
        <f>W521*W522</f>
        <v>0</v>
      </c>
      <c r="X523">
        <f>X521*X522</f>
        <v>25.5</v>
      </c>
    </row>
    <row r="524">
      <c r="A524" t="inlineStr">
        <is>
          <t>li_k_kgml</t>
        </is>
      </c>
      <c r="B524" t="inlineStr">
        <is>
          <t>GROS_ŒUVRE!H90</t>
        </is>
      </c>
      <c r="D524">
        <f>IFERROR(_xlfn.XLOOKUP('PARAMÈTRES'!$C$133,'BASE_ACIERS'!$B$5:$B$20,'BASE_ACIERS'!$D$5:$D$20),IFERROR(INDEX('BASE_ACIERS'!$D$5:$D$20,MATCH('PARAMÈTRES'!$C$133,'BASE_ACIERS'!$B$5:$B$20,0)),0))</f>
        <v>0.222</v>
      </c>
      <c r="E524">
        <f>IFERROR(_xlfn.XLOOKUP('PARAMÈTRES'!$C$133,'BASE_ACIERS'!$B$5:$B$20,'BASE_ACIERS'!$D$5:$D$20),IFERROR(INDEX('BASE_ACIERS'!$D$5:$D$20,MATCH('PARAMÈTRES'!$C$133,'BASE_ACIERS'!$B$5:$B$20,0)),0))</f>
        <v>0.222</v>
      </c>
      <c r="F524">
        <f>IFERROR(_xlfn.XLOOKUP('PARAMÈTRES'!$C$133,'BASE_ACIERS'!$B$5:$B$20,'BASE_ACIERS'!$D$5:$D$20),IFERROR(INDEX('BASE_ACIERS'!$D$5:$D$20,MATCH('PARAMÈTRES'!$C$133,'BASE_ACIERS'!$B$5:$B$20,0)),0))</f>
        <v>0.222</v>
      </c>
      <c r="G524">
        <f>IFERROR(_xlfn.XLOOKUP('PARAMÈTRES'!$C$133,'BASE_ACIERS'!$B$5:$B$20,'BASE_ACIERS'!$D$5:$D$20),IFERROR(INDEX('BASE_ACIERS'!$D$5:$D$20,MATCH('PARAMÈTRES'!$C$133,'BASE_ACIERS'!$B$5:$B$20,0)),0))</f>
        <v>0.222</v>
      </c>
      <c r="H524">
        <f>IFERROR(_xlfn.XLOOKUP('PARAMÈTRES'!$C$133,'BASE_ACIERS'!$B$5:$B$20,'BASE_ACIERS'!$D$5:$D$20),IFERROR(INDEX('BASE_ACIERS'!$D$5:$D$20,MATCH('PARAMÈTRES'!$C$133,'BASE_ACIERS'!$B$5:$B$20,0)),0))</f>
        <v>0.222</v>
      </c>
      <c r="I524">
        <f>IFERROR(_xlfn.XLOOKUP('PARAMÈTRES'!$C$133,'BASE_ACIERS'!$B$5:$B$20,'BASE_ACIERS'!$D$5:$D$20),IFERROR(INDEX('BASE_ACIERS'!$D$5:$D$20,MATCH('PARAMÈTRES'!$C$133,'BASE_ACIERS'!$B$5:$B$20,0)),0))</f>
        <v>0.222</v>
      </c>
      <c r="J524">
        <f>IFERROR(_xlfn.XLOOKUP('PARAMÈTRES'!$C$133,'BASE_ACIERS'!$B$5:$B$20,'BASE_ACIERS'!$D$5:$D$20),IFERROR(INDEX('BASE_ACIERS'!$D$5:$D$20,MATCH('PARAMÈTRES'!$C$133,'BASE_ACIERS'!$B$5:$B$20,0)),0))</f>
        <v>0.222</v>
      </c>
      <c r="K524">
        <f>IFERROR(_xlfn.XLOOKUP('PARAMÈTRES'!$C$133,'BASE_ACIERS'!$B$5:$B$20,'BASE_ACIERS'!$D$5:$D$20),IFERROR(INDEX('BASE_ACIERS'!$D$5:$D$20,MATCH('PARAMÈTRES'!$C$133,'BASE_ACIERS'!$B$5:$B$20,0)),0))</f>
        <v>0.222</v>
      </c>
      <c r="L524">
        <f>IFERROR(_xlfn.XLOOKUP('PARAMÈTRES'!$C$133,'BASE_ACIERS'!$B$5:$B$20,'BASE_ACIERS'!$D$5:$D$20),IFERROR(INDEX('BASE_ACIERS'!$D$5:$D$20,MATCH('PARAMÈTRES'!$C$133,'BASE_ACIERS'!$B$5:$B$20,0)),0))</f>
        <v>0.222</v>
      </c>
      <c r="M524">
        <f>IFERROR(_xlfn.XLOOKUP('PARAMÈTRES'!$C$133,'BASE_ACIERS'!$B$5:$B$20,'BASE_ACIERS'!$D$5:$D$20),IFERROR(INDEX('BASE_ACIERS'!$D$5:$D$20,MATCH('PARAMÈTRES'!$C$133,'BASE_ACIERS'!$B$5:$B$20,0)),0))</f>
        <v>0.222</v>
      </c>
      <c r="N524">
        <f>IFERROR(_xlfn.XLOOKUP('PARAMÈTRES'!$C$133,'BASE_ACIERS'!$B$5:$B$20,'BASE_ACIERS'!$D$5:$D$20),IFERROR(INDEX('BASE_ACIERS'!$D$5:$D$20,MATCH('PARAMÈTRES'!$C$133,'BASE_ACIERS'!$B$5:$B$20,0)),0))</f>
        <v>0.222</v>
      </c>
      <c r="O524">
        <f>IFERROR(_xlfn.XLOOKUP('PARAMÈTRES'!$C$133,'BASE_ACIERS'!$B$5:$B$20,'BASE_ACIERS'!$D$5:$D$20),IFERROR(INDEX('BASE_ACIERS'!$D$5:$D$20,MATCH('PARAMÈTRES'!$C$133,'BASE_ACIERS'!$B$5:$B$20,0)),0))</f>
        <v>0.222</v>
      </c>
      <c r="P524">
        <f>IFERROR(_xlfn.XLOOKUP('PARAMÈTRES'!$C$133,'BASE_ACIERS'!$B$5:$B$20,'BASE_ACIERS'!$D$5:$D$20),IFERROR(INDEX('BASE_ACIERS'!$D$5:$D$20,MATCH('PARAMÈTRES'!$C$133,'BASE_ACIERS'!$B$5:$B$20,0)),0))</f>
        <v>0.222</v>
      </c>
      <c r="Q524">
        <f>IFERROR(_xlfn.XLOOKUP('PARAMÈTRES'!$C$133,'BASE_ACIERS'!$B$5:$B$20,'BASE_ACIERS'!$D$5:$D$20),IFERROR(INDEX('BASE_ACIERS'!$D$5:$D$20,MATCH('PARAMÈTRES'!$C$133,'BASE_ACIERS'!$B$5:$B$20,0)),0))</f>
        <v>0.222</v>
      </c>
      <c r="R524">
        <f>IFERROR(_xlfn.XLOOKUP('PARAMÈTRES'!$C$133,'BASE_ACIERS'!$B$5:$B$20,'BASE_ACIERS'!$D$5:$D$20),IFERROR(INDEX('BASE_ACIERS'!$D$5:$D$20,MATCH('PARAMÈTRES'!$C$133,'BASE_ACIERS'!$B$5:$B$20,0)),0))</f>
        <v>0.222</v>
      </c>
      <c r="S524">
        <f>IFERROR(_xlfn.XLOOKUP('PARAMÈTRES'!$C$133,'BASE_ACIERS'!$B$5:$B$20,'BASE_ACIERS'!$D$5:$D$20),IFERROR(INDEX('BASE_ACIERS'!$D$5:$D$20,MATCH('PARAMÈTRES'!$C$133,'BASE_ACIERS'!$B$5:$B$20,0)),0))</f>
        <v>0.222</v>
      </c>
      <c r="T524">
        <f>IFERROR(_xlfn.XLOOKUP('PARAMÈTRES'!$C$133,'BASE_ACIERS'!$B$5:$B$20,'BASE_ACIERS'!$D$5:$D$20),IFERROR(INDEX('BASE_ACIERS'!$D$5:$D$20,MATCH('PARAMÈTRES'!$C$133,'BASE_ACIERS'!$B$5:$B$20,0)),0))</f>
        <v>0.222</v>
      </c>
      <c r="U524">
        <f>IFERROR(_xlfn.XLOOKUP('PARAMÈTRES'!$C$133,'BASE_ACIERS'!$B$5:$B$20,'BASE_ACIERS'!$D$5:$D$20),IFERROR(INDEX('BASE_ACIERS'!$D$5:$D$20,MATCH('PARAMÈTRES'!$C$133,'BASE_ACIERS'!$B$5:$B$20,0)),0))</f>
        <v>0.222</v>
      </c>
      <c r="V524">
        <f>IFERROR(_xlfn.XLOOKUP('PARAMÈTRES'!$C$133,'BASE_ACIERS'!$B$5:$B$20,'BASE_ACIERS'!$D$5:$D$20),IFERROR(INDEX('BASE_ACIERS'!$D$5:$D$20,MATCH('PARAMÈTRES'!$C$133,'BASE_ACIERS'!$B$5:$B$20,0)),0))</f>
        <v>0.222</v>
      </c>
      <c r="W524">
        <f>IFERROR(_xlfn.XLOOKUP('PARAMÈTRES'!$C$133,'BASE_ACIERS'!$B$5:$B$20,'BASE_ACIERS'!$D$5:$D$20),IFERROR(INDEX('BASE_ACIERS'!$D$5:$D$20,MATCH('PARAMÈTRES'!$C$133,'BASE_ACIERS'!$B$5:$B$20,0)),0))</f>
        <v>0.222</v>
      </c>
      <c r="X524">
        <f>IFERROR(_xlfn.XLOOKUP('PARAMÈTRES'!$C$133,'BASE_ACIERS'!$B$5:$B$20,'BASE_ACIERS'!$D$5:$D$20),IFERROR(INDEX('BASE_ACIERS'!$D$5:$D$20,MATCH('PARAMÈTRES'!$C$133,'BASE_ACIERS'!$B$5:$B$20,0)),0))</f>
        <v>0.222</v>
      </c>
    </row>
    <row r="525">
      <c r="A525" t="inlineStr">
        <is>
          <t>li_k_kg</t>
        </is>
      </c>
      <c r="B525" t="inlineStr">
        <is>
          <t>GROS_ŒUVRE!I90</t>
        </is>
      </c>
      <c r="D525">
        <f>D523*D524</f>
        <v>0</v>
      </c>
      <c r="E525">
        <f>E523*E524</f>
        <v>0</v>
      </c>
      <c r="F525">
        <f>F523*F524</f>
        <v>5.661</v>
      </c>
      <c r="G525">
        <f>G523*G524</f>
        <v>0</v>
      </c>
      <c r="H525">
        <f>H523*H524</f>
        <v>0</v>
      </c>
      <c r="I525">
        <f>I523*I524</f>
        <v>5.661</v>
      </c>
      <c r="J525">
        <f>J523*J524</f>
        <v>0</v>
      </c>
      <c r="K525">
        <f>K523*K524</f>
        <v>0</v>
      </c>
      <c r="L525">
        <f>L523*L524</f>
        <v>5.661</v>
      </c>
      <c r="M525">
        <f>M523*M524</f>
        <v>0</v>
      </c>
      <c r="N525">
        <f>N523*N524</f>
        <v>0</v>
      </c>
      <c r="O525">
        <f>O523*O524</f>
        <v>5.661</v>
      </c>
      <c r="P525">
        <f>P523*P524</f>
        <v>0</v>
      </c>
      <c r="Q525">
        <f>Q523*Q524</f>
        <v>0</v>
      </c>
      <c r="R525">
        <f>R523*R524</f>
        <v>5.661</v>
      </c>
      <c r="S525">
        <f>S523*S524</f>
        <v>0</v>
      </c>
      <c r="T525">
        <f>T523*T524</f>
        <v>0</v>
      </c>
      <c r="U525">
        <f>U523*U524</f>
        <v>5.661</v>
      </c>
      <c r="V525">
        <f>V523*V524</f>
        <v>0</v>
      </c>
      <c r="W525">
        <f>W523*W524</f>
        <v>0</v>
      </c>
      <c r="X525">
        <f>X523*X524</f>
        <v>5.661</v>
      </c>
    </row>
    <row r="526">
      <c r="A526" t="inlineStr">
        <is>
          <t>end_q</t>
        </is>
      </c>
      <c r="B526" t="inlineStr">
        <is>
          <t>GROS_ŒUVRE!E91</t>
        </is>
      </c>
      <c r="D526">
        <f>IF('PARAMÈTRES'!$C$138="Oui",2*D478,0)</f>
        <v>0</v>
      </c>
      <c r="E526">
        <f>IF('PARAMÈTRES'!$C$138="Oui",2*E478,0)</f>
        <v>0</v>
      </c>
      <c r="F526">
        <f>IF('PARAMÈTRES'!$C$138="Oui",2*F478,0)</f>
        <v>0</v>
      </c>
      <c r="G526">
        <f>IF('PARAMÈTRES'!$C$138="Oui",2*G478,0)</f>
        <v>0</v>
      </c>
      <c r="H526">
        <f>IF('PARAMÈTRES'!$C$138="Oui",2*H478,0)</f>
        <v>0</v>
      </c>
      <c r="I526">
        <f>IF('PARAMÈTRES'!$C$138="Oui",2*I478,0)</f>
        <v>0</v>
      </c>
      <c r="J526">
        <f>IF('PARAMÈTRES'!$C$138="Oui",2*J478,0)</f>
        <v>0</v>
      </c>
      <c r="K526">
        <f>IF('PARAMÈTRES'!$C$138="Oui",2*K478,0)</f>
        <v>0</v>
      </c>
      <c r="L526">
        <f>IF('PARAMÈTRES'!$C$138="Oui",2*L478,0)</f>
        <v>0</v>
      </c>
      <c r="M526">
        <f>IF('PARAMÈTRES'!$C$138="Oui",2*M478,0)</f>
        <v>0</v>
      </c>
      <c r="N526">
        <f>IF('PARAMÈTRES'!$C$138="Oui",2*N478,0)</f>
        <v>0</v>
      </c>
      <c r="O526">
        <f>IF('PARAMÈTRES'!$C$138="Oui",2*O478,0)</f>
        <v>0</v>
      </c>
      <c r="P526">
        <f>IF('PARAMÈTRES'!$C$138="Oui",2*P478,0)</f>
        <v>0</v>
      </c>
      <c r="Q526">
        <f>IF('PARAMÈTRES'!$C$138="Oui",2*Q478,0)</f>
        <v>0</v>
      </c>
      <c r="R526">
        <f>IF('PARAMÈTRES'!$C$138="Oui",2*R478,0)</f>
        <v>0</v>
      </c>
      <c r="S526">
        <f>IF('PARAMÈTRES'!$C$138="Oui",2*S478,0)</f>
        <v>0</v>
      </c>
      <c r="T526">
        <f>IF('PARAMÈTRES'!$C$138="Oui",2*T478,0)</f>
        <v>0</v>
      </c>
      <c r="U526">
        <f>IF('PARAMÈTRES'!$C$138="Oui",2*U478,0)</f>
        <v>0</v>
      </c>
      <c r="V526">
        <f>IF('PARAMÈTRES'!$C$138="Oui",2*V478,0)</f>
        <v>0</v>
      </c>
      <c r="W526">
        <f>IF('PARAMÈTRES'!$C$138="Oui",2*W478,0)</f>
        <v>0</v>
      </c>
      <c r="X526">
        <f>IF('PARAMÈTRES'!$C$138="Oui",2*X478,0)</f>
        <v>0</v>
      </c>
    </row>
    <row r="527">
      <c r="A527" t="inlineStr">
        <is>
          <t>end_m_q</t>
        </is>
      </c>
      <c r="B527" t="inlineStr">
        <is>
          <t>GROS_ŒUVRE!E92</t>
        </is>
      </c>
      <c r="D527">
        <f>D526*'PARAMÈTRES'!$C$139</f>
        <v>0</v>
      </c>
      <c r="E527">
        <f>E526*'PARAMÈTRES'!$C$139</f>
        <v>0</v>
      </c>
      <c r="F527">
        <f>F526*'PARAMÈTRES'!$C$139</f>
        <v>0</v>
      </c>
      <c r="G527">
        <f>G526*'PARAMÈTRES'!$C$139</f>
        <v>0</v>
      </c>
      <c r="H527">
        <f>H526*'PARAMÈTRES'!$C$139</f>
        <v>0</v>
      </c>
      <c r="I527">
        <f>I526*'PARAMÈTRES'!$C$139</f>
        <v>0</v>
      </c>
      <c r="J527">
        <f>J526*'PARAMÈTRES'!$C$139</f>
        <v>0</v>
      </c>
      <c r="K527">
        <f>K526*'PARAMÈTRES'!$C$139</f>
        <v>0</v>
      </c>
      <c r="L527">
        <f>L526*'PARAMÈTRES'!$C$139</f>
        <v>0</v>
      </c>
      <c r="M527">
        <f>M526*'PARAMÈTRES'!$C$139</f>
        <v>0</v>
      </c>
      <c r="N527">
        <f>N526*'PARAMÈTRES'!$C$139</f>
        <v>0</v>
      </c>
      <c r="O527">
        <f>O526*'PARAMÈTRES'!$C$139</f>
        <v>0</v>
      </c>
      <c r="P527">
        <f>P526*'PARAMÈTRES'!$C$139</f>
        <v>0</v>
      </c>
      <c r="Q527">
        <f>Q526*'PARAMÈTRES'!$C$139</f>
        <v>0</v>
      </c>
      <c r="R527">
        <f>R526*'PARAMÈTRES'!$C$139</f>
        <v>0</v>
      </c>
      <c r="S527">
        <f>S526*'PARAMÈTRES'!$C$139</f>
        <v>0</v>
      </c>
      <c r="T527">
        <f>T526*'PARAMÈTRES'!$C$139</f>
        <v>0</v>
      </c>
      <c r="U527">
        <f>U526*'PARAMÈTRES'!$C$139</f>
        <v>0</v>
      </c>
      <c r="V527">
        <f>V526*'PARAMÈTRES'!$C$139</f>
        <v>0</v>
      </c>
      <c r="W527">
        <f>W526*'PARAMÈTRES'!$C$139</f>
        <v>0</v>
      </c>
      <c r="X527">
        <f>X526*'PARAMÈTRES'!$C$139</f>
        <v>0</v>
      </c>
    </row>
    <row r="528">
      <c r="A528" t="inlineStr">
        <is>
          <t>V_bp</t>
        </is>
      </c>
      <c r="B528" t="inlineStr">
        <is>
          <t>GROS_ŒUVRE!E95</t>
        </is>
      </c>
      <c r="D528">
        <f>D382+D404+D426</f>
        <v>2.848</v>
      </c>
      <c r="E528">
        <f>E382+E404+E426</f>
        <v>2.848</v>
      </c>
      <c r="F528">
        <f>F382+F404+F426</f>
        <v>2.848</v>
      </c>
      <c r="G528">
        <f>G382+G404+G426</f>
        <v>2.492</v>
      </c>
      <c r="H528">
        <f>H382+H404+H426</f>
        <v>2.492</v>
      </c>
      <c r="I528">
        <f>I382+I404+I426</f>
        <v>2.492</v>
      </c>
      <c r="J528">
        <f>J382+J404+J426</f>
        <v>3.164</v>
      </c>
      <c r="K528">
        <f>K382+K404+K426</f>
        <v>3.164</v>
      </c>
      <c r="L528">
        <f>L382+L404+L426</f>
        <v>3.164</v>
      </c>
      <c r="M528">
        <f>M382+M404+M426</f>
        <v>2.808</v>
      </c>
      <c r="N528">
        <f>N382+N404+N426</f>
        <v>2.808</v>
      </c>
      <c r="O528">
        <f>O382+O404+O426</f>
        <v>2.808</v>
      </c>
      <c r="P528">
        <f>P382+P404+P426</f>
        <v>4.224</v>
      </c>
      <c r="Q528">
        <f>Q382+Q404+Q426</f>
        <v>4.224</v>
      </c>
      <c r="R528">
        <f>R382+R404+R426</f>
        <v>4.224</v>
      </c>
      <c r="S528">
        <f>S382+S404+S426</f>
        <v>4.84</v>
      </c>
      <c r="T528">
        <f>T382+T404+T426</f>
        <v>4.84</v>
      </c>
      <c r="U528">
        <f>U382+U404+U426</f>
        <v>4.84</v>
      </c>
      <c r="V528">
        <f>V382+V404+V426</f>
        <v>5.472</v>
      </c>
      <c r="W528">
        <f>W382+W404+W426</f>
        <v>5.472</v>
      </c>
      <c r="X528">
        <f>X382+X404+X426</f>
        <v>5.472</v>
      </c>
    </row>
    <row r="529">
      <c r="A529" t="inlineStr">
        <is>
          <t>V_ba</t>
        </is>
      </c>
      <c r="B529" t="inlineStr">
        <is>
          <t>GROS_ŒUVRE!E96</t>
        </is>
      </c>
      <c r="D529">
        <f>D383+D384+D405+D406+D427+D445+D482+D497+D512</f>
        <v>76.3005</v>
      </c>
      <c r="E529">
        <f>E383+E384+E405+E406+E427+E445+E482+E497+E512</f>
        <v>76.3005</v>
      </c>
      <c r="F529">
        <f>F383+F384+F405+F406+F427+F445+F482+F497+F512</f>
        <v>90.0871314672563</v>
      </c>
      <c r="G529">
        <f>G383+G384+G405+G406+G427+G445+G482+G497+G512</f>
        <v>74.4105</v>
      </c>
      <c r="H529">
        <f>H383+H384+H405+H406+H427+H445+H482+H497+H512</f>
        <v>74.4105</v>
      </c>
      <c r="I529">
        <f>I383+I384+I405+I406+I427+I445+I482+I497+I512</f>
        <v>87.6009472008844</v>
      </c>
      <c r="J529">
        <f>J383+J384+J405+J406+J427+J445+J482+J497+J512</f>
        <v>107.7585</v>
      </c>
      <c r="K529">
        <f>K383+K384+K405+K406+K427+K445+K482+K497+K512</f>
        <v>107.7585</v>
      </c>
      <c r="L529">
        <f>L383+L384+L405+L406+L427+L445+L482+L497+L512</f>
        <v>123.558947200884</v>
      </c>
      <c r="M529">
        <f>M383+M384+M405+M406+M427+M445+M482+M497+M512</f>
        <v>95.8685</v>
      </c>
      <c r="N529">
        <f>N383+N384+N405+N406+N427+N445+N482+N497+N512</f>
        <v>95.8685</v>
      </c>
      <c r="O529">
        <f>O383+O384+O405+O406+O427+O445+O482+O497+O512</f>
        <v>111.072762934513</v>
      </c>
      <c r="P529">
        <f>P383+P384+P405+P406+P427+P445+P482+P497+P512</f>
        <v>183.8125</v>
      </c>
      <c r="Q529">
        <f>Q383+Q384+Q405+Q406+Q427+Q445+Q482+Q497+Q512</f>
        <v>183.8125</v>
      </c>
      <c r="R529">
        <f>R383+R384+R405+R406+R427+R445+R482+R497+R512</f>
        <v>205.046762934513</v>
      </c>
      <c r="S529">
        <f>S383+S384+S405+S406+S427+S445+S482+S497+S512</f>
        <v>266.3205</v>
      </c>
      <c r="T529">
        <f>T383+T384+T405+T406+T427+T445+T482+T497+T512</f>
        <v>266.3205</v>
      </c>
      <c r="U529">
        <f>U383+U384+U405+U406+U427+U445+U482+U497+U512</f>
        <v>290.772394401769</v>
      </c>
      <c r="V529">
        <f>V383+V384+V405+V406+V427+V445+V482+V497+V512</f>
        <v>349.2365</v>
      </c>
      <c r="W529">
        <f>W383+W384+W405+W406+W427+W445+W482+W497+W512</f>
        <v>349.2365</v>
      </c>
      <c r="X529">
        <f>X383+X384+X405+X406+X427+X445+X482+X497+X512</f>
        <v>380.236025869025</v>
      </c>
    </row>
    <row r="530">
      <c r="A530" t="inlineStr">
        <is>
          <t>V_mort</t>
        </is>
      </c>
      <c r="B530" t="inlineStr">
        <is>
          <t>GROS_ŒUVRE!E97</t>
        </is>
      </c>
      <c r="D530">
        <f>D443+D480+D527</f>
        <v>1.2</v>
      </c>
      <c r="E530">
        <f>E443+E480+E527</f>
        <v>1.2</v>
      </c>
      <c r="F530">
        <f>F443+F480+F527</f>
        <v>7.92</v>
      </c>
      <c r="G530">
        <f>G443+G480+G527</f>
        <v>1.05</v>
      </c>
      <c r="H530">
        <f>H443+H480+H527</f>
        <v>1.05</v>
      </c>
      <c r="I530">
        <f>I443+I480+I527</f>
        <v>7.02</v>
      </c>
      <c r="J530">
        <f>J443+J480+J527</f>
        <v>1.35</v>
      </c>
      <c r="K530">
        <f>K443+K480+K527</f>
        <v>1.35</v>
      </c>
      <c r="L530">
        <f>L443+L480+L527</f>
        <v>9.12</v>
      </c>
      <c r="M530">
        <f>M443+M480+M527</f>
        <v>1.2</v>
      </c>
      <c r="N530">
        <f>N443+N480+N527</f>
        <v>1.2</v>
      </c>
      <c r="O530">
        <f>O443+O480+O527</f>
        <v>8.28</v>
      </c>
      <c r="P530">
        <f>P443+P480+P527</f>
        <v>1.8</v>
      </c>
      <c r="Q530">
        <f>Q443+Q480+Q527</f>
        <v>1.8</v>
      </c>
      <c r="R530">
        <f>R443+R480+R527</f>
        <v>12.48</v>
      </c>
      <c r="S530">
        <f>S443+S480+S527</f>
        <v>2.1</v>
      </c>
      <c r="T530">
        <f>T443+T480+T527</f>
        <v>2.1</v>
      </c>
      <c r="U530">
        <f>U443+U480+U527</f>
        <v>15.18</v>
      </c>
      <c r="V530">
        <f>V443+V480+V527</f>
        <v>2.4</v>
      </c>
      <c r="W530">
        <f>W443+W480+W527</f>
        <v>2.4</v>
      </c>
      <c r="X530">
        <f>X443+X480+X527</f>
        <v>21.32</v>
      </c>
    </row>
    <row r="531">
      <c r="A531" t="inlineStr">
        <is>
          <t>V_beton</t>
        </is>
      </c>
      <c r="B531" t="inlineStr">
        <is>
          <t>GROS_ŒUVRE!E98</t>
        </is>
      </c>
      <c r="D531">
        <f>D528+D529</f>
        <v>79.1485</v>
      </c>
      <c r="E531">
        <f>E528+E529</f>
        <v>79.1485</v>
      </c>
      <c r="F531">
        <f>F528+F529</f>
        <v>92.9351314672563</v>
      </c>
      <c r="G531">
        <f>G528+G529</f>
        <v>76.9025</v>
      </c>
      <c r="H531">
        <f>H528+H529</f>
        <v>76.9025</v>
      </c>
      <c r="I531">
        <f>I528+I529</f>
        <v>90.0929472008844</v>
      </c>
      <c r="J531">
        <f>J528+J529</f>
        <v>110.9225</v>
      </c>
      <c r="K531">
        <f>K528+K529</f>
        <v>110.9225</v>
      </c>
      <c r="L531">
        <f>L528+L529</f>
        <v>126.722947200884</v>
      </c>
      <c r="M531">
        <f>M528+M529</f>
        <v>98.6765</v>
      </c>
      <c r="N531">
        <f>N528+N529</f>
        <v>98.6765</v>
      </c>
      <c r="O531">
        <f>O528+O529</f>
        <v>113.880762934513</v>
      </c>
      <c r="P531">
        <f>P528+P529</f>
        <v>188.0365</v>
      </c>
      <c r="Q531">
        <f>Q528+Q529</f>
        <v>188.0365</v>
      </c>
      <c r="R531">
        <f>R528+R529</f>
        <v>209.270762934513</v>
      </c>
      <c r="S531">
        <f>S528+S529</f>
        <v>271.1605</v>
      </c>
      <c r="T531">
        <f>T528+T529</f>
        <v>271.1605</v>
      </c>
      <c r="U531">
        <f>U528+U529</f>
        <v>295.612394401769</v>
      </c>
      <c r="V531">
        <f>V528+V529</f>
        <v>354.7085</v>
      </c>
      <c r="W531">
        <f>W528+W529</f>
        <v>354.7085</v>
      </c>
      <c r="X531">
        <f>X528+X529</f>
        <v>385.708025869025</v>
      </c>
    </row>
    <row r="532">
      <c r="A532" t="inlineStr">
        <is>
          <t>ciment</t>
        </is>
      </c>
      <c r="B532" t="inlineStr">
        <is>
          <t>GROS_ŒUVRE!E99</t>
        </is>
      </c>
      <c r="D532">
        <f>ROUNDUP((D528*'PARAMÈTRES'!$C$142+D529*'PARAMÈTRES'!$C$143+D530*'PARAMÈTRES'!$C$144)/'PARAMÈTRES'!$C$145,0)</f>
        <v>550</v>
      </c>
      <c r="E532">
        <f>ROUNDUP((E528*'PARAMÈTRES'!$C$142+E529*'PARAMÈTRES'!$C$143+E530*'PARAMÈTRES'!$C$144)/'PARAMÈTRES'!$C$145,0)</f>
        <v>550</v>
      </c>
      <c r="F532">
        <f>ROUNDUP((F528*'PARAMÈTRES'!$C$142+F529*'PARAMÈTRES'!$C$143+F530*'PARAMÈTRES'!$C$144)/'PARAMÈTRES'!$C$145,0)</f>
        <v>687</v>
      </c>
      <c r="G532">
        <f>ROUNDUP((G528*'PARAMÈTRES'!$C$142+G529*'PARAMÈTRES'!$C$143+G530*'PARAMÈTRES'!$C$144)/'PARAMÈTRES'!$C$145,0)</f>
        <v>535</v>
      </c>
      <c r="H532">
        <f>ROUNDUP((H528*'PARAMÈTRES'!$C$142+H529*'PARAMÈTRES'!$C$143+H530*'PARAMÈTRES'!$C$144)/'PARAMÈTRES'!$C$145,0)</f>
        <v>535</v>
      </c>
      <c r="I532">
        <f>ROUNDUP((I528*'PARAMÈTRES'!$C$142+I529*'PARAMÈTRES'!$C$143+I530*'PARAMÈTRES'!$C$144)/'PARAMÈTRES'!$C$145,0)</f>
        <v>663</v>
      </c>
      <c r="J532">
        <f>ROUNDUP((J528*'PARAMÈTRES'!$C$142+J529*'PARAMÈTRES'!$C$143+J530*'PARAMÈTRES'!$C$144)/'PARAMÈTRES'!$C$145,0)</f>
        <v>772</v>
      </c>
      <c r="K532">
        <f>ROUNDUP((K528*'PARAMÈTRES'!$C$142+K529*'PARAMÈTRES'!$C$143+K530*'PARAMÈTRES'!$C$144)/'PARAMÈTRES'!$C$145,0)</f>
        <v>772</v>
      </c>
      <c r="L532">
        <f>ROUNDUP((L528*'PARAMÈTRES'!$C$142+L529*'PARAMÈTRES'!$C$143+L530*'PARAMÈTRES'!$C$144)/'PARAMÈTRES'!$C$145,0)</f>
        <v>930</v>
      </c>
      <c r="M532">
        <f>ROUNDUP((M528*'PARAMÈTRES'!$C$142+M529*'PARAMÈTRES'!$C$143+M530*'PARAMÈTRES'!$C$144)/'PARAMÈTRES'!$C$145,0)</f>
        <v>687</v>
      </c>
      <c r="N532">
        <f>ROUNDUP((N528*'PARAMÈTRES'!$C$142+N529*'PARAMÈTRES'!$C$143+N530*'PARAMÈTRES'!$C$144)/'PARAMÈTRES'!$C$145,0)</f>
        <v>687</v>
      </c>
      <c r="O532">
        <f>ROUNDUP((O528*'PARAMÈTRES'!$C$142+O529*'PARAMÈTRES'!$C$143+O530*'PARAMÈTRES'!$C$144)/'PARAMÈTRES'!$C$145,0)</f>
        <v>836</v>
      </c>
      <c r="P532">
        <f>ROUNDUP((P528*'PARAMÈTRES'!$C$142+P529*'PARAMÈTRES'!$C$143+P530*'PARAMÈTRES'!$C$144)/'PARAMÈTRES'!$C$145,0)</f>
        <v>1311</v>
      </c>
      <c r="Q532">
        <f>ROUNDUP((Q528*'PARAMÈTRES'!$C$142+Q529*'PARAMÈTRES'!$C$143+Q530*'PARAMÈTRES'!$C$144)/'PARAMÈTRES'!$C$145,0)</f>
        <v>1311</v>
      </c>
      <c r="R532">
        <f>ROUNDUP((R528*'PARAMÈTRES'!$C$142+R529*'PARAMÈTRES'!$C$143+R530*'PARAMÈTRES'!$C$144)/'PARAMÈTRES'!$C$145,0)</f>
        <v>1523</v>
      </c>
      <c r="S532">
        <f>ROUNDUP((S528*'PARAMÈTRES'!$C$142+S529*'PARAMÈTRES'!$C$143+S530*'PARAMÈTRES'!$C$144)/'PARAMÈTRES'!$C$145,0)</f>
        <v>1892</v>
      </c>
      <c r="T532">
        <f>ROUNDUP((T528*'PARAMÈTRES'!$C$142+T529*'PARAMÈTRES'!$C$143+T530*'PARAMÈTRES'!$C$144)/'PARAMÈTRES'!$C$145,0)</f>
        <v>1892</v>
      </c>
      <c r="U532">
        <f>ROUNDUP((U528*'PARAMÈTRES'!$C$142+U529*'PARAMÈTRES'!$C$143+U530*'PARAMÈTRES'!$C$144)/'PARAMÈTRES'!$C$145,0)</f>
        <v>2142</v>
      </c>
      <c r="V532">
        <f>ROUNDUP((V528*'PARAMÈTRES'!$C$142+V529*'PARAMÈTRES'!$C$143+V530*'PARAMÈTRES'!$C$144)/'PARAMÈTRES'!$C$145,0)</f>
        <v>2476</v>
      </c>
      <c r="W532">
        <f>ROUNDUP((W528*'PARAMÈTRES'!$C$142+W529*'PARAMÈTRES'!$C$143+W530*'PARAMÈTRES'!$C$144)/'PARAMÈTRES'!$C$145,0)</f>
        <v>2476</v>
      </c>
      <c r="X532">
        <f>ROUNDUP((X528*'PARAMÈTRES'!$C$142+X529*'PARAMÈTRES'!$C$143+X530*'PARAMÈTRES'!$C$144)/'PARAMÈTRES'!$C$145,0)</f>
        <v>2806</v>
      </c>
    </row>
    <row r="533">
      <c r="A533" t="inlineStr">
        <is>
          <t>sable</t>
        </is>
      </c>
      <c r="B533" t="inlineStr">
        <is>
          <t>GROS_ŒUVRE!E100</t>
        </is>
      </c>
      <c r="D533">
        <f>D531*'PARAMÈTRES'!$C$146+D530*'PARAMÈTRES'!$C$149+D380</f>
        <v>47.680525</v>
      </c>
      <c r="E533">
        <f>E531*'PARAMÈTRES'!$C$146+E530*'PARAMÈTRES'!$C$149+E380</f>
        <v>47.680525</v>
      </c>
      <c r="F533">
        <f>F531*'PARAMÈTRES'!$C$146+F530*'PARAMÈTRES'!$C$149+F380</f>
        <v>60.5871775869025</v>
      </c>
      <c r="G533">
        <f>G531*'PARAMÈTRES'!$C$146+G530*'PARAMÈTRES'!$C$149+G380</f>
        <v>46.654625</v>
      </c>
      <c r="H533">
        <f>H531*'PARAMÈTRES'!$C$146+H530*'PARAMÈTRES'!$C$149+H380</f>
        <v>46.654625</v>
      </c>
      <c r="I533">
        <f>I531*'PARAMÈTRES'!$C$146+I530*'PARAMÈTRES'!$C$149+I380</f>
        <v>58.4978038803538</v>
      </c>
      <c r="J533">
        <f>J531*'PARAMÈTRES'!$C$146+J530*'PARAMÈTRES'!$C$149+J380</f>
        <v>68.017625</v>
      </c>
      <c r="K533">
        <f>K531*'PARAMÈTRES'!$C$146+K530*'PARAMÈTRES'!$C$149+K380</f>
        <v>68.017625</v>
      </c>
      <c r="L533">
        <f>L531*'PARAMÈTRES'!$C$146+L530*'PARAMÈTRES'!$C$149+L380</f>
        <v>82.8848038803538</v>
      </c>
      <c r="M533">
        <f>M531*'PARAMÈTRES'!$C$146+M530*'PARAMÈTRES'!$C$149+M380</f>
        <v>60.491725</v>
      </c>
      <c r="N533">
        <f>N531*'PARAMÈTRES'!$C$146+N530*'PARAMÈTRES'!$C$149+N380</f>
        <v>60.491725</v>
      </c>
      <c r="O533">
        <f>O531*'PARAMÈTRES'!$C$146+O530*'PARAMÈTRES'!$C$149+O380</f>
        <v>74.361430173805</v>
      </c>
      <c r="P533">
        <f>P531*'PARAMÈTRES'!$C$146+P530*'PARAMÈTRES'!$C$149+P380</f>
        <v>116.745725</v>
      </c>
      <c r="Q533">
        <f>Q531*'PARAMÈTRES'!$C$146+Q530*'PARAMÈTRES'!$C$149+Q380</f>
        <v>116.745725</v>
      </c>
      <c r="R533">
        <f>R531*'PARAMÈTRES'!$C$146+R530*'PARAMÈTRES'!$C$149+R380</f>
        <v>136.987430173805</v>
      </c>
      <c r="S533">
        <f>S531*'PARAMÈTRES'!$C$146+S530*'PARAMÈTRES'!$C$149+S380</f>
        <v>170.250325</v>
      </c>
      <c r="T533">
        <f>T531*'PARAMÈTRES'!$C$146+T530*'PARAMÈTRES'!$C$149+T380</f>
        <v>170.250325</v>
      </c>
      <c r="U533">
        <f>U531*'PARAMÈTRES'!$C$146+U530*'PARAMÈTRES'!$C$149+U380</f>
        <v>194.419082760708</v>
      </c>
      <c r="V533">
        <f>V531*'PARAMÈTRES'!$C$146+V530*'PARAMÈTRES'!$C$149+V380</f>
        <v>223.924525</v>
      </c>
      <c r="W533">
        <f>W531*'PARAMÈTRES'!$C$146+W530*'PARAMÈTRES'!$C$149+W380</f>
        <v>223.924525</v>
      </c>
      <c r="X533">
        <f>X531*'PARAMÈTRES'!$C$146+X530*'PARAMÈTRES'!$C$149+X380</f>
        <v>257.13633534761</v>
      </c>
    </row>
    <row r="534">
      <c r="A534" t="inlineStr">
        <is>
          <t>g1</t>
        </is>
      </c>
      <c r="B534" t="inlineStr">
        <is>
          <t>GROS_ŒUVRE!E101</t>
        </is>
      </c>
      <c r="D534">
        <f>D531*'PARAMÈTRES'!$C$147</f>
        <v>23.74455</v>
      </c>
      <c r="E534">
        <f>E531*'PARAMÈTRES'!$C$147</f>
        <v>23.74455</v>
      </c>
      <c r="F534">
        <f>F531*'PARAMÈTRES'!$C$147</f>
        <v>27.8805394401769</v>
      </c>
      <c r="G534">
        <f>G531*'PARAMÈTRES'!$C$147</f>
        <v>23.07075</v>
      </c>
      <c r="H534">
        <f>H531*'PARAMÈTRES'!$C$147</f>
        <v>23.07075</v>
      </c>
      <c r="I534">
        <f>I531*'PARAMÈTRES'!$C$147</f>
        <v>27.0278841602653</v>
      </c>
      <c r="J534">
        <f>J531*'PARAMÈTRES'!$C$147</f>
        <v>33.27675</v>
      </c>
      <c r="K534">
        <f>K531*'PARAMÈTRES'!$C$147</f>
        <v>33.27675</v>
      </c>
      <c r="L534">
        <f>L531*'PARAMÈTRES'!$C$147</f>
        <v>38.0168841602653</v>
      </c>
      <c r="M534">
        <f>M531*'PARAMÈTRES'!$C$147</f>
        <v>29.60295</v>
      </c>
      <c r="N534">
        <f>N531*'PARAMÈTRES'!$C$147</f>
        <v>29.60295</v>
      </c>
      <c r="O534">
        <f>O531*'PARAMÈTRES'!$C$147</f>
        <v>34.1642288803538</v>
      </c>
      <c r="P534">
        <f>P531*'PARAMÈTRES'!$C$147</f>
        <v>56.41095</v>
      </c>
      <c r="Q534">
        <f>Q531*'PARAMÈTRES'!$C$147</f>
        <v>56.41095</v>
      </c>
      <c r="R534">
        <f>R531*'PARAMÈTRES'!$C$147</f>
        <v>62.7812288803538</v>
      </c>
      <c r="S534">
        <f>S531*'PARAMÈTRES'!$C$147</f>
        <v>81.34815</v>
      </c>
      <c r="T534">
        <f>T531*'PARAMÈTRES'!$C$147</f>
        <v>81.34815</v>
      </c>
      <c r="U534">
        <f>U531*'PARAMÈTRES'!$C$147</f>
        <v>88.6837183205306</v>
      </c>
      <c r="V534">
        <f>V531*'PARAMÈTRES'!$C$147</f>
        <v>106.41255</v>
      </c>
      <c r="W534">
        <f>W531*'PARAMÈTRES'!$C$147</f>
        <v>106.41255</v>
      </c>
      <c r="X534">
        <f>X531*'PARAMÈTRES'!$C$147</f>
        <v>115.712407760708</v>
      </c>
    </row>
    <row r="535">
      <c r="A535" t="inlineStr">
        <is>
          <t>g2</t>
        </is>
      </c>
      <c r="B535" t="inlineStr">
        <is>
          <t>GROS_ŒUVRE!E102</t>
        </is>
      </c>
      <c r="D535">
        <f>D531*'PARAMÈTRES'!$C$148</f>
        <v>39.57425</v>
      </c>
      <c r="E535">
        <f>E531*'PARAMÈTRES'!$C$148</f>
        <v>39.57425</v>
      </c>
      <c r="F535">
        <f>F531*'PARAMÈTRES'!$C$148</f>
        <v>46.4675657336281</v>
      </c>
      <c r="G535">
        <f>G531*'PARAMÈTRES'!$C$148</f>
        <v>38.45125</v>
      </c>
      <c r="H535">
        <f>H531*'PARAMÈTRES'!$C$148</f>
        <v>38.45125</v>
      </c>
      <c r="I535">
        <f>I531*'PARAMÈTRES'!$C$148</f>
        <v>45.0464736004422</v>
      </c>
      <c r="J535">
        <f>J531*'PARAMÈTRES'!$C$148</f>
        <v>55.46125</v>
      </c>
      <c r="K535">
        <f>K531*'PARAMÈTRES'!$C$148</f>
        <v>55.46125</v>
      </c>
      <c r="L535">
        <f>L531*'PARAMÈTRES'!$C$148</f>
        <v>63.3614736004422</v>
      </c>
      <c r="M535">
        <f>M531*'PARAMÈTRES'!$C$148</f>
        <v>49.33825</v>
      </c>
      <c r="N535">
        <f>N531*'PARAMÈTRES'!$C$148</f>
        <v>49.33825</v>
      </c>
      <c r="O535">
        <f>O531*'PARAMÈTRES'!$C$148</f>
        <v>56.9403814672563</v>
      </c>
      <c r="P535">
        <f>P531*'PARAMÈTRES'!$C$148</f>
        <v>94.01825</v>
      </c>
      <c r="Q535">
        <f>Q531*'PARAMÈTRES'!$C$148</f>
        <v>94.01825</v>
      </c>
      <c r="R535">
        <f>R531*'PARAMÈTRES'!$C$148</f>
        <v>104.635381467256</v>
      </c>
      <c r="S535">
        <f>S531*'PARAMÈTRES'!$C$148</f>
        <v>135.58025</v>
      </c>
      <c r="T535">
        <f>T531*'PARAMÈTRES'!$C$148</f>
        <v>135.58025</v>
      </c>
      <c r="U535">
        <f>U531*'PARAMÈTRES'!$C$148</f>
        <v>147.806197200884</v>
      </c>
      <c r="V535">
        <f>V531*'PARAMÈTRES'!$C$148</f>
        <v>177.35425</v>
      </c>
      <c r="W535">
        <f>W531*'PARAMÈTRES'!$C$148</f>
        <v>177.35425</v>
      </c>
      <c r="X535">
        <f>X531*'PARAMÈTRES'!$C$148</f>
        <v>192.854012934513</v>
      </c>
    </row>
    <row r="536">
      <c r="A536" t="inlineStr">
        <is>
          <t>kg_HA6</t>
        </is>
      </c>
      <c r="B536" t="inlineStr">
        <is>
          <t>GROS_ŒUVRE!I103</t>
        </is>
      </c>
      <c r="D536">
        <f>(IF(D386="HA6",D391,0)+IF(D392="HA6",D397,0)+IF(D398="HA6",D403,0)+IF(D408="HA6",D413,0)+IF(D414="HA6",D419,0)+IF(D420="HA6",D425,0)+IF(D429="HA6",D434,0)+IF(D435="HA6",D440,0)+IF(D446="HA6",D451,0)+IF(D452="HA6",D457,0)+IF(D458="HA6",D463,0)+IF(D464="HA6",D469,0)+IF(D470="HA6",D475,0)+IF(D484="HA6",D489,0)+IF(D490="HA6",D495,0)+IF(D499="HA6",D504,0)+IF(D505="HA6",D510,0)+IF(D514="HA6",D519,0)+IF(D520="HA6",D525,0))*(1+'PARAMÈTRES'!$C$154)</f>
        <v>39.44052</v>
      </c>
      <c r="E536">
        <f>(IF(E386="HA6",E391,0)+IF(E392="HA6",E397,0)+IF(E398="HA6",E403,0)+IF(E408="HA6",E413,0)+IF(E414="HA6",E419,0)+IF(E420="HA6",E425,0)+IF(E429="HA6",E434,0)+IF(E435="HA6",E440,0)+IF(E446="HA6",E451,0)+IF(E452="HA6",E457,0)+IF(E458="HA6",E463,0)+IF(E464="HA6",E469,0)+IF(E470="HA6",E475,0)+IF(E484="HA6",E489,0)+IF(E490="HA6",E495,0)+IF(E499="HA6",E504,0)+IF(E505="HA6",E510,0)+IF(E514="HA6",E519,0)+IF(E520="HA6",E525,0))*(1+'PARAMÈTRES'!$C$154)</f>
        <v>39.44052</v>
      </c>
      <c r="F536">
        <f>(IF(F386="HA6",F391,0)+IF(F392="HA6",F397,0)+IF(F398="HA6",F403,0)+IF(F408="HA6",F413,0)+IF(F414="HA6",F419,0)+IF(F420="HA6",F425,0)+IF(F429="HA6",F434,0)+IF(F435="HA6",F440,0)+IF(F446="HA6",F451,0)+IF(F452="HA6",F457,0)+IF(F458="HA6",F463,0)+IF(F464="HA6",F469,0)+IF(F470="HA6",F475,0)+IF(F484="HA6",F489,0)+IF(F490="HA6",F495,0)+IF(F499="HA6",F504,0)+IF(F505="HA6",F510,0)+IF(F514="HA6",F519,0)+IF(F520="HA6",F525,0))*(1+'PARAMÈTRES'!$C$154)</f>
        <v>318.76425</v>
      </c>
      <c r="G536">
        <f>(IF(G386="HA6",G391,0)+IF(G392="HA6",G397,0)+IF(G398="HA6",G403,0)+IF(G408="HA6",G413,0)+IF(G414="HA6",G419,0)+IF(G420="HA6",G425,0)+IF(G429="HA6",G434,0)+IF(G435="HA6",G440,0)+IF(G446="HA6",G451,0)+IF(G452="HA6",G457,0)+IF(G458="HA6",G463,0)+IF(G464="HA6",G469,0)+IF(G470="HA6",G475,0)+IF(G484="HA6",G489,0)+IF(G490="HA6",G495,0)+IF(G499="HA6",G504,0)+IF(G505="HA6",G510,0)+IF(G514="HA6",G519,0)+IF(G520="HA6",G525,0))*(1+'PARAMÈTRES'!$C$154)</f>
        <v>37.7622</v>
      </c>
      <c r="H536">
        <f>(IF(H386="HA6",H391,0)+IF(H392="HA6",H397,0)+IF(H398="HA6",H403,0)+IF(H408="HA6",H413,0)+IF(H414="HA6",H419,0)+IF(H420="HA6",H425,0)+IF(H429="HA6",H434,0)+IF(H435="HA6",H440,0)+IF(H446="HA6",H451,0)+IF(H452="HA6",H457,0)+IF(H458="HA6",H463,0)+IF(H464="HA6",H469,0)+IF(H470="HA6",H475,0)+IF(H484="HA6",H489,0)+IF(H490="HA6",H495,0)+IF(H499="HA6",H504,0)+IF(H505="HA6",H510,0)+IF(H514="HA6",H519,0)+IF(H520="HA6",H525,0))*(1+'PARAMÈTRES'!$C$154)</f>
        <v>37.7622</v>
      </c>
      <c r="I536">
        <f>(IF(I386="HA6",I391,0)+IF(I392="HA6",I397,0)+IF(I398="HA6",I403,0)+IF(I408="HA6",I413,0)+IF(I414="HA6",I419,0)+IF(I420="HA6",I425,0)+IF(I429="HA6",I434,0)+IF(I435="HA6",I440,0)+IF(I446="HA6",I451,0)+IF(I452="HA6",I457,0)+IF(I458="HA6",I463,0)+IF(I464="HA6",I469,0)+IF(I470="HA6",I475,0)+IF(I484="HA6",I489,0)+IF(I490="HA6",I495,0)+IF(I499="HA6",I504,0)+IF(I505="HA6",I510,0)+IF(I514="HA6",I519,0)+IF(I520="HA6",I525,0))*(1+'PARAMÈTRES'!$C$154)</f>
        <v>305.43093</v>
      </c>
      <c r="J536">
        <f>(IF(J386="HA6",J391,0)+IF(J392="HA6",J397,0)+IF(J398="HA6",J403,0)+IF(J408="HA6",J413,0)+IF(J414="HA6",J419,0)+IF(J420="HA6",J425,0)+IF(J429="HA6",J434,0)+IF(J435="HA6",J440,0)+IF(J446="HA6",J451,0)+IF(J452="HA6",J457,0)+IF(J458="HA6",J463,0)+IF(J464="HA6",J469,0)+IF(J470="HA6",J475,0)+IF(J484="HA6",J489,0)+IF(J490="HA6",J495,0)+IF(J499="HA6",J504,0)+IF(J505="HA6",J510,0)+IF(J514="HA6",J519,0)+IF(J520="HA6",J525,0))*(1+'PARAMÈTRES'!$C$154)</f>
        <v>43.63632</v>
      </c>
      <c r="K536">
        <f>(IF(K386="HA6",K391,0)+IF(K392="HA6",K397,0)+IF(K398="HA6",K403,0)+IF(K408="HA6",K413,0)+IF(K414="HA6",K419,0)+IF(K420="HA6",K425,0)+IF(K429="HA6",K434,0)+IF(K435="HA6",K440,0)+IF(K446="HA6",K451,0)+IF(K452="HA6",K457,0)+IF(K458="HA6",K463,0)+IF(K464="HA6",K469,0)+IF(K470="HA6",K475,0)+IF(K484="HA6",K489,0)+IF(K490="HA6",K495,0)+IF(K499="HA6",K504,0)+IF(K505="HA6",K510,0)+IF(K514="HA6",K519,0)+IF(K520="HA6",K525,0))*(1+'PARAMÈTRES'!$C$154)</f>
        <v>43.63632</v>
      </c>
      <c r="L536">
        <f>(IF(L386="HA6",L391,0)+IF(L392="HA6",L397,0)+IF(L398="HA6",L403,0)+IF(L408="HA6",L413,0)+IF(L414="HA6",L419,0)+IF(L420="HA6",L425,0)+IF(L429="HA6",L434,0)+IF(L435="HA6",L440,0)+IF(L446="HA6",L451,0)+IF(L452="HA6",L457,0)+IF(L458="HA6",L463,0)+IF(L464="HA6",L469,0)+IF(L470="HA6",L475,0)+IF(L484="HA6",L489,0)+IF(L490="HA6",L495,0)+IF(L499="HA6",L504,0)+IF(L505="HA6",L510,0)+IF(L514="HA6",L519,0)+IF(L520="HA6",L525,0))*(1+'PARAMÈTRES'!$C$154)</f>
        <v>363.61269</v>
      </c>
      <c r="M536">
        <f>(IF(M386="HA6",M391,0)+IF(M392="HA6",M397,0)+IF(M398="HA6",M403,0)+IF(M408="HA6",M413,0)+IF(M414="HA6",M419,0)+IF(M420="HA6",M425,0)+IF(M429="HA6",M434,0)+IF(M435="HA6",M440,0)+IF(M446="HA6",M451,0)+IF(M452="HA6",M457,0)+IF(M458="HA6",M463,0)+IF(M464="HA6",M469,0)+IF(M470="HA6",M475,0)+IF(M484="HA6",M489,0)+IF(M490="HA6",M495,0)+IF(M499="HA6",M504,0)+IF(M505="HA6",M510,0)+IF(M514="HA6",M519,0)+IF(M520="HA6",M525,0))*(1+'PARAMÈTRES'!$C$154)</f>
        <v>41.958</v>
      </c>
      <c r="N536">
        <f>(IF(N386="HA6",N391,0)+IF(N392="HA6",N397,0)+IF(N398="HA6",N403,0)+IF(N408="HA6",N413,0)+IF(N414="HA6",N419,0)+IF(N420="HA6",N425,0)+IF(N429="HA6",N434,0)+IF(N435="HA6",N440,0)+IF(N446="HA6",N451,0)+IF(N452="HA6",N457,0)+IF(N458="HA6",N463,0)+IF(N464="HA6",N469,0)+IF(N470="HA6",N475,0)+IF(N484="HA6",N489,0)+IF(N490="HA6",N495,0)+IF(N499="HA6",N504,0)+IF(N505="HA6",N510,0)+IF(N514="HA6",N519,0)+IF(N520="HA6",N525,0))*(1+'PARAMÈTRES'!$C$154)</f>
        <v>41.958</v>
      </c>
      <c r="O536">
        <f>(IF(O386="HA6",O391,0)+IF(O392="HA6",O397,0)+IF(O398="HA6",O403,0)+IF(O408="HA6",O413,0)+IF(O414="HA6",O419,0)+IF(O420="HA6",O425,0)+IF(O429="HA6",O434,0)+IF(O435="HA6",O440,0)+IF(O446="HA6",O451,0)+IF(O452="HA6",O457,0)+IF(O458="HA6",O463,0)+IF(O464="HA6",O469,0)+IF(O470="HA6",O475,0)+IF(O484="HA6",O489,0)+IF(O490="HA6",O495,0)+IF(O499="HA6",O504,0)+IF(O505="HA6",O510,0)+IF(O514="HA6",O519,0)+IF(O520="HA6",O525,0))*(1+'PARAMÈTRES'!$C$154)</f>
        <v>350.39592</v>
      </c>
      <c r="P536">
        <f>(IF(P386="HA6",P391,0)+IF(P392="HA6",P397,0)+IF(P398="HA6",P403,0)+IF(P408="HA6",P413,0)+IF(P414="HA6",P419,0)+IF(P420="HA6",P425,0)+IF(P429="HA6",P434,0)+IF(P435="HA6",P440,0)+IF(P446="HA6",P451,0)+IF(P452="HA6",P457,0)+IF(P458="HA6",P463,0)+IF(P464="HA6",P469,0)+IF(P470="HA6",P475,0)+IF(P484="HA6",P489,0)+IF(P490="HA6",P495,0)+IF(P499="HA6",P504,0)+IF(P505="HA6",P510,0)+IF(P514="HA6",P519,0)+IF(P520="HA6",P525,0))*(1+'PARAMÈTRES'!$C$154)</f>
        <v>59.58036</v>
      </c>
      <c r="Q536">
        <f>(IF(Q386="HA6",Q391,0)+IF(Q392="HA6",Q397,0)+IF(Q398="HA6",Q403,0)+IF(Q408="HA6",Q413,0)+IF(Q414="HA6",Q419,0)+IF(Q420="HA6",Q425,0)+IF(Q429="HA6",Q434,0)+IF(Q435="HA6",Q440,0)+IF(Q446="HA6",Q451,0)+IF(Q452="HA6",Q457,0)+IF(Q458="HA6",Q463,0)+IF(Q464="HA6",Q469,0)+IF(Q470="HA6",Q475,0)+IF(Q484="HA6",Q489,0)+IF(Q490="HA6",Q495,0)+IF(Q499="HA6",Q504,0)+IF(Q505="HA6",Q510,0)+IF(Q514="HA6",Q519,0)+IF(Q520="HA6",Q525,0))*(1+'PARAMÈTRES'!$C$154)</f>
        <v>59.58036</v>
      </c>
      <c r="R536">
        <f>(IF(R386="HA6",R391,0)+IF(R392="HA6",R397,0)+IF(R398="HA6",R403,0)+IF(R408="HA6",R413,0)+IF(R414="HA6",R419,0)+IF(R420="HA6",R425,0)+IF(R429="HA6",R434,0)+IF(R435="HA6",R440,0)+IF(R446="HA6",R451,0)+IF(R452="HA6",R457,0)+IF(R458="HA6",R463,0)+IF(R464="HA6",R469,0)+IF(R470="HA6",R475,0)+IF(R484="HA6",R489,0)+IF(R490="HA6",R495,0)+IF(R499="HA6",R504,0)+IF(R505="HA6",R510,0)+IF(R514="HA6",R519,0)+IF(R520="HA6",R525,0))*(1+'PARAMÈTRES'!$C$154)</f>
        <v>489.9762</v>
      </c>
      <c r="S536">
        <f>(IF(S386="HA6",S391,0)+IF(S392="HA6",S397,0)+IF(S398="HA6",S403,0)+IF(S408="HA6",S413,0)+IF(S414="HA6",S419,0)+IF(S420="HA6",S425,0)+IF(S429="HA6",S434,0)+IF(S435="HA6",S440,0)+IF(S446="HA6",S451,0)+IF(S452="HA6",S457,0)+IF(S458="HA6",S463,0)+IF(S464="HA6",S469,0)+IF(S470="HA6",S475,0)+IF(S484="HA6",S489,0)+IF(S490="HA6",S495,0)+IF(S499="HA6",S504,0)+IF(S505="HA6",S510,0)+IF(S514="HA6",S519,0)+IF(S520="HA6",S525,0))*(1+'PARAMÈTRES'!$C$154)</f>
        <v>63.77616</v>
      </c>
      <c r="T536">
        <f>(IF(T386="HA6",T391,0)+IF(T392="HA6",T397,0)+IF(T398="HA6",T403,0)+IF(T408="HA6",T413,0)+IF(T414="HA6",T419,0)+IF(T420="HA6",T425,0)+IF(T429="HA6",T434,0)+IF(T435="HA6",T440,0)+IF(T446="HA6",T451,0)+IF(T452="HA6",T457,0)+IF(T458="HA6",T463,0)+IF(T464="HA6",T469,0)+IF(T470="HA6",T475,0)+IF(T484="HA6",T489,0)+IF(T490="HA6",T495,0)+IF(T499="HA6",T504,0)+IF(T505="HA6",T510,0)+IF(T514="HA6",T519,0)+IF(T520="HA6",T525,0))*(1+'PARAMÈTRES'!$C$154)</f>
        <v>63.77616</v>
      </c>
      <c r="U536">
        <f>(IF(U386="HA6",U391,0)+IF(U392="HA6",U397,0)+IF(U398="HA6",U403,0)+IF(U408="HA6",U413,0)+IF(U414="HA6",U419,0)+IF(U420="HA6",U425,0)+IF(U429="HA6",U434,0)+IF(U435="HA6",U440,0)+IF(U446="HA6",U451,0)+IF(U452="HA6",U457,0)+IF(U458="HA6",U463,0)+IF(U464="HA6",U469,0)+IF(U470="HA6",U475,0)+IF(U484="HA6",U489,0)+IF(U490="HA6",U495,0)+IF(U499="HA6",U504,0)+IF(U505="HA6",U510,0)+IF(U514="HA6",U519,0)+IF(U520="HA6",U525,0))*(1+'PARAMÈTRES'!$C$154)</f>
        <v>558.25119</v>
      </c>
      <c r="V536">
        <f>(IF(V386="HA6",V391,0)+IF(V392="HA6",V397,0)+IF(V398="HA6",V403,0)+IF(V408="HA6",V413,0)+IF(V414="HA6",V419,0)+IF(V420="HA6",V425,0)+IF(V429="HA6",V434,0)+IF(V435="HA6",V440,0)+IF(V446="HA6",V451,0)+IF(V452="HA6",V457,0)+IF(V458="HA6",V463,0)+IF(V464="HA6",V469,0)+IF(V470="HA6",V475,0)+IF(V484="HA6",V489,0)+IF(V490="HA6",V495,0)+IF(V499="HA6",V504,0)+IF(V505="HA6",V510,0)+IF(V514="HA6",V519,0)+IF(V520="HA6",V525,0))*(1+'PARAMÈTRES'!$C$154)</f>
        <v>72.16776</v>
      </c>
      <c r="W536">
        <f>(IF(W386="HA6",W391,0)+IF(W392="HA6",W397,0)+IF(W398="HA6",W403,0)+IF(W408="HA6",W413,0)+IF(W414="HA6",W419,0)+IF(W420="HA6",W425,0)+IF(W429="HA6",W434,0)+IF(W435="HA6",W440,0)+IF(W446="HA6",W451,0)+IF(W452="HA6",W457,0)+IF(W458="HA6",W463,0)+IF(W464="HA6",W469,0)+IF(W470="HA6",W475,0)+IF(W484="HA6",W489,0)+IF(W490="HA6",W495,0)+IF(W499="HA6",W504,0)+IF(W505="HA6",W510,0)+IF(W514="HA6",W519,0)+IF(W520="HA6",W525,0))*(1+'PARAMÈTRES'!$C$154)</f>
        <v>72.16776</v>
      </c>
      <c r="X536">
        <f>(IF(X386="HA6",X391,0)+IF(X392="HA6",X397,0)+IF(X398="HA6",X403,0)+IF(X408="HA6",X413,0)+IF(X414="HA6",X419,0)+IF(X420="HA6",X425,0)+IF(X429="HA6",X434,0)+IF(X435="HA6",X440,0)+IF(X446="HA6",X451,0)+IF(X452="HA6",X457,0)+IF(X458="HA6",X463,0)+IF(X464="HA6",X469,0)+IF(X470="HA6",X475,0)+IF(X484="HA6",X489,0)+IF(X490="HA6",X495,0)+IF(X499="HA6",X504,0)+IF(X505="HA6",X510,0)+IF(X514="HA6",X519,0)+IF(X520="HA6",X525,0))*(1+'PARAMÈTRES'!$C$154)</f>
        <v>695.17413</v>
      </c>
    </row>
    <row r="537">
      <c r="A537" t="inlineStr">
        <is>
          <t>bar_HA6</t>
        </is>
      </c>
      <c r="B537" t="inlineStr">
        <is>
          <t>GROS_ŒUVRE!E103</t>
        </is>
      </c>
      <c r="D537">
        <f>ROUNDUP(D536/(IFERROR(_xlfn.XLOOKUP("HA6",'BASE_ACIERS'!$B$5:$B$20,'BASE_ACIERS'!$D$5:$D$20),IFERROR(INDEX('BASE_ACIERS'!$D$5:$D$20,MATCH("HA6",'BASE_ACIERS'!$B$5:$B$20,0)),0))*'PARAMÈTRES'!$C$58),0)</f>
        <v>15</v>
      </c>
      <c r="E537">
        <f>ROUNDUP(E536/(IFERROR(_xlfn.XLOOKUP("HA6",'BASE_ACIERS'!$B$5:$B$20,'BASE_ACIERS'!$D$5:$D$20),IFERROR(INDEX('BASE_ACIERS'!$D$5:$D$20,MATCH("HA6",'BASE_ACIERS'!$B$5:$B$20,0)),0))*'PARAMÈTRES'!$C$58),0)</f>
        <v>15</v>
      </c>
      <c r="F537">
        <f>ROUNDUP(F536/(IFERROR(_xlfn.XLOOKUP("HA6",'BASE_ACIERS'!$B$5:$B$20,'BASE_ACIERS'!$D$5:$D$20),IFERROR(INDEX('BASE_ACIERS'!$D$5:$D$20,MATCH("HA6",'BASE_ACIERS'!$B$5:$B$20,0)),0))*'PARAMÈTRES'!$C$58),0)</f>
        <v>120</v>
      </c>
      <c r="G537">
        <f>ROUNDUP(G536/(IFERROR(_xlfn.XLOOKUP("HA6",'BASE_ACIERS'!$B$5:$B$20,'BASE_ACIERS'!$D$5:$D$20),IFERROR(INDEX('BASE_ACIERS'!$D$5:$D$20,MATCH("HA6",'BASE_ACIERS'!$B$5:$B$20,0)),0))*'PARAMÈTRES'!$C$58),0)</f>
        <v>15</v>
      </c>
      <c r="H537">
        <f>ROUNDUP(H536/(IFERROR(_xlfn.XLOOKUP("HA6",'BASE_ACIERS'!$B$5:$B$20,'BASE_ACIERS'!$D$5:$D$20),IFERROR(INDEX('BASE_ACIERS'!$D$5:$D$20,MATCH("HA6",'BASE_ACIERS'!$B$5:$B$20,0)),0))*'PARAMÈTRES'!$C$58),0)</f>
        <v>15</v>
      </c>
      <c r="I537">
        <f>ROUNDUP(I536/(IFERROR(_xlfn.XLOOKUP("HA6",'BASE_ACIERS'!$B$5:$B$20,'BASE_ACIERS'!$D$5:$D$20),IFERROR(INDEX('BASE_ACIERS'!$D$5:$D$20,MATCH("HA6",'BASE_ACIERS'!$B$5:$B$20,0)),0))*'PARAMÈTRES'!$C$58),0)</f>
        <v>115</v>
      </c>
      <c r="J537">
        <f>ROUNDUP(J536/(IFERROR(_xlfn.XLOOKUP("HA6",'BASE_ACIERS'!$B$5:$B$20,'BASE_ACIERS'!$D$5:$D$20),IFERROR(INDEX('BASE_ACIERS'!$D$5:$D$20,MATCH("HA6",'BASE_ACIERS'!$B$5:$B$20,0)),0))*'PARAMÈTRES'!$C$58),0)</f>
        <v>17</v>
      </c>
      <c r="K537">
        <f>ROUNDUP(K536/(IFERROR(_xlfn.XLOOKUP("HA6",'BASE_ACIERS'!$B$5:$B$20,'BASE_ACIERS'!$D$5:$D$20),IFERROR(INDEX('BASE_ACIERS'!$D$5:$D$20,MATCH("HA6",'BASE_ACIERS'!$B$5:$B$20,0)),0))*'PARAMÈTRES'!$C$58),0)</f>
        <v>17</v>
      </c>
      <c r="L537">
        <f>ROUNDUP(L536/(IFERROR(_xlfn.XLOOKUP("HA6",'BASE_ACIERS'!$B$5:$B$20,'BASE_ACIERS'!$D$5:$D$20),IFERROR(INDEX('BASE_ACIERS'!$D$5:$D$20,MATCH("HA6",'BASE_ACIERS'!$B$5:$B$20,0)),0))*'PARAMÈTRES'!$C$58),0)</f>
        <v>137</v>
      </c>
      <c r="M537">
        <f>ROUNDUP(M536/(IFERROR(_xlfn.XLOOKUP("HA6",'BASE_ACIERS'!$B$5:$B$20,'BASE_ACIERS'!$D$5:$D$20),IFERROR(INDEX('BASE_ACIERS'!$D$5:$D$20,MATCH("HA6",'BASE_ACIERS'!$B$5:$B$20,0)),0))*'PARAMÈTRES'!$C$58),0)</f>
        <v>16</v>
      </c>
      <c r="N537">
        <f>ROUNDUP(N536/(IFERROR(_xlfn.XLOOKUP("HA6",'BASE_ACIERS'!$B$5:$B$20,'BASE_ACIERS'!$D$5:$D$20),IFERROR(INDEX('BASE_ACIERS'!$D$5:$D$20,MATCH("HA6",'BASE_ACIERS'!$B$5:$B$20,0)),0))*'PARAMÈTRES'!$C$58),0)</f>
        <v>16</v>
      </c>
      <c r="O537">
        <f>ROUNDUP(O536/(IFERROR(_xlfn.XLOOKUP("HA6",'BASE_ACIERS'!$B$5:$B$20,'BASE_ACIERS'!$D$5:$D$20),IFERROR(INDEX('BASE_ACIERS'!$D$5:$D$20,MATCH("HA6",'BASE_ACIERS'!$B$5:$B$20,0)),0))*'PARAMÈTRES'!$C$58),0)</f>
        <v>132</v>
      </c>
      <c r="P537">
        <f>ROUNDUP(P536/(IFERROR(_xlfn.XLOOKUP("HA6",'BASE_ACIERS'!$B$5:$B$20,'BASE_ACIERS'!$D$5:$D$20),IFERROR(INDEX('BASE_ACIERS'!$D$5:$D$20,MATCH("HA6",'BASE_ACIERS'!$B$5:$B$20,0)),0))*'PARAMÈTRES'!$C$58),0)</f>
        <v>23</v>
      </c>
      <c r="Q537">
        <f>ROUNDUP(Q536/(IFERROR(_xlfn.XLOOKUP("HA6",'BASE_ACIERS'!$B$5:$B$20,'BASE_ACIERS'!$D$5:$D$20),IFERROR(INDEX('BASE_ACIERS'!$D$5:$D$20,MATCH("HA6",'BASE_ACIERS'!$B$5:$B$20,0)),0))*'PARAMÈTRES'!$C$58),0)</f>
        <v>23</v>
      </c>
      <c r="R537">
        <f>ROUNDUP(R536/(IFERROR(_xlfn.XLOOKUP("HA6",'BASE_ACIERS'!$B$5:$B$20,'BASE_ACIERS'!$D$5:$D$20),IFERROR(INDEX('BASE_ACIERS'!$D$5:$D$20,MATCH("HA6",'BASE_ACIERS'!$B$5:$B$20,0)),0))*'PARAMÈTRES'!$C$58),0)</f>
        <v>184</v>
      </c>
      <c r="S537">
        <f>ROUNDUP(S536/(IFERROR(_xlfn.XLOOKUP("HA6",'BASE_ACIERS'!$B$5:$B$20,'BASE_ACIERS'!$D$5:$D$20),IFERROR(INDEX('BASE_ACIERS'!$D$5:$D$20,MATCH("HA6",'BASE_ACIERS'!$B$5:$B$20,0)),0))*'PARAMÈTRES'!$C$58),0)</f>
        <v>24</v>
      </c>
      <c r="T537">
        <f>ROUNDUP(T536/(IFERROR(_xlfn.XLOOKUP("HA6",'BASE_ACIERS'!$B$5:$B$20,'BASE_ACIERS'!$D$5:$D$20),IFERROR(INDEX('BASE_ACIERS'!$D$5:$D$20,MATCH("HA6",'BASE_ACIERS'!$B$5:$B$20,0)),0))*'PARAMÈTRES'!$C$58),0)</f>
        <v>24</v>
      </c>
      <c r="U537">
        <f>ROUNDUP(U536/(IFERROR(_xlfn.XLOOKUP("HA6",'BASE_ACIERS'!$B$5:$B$20,'BASE_ACIERS'!$D$5:$D$20),IFERROR(INDEX('BASE_ACIERS'!$D$5:$D$20,MATCH("HA6",'BASE_ACIERS'!$B$5:$B$20,0)),0))*'PARAMÈTRES'!$C$58),0)</f>
        <v>210</v>
      </c>
      <c r="V537">
        <f>ROUNDUP(V536/(IFERROR(_xlfn.XLOOKUP("HA6",'BASE_ACIERS'!$B$5:$B$20,'BASE_ACIERS'!$D$5:$D$20),IFERROR(INDEX('BASE_ACIERS'!$D$5:$D$20,MATCH("HA6",'BASE_ACIERS'!$B$5:$B$20,0)),0))*'PARAMÈTRES'!$C$58),0)</f>
        <v>28</v>
      </c>
      <c r="W537">
        <f>ROUNDUP(W536/(IFERROR(_xlfn.XLOOKUP("HA6",'BASE_ACIERS'!$B$5:$B$20,'BASE_ACIERS'!$D$5:$D$20),IFERROR(INDEX('BASE_ACIERS'!$D$5:$D$20,MATCH("HA6",'BASE_ACIERS'!$B$5:$B$20,0)),0))*'PARAMÈTRES'!$C$58),0)</f>
        <v>28</v>
      </c>
      <c r="X537">
        <f>ROUNDUP(X536/(IFERROR(_xlfn.XLOOKUP("HA6",'BASE_ACIERS'!$B$5:$B$20,'BASE_ACIERS'!$D$5:$D$20),IFERROR(INDEX('BASE_ACIERS'!$D$5:$D$20,MATCH("HA6",'BASE_ACIERS'!$B$5:$B$20,0)),0))*'PARAMÈTRES'!$C$58),0)</f>
        <v>261</v>
      </c>
    </row>
    <row r="538">
      <c r="A538" t="inlineStr">
        <is>
          <t>kg_HA8</t>
        </is>
      </c>
      <c r="B538" t="inlineStr">
        <is>
          <t>GROS_ŒUVRE!I104</t>
        </is>
      </c>
      <c r="D538">
        <f>(IF(D386="HA8",D391,0)+IF(D392="HA8",D397,0)+IF(D398="HA8",D403,0)+IF(D408="HA8",D413,0)+IF(D414="HA8",D419,0)+IF(D420="HA8",D425,0)+IF(D429="HA8",D434,0)+IF(D435="HA8",D440,0)+IF(D446="HA8",D451,0)+IF(D452="HA8",D457,0)+IF(D458="HA8",D463,0)+IF(D464="HA8",D469,0)+IF(D470="HA8",D475,0)+IF(D484="HA8",D489,0)+IF(D490="HA8",D495,0)+IF(D499="HA8",D504,0)+IF(D505="HA8",D510,0)+IF(D514="HA8",D519,0)+IF(D520="HA8",D525,0))*(1+'PARAMÈTRES'!$C$154)</f>
        <v>66.567375</v>
      </c>
      <c r="E538">
        <f>(IF(E386="HA8",E391,0)+IF(E392="HA8",E397,0)+IF(E398="HA8",E403,0)+IF(E408="HA8",E413,0)+IF(E414="HA8",E419,0)+IF(E420="HA8",E425,0)+IF(E429="HA8",E434,0)+IF(E435="HA8",E440,0)+IF(E446="HA8",E451,0)+IF(E452="HA8",E457,0)+IF(E458="HA8",E463,0)+IF(E464="HA8",E469,0)+IF(E470="HA8",E475,0)+IF(E484="HA8",E489,0)+IF(E490="HA8",E495,0)+IF(E499="HA8",E504,0)+IF(E505="HA8",E510,0)+IF(E514="HA8",E519,0)+IF(E520="HA8",E525,0))*(1+'PARAMÈTRES'!$C$154)</f>
        <v>66.567375</v>
      </c>
      <c r="F538">
        <f>(IF(F386="HA8",F391,0)+IF(F392="HA8",F397,0)+IF(F398="HA8",F403,0)+IF(F408="HA8",F413,0)+IF(F414="HA8",F419,0)+IF(F420="HA8",F425,0)+IF(F429="HA8",F434,0)+IF(F435="HA8",F440,0)+IF(F446="HA8",F451,0)+IF(F452="HA8",F457,0)+IF(F458="HA8",F463,0)+IF(F464="HA8",F469,0)+IF(F470="HA8",F475,0)+IF(F484="HA8",F489,0)+IF(F490="HA8",F495,0)+IF(F499="HA8",F504,0)+IF(F505="HA8",F510,0)+IF(F514="HA8",F519,0)+IF(F520="HA8",F525,0))*(1+'PARAMÈTRES'!$C$154)</f>
        <v>66.567375</v>
      </c>
      <c r="G538">
        <f>(IF(G386="HA8",G391,0)+IF(G392="HA8",G397,0)+IF(G398="HA8",G403,0)+IF(G408="HA8",G413,0)+IF(G414="HA8",G419,0)+IF(G420="HA8",G425,0)+IF(G429="HA8",G434,0)+IF(G435="HA8",G440,0)+IF(G446="HA8",G451,0)+IF(G452="HA8",G457,0)+IF(G458="HA8",G463,0)+IF(G464="HA8",G469,0)+IF(G470="HA8",G475,0)+IF(G484="HA8",G489,0)+IF(G490="HA8",G495,0)+IF(G499="HA8",G504,0)+IF(G505="HA8",G510,0)+IF(G514="HA8",G519,0)+IF(G520="HA8",G525,0))*(1+'PARAMÈTRES'!$C$154)</f>
        <v>57.028125</v>
      </c>
      <c r="H538">
        <f>(IF(H386="HA8",H391,0)+IF(H392="HA8",H397,0)+IF(H398="HA8",H403,0)+IF(H408="HA8",H413,0)+IF(H414="HA8",H419,0)+IF(H420="HA8",H425,0)+IF(H429="HA8",H434,0)+IF(H435="HA8",H440,0)+IF(H446="HA8",H451,0)+IF(H452="HA8",H457,0)+IF(H458="HA8",H463,0)+IF(H464="HA8",H469,0)+IF(H470="HA8",H475,0)+IF(H484="HA8",H489,0)+IF(H490="HA8",H495,0)+IF(H499="HA8",H504,0)+IF(H505="HA8",H510,0)+IF(H514="HA8",H519,0)+IF(H520="HA8",H525,0))*(1+'PARAMÈTRES'!$C$154)</f>
        <v>57.028125</v>
      </c>
      <c r="I538">
        <f>(IF(I386="HA8",I391,0)+IF(I392="HA8",I397,0)+IF(I398="HA8",I403,0)+IF(I408="HA8",I413,0)+IF(I414="HA8",I419,0)+IF(I420="HA8",I425,0)+IF(I429="HA8",I434,0)+IF(I435="HA8",I440,0)+IF(I446="HA8",I451,0)+IF(I452="HA8",I457,0)+IF(I458="HA8",I463,0)+IF(I464="HA8",I469,0)+IF(I470="HA8",I475,0)+IF(I484="HA8",I489,0)+IF(I490="HA8",I495,0)+IF(I499="HA8",I504,0)+IF(I505="HA8",I510,0)+IF(I514="HA8",I519,0)+IF(I520="HA8",I525,0))*(1+'PARAMÈTRES'!$C$154)</f>
        <v>57.028125</v>
      </c>
      <c r="J538">
        <f>(IF(J386="HA8",J391,0)+IF(J392="HA8",J397,0)+IF(J398="HA8",J403,0)+IF(J408="HA8",J413,0)+IF(J414="HA8",J419,0)+IF(J420="HA8",J425,0)+IF(J429="HA8",J434,0)+IF(J435="HA8",J440,0)+IF(J446="HA8",J451,0)+IF(J452="HA8",J457,0)+IF(J458="HA8",J463,0)+IF(J464="HA8",J469,0)+IF(J470="HA8",J475,0)+IF(J484="HA8",J489,0)+IF(J490="HA8",J495,0)+IF(J499="HA8",J504,0)+IF(J505="HA8",J510,0)+IF(J514="HA8",J519,0)+IF(J520="HA8",J525,0))*(1+'PARAMÈTRES'!$C$154)</f>
        <v>75.277125</v>
      </c>
      <c r="K538">
        <f>(IF(K386="HA8",K391,0)+IF(K392="HA8",K397,0)+IF(K398="HA8",K403,0)+IF(K408="HA8",K413,0)+IF(K414="HA8",K419,0)+IF(K420="HA8",K425,0)+IF(K429="HA8",K434,0)+IF(K435="HA8",K440,0)+IF(K446="HA8",K451,0)+IF(K452="HA8",K457,0)+IF(K458="HA8",K463,0)+IF(K464="HA8",K469,0)+IF(K470="HA8",K475,0)+IF(K484="HA8",K489,0)+IF(K490="HA8",K495,0)+IF(K499="HA8",K504,0)+IF(K505="HA8",K510,0)+IF(K514="HA8",K519,0)+IF(K520="HA8",K525,0))*(1+'PARAMÈTRES'!$C$154)</f>
        <v>75.277125</v>
      </c>
      <c r="L538">
        <f>(IF(L386="HA8",L391,0)+IF(L392="HA8",L397,0)+IF(L398="HA8",L403,0)+IF(L408="HA8",L413,0)+IF(L414="HA8",L419,0)+IF(L420="HA8",L425,0)+IF(L429="HA8",L434,0)+IF(L435="HA8",L440,0)+IF(L446="HA8",L451,0)+IF(L452="HA8",L457,0)+IF(L458="HA8",L463,0)+IF(L464="HA8",L469,0)+IF(L470="HA8",L475,0)+IF(L484="HA8",L489,0)+IF(L490="HA8",L495,0)+IF(L499="HA8",L504,0)+IF(L505="HA8",L510,0)+IF(L514="HA8",L519,0)+IF(L520="HA8",L525,0))*(1+'PARAMÈTRES'!$C$154)</f>
        <v>75.277125</v>
      </c>
      <c r="M538">
        <f>(IF(M386="HA8",M391,0)+IF(M392="HA8",M397,0)+IF(M398="HA8",M403,0)+IF(M408="HA8",M413,0)+IF(M414="HA8",M419,0)+IF(M420="HA8",M425,0)+IF(M429="HA8",M434,0)+IF(M435="HA8",M440,0)+IF(M446="HA8",M451,0)+IF(M452="HA8",M457,0)+IF(M458="HA8",M463,0)+IF(M464="HA8",M469,0)+IF(M470="HA8",M475,0)+IF(M484="HA8",M489,0)+IF(M490="HA8",M495,0)+IF(M499="HA8",M504,0)+IF(M505="HA8",M510,0)+IF(M514="HA8",M519,0)+IF(M520="HA8",M525,0))*(1+'PARAMÈTRES'!$C$154)</f>
        <v>65.737875</v>
      </c>
      <c r="N538">
        <f>(IF(N386="HA8",N391,0)+IF(N392="HA8",N397,0)+IF(N398="HA8",N403,0)+IF(N408="HA8",N413,0)+IF(N414="HA8",N419,0)+IF(N420="HA8",N425,0)+IF(N429="HA8",N434,0)+IF(N435="HA8",N440,0)+IF(N446="HA8",N451,0)+IF(N452="HA8",N457,0)+IF(N458="HA8",N463,0)+IF(N464="HA8",N469,0)+IF(N470="HA8",N475,0)+IF(N484="HA8",N489,0)+IF(N490="HA8",N495,0)+IF(N499="HA8",N504,0)+IF(N505="HA8",N510,0)+IF(N514="HA8",N519,0)+IF(N520="HA8",N525,0))*(1+'PARAMÈTRES'!$C$154)</f>
        <v>65.737875</v>
      </c>
      <c r="O538">
        <f>(IF(O386="HA8",O391,0)+IF(O392="HA8",O397,0)+IF(O398="HA8",O403,0)+IF(O408="HA8",O413,0)+IF(O414="HA8",O419,0)+IF(O420="HA8",O425,0)+IF(O429="HA8",O434,0)+IF(O435="HA8",O440,0)+IF(O446="HA8",O451,0)+IF(O452="HA8",O457,0)+IF(O458="HA8",O463,0)+IF(O464="HA8",O469,0)+IF(O470="HA8",O475,0)+IF(O484="HA8",O489,0)+IF(O490="HA8",O495,0)+IF(O499="HA8",O504,0)+IF(O505="HA8",O510,0)+IF(O514="HA8",O519,0)+IF(O520="HA8",O525,0))*(1+'PARAMÈTRES'!$C$154)</f>
        <v>65.737875</v>
      </c>
      <c r="P538">
        <f>(IF(P386="HA8",P391,0)+IF(P392="HA8",P397,0)+IF(P398="HA8",P403,0)+IF(P408="HA8",P413,0)+IF(P414="HA8",P419,0)+IF(P420="HA8",P425,0)+IF(P429="HA8",P434,0)+IF(P435="HA8",P440,0)+IF(P446="HA8",P451,0)+IF(P452="HA8",P457,0)+IF(P458="HA8",P463,0)+IF(P464="HA8",P469,0)+IF(P470="HA8",P475,0)+IF(P484="HA8",P489,0)+IF(P490="HA8",P495,0)+IF(P499="HA8",P504,0)+IF(P505="HA8",P510,0)+IF(P514="HA8",P519,0)+IF(P520="HA8",P525,0))*(1+'PARAMÈTRES'!$C$154)</f>
        <v>99.747375</v>
      </c>
      <c r="Q538">
        <f>(IF(Q386="HA8",Q391,0)+IF(Q392="HA8",Q397,0)+IF(Q398="HA8",Q403,0)+IF(Q408="HA8",Q413,0)+IF(Q414="HA8",Q419,0)+IF(Q420="HA8",Q425,0)+IF(Q429="HA8",Q434,0)+IF(Q435="HA8",Q440,0)+IF(Q446="HA8",Q451,0)+IF(Q452="HA8",Q457,0)+IF(Q458="HA8",Q463,0)+IF(Q464="HA8",Q469,0)+IF(Q470="HA8",Q475,0)+IF(Q484="HA8",Q489,0)+IF(Q490="HA8",Q495,0)+IF(Q499="HA8",Q504,0)+IF(Q505="HA8",Q510,0)+IF(Q514="HA8",Q519,0)+IF(Q520="HA8",Q525,0))*(1+'PARAMÈTRES'!$C$154)</f>
        <v>99.747375</v>
      </c>
      <c r="R538">
        <f>(IF(R386="HA8",R391,0)+IF(R392="HA8",R397,0)+IF(R398="HA8",R403,0)+IF(R408="HA8",R413,0)+IF(R414="HA8",R419,0)+IF(R420="HA8",R425,0)+IF(R429="HA8",R434,0)+IF(R435="HA8",R440,0)+IF(R446="HA8",R451,0)+IF(R452="HA8",R457,0)+IF(R458="HA8",R463,0)+IF(R464="HA8",R469,0)+IF(R470="HA8",R475,0)+IF(R484="HA8",R489,0)+IF(R490="HA8",R495,0)+IF(R499="HA8",R504,0)+IF(R505="HA8",R510,0)+IF(R514="HA8",R519,0)+IF(R520="HA8",R525,0))*(1+'PARAMÈTRES'!$C$154)</f>
        <v>99.747375</v>
      </c>
      <c r="S538">
        <f>(IF(S386="HA8",S391,0)+IF(S392="HA8",S397,0)+IF(S398="HA8",S403,0)+IF(S408="HA8",S413,0)+IF(S414="HA8",S419,0)+IF(S420="HA8",S425,0)+IF(S429="HA8",S434,0)+IF(S435="HA8",S440,0)+IF(S446="HA8",S451,0)+IF(S452="HA8",S457,0)+IF(S458="HA8",S463,0)+IF(S464="HA8",S469,0)+IF(S470="HA8",S475,0)+IF(S484="HA8",S489,0)+IF(S490="HA8",S495,0)+IF(S499="HA8",S504,0)+IF(S505="HA8",S510,0)+IF(S514="HA8",S519,0)+IF(S520="HA8",S525,0))*(1+'PARAMÈTRES'!$C$154)</f>
        <v>118.825875</v>
      </c>
      <c r="T538">
        <f>(IF(T386="HA8",T391,0)+IF(T392="HA8",T397,0)+IF(T398="HA8",T403,0)+IF(T408="HA8",T413,0)+IF(T414="HA8",T419,0)+IF(T420="HA8",T425,0)+IF(T429="HA8",T434,0)+IF(T435="HA8",T440,0)+IF(T446="HA8",T451,0)+IF(T452="HA8",T457,0)+IF(T458="HA8",T463,0)+IF(T464="HA8",T469,0)+IF(T470="HA8",T475,0)+IF(T484="HA8",T489,0)+IF(T490="HA8",T495,0)+IF(T499="HA8",T504,0)+IF(T505="HA8",T510,0)+IF(T514="HA8",T519,0)+IF(T520="HA8",T525,0))*(1+'PARAMÈTRES'!$C$154)</f>
        <v>118.825875</v>
      </c>
      <c r="U538">
        <f>(IF(U386="HA8",U391,0)+IF(U392="HA8",U397,0)+IF(U398="HA8",U403,0)+IF(U408="HA8",U413,0)+IF(U414="HA8",U419,0)+IF(U420="HA8",U425,0)+IF(U429="HA8",U434,0)+IF(U435="HA8",U440,0)+IF(U446="HA8",U451,0)+IF(U452="HA8",U457,0)+IF(U458="HA8",U463,0)+IF(U464="HA8",U469,0)+IF(U470="HA8",U475,0)+IF(U484="HA8",U489,0)+IF(U490="HA8",U495,0)+IF(U499="HA8",U504,0)+IF(U505="HA8",U510,0)+IF(U514="HA8",U519,0)+IF(U520="HA8",U525,0))*(1+'PARAMÈTRES'!$C$154)</f>
        <v>118.825875</v>
      </c>
      <c r="V538">
        <f>(IF(V386="HA8",V391,0)+IF(V392="HA8",V397,0)+IF(V398="HA8",V403,0)+IF(V408="HA8",V413,0)+IF(V414="HA8",V419,0)+IF(V420="HA8",V425,0)+IF(V429="HA8",V434,0)+IF(V435="HA8",V440,0)+IF(V446="HA8",V451,0)+IF(V452="HA8",V457,0)+IF(V458="HA8",V463,0)+IF(V464="HA8",V469,0)+IF(V470="HA8",V475,0)+IF(V484="HA8",V489,0)+IF(V490="HA8",V495,0)+IF(V499="HA8",V504,0)+IF(V505="HA8",V510,0)+IF(V514="HA8",V519,0)+IF(V520="HA8",V525,0))*(1+'PARAMÈTRES'!$C$154)</f>
        <v>136.245375</v>
      </c>
      <c r="W538">
        <f>(IF(W386="HA8",W391,0)+IF(W392="HA8",W397,0)+IF(W398="HA8",W403,0)+IF(W408="HA8",W413,0)+IF(W414="HA8",W419,0)+IF(W420="HA8",W425,0)+IF(W429="HA8",W434,0)+IF(W435="HA8",W440,0)+IF(W446="HA8",W451,0)+IF(W452="HA8",W457,0)+IF(W458="HA8",W463,0)+IF(W464="HA8",W469,0)+IF(W470="HA8",W475,0)+IF(W484="HA8",W489,0)+IF(W490="HA8",W495,0)+IF(W499="HA8",W504,0)+IF(W505="HA8",W510,0)+IF(W514="HA8",W519,0)+IF(W520="HA8",W525,0))*(1+'PARAMÈTRES'!$C$154)</f>
        <v>136.245375</v>
      </c>
      <c r="X538">
        <f>(IF(X386="HA8",X391,0)+IF(X392="HA8",X397,0)+IF(X398="HA8",X403,0)+IF(X408="HA8",X413,0)+IF(X414="HA8",X419,0)+IF(X420="HA8",X425,0)+IF(X429="HA8",X434,0)+IF(X435="HA8",X440,0)+IF(X446="HA8",X451,0)+IF(X452="HA8",X457,0)+IF(X458="HA8",X463,0)+IF(X464="HA8",X469,0)+IF(X470="HA8",X475,0)+IF(X484="HA8",X489,0)+IF(X490="HA8",X495,0)+IF(X499="HA8",X504,0)+IF(X505="HA8",X510,0)+IF(X514="HA8",X519,0)+IF(X520="HA8",X525,0))*(1+'PARAMÈTRES'!$C$154)</f>
        <v>136.245375</v>
      </c>
    </row>
    <row r="539">
      <c r="A539" t="inlineStr">
        <is>
          <t>bar_HA8</t>
        </is>
      </c>
      <c r="B539" t="inlineStr">
        <is>
          <t>GROS_ŒUVRE!E104</t>
        </is>
      </c>
      <c r="D539">
        <f>ROUNDUP(D538/(IFERROR(_xlfn.XLOOKUP("HA8",'BASE_ACIERS'!$B$5:$B$20,'BASE_ACIERS'!$D$5:$D$20),IFERROR(INDEX('BASE_ACIERS'!$D$5:$D$20,MATCH("HA8",'BASE_ACIERS'!$B$5:$B$20,0)),0))*'PARAMÈTRES'!$C$58),0)</f>
        <v>15</v>
      </c>
      <c r="E539">
        <f>ROUNDUP(E538/(IFERROR(_xlfn.XLOOKUP("HA8",'BASE_ACIERS'!$B$5:$B$20,'BASE_ACIERS'!$D$5:$D$20),IFERROR(INDEX('BASE_ACIERS'!$D$5:$D$20,MATCH("HA8",'BASE_ACIERS'!$B$5:$B$20,0)),0))*'PARAMÈTRES'!$C$58),0)</f>
        <v>15</v>
      </c>
      <c r="F539">
        <f>ROUNDUP(F538/(IFERROR(_xlfn.XLOOKUP("HA8",'BASE_ACIERS'!$B$5:$B$20,'BASE_ACIERS'!$D$5:$D$20),IFERROR(INDEX('BASE_ACIERS'!$D$5:$D$20,MATCH("HA8",'BASE_ACIERS'!$B$5:$B$20,0)),0))*'PARAMÈTRES'!$C$58),0)</f>
        <v>15</v>
      </c>
      <c r="G539">
        <f>ROUNDUP(G538/(IFERROR(_xlfn.XLOOKUP("HA8",'BASE_ACIERS'!$B$5:$B$20,'BASE_ACIERS'!$D$5:$D$20),IFERROR(INDEX('BASE_ACIERS'!$D$5:$D$20,MATCH("HA8",'BASE_ACIERS'!$B$5:$B$20,0)),0))*'PARAMÈTRES'!$C$58),0)</f>
        <v>13</v>
      </c>
      <c r="H539">
        <f>ROUNDUP(H538/(IFERROR(_xlfn.XLOOKUP("HA8",'BASE_ACIERS'!$B$5:$B$20,'BASE_ACIERS'!$D$5:$D$20),IFERROR(INDEX('BASE_ACIERS'!$D$5:$D$20,MATCH("HA8",'BASE_ACIERS'!$B$5:$B$20,0)),0))*'PARAMÈTRES'!$C$58),0)</f>
        <v>13</v>
      </c>
      <c r="I539">
        <f>ROUNDUP(I538/(IFERROR(_xlfn.XLOOKUP("HA8",'BASE_ACIERS'!$B$5:$B$20,'BASE_ACIERS'!$D$5:$D$20),IFERROR(INDEX('BASE_ACIERS'!$D$5:$D$20,MATCH("HA8",'BASE_ACIERS'!$B$5:$B$20,0)),0))*'PARAMÈTRES'!$C$58),0)</f>
        <v>13</v>
      </c>
      <c r="J539">
        <f>ROUNDUP(J538/(IFERROR(_xlfn.XLOOKUP("HA8",'BASE_ACIERS'!$B$5:$B$20,'BASE_ACIERS'!$D$5:$D$20),IFERROR(INDEX('BASE_ACIERS'!$D$5:$D$20,MATCH("HA8",'BASE_ACIERS'!$B$5:$B$20,0)),0))*'PARAMÈTRES'!$C$58),0)</f>
        <v>16</v>
      </c>
      <c r="K539">
        <f>ROUNDUP(K538/(IFERROR(_xlfn.XLOOKUP("HA8",'BASE_ACIERS'!$B$5:$B$20,'BASE_ACIERS'!$D$5:$D$20),IFERROR(INDEX('BASE_ACIERS'!$D$5:$D$20,MATCH("HA8",'BASE_ACIERS'!$B$5:$B$20,0)),0))*'PARAMÈTRES'!$C$58),0)</f>
        <v>16</v>
      </c>
      <c r="L539">
        <f>ROUNDUP(L538/(IFERROR(_xlfn.XLOOKUP("HA8",'BASE_ACIERS'!$B$5:$B$20,'BASE_ACIERS'!$D$5:$D$20),IFERROR(INDEX('BASE_ACIERS'!$D$5:$D$20,MATCH("HA8",'BASE_ACIERS'!$B$5:$B$20,0)),0))*'PARAMÈTRES'!$C$58),0)</f>
        <v>16</v>
      </c>
      <c r="M539">
        <f>ROUNDUP(M538/(IFERROR(_xlfn.XLOOKUP("HA8",'BASE_ACIERS'!$B$5:$B$20,'BASE_ACIERS'!$D$5:$D$20),IFERROR(INDEX('BASE_ACIERS'!$D$5:$D$20,MATCH("HA8",'BASE_ACIERS'!$B$5:$B$20,0)),0))*'PARAMÈTRES'!$C$58),0)</f>
        <v>14</v>
      </c>
      <c r="N539">
        <f>ROUNDUP(N538/(IFERROR(_xlfn.XLOOKUP("HA8",'BASE_ACIERS'!$B$5:$B$20,'BASE_ACIERS'!$D$5:$D$20),IFERROR(INDEX('BASE_ACIERS'!$D$5:$D$20,MATCH("HA8",'BASE_ACIERS'!$B$5:$B$20,0)),0))*'PARAMÈTRES'!$C$58),0)</f>
        <v>14</v>
      </c>
      <c r="O539">
        <f>ROUNDUP(O538/(IFERROR(_xlfn.XLOOKUP("HA8",'BASE_ACIERS'!$B$5:$B$20,'BASE_ACIERS'!$D$5:$D$20),IFERROR(INDEX('BASE_ACIERS'!$D$5:$D$20,MATCH("HA8",'BASE_ACIERS'!$B$5:$B$20,0)),0))*'PARAMÈTRES'!$C$58),0)</f>
        <v>14</v>
      </c>
      <c r="P539">
        <f>ROUNDUP(P538/(IFERROR(_xlfn.XLOOKUP("HA8",'BASE_ACIERS'!$B$5:$B$20,'BASE_ACIERS'!$D$5:$D$20),IFERROR(INDEX('BASE_ACIERS'!$D$5:$D$20,MATCH("HA8",'BASE_ACIERS'!$B$5:$B$20,0)),0))*'PARAMÈTRES'!$C$58),0)</f>
        <v>22</v>
      </c>
      <c r="Q539">
        <f>ROUNDUP(Q538/(IFERROR(_xlfn.XLOOKUP("HA8",'BASE_ACIERS'!$B$5:$B$20,'BASE_ACIERS'!$D$5:$D$20),IFERROR(INDEX('BASE_ACIERS'!$D$5:$D$20,MATCH("HA8",'BASE_ACIERS'!$B$5:$B$20,0)),0))*'PARAMÈTRES'!$C$58),0)</f>
        <v>22</v>
      </c>
      <c r="R539">
        <f>ROUNDUP(R538/(IFERROR(_xlfn.XLOOKUP("HA8",'BASE_ACIERS'!$B$5:$B$20,'BASE_ACIERS'!$D$5:$D$20),IFERROR(INDEX('BASE_ACIERS'!$D$5:$D$20,MATCH("HA8",'BASE_ACIERS'!$B$5:$B$20,0)),0))*'PARAMÈTRES'!$C$58),0)</f>
        <v>22</v>
      </c>
      <c r="S539">
        <f>ROUNDUP(S538/(IFERROR(_xlfn.XLOOKUP("HA8",'BASE_ACIERS'!$B$5:$B$20,'BASE_ACIERS'!$D$5:$D$20),IFERROR(INDEX('BASE_ACIERS'!$D$5:$D$20,MATCH("HA8",'BASE_ACIERS'!$B$5:$B$20,0)),0))*'PARAMÈTRES'!$C$58),0)</f>
        <v>26</v>
      </c>
      <c r="T539">
        <f>ROUNDUP(T538/(IFERROR(_xlfn.XLOOKUP("HA8",'BASE_ACIERS'!$B$5:$B$20,'BASE_ACIERS'!$D$5:$D$20),IFERROR(INDEX('BASE_ACIERS'!$D$5:$D$20,MATCH("HA8",'BASE_ACIERS'!$B$5:$B$20,0)),0))*'PARAMÈTRES'!$C$58),0)</f>
        <v>26</v>
      </c>
      <c r="U539">
        <f>ROUNDUP(U538/(IFERROR(_xlfn.XLOOKUP("HA8",'BASE_ACIERS'!$B$5:$B$20,'BASE_ACIERS'!$D$5:$D$20),IFERROR(INDEX('BASE_ACIERS'!$D$5:$D$20,MATCH("HA8",'BASE_ACIERS'!$B$5:$B$20,0)),0))*'PARAMÈTRES'!$C$58),0)</f>
        <v>26</v>
      </c>
      <c r="V539">
        <f>ROUNDUP(V538/(IFERROR(_xlfn.XLOOKUP("HA8",'BASE_ACIERS'!$B$5:$B$20,'BASE_ACIERS'!$D$5:$D$20),IFERROR(INDEX('BASE_ACIERS'!$D$5:$D$20,MATCH("HA8",'BASE_ACIERS'!$B$5:$B$20,0)),0))*'PARAMÈTRES'!$C$58),0)</f>
        <v>29</v>
      </c>
      <c r="W539">
        <f>ROUNDUP(W538/(IFERROR(_xlfn.XLOOKUP("HA8",'BASE_ACIERS'!$B$5:$B$20,'BASE_ACIERS'!$D$5:$D$20),IFERROR(INDEX('BASE_ACIERS'!$D$5:$D$20,MATCH("HA8",'BASE_ACIERS'!$B$5:$B$20,0)),0))*'PARAMÈTRES'!$C$58),0)</f>
        <v>29</v>
      </c>
      <c r="X539">
        <f>ROUNDUP(X538/(IFERROR(_xlfn.XLOOKUP("HA8",'BASE_ACIERS'!$B$5:$B$20,'BASE_ACIERS'!$D$5:$D$20),IFERROR(INDEX('BASE_ACIERS'!$D$5:$D$20,MATCH("HA8",'BASE_ACIERS'!$B$5:$B$20,0)),0))*'PARAMÈTRES'!$C$58),0)</f>
        <v>29</v>
      </c>
    </row>
    <row r="540">
      <c r="A540" t="inlineStr">
        <is>
          <t>kg_HA10</t>
        </is>
      </c>
      <c r="B540" t="inlineStr">
        <is>
          <t>GROS_ŒUVRE!I105</t>
        </is>
      </c>
      <c r="D540">
        <f>(IF(D386="HA10",D391,0)+IF(D392="HA10",D397,0)+IF(D398="HA10",D403,0)+IF(D408="HA10",D413,0)+IF(D414="HA10",D419,0)+IF(D420="HA10",D425,0)+IF(D429="HA10",D434,0)+IF(D435="HA10",D440,0)+IF(D446="HA10",D451,0)+IF(D452="HA10",D457,0)+IF(D458="HA10",D463,0)+IF(D464="HA10",D469,0)+IF(D470="HA10",D475,0)+IF(D484="HA10",D489,0)+IF(D490="HA10",D495,0)+IF(D499="HA10",D504,0)+IF(D505="HA10",D510,0)+IF(D514="HA10",D519,0)+IF(D520="HA10",D525,0))*(1+'PARAMÈTRES'!$C$154)</f>
        <v>2113.2867</v>
      </c>
      <c r="E540">
        <f>(IF(E386="HA10",E391,0)+IF(E392="HA10",E397,0)+IF(E398="HA10",E403,0)+IF(E408="HA10",E413,0)+IF(E414="HA10",E419,0)+IF(E420="HA10",E425,0)+IF(E429="HA10",E434,0)+IF(E435="HA10",E440,0)+IF(E446="HA10",E451,0)+IF(E452="HA10",E457,0)+IF(E458="HA10",E463,0)+IF(E464="HA10",E469,0)+IF(E470="HA10",E475,0)+IF(E484="HA10",E489,0)+IF(E490="HA10",E495,0)+IF(E499="HA10",E504,0)+IF(E505="HA10",E510,0)+IF(E514="HA10",E519,0)+IF(E520="HA10",E525,0))*(1+'PARAMÈTRES'!$C$154)</f>
        <v>2113.2867</v>
      </c>
      <c r="F540">
        <f>(IF(F386="HA10",F391,0)+IF(F392="HA10",F397,0)+IF(F398="HA10",F403,0)+IF(F408="HA10",F413,0)+IF(F414="HA10",F419,0)+IF(F420="HA10",F425,0)+IF(F429="HA10",F434,0)+IF(F435="HA10",F440,0)+IF(F446="HA10",F451,0)+IF(F452="HA10",F457,0)+IF(F458="HA10",F463,0)+IF(F464="HA10",F469,0)+IF(F470="HA10",F475,0)+IF(F484="HA10",F489,0)+IF(F490="HA10",F495,0)+IF(F499="HA10",F504,0)+IF(F505="HA10",F510,0)+IF(F514="HA10",F519,0)+IF(F520="HA10",F525,0))*(1+'PARAMÈTRES'!$C$154)</f>
        <v>3522.56653967965</v>
      </c>
      <c r="G540">
        <f>(IF(G386="HA10",G391,0)+IF(G392="HA10",G397,0)+IF(G398="HA10",G403,0)+IF(G408="HA10",G413,0)+IF(G414="HA10",G419,0)+IF(G420="HA10",G425,0)+IF(G429="HA10",G434,0)+IF(G435="HA10",G440,0)+IF(G446="HA10",G451,0)+IF(G452="HA10",G457,0)+IF(G458="HA10",G463,0)+IF(G464="HA10",G469,0)+IF(G470="HA10",G475,0)+IF(G484="HA10",G489,0)+IF(G490="HA10",G495,0)+IF(G499="HA10",G504,0)+IF(G505="HA10",G510,0)+IF(G514="HA10",G519,0)+IF(G520="HA10",G525,0))*(1+'PARAMÈTRES'!$C$154)</f>
        <v>2111.2459725</v>
      </c>
      <c r="H540">
        <f>(IF(H386="HA10",H391,0)+IF(H392="HA10",H397,0)+IF(H398="HA10",H403,0)+IF(H408="HA10",H413,0)+IF(H414="HA10",H419,0)+IF(H420="HA10",H425,0)+IF(H429="HA10",H434,0)+IF(H435="HA10",H440,0)+IF(H446="HA10",H451,0)+IF(H452="HA10",H457,0)+IF(H458="HA10",H463,0)+IF(H464="HA10",H469,0)+IF(H470="HA10",H475,0)+IF(H484="HA10",H489,0)+IF(H490="HA10",H495,0)+IF(H499="HA10",H504,0)+IF(H505="HA10",H510,0)+IF(H514="HA10",H519,0)+IF(H520="HA10",H525,0))*(1+'PARAMÈTRES'!$C$154)</f>
        <v>2111.2459725</v>
      </c>
      <c r="I540">
        <f>(IF(I386="HA10",I391,0)+IF(I392="HA10",I397,0)+IF(I398="HA10",I403,0)+IF(I408="HA10",I413,0)+IF(I414="HA10",I419,0)+IF(I420="HA10",I425,0)+IF(I429="HA10",I434,0)+IF(I435="HA10",I440,0)+IF(I446="HA10",I451,0)+IF(I452="HA10",I457,0)+IF(I458="HA10",I463,0)+IF(I464="HA10",I469,0)+IF(I470="HA10",I475,0)+IF(I484="HA10",I489,0)+IF(I490="HA10",I495,0)+IF(I499="HA10",I504,0)+IF(I505="HA10",I510,0)+IF(I514="HA10",I519,0)+IF(I520="HA10",I525,0))*(1+'PARAMÈTRES'!$C$154)</f>
        <v>3467.31080201947</v>
      </c>
      <c r="J540">
        <f>(IF(J386="HA10",J391,0)+IF(J392="HA10",J397,0)+IF(J398="HA10",J403,0)+IF(J408="HA10",J413,0)+IF(J414="HA10",J419,0)+IF(J420="HA10",J425,0)+IF(J429="HA10",J434,0)+IF(J435="HA10",J440,0)+IF(J446="HA10",J451,0)+IF(J452="HA10",J457,0)+IF(J458="HA10",J463,0)+IF(J464="HA10",J469,0)+IF(J470="HA10",J475,0)+IF(J484="HA10",J489,0)+IF(J490="HA10",J495,0)+IF(J499="HA10",J504,0)+IF(J505="HA10",J510,0)+IF(J514="HA10",J519,0)+IF(J520="HA10",J525,0))*(1+'PARAMÈTRES'!$C$154)</f>
        <v>3156.2928075</v>
      </c>
      <c r="K540">
        <f>(IF(K386="HA10",K391,0)+IF(K392="HA10",K397,0)+IF(K398="HA10",K403,0)+IF(K408="HA10",K413,0)+IF(K414="HA10",K419,0)+IF(K420="HA10",K425,0)+IF(K429="HA10",K434,0)+IF(K435="HA10",K440,0)+IF(K446="HA10",K451,0)+IF(K452="HA10",K457,0)+IF(K458="HA10",K463,0)+IF(K464="HA10",K469,0)+IF(K470="HA10",K475,0)+IF(K484="HA10",K489,0)+IF(K490="HA10",K495,0)+IF(K499="HA10",K504,0)+IF(K505="HA10",K510,0)+IF(K514="HA10",K519,0)+IF(K520="HA10",K525,0))*(1+'PARAMÈTRES'!$C$154)</f>
        <v>3156.2928075</v>
      </c>
      <c r="L540">
        <f>(IF(L386="HA10",L391,0)+IF(L392="HA10",L397,0)+IF(L398="HA10",L403,0)+IF(L408="HA10",L413,0)+IF(L414="HA10",L419,0)+IF(L420="HA10",L425,0)+IF(L429="HA10",L434,0)+IF(L435="HA10",L440,0)+IF(L446="HA10",L451,0)+IF(L452="HA10",L457,0)+IF(L458="HA10",L463,0)+IF(L464="HA10",L469,0)+IF(L470="HA10",L475,0)+IF(L484="HA10",L489,0)+IF(L490="HA10",L495,0)+IF(L499="HA10",L504,0)+IF(L505="HA10",L510,0)+IF(L514="HA10",L519,0)+IF(L520="HA10",L525,0))*(1+'PARAMÈTRES'!$C$154)</f>
        <v>4770.97935701947</v>
      </c>
      <c r="M540">
        <f>(IF(M386="HA10",M391,0)+IF(M392="HA10",M397,0)+IF(M398="HA10",M403,0)+IF(M408="HA10",M413,0)+IF(M414="HA10",M419,0)+IF(M420="HA10",M425,0)+IF(M429="HA10",M434,0)+IF(M435="HA10",M440,0)+IF(M446="HA10",M451,0)+IF(M452="HA10",M457,0)+IF(M458="HA10",M463,0)+IF(M464="HA10",M469,0)+IF(M470="HA10",M475,0)+IF(M484="HA10",M489,0)+IF(M490="HA10",M495,0)+IF(M499="HA10",M504,0)+IF(M505="HA10",M510,0)+IF(M514="HA10",M519,0)+IF(M520="HA10",M525,0))*(1+'PARAMÈTRES'!$C$154)</f>
        <v>2784.97758</v>
      </c>
      <c r="N540">
        <f>(IF(N386="HA10",N391,0)+IF(N392="HA10",N397,0)+IF(N398="HA10",N403,0)+IF(N408="HA10",N413,0)+IF(N414="HA10",N419,0)+IF(N420="HA10",N425,0)+IF(N429="HA10",N434,0)+IF(N435="HA10",N440,0)+IF(N446="HA10",N451,0)+IF(N452="HA10",N457,0)+IF(N458="HA10",N463,0)+IF(N464="HA10",N469,0)+IF(N470="HA10",N475,0)+IF(N484="HA10",N489,0)+IF(N490="HA10",N495,0)+IF(N499="HA10",N504,0)+IF(N505="HA10",N510,0)+IF(N514="HA10",N519,0)+IF(N520="HA10",N525,0))*(1+'PARAMÈTRES'!$C$154)</f>
        <v>2784.97758</v>
      </c>
      <c r="O540">
        <f>(IF(O386="HA10",O391,0)+IF(O392="HA10",O397,0)+IF(O398="HA10",O403,0)+IF(O408="HA10",O413,0)+IF(O414="HA10",O419,0)+IF(O420="HA10",O425,0)+IF(O429="HA10",O434,0)+IF(O435="HA10",O440,0)+IF(O446="HA10",O451,0)+IF(O452="HA10",O457,0)+IF(O458="HA10",O463,0)+IF(O464="HA10",O469,0)+IF(O470="HA10",O475,0)+IF(O484="HA10",O489,0)+IF(O490="HA10",O495,0)+IF(O499="HA10",O504,0)+IF(O505="HA10",O510,0)+IF(O514="HA10",O519,0)+IF(O520="HA10",O525,0))*(1+'PARAMÈTRES'!$C$154)</f>
        <v>4346.4491193593</v>
      </c>
      <c r="P540">
        <f>(IF(P386="HA10",P391,0)+IF(P392="HA10",P397,0)+IF(P398="HA10",P403,0)+IF(P408="HA10",P413,0)+IF(P414="HA10",P419,0)+IF(P420="HA10",P425,0)+IF(P429="HA10",P434,0)+IF(P435="HA10",P440,0)+IF(P446="HA10",P451,0)+IF(P452="HA10",P457,0)+IF(P458="HA10",P463,0)+IF(P464="HA10",P469,0)+IF(P470="HA10",P475,0)+IF(P484="HA10",P489,0)+IF(P490="HA10",P495,0)+IF(P499="HA10",P504,0)+IF(P505="HA10",P510,0)+IF(P514="HA10",P519,0)+IF(P520="HA10",P525,0))*(1+'PARAMÈTRES'!$C$154)</f>
        <v>5527.58577</v>
      </c>
      <c r="Q540">
        <f>(IF(Q386="HA10",Q391,0)+IF(Q392="HA10",Q397,0)+IF(Q398="HA10",Q403,0)+IF(Q408="HA10",Q413,0)+IF(Q414="HA10",Q419,0)+IF(Q420="HA10",Q425,0)+IF(Q429="HA10",Q434,0)+IF(Q435="HA10",Q440,0)+IF(Q446="HA10",Q451,0)+IF(Q452="HA10",Q457,0)+IF(Q458="HA10",Q463,0)+IF(Q464="HA10",Q469,0)+IF(Q470="HA10",Q475,0)+IF(Q484="HA10",Q489,0)+IF(Q490="HA10",Q495,0)+IF(Q499="HA10",Q504,0)+IF(Q505="HA10",Q510,0)+IF(Q514="HA10",Q519,0)+IF(Q520="HA10",Q525,0))*(1+'PARAMÈTRES'!$C$154)</f>
        <v>5527.58577</v>
      </c>
      <c r="R540">
        <f>(IF(R386="HA10",R391,0)+IF(R392="HA10",R397,0)+IF(R398="HA10",R403,0)+IF(R408="HA10",R413,0)+IF(R414="HA10",R419,0)+IF(R420="HA10",R425,0)+IF(R429="HA10",R434,0)+IF(R435="HA10",R440,0)+IF(R446="HA10",R451,0)+IF(R452="HA10",R457,0)+IF(R458="HA10",R463,0)+IF(R464="HA10",R469,0)+IF(R470="HA10",R475,0)+IF(R484="HA10",R489,0)+IF(R490="HA10",R495,0)+IF(R499="HA10",R504,0)+IF(R505="HA10",R510,0)+IF(R514="HA10",R519,0)+IF(R520="HA10",R525,0))*(1+'PARAMÈTRES'!$C$154)</f>
        <v>7704.2556693593</v>
      </c>
      <c r="S540">
        <f>(IF(S386="HA10",S391,0)+IF(S392="HA10",S397,0)+IF(S398="HA10",S403,0)+IF(S408="HA10",S413,0)+IF(S414="HA10",S419,0)+IF(S420="HA10",S425,0)+IF(S429="HA10",S434,0)+IF(S435="HA10",S440,0)+IF(S446="HA10",S451,0)+IF(S452="HA10",S457,0)+IF(S458="HA10",S463,0)+IF(S464="HA10",S469,0)+IF(S470="HA10",S475,0)+IF(S484="HA10",S489,0)+IF(S490="HA10",S495,0)+IF(S499="HA10",S504,0)+IF(S505="HA10",S510,0)+IF(S514="HA10",S519,0)+IF(S520="HA10",S525,0))*(1+'PARAMÈTRES'!$C$154)</f>
        <v>8252.637225</v>
      </c>
      <c r="T540">
        <f>(IF(T386="HA10",T391,0)+IF(T392="HA10",T397,0)+IF(T398="HA10",T403,0)+IF(T408="HA10",T413,0)+IF(T414="HA10",T419,0)+IF(T420="HA10",T425,0)+IF(T429="HA10",T434,0)+IF(T435="HA10",T440,0)+IF(T446="HA10",T451,0)+IF(T452="HA10",T457,0)+IF(T458="HA10",T463,0)+IF(T464="HA10",T469,0)+IF(T470="HA10",T475,0)+IF(T484="HA10",T489,0)+IF(T490="HA10",T495,0)+IF(T499="HA10",T504,0)+IF(T505="HA10",T510,0)+IF(T514="HA10",T519,0)+IF(T520="HA10",T525,0))*(1+'PARAMÈTRES'!$C$154)</f>
        <v>8252.637225</v>
      </c>
      <c r="U540">
        <f>(IF(U386="HA10",U391,0)+IF(U392="HA10",U397,0)+IF(U398="HA10",U403,0)+IF(U408="HA10",U413,0)+IF(U414="HA10",U419,0)+IF(U420="HA10",U425,0)+IF(U429="HA10",U434,0)+IF(U435="HA10",U440,0)+IF(U446="HA10",U451,0)+IF(U452="HA10",U457,0)+IF(U458="HA10",U463,0)+IF(U464="HA10",U469,0)+IF(U470="HA10",U475,0)+IF(U484="HA10",U489,0)+IF(U490="HA10",U495,0)+IF(U499="HA10",U504,0)+IF(U505="HA10",U510,0)+IF(U514="HA10",U519,0)+IF(U520="HA10",U525,0))*(1+'PARAMÈTRES'!$C$154)</f>
        <v>10742.165624039</v>
      </c>
      <c r="V540">
        <f>(IF(V386="HA10",V391,0)+IF(V392="HA10",V397,0)+IF(V398="HA10",V403,0)+IF(V408="HA10",V413,0)+IF(V414="HA10",V419,0)+IF(V420="HA10",V425,0)+IF(V429="HA10",V434,0)+IF(V435="HA10",V440,0)+IF(V446="HA10",V451,0)+IF(V452="HA10",V457,0)+IF(V458="HA10",V463,0)+IF(V464="HA10",V469,0)+IF(V470="HA10",V475,0)+IF(V484="HA10",V489,0)+IF(V490="HA10",V495,0)+IF(V499="HA10",V504,0)+IF(V505="HA10",V510,0)+IF(V514="HA10",V519,0)+IF(V520="HA10",V525,0))*(1+'PARAMÈTRES'!$C$154)</f>
        <v>10972.50588</v>
      </c>
      <c r="W540">
        <f>(IF(W386="HA10",W391,0)+IF(W392="HA10",W397,0)+IF(W398="HA10",W403,0)+IF(W408="HA10",W413,0)+IF(W414="HA10",W419,0)+IF(W420="HA10",W425,0)+IF(W429="HA10",W434,0)+IF(W435="HA10",W440,0)+IF(W446="HA10",W451,0)+IF(W452="HA10",W457,0)+IF(W458="HA10",W463,0)+IF(W464="HA10",W469,0)+IF(W470="HA10",W475,0)+IF(W484="HA10",W489,0)+IF(W490="HA10",W495,0)+IF(W499="HA10",W504,0)+IF(W505="HA10",W510,0)+IF(W514="HA10",W519,0)+IF(W520="HA10",W525,0))*(1+'PARAMÈTRES'!$C$154)</f>
        <v>10972.50588</v>
      </c>
      <c r="X540">
        <f>(IF(X386="HA10",X391,0)+IF(X392="HA10",X397,0)+IF(X398="HA10",X403,0)+IF(X408="HA10",X413,0)+IF(X414="HA10",X419,0)+IF(X420="HA10",X425,0)+IF(X429="HA10",X434,0)+IF(X435="HA10",X440,0)+IF(X446="HA10",X451,0)+IF(X452="HA10",X457,0)+IF(X458="HA10",X463,0)+IF(X464="HA10",X469,0)+IF(X470="HA10",X475,0)+IF(X484="HA10",X489,0)+IF(X490="HA10",X495,0)+IF(X499="HA10",X504,0)+IF(X505="HA10",X510,0)+IF(X514="HA10",X519,0)+IF(X520="HA10",X525,0))*(1+'PARAMÈTRES'!$C$154)</f>
        <v>14163.0844987186</v>
      </c>
    </row>
    <row r="541">
      <c r="A541" t="inlineStr">
        <is>
          <t>bar_HA10</t>
        </is>
      </c>
      <c r="B541" t="inlineStr">
        <is>
          <t>GROS_ŒUVRE!E105</t>
        </is>
      </c>
      <c r="D541">
        <f>ROUNDUP(D540/(IFERROR(_xlfn.XLOOKUP("HA10",'BASE_ACIERS'!$B$5:$B$20,'BASE_ACIERS'!$D$5:$D$20),IFERROR(INDEX('BASE_ACIERS'!$D$5:$D$20,MATCH("HA10",'BASE_ACIERS'!$B$5:$B$20,0)),0))*'PARAMÈTRES'!$C$58),0)</f>
        <v>286</v>
      </c>
      <c r="E541">
        <f>ROUNDUP(E540/(IFERROR(_xlfn.XLOOKUP("HA10",'BASE_ACIERS'!$B$5:$B$20,'BASE_ACIERS'!$D$5:$D$20),IFERROR(INDEX('BASE_ACIERS'!$D$5:$D$20,MATCH("HA10",'BASE_ACIERS'!$B$5:$B$20,0)),0))*'PARAMÈTRES'!$C$58),0)</f>
        <v>286</v>
      </c>
      <c r="F541">
        <f>ROUNDUP(F540/(IFERROR(_xlfn.XLOOKUP("HA10",'BASE_ACIERS'!$B$5:$B$20,'BASE_ACIERS'!$D$5:$D$20),IFERROR(INDEX('BASE_ACIERS'!$D$5:$D$20,MATCH("HA10",'BASE_ACIERS'!$B$5:$B$20,0)),0))*'PARAMÈTRES'!$C$58),0)</f>
        <v>476</v>
      </c>
      <c r="G541">
        <f>ROUNDUP(G540/(IFERROR(_xlfn.XLOOKUP("HA10",'BASE_ACIERS'!$B$5:$B$20,'BASE_ACIERS'!$D$5:$D$20),IFERROR(INDEX('BASE_ACIERS'!$D$5:$D$20,MATCH("HA10",'BASE_ACIERS'!$B$5:$B$20,0)),0))*'PARAMÈTRES'!$C$58),0)</f>
        <v>286</v>
      </c>
      <c r="H541">
        <f>ROUNDUP(H540/(IFERROR(_xlfn.XLOOKUP("HA10",'BASE_ACIERS'!$B$5:$B$20,'BASE_ACIERS'!$D$5:$D$20),IFERROR(INDEX('BASE_ACIERS'!$D$5:$D$20,MATCH("HA10",'BASE_ACIERS'!$B$5:$B$20,0)),0))*'PARAMÈTRES'!$C$58),0)</f>
        <v>286</v>
      </c>
      <c r="I541">
        <f>ROUNDUP(I540/(IFERROR(_xlfn.XLOOKUP("HA10",'BASE_ACIERS'!$B$5:$B$20,'BASE_ACIERS'!$D$5:$D$20),IFERROR(INDEX('BASE_ACIERS'!$D$5:$D$20,MATCH("HA10",'BASE_ACIERS'!$B$5:$B$20,0)),0))*'PARAMÈTRES'!$C$58),0)</f>
        <v>469</v>
      </c>
      <c r="J541">
        <f>ROUNDUP(J540/(IFERROR(_xlfn.XLOOKUP("HA10",'BASE_ACIERS'!$B$5:$B$20,'BASE_ACIERS'!$D$5:$D$20),IFERROR(INDEX('BASE_ACIERS'!$D$5:$D$20,MATCH("HA10",'BASE_ACIERS'!$B$5:$B$20,0)),0))*'PARAMÈTRES'!$C$58),0)</f>
        <v>427</v>
      </c>
      <c r="K541">
        <f>ROUNDUP(K540/(IFERROR(_xlfn.XLOOKUP("HA10",'BASE_ACIERS'!$B$5:$B$20,'BASE_ACIERS'!$D$5:$D$20),IFERROR(INDEX('BASE_ACIERS'!$D$5:$D$20,MATCH("HA10",'BASE_ACIERS'!$B$5:$B$20,0)),0))*'PARAMÈTRES'!$C$58),0)</f>
        <v>427</v>
      </c>
      <c r="L541">
        <f>ROUNDUP(L540/(IFERROR(_xlfn.XLOOKUP("HA10",'BASE_ACIERS'!$B$5:$B$20,'BASE_ACIERS'!$D$5:$D$20),IFERROR(INDEX('BASE_ACIERS'!$D$5:$D$20,MATCH("HA10",'BASE_ACIERS'!$B$5:$B$20,0)),0))*'PARAMÈTRES'!$C$58),0)</f>
        <v>645</v>
      </c>
      <c r="M541">
        <f>ROUNDUP(M540/(IFERROR(_xlfn.XLOOKUP("HA10",'BASE_ACIERS'!$B$5:$B$20,'BASE_ACIERS'!$D$5:$D$20),IFERROR(INDEX('BASE_ACIERS'!$D$5:$D$20,MATCH("HA10",'BASE_ACIERS'!$B$5:$B$20,0)),0))*'PARAMÈTRES'!$C$58),0)</f>
        <v>377</v>
      </c>
      <c r="N541">
        <f>ROUNDUP(N540/(IFERROR(_xlfn.XLOOKUP("HA10",'BASE_ACIERS'!$B$5:$B$20,'BASE_ACIERS'!$D$5:$D$20),IFERROR(INDEX('BASE_ACIERS'!$D$5:$D$20,MATCH("HA10",'BASE_ACIERS'!$B$5:$B$20,0)),0))*'PARAMÈTRES'!$C$58),0)</f>
        <v>377</v>
      </c>
      <c r="O541">
        <f>ROUNDUP(O540/(IFERROR(_xlfn.XLOOKUP("HA10",'BASE_ACIERS'!$B$5:$B$20,'BASE_ACIERS'!$D$5:$D$20),IFERROR(INDEX('BASE_ACIERS'!$D$5:$D$20,MATCH("HA10",'BASE_ACIERS'!$B$5:$B$20,0)),0))*'PARAMÈTRES'!$C$58),0)</f>
        <v>588</v>
      </c>
      <c r="P541">
        <f>ROUNDUP(P540/(IFERROR(_xlfn.XLOOKUP("HA10",'BASE_ACIERS'!$B$5:$B$20,'BASE_ACIERS'!$D$5:$D$20),IFERROR(INDEX('BASE_ACIERS'!$D$5:$D$20,MATCH("HA10",'BASE_ACIERS'!$B$5:$B$20,0)),0))*'PARAMÈTRES'!$C$58),0)</f>
        <v>747</v>
      </c>
      <c r="Q541">
        <f>ROUNDUP(Q540/(IFERROR(_xlfn.XLOOKUP("HA10",'BASE_ACIERS'!$B$5:$B$20,'BASE_ACIERS'!$D$5:$D$20),IFERROR(INDEX('BASE_ACIERS'!$D$5:$D$20,MATCH("HA10",'BASE_ACIERS'!$B$5:$B$20,0)),0))*'PARAMÈTRES'!$C$58),0)</f>
        <v>747</v>
      </c>
      <c r="R541">
        <f>ROUNDUP(R540/(IFERROR(_xlfn.XLOOKUP("HA10",'BASE_ACIERS'!$B$5:$B$20,'BASE_ACIERS'!$D$5:$D$20),IFERROR(INDEX('BASE_ACIERS'!$D$5:$D$20,MATCH("HA10",'BASE_ACIERS'!$B$5:$B$20,0)),0))*'PARAMÈTRES'!$C$58),0)</f>
        <v>1041</v>
      </c>
      <c r="S541">
        <f>ROUNDUP(S540/(IFERROR(_xlfn.XLOOKUP("HA10",'BASE_ACIERS'!$B$5:$B$20,'BASE_ACIERS'!$D$5:$D$20),IFERROR(INDEX('BASE_ACIERS'!$D$5:$D$20,MATCH("HA10",'BASE_ACIERS'!$B$5:$B$20,0)),0))*'PARAMÈTRES'!$C$58),0)</f>
        <v>1115</v>
      </c>
      <c r="T541">
        <f>ROUNDUP(T540/(IFERROR(_xlfn.XLOOKUP("HA10",'BASE_ACIERS'!$B$5:$B$20,'BASE_ACIERS'!$D$5:$D$20),IFERROR(INDEX('BASE_ACIERS'!$D$5:$D$20,MATCH("HA10",'BASE_ACIERS'!$B$5:$B$20,0)),0))*'PARAMÈTRES'!$C$58),0)</f>
        <v>1115</v>
      </c>
      <c r="U541">
        <f>ROUNDUP(U540/(IFERROR(_xlfn.XLOOKUP("HA10",'BASE_ACIERS'!$B$5:$B$20,'BASE_ACIERS'!$D$5:$D$20),IFERROR(INDEX('BASE_ACIERS'!$D$5:$D$20,MATCH("HA10",'BASE_ACIERS'!$B$5:$B$20,0)),0))*'PARAMÈTRES'!$C$58),0)</f>
        <v>1451</v>
      </c>
      <c r="V541">
        <f>ROUNDUP(V540/(IFERROR(_xlfn.XLOOKUP("HA10",'BASE_ACIERS'!$B$5:$B$20,'BASE_ACIERS'!$D$5:$D$20),IFERROR(INDEX('BASE_ACIERS'!$D$5:$D$20,MATCH("HA10",'BASE_ACIERS'!$B$5:$B$20,0)),0))*'PARAMÈTRES'!$C$58),0)</f>
        <v>1482</v>
      </c>
      <c r="W541">
        <f>ROUNDUP(W540/(IFERROR(_xlfn.XLOOKUP("HA10",'BASE_ACIERS'!$B$5:$B$20,'BASE_ACIERS'!$D$5:$D$20),IFERROR(INDEX('BASE_ACIERS'!$D$5:$D$20,MATCH("HA10",'BASE_ACIERS'!$B$5:$B$20,0)),0))*'PARAMÈTRES'!$C$58),0)</f>
        <v>1482</v>
      </c>
      <c r="X541">
        <f>ROUNDUP(X540/(IFERROR(_xlfn.XLOOKUP("HA10",'BASE_ACIERS'!$B$5:$B$20,'BASE_ACIERS'!$D$5:$D$20),IFERROR(INDEX('BASE_ACIERS'!$D$5:$D$20,MATCH("HA10",'BASE_ACIERS'!$B$5:$B$20,0)),0))*'PARAMÈTRES'!$C$58),0)</f>
        <v>1913</v>
      </c>
    </row>
    <row r="542">
      <c r="A542" t="inlineStr">
        <is>
          <t>kg_HA12</t>
        </is>
      </c>
      <c r="B542" t="inlineStr">
        <is>
          <t>GROS_ŒUVRE!I106</t>
        </is>
      </c>
      <c r="D542">
        <f>(IF(D386="HA12",D391,0)+IF(D392="HA12",D397,0)+IF(D398="HA12",D403,0)+IF(D408="HA12",D413,0)+IF(D414="HA12",D419,0)+IF(D420="HA12",D425,0)+IF(D429="HA12",D434,0)+IF(D435="HA12",D440,0)+IF(D446="HA12",D451,0)+IF(D452="HA12",D457,0)+IF(D458="HA12",D463,0)+IF(D464="HA12",D469,0)+IF(D470="HA12",D475,0)+IF(D484="HA12",D489,0)+IF(D490="HA12",D495,0)+IF(D499="HA12",D504,0)+IF(D505="HA12",D510,0)+IF(D514="HA12",D519,0)+IF(D520="HA12",D525,0))*(1+'PARAMÈTRES'!$C$154)</f>
        <v>357.29568</v>
      </c>
      <c r="E542">
        <f>(IF(E386="HA12",E391,0)+IF(E392="HA12",E397,0)+IF(E398="HA12",E403,0)+IF(E408="HA12",E413,0)+IF(E414="HA12",E419,0)+IF(E420="HA12",E425,0)+IF(E429="HA12",E434,0)+IF(E435="HA12",E440,0)+IF(E446="HA12",E451,0)+IF(E452="HA12",E457,0)+IF(E458="HA12",E463,0)+IF(E464="HA12",E469,0)+IF(E470="HA12",E475,0)+IF(E484="HA12",E489,0)+IF(E490="HA12",E495,0)+IF(E499="HA12",E504,0)+IF(E505="HA12",E510,0)+IF(E514="HA12",E519,0)+IF(E520="HA12",E525,0))*(1+'PARAMÈTRES'!$C$154)</f>
        <v>357.29568</v>
      </c>
      <c r="F542">
        <f>(IF(F386="HA12",F391,0)+IF(F392="HA12",F397,0)+IF(F398="HA12",F403,0)+IF(F408="HA12",F413,0)+IF(F414="HA12",F419,0)+IF(F420="HA12",F425,0)+IF(F429="HA12",F434,0)+IF(F435="HA12",F440,0)+IF(F446="HA12",F451,0)+IF(F452="HA12",F457,0)+IF(F458="HA12",F463,0)+IF(F464="HA12",F469,0)+IF(F470="HA12",F475,0)+IF(F484="HA12",F489,0)+IF(F490="HA12",F495,0)+IF(F499="HA12",F504,0)+IF(F505="HA12",F510,0)+IF(F514="HA12",F519,0)+IF(F520="HA12",F525,0))*(1+'PARAMÈTRES'!$C$154)</f>
        <v>357.29568</v>
      </c>
      <c r="G542">
        <f>(IF(G386="HA12",G391,0)+IF(G392="HA12",G397,0)+IF(G398="HA12",G403,0)+IF(G408="HA12",G413,0)+IF(G414="HA12",G419,0)+IF(G420="HA12",G425,0)+IF(G429="HA12",G434,0)+IF(G435="HA12",G440,0)+IF(G446="HA12",G451,0)+IF(G452="HA12",G457,0)+IF(G458="HA12",G463,0)+IF(G464="HA12",G469,0)+IF(G470="HA12",G475,0)+IF(G484="HA12",G489,0)+IF(G490="HA12",G495,0)+IF(G499="HA12",G504,0)+IF(G505="HA12",G510,0)+IF(G514="HA12",G519,0)+IF(G520="HA12",G525,0))*(1+'PARAMÈTRES'!$C$154)</f>
        <v>333.42624</v>
      </c>
      <c r="H542">
        <f>(IF(H386="HA12",H391,0)+IF(H392="HA12",H397,0)+IF(H398="HA12",H403,0)+IF(H408="HA12",H413,0)+IF(H414="HA12",H419,0)+IF(H420="HA12",H425,0)+IF(H429="HA12",H434,0)+IF(H435="HA12",H440,0)+IF(H446="HA12",H451,0)+IF(H452="HA12",H457,0)+IF(H458="HA12",H463,0)+IF(H464="HA12",H469,0)+IF(H470="HA12",H475,0)+IF(H484="HA12",H489,0)+IF(H490="HA12",H495,0)+IF(H499="HA12",H504,0)+IF(H505="HA12",H510,0)+IF(H514="HA12",H519,0)+IF(H520="HA12",H525,0))*(1+'PARAMÈTRES'!$C$154)</f>
        <v>333.42624</v>
      </c>
      <c r="I542">
        <f>(IF(I386="HA12",I391,0)+IF(I392="HA12",I397,0)+IF(I398="HA12",I403,0)+IF(I408="HA12",I413,0)+IF(I414="HA12",I419,0)+IF(I420="HA12",I425,0)+IF(I429="HA12",I434,0)+IF(I435="HA12",I440,0)+IF(I446="HA12",I451,0)+IF(I452="HA12",I457,0)+IF(I458="HA12",I463,0)+IF(I464="HA12",I469,0)+IF(I470="HA12",I475,0)+IF(I484="HA12",I489,0)+IF(I490="HA12",I495,0)+IF(I499="HA12",I504,0)+IF(I505="HA12",I510,0)+IF(I514="HA12",I519,0)+IF(I520="HA12",I525,0))*(1+'PARAMÈTRES'!$C$154)</f>
        <v>333.42624</v>
      </c>
      <c r="J542">
        <f>(IF(J386="HA12",J391,0)+IF(J392="HA12",J397,0)+IF(J398="HA12",J403,0)+IF(J408="HA12",J413,0)+IF(J414="HA12",J419,0)+IF(J420="HA12",J425,0)+IF(J429="HA12",J434,0)+IF(J435="HA12",J440,0)+IF(J446="HA12",J451,0)+IF(J452="HA12",J457,0)+IF(J458="HA12",J463,0)+IF(J464="HA12",J469,0)+IF(J470="HA12",J475,0)+IF(J484="HA12",J489,0)+IF(J490="HA12",J495,0)+IF(J499="HA12",J504,0)+IF(J505="HA12",J510,0)+IF(J514="HA12",J519,0)+IF(J520="HA12",J525,0))*(1+'PARAMÈTRES'!$C$154)</f>
        <v>387.8784</v>
      </c>
      <c r="K542">
        <f>(IF(K386="HA12",K391,0)+IF(K392="HA12",K397,0)+IF(K398="HA12",K403,0)+IF(K408="HA12",K413,0)+IF(K414="HA12",K419,0)+IF(K420="HA12",K425,0)+IF(K429="HA12",K434,0)+IF(K435="HA12",K440,0)+IF(K446="HA12",K451,0)+IF(K452="HA12",K457,0)+IF(K458="HA12",K463,0)+IF(K464="HA12",K469,0)+IF(K470="HA12",K475,0)+IF(K484="HA12",K489,0)+IF(K490="HA12",K495,0)+IF(K499="HA12",K504,0)+IF(K505="HA12",K510,0)+IF(K514="HA12",K519,0)+IF(K520="HA12",K525,0))*(1+'PARAMÈTRES'!$C$154)</f>
        <v>387.8784</v>
      </c>
      <c r="L542">
        <f>(IF(L386="HA12",L391,0)+IF(L392="HA12",L397,0)+IF(L398="HA12",L403,0)+IF(L408="HA12",L413,0)+IF(L414="HA12",L419,0)+IF(L420="HA12",L425,0)+IF(L429="HA12",L434,0)+IF(L435="HA12",L440,0)+IF(L446="HA12",L451,0)+IF(L452="HA12",L457,0)+IF(L458="HA12",L463,0)+IF(L464="HA12",L469,0)+IF(L470="HA12",L475,0)+IF(L484="HA12",L489,0)+IF(L490="HA12",L495,0)+IF(L499="HA12",L504,0)+IF(L505="HA12",L510,0)+IF(L514="HA12",L519,0)+IF(L520="HA12",L525,0))*(1+'PARAMÈTRES'!$C$154)</f>
        <v>387.8784</v>
      </c>
      <c r="M542">
        <f>(IF(M386="HA12",M391,0)+IF(M392="HA12",M397,0)+IF(M398="HA12",M403,0)+IF(M408="HA12",M413,0)+IF(M414="HA12",M419,0)+IF(M420="HA12",M425,0)+IF(M429="HA12",M434,0)+IF(M435="HA12",M440,0)+IF(M446="HA12",M451,0)+IF(M452="HA12",M457,0)+IF(M458="HA12",M463,0)+IF(M464="HA12",M469,0)+IF(M470="HA12",M475,0)+IF(M484="HA12",M489,0)+IF(M490="HA12",M495,0)+IF(M499="HA12",M504,0)+IF(M505="HA12",M510,0)+IF(M514="HA12",M519,0)+IF(M520="HA12",M525,0))*(1+'PARAMÈTRES'!$C$154)</f>
        <v>364.00896</v>
      </c>
      <c r="N542">
        <f>(IF(N386="HA12",N391,0)+IF(N392="HA12",N397,0)+IF(N398="HA12",N403,0)+IF(N408="HA12",N413,0)+IF(N414="HA12",N419,0)+IF(N420="HA12",N425,0)+IF(N429="HA12",N434,0)+IF(N435="HA12",N440,0)+IF(N446="HA12",N451,0)+IF(N452="HA12",N457,0)+IF(N458="HA12",N463,0)+IF(N464="HA12",N469,0)+IF(N470="HA12",N475,0)+IF(N484="HA12",N489,0)+IF(N490="HA12",N495,0)+IF(N499="HA12",N504,0)+IF(N505="HA12",N510,0)+IF(N514="HA12",N519,0)+IF(N520="HA12",N525,0))*(1+'PARAMÈTRES'!$C$154)</f>
        <v>364.00896</v>
      </c>
      <c r="O542">
        <f>(IF(O386="HA12",O391,0)+IF(O392="HA12",O397,0)+IF(O398="HA12",O403,0)+IF(O408="HA12",O413,0)+IF(O414="HA12",O419,0)+IF(O420="HA12",O425,0)+IF(O429="HA12",O434,0)+IF(O435="HA12",O440,0)+IF(O446="HA12",O451,0)+IF(O452="HA12",O457,0)+IF(O458="HA12",O463,0)+IF(O464="HA12",O469,0)+IF(O470="HA12",O475,0)+IF(O484="HA12",O489,0)+IF(O490="HA12",O495,0)+IF(O499="HA12",O504,0)+IF(O505="HA12",O510,0)+IF(O514="HA12",O519,0)+IF(O520="HA12",O525,0))*(1+'PARAMÈTRES'!$C$154)</f>
        <v>364.00896</v>
      </c>
      <c r="P542">
        <f>(IF(P386="HA12",P391,0)+IF(P392="HA12",P397,0)+IF(P398="HA12",P403,0)+IF(P408="HA12",P413,0)+IF(P414="HA12",P419,0)+IF(P420="HA12",P425,0)+IF(P429="HA12",P434,0)+IF(P435="HA12",P440,0)+IF(P446="HA12",P451,0)+IF(P452="HA12",P457,0)+IF(P458="HA12",P463,0)+IF(P464="HA12",P469,0)+IF(P470="HA12",P475,0)+IF(P484="HA12",P489,0)+IF(P490="HA12",P495,0)+IF(P499="HA12",P504,0)+IF(P505="HA12",P510,0)+IF(P514="HA12",P519,0)+IF(P520="HA12",P525,0))*(1+'PARAMÈTRES'!$C$154)</f>
        <v>527.36544</v>
      </c>
      <c r="Q542">
        <f>(IF(Q386="HA12",Q391,0)+IF(Q392="HA12",Q397,0)+IF(Q398="HA12",Q403,0)+IF(Q408="HA12",Q413,0)+IF(Q414="HA12",Q419,0)+IF(Q420="HA12",Q425,0)+IF(Q429="HA12",Q434,0)+IF(Q435="HA12",Q440,0)+IF(Q446="HA12",Q451,0)+IF(Q452="HA12",Q457,0)+IF(Q458="HA12",Q463,0)+IF(Q464="HA12",Q469,0)+IF(Q470="HA12",Q475,0)+IF(Q484="HA12",Q489,0)+IF(Q490="HA12",Q495,0)+IF(Q499="HA12",Q504,0)+IF(Q505="HA12",Q510,0)+IF(Q514="HA12",Q519,0)+IF(Q520="HA12",Q525,0))*(1+'PARAMÈTRES'!$C$154)</f>
        <v>527.36544</v>
      </c>
      <c r="R542">
        <f>(IF(R386="HA12",R391,0)+IF(R392="HA12",R397,0)+IF(R398="HA12",R403,0)+IF(R408="HA12",R413,0)+IF(R414="HA12",R419,0)+IF(R420="HA12",R425,0)+IF(R429="HA12",R434,0)+IF(R435="HA12",R440,0)+IF(R446="HA12",R451,0)+IF(R452="HA12",R457,0)+IF(R458="HA12",R463,0)+IF(R464="HA12",R469,0)+IF(R470="HA12",R475,0)+IF(R484="HA12",R489,0)+IF(R490="HA12",R495,0)+IF(R499="HA12",R504,0)+IF(R505="HA12",R510,0)+IF(R514="HA12",R519,0)+IF(R520="HA12",R525,0))*(1+'PARAMÈTRES'!$C$154)</f>
        <v>527.36544</v>
      </c>
      <c r="S542">
        <f>(IF(S386="HA12",S391,0)+IF(S392="HA12",S397,0)+IF(S398="HA12",S403,0)+IF(S408="HA12",S413,0)+IF(S414="HA12",S419,0)+IF(S420="HA12",S425,0)+IF(S429="HA12",S434,0)+IF(S435="HA12",S440,0)+IF(S446="HA12",S451,0)+IF(S452="HA12",S457,0)+IF(S458="HA12",S463,0)+IF(S464="HA12",S469,0)+IF(S470="HA12",S475,0)+IF(S484="HA12",S489,0)+IF(S490="HA12",S495,0)+IF(S499="HA12",S504,0)+IF(S505="HA12",S510,0)+IF(S514="HA12",S519,0)+IF(S520="HA12",S525,0))*(1+'PARAMÈTRES'!$C$154)</f>
        <v>557.94816</v>
      </c>
      <c r="T542">
        <f>(IF(T386="HA12",T391,0)+IF(T392="HA12",T397,0)+IF(T398="HA12",T403,0)+IF(T408="HA12",T413,0)+IF(T414="HA12",T419,0)+IF(T420="HA12",T425,0)+IF(T429="HA12",T434,0)+IF(T435="HA12",T440,0)+IF(T446="HA12",T451,0)+IF(T452="HA12",T457,0)+IF(T458="HA12",T463,0)+IF(T464="HA12",T469,0)+IF(T470="HA12",T475,0)+IF(T484="HA12",T489,0)+IF(T490="HA12",T495,0)+IF(T499="HA12",T504,0)+IF(T505="HA12",T510,0)+IF(T514="HA12",T519,0)+IF(T520="HA12",T525,0))*(1+'PARAMÈTRES'!$C$154)</f>
        <v>557.94816</v>
      </c>
      <c r="U542">
        <f>(IF(U386="HA12",U391,0)+IF(U392="HA12",U397,0)+IF(U398="HA12",U403,0)+IF(U408="HA12",U413,0)+IF(U414="HA12",U419,0)+IF(U420="HA12",U425,0)+IF(U429="HA12",U434,0)+IF(U435="HA12",U440,0)+IF(U446="HA12",U451,0)+IF(U452="HA12",U457,0)+IF(U458="HA12",U463,0)+IF(U464="HA12",U469,0)+IF(U470="HA12",U475,0)+IF(U484="HA12",U489,0)+IF(U490="HA12",U495,0)+IF(U499="HA12",U504,0)+IF(U505="HA12",U510,0)+IF(U514="HA12",U519,0)+IF(U520="HA12",U525,0))*(1+'PARAMÈTRES'!$C$154)</f>
        <v>557.94816</v>
      </c>
      <c r="V542">
        <f>(IF(V386="HA12",V391,0)+IF(V392="HA12",V397,0)+IF(V398="HA12",V403,0)+IF(V408="HA12",V413,0)+IF(V414="HA12",V419,0)+IF(V420="HA12",V425,0)+IF(V429="HA12",V434,0)+IF(V435="HA12",V440,0)+IF(V446="HA12",V451,0)+IF(V452="HA12",V457,0)+IF(V458="HA12",V463,0)+IF(V464="HA12",V469,0)+IF(V470="HA12",V475,0)+IF(V484="HA12",V489,0)+IF(V490="HA12",V495,0)+IF(V499="HA12",V504,0)+IF(V505="HA12",V510,0)+IF(V514="HA12",V519,0)+IF(V520="HA12",V525,0))*(1+'PARAMÈTRES'!$C$154)</f>
        <v>619.1136</v>
      </c>
      <c r="W542">
        <f>(IF(W386="HA12",W391,0)+IF(W392="HA12",W397,0)+IF(W398="HA12",W403,0)+IF(W408="HA12",W413,0)+IF(W414="HA12",W419,0)+IF(W420="HA12",W425,0)+IF(W429="HA12",W434,0)+IF(W435="HA12",W440,0)+IF(W446="HA12",W451,0)+IF(W452="HA12",W457,0)+IF(W458="HA12",W463,0)+IF(W464="HA12",W469,0)+IF(W470="HA12",W475,0)+IF(W484="HA12",W489,0)+IF(W490="HA12",W495,0)+IF(W499="HA12",W504,0)+IF(W505="HA12",W510,0)+IF(W514="HA12",W519,0)+IF(W520="HA12",W525,0))*(1+'PARAMÈTRES'!$C$154)</f>
        <v>619.1136</v>
      </c>
      <c r="X542">
        <f>(IF(X386="HA12",X391,0)+IF(X392="HA12",X397,0)+IF(X398="HA12",X403,0)+IF(X408="HA12",X413,0)+IF(X414="HA12",X419,0)+IF(X420="HA12",X425,0)+IF(X429="HA12",X434,0)+IF(X435="HA12",X440,0)+IF(X446="HA12",X451,0)+IF(X452="HA12",X457,0)+IF(X458="HA12",X463,0)+IF(X464="HA12",X469,0)+IF(X470="HA12",X475,0)+IF(X484="HA12",X489,0)+IF(X490="HA12",X495,0)+IF(X499="HA12",X504,0)+IF(X505="HA12",X510,0)+IF(X514="HA12",X519,0)+IF(X520="HA12",X525,0))*(1+'PARAMÈTRES'!$C$154)</f>
        <v>619.1136</v>
      </c>
    </row>
    <row r="543">
      <c r="A543" t="inlineStr">
        <is>
          <t>bar_HA12</t>
        </is>
      </c>
      <c r="B543" t="inlineStr">
        <is>
          <t>GROS_ŒUVRE!E106</t>
        </is>
      </c>
      <c r="D543">
        <f>ROUNDUP(D542/(IFERROR(_xlfn.XLOOKUP("HA12",'BASE_ACIERS'!$B$5:$B$20,'BASE_ACIERS'!$D$5:$D$20),IFERROR(INDEX('BASE_ACIERS'!$D$5:$D$20,MATCH("HA12",'BASE_ACIERS'!$B$5:$B$20,0)),0))*'PARAMÈTRES'!$C$58),0)</f>
        <v>34</v>
      </c>
      <c r="E543">
        <f>ROUNDUP(E542/(IFERROR(_xlfn.XLOOKUP("HA12",'BASE_ACIERS'!$B$5:$B$20,'BASE_ACIERS'!$D$5:$D$20),IFERROR(INDEX('BASE_ACIERS'!$D$5:$D$20,MATCH("HA12",'BASE_ACIERS'!$B$5:$B$20,0)),0))*'PARAMÈTRES'!$C$58),0)</f>
        <v>34</v>
      </c>
      <c r="F543">
        <f>ROUNDUP(F542/(IFERROR(_xlfn.XLOOKUP("HA12",'BASE_ACIERS'!$B$5:$B$20,'BASE_ACIERS'!$D$5:$D$20),IFERROR(INDEX('BASE_ACIERS'!$D$5:$D$20,MATCH("HA12",'BASE_ACIERS'!$B$5:$B$20,0)),0))*'PARAMÈTRES'!$C$58),0)</f>
        <v>34</v>
      </c>
      <c r="G543">
        <f>ROUNDUP(G542/(IFERROR(_xlfn.XLOOKUP("HA12",'BASE_ACIERS'!$B$5:$B$20,'BASE_ACIERS'!$D$5:$D$20),IFERROR(INDEX('BASE_ACIERS'!$D$5:$D$20,MATCH("HA12",'BASE_ACIERS'!$B$5:$B$20,0)),0))*'PARAMÈTRES'!$C$58),0)</f>
        <v>32</v>
      </c>
      <c r="H543">
        <f>ROUNDUP(H542/(IFERROR(_xlfn.XLOOKUP("HA12",'BASE_ACIERS'!$B$5:$B$20,'BASE_ACIERS'!$D$5:$D$20),IFERROR(INDEX('BASE_ACIERS'!$D$5:$D$20,MATCH("HA12",'BASE_ACIERS'!$B$5:$B$20,0)),0))*'PARAMÈTRES'!$C$58),0)</f>
        <v>32</v>
      </c>
      <c r="I543">
        <f>ROUNDUP(I542/(IFERROR(_xlfn.XLOOKUP("HA12",'BASE_ACIERS'!$B$5:$B$20,'BASE_ACIERS'!$D$5:$D$20),IFERROR(INDEX('BASE_ACIERS'!$D$5:$D$20,MATCH("HA12",'BASE_ACIERS'!$B$5:$B$20,0)),0))*'PARAMÈTRES'!$C$58),0)</f>
        <v>32</v>
      </c>
      <c r="J543">
        <f>ROUNDUP(J542/(IFERROR(_xlfn.XLOOKUP("HA12",'BASE_ACIERS'!$B$5:$B$20,'BASE_ACIERS'!$D$5:$D$20),IFERROR(INDEX('BASE_ACIERS'!$D$5:$D$20,MATCH("HA12",'BASE_ACIERS'!$B$5:$B$20,0)),0))*'PARAMÈTRES'!$C$58),0)</f>
        <v>37</v>
      </c>
      <c r="K543">
        <f>ROUNDUP(K542/(IFERROR(_xlfn.XLOOKUP("HA12",'BASE_ACIERS'!$B$5:$B$20,'BASE_ACIERS'!$D$5:$D$20),IFERROR(INDEX('BASE_ACIERS'!$D$5:$D$20,MATCH("HA12",'BASE_ACIERS'!$B$5:$B$20,0)),0))*'PARAMÈTRES'!$C$58),0)</f>
        <v>37</v>
      </c>
      <c r="L543">
        <f>ROUNDUP(L542/(IFERROR(_xlfn.XLOOKUP("HA12",'BASE_ACIERS'!$B$5:$B$20,'BASE_ACIERS'!$D$5:$D$20),IFERROR(INDEX('BASE_ACIERS'!$D$5:$D$20,MATCH("HA12",'BASE_ACIERS'!$B$5:$B$20,0)),0))*'PARAMÈTRES'!$C$58),0)</f>
        <v>37</v>
      </c>
      <c r="M543">
        <f>ROUNDUP(M542/(IFERROR(_xlfn.XLOOKUP("HA12",'BASE_ACIERS'!$B$5:$B$20,'BASE_ACIERS'!$D$5:$D$20),IFERROR(INDEX('BASE_ACIERS'!$D$5:$D$20,MATCH("HA12",'BASE_ACIERS'!$B$5:$B$20,0)),0))*'PARAMÈTRES'!$C$58),0)</f>
        <v>35</v>
      </c>
      <c r="N543">
        <f>ROUNDUP(N542/(IFERROR(_xlfn.XLOOKUP("HA12",'BASE_ACIERS'!$B$5:$B$20,'BASE_ACIERS'!$D$5:$D$20),IFERROR(INDEX('BASE_ACIERS'!$D$5:$D$20,MATCH("HA12",'BASE_ACIERS'!$B$5:$B$20,0)),0))*'PARAMÈTRES'!$C$58),0)</f>
        <v>35</v>
      </c>
      <c r="O543">
        <f>ROUNDUP(O542/(IFERROR(_xlfn.XLOOKUP("HA12",'BASE_ACIERS'!$B$5:$B$20,'BASE_ACIERS'!$D$5:$D$20),IFERROR(INDEX('BASE_ACIERS'!$D$5:$D$20,MATCH("HA12",'BASE_ACIERS'!$B$5:$B$20,0)),0))*'PARAMÈTRES'!$C$58),0)</f>
        <v>35</v>
      </c>
      <c r="P543">
        <f>ROUNDUP(P542/(IFERROR(_xlfn.XLOOKUP("HA12",'BASE_ACIERS'!$B$5:$B$20,'BASE_ACIERS'!$D$5:$D$20),IFERROR(INDEX('BASE_ACIERS'!$D$5:$D$20,MATCH("HA12",'BASE_ACIERS'!$B$5:$B$20,0)),0))*'PARAMÈTRES'!$C$58),0)</f>
        <v>50</v>
      </c>
      <c r="Q543">
        <f>ROUNDUP(Q542/(IFERROR(_xlfn.XLOOKUP("HA12",'BASE_ACIERS'!$B$5:$B$20,'BASE_ACIERS'!$D$5:$D$20),IFERROR(INDEX('BASE_ACIERS'!$D$5:$D$20,MATCH("HA12",'BASE_ACIERS'!$B$5:$B$20,0)),0))*'PARAMÈTRES'!$C$58),0)</f>
        <v>50</v>
      </c>
      <c r="R543">
        <f>ROUNDUP(R542/(IFERROR(_xlfn.XLOOKUP("HA12",'BASE_ACIERS'!$B$5:$B$20,'BASE_ACIERS'!$D$5:$D$20),IFERROR(INDEX('BASE_ACIERS'!$D$5:$D$20,MATCH("HA12",'BASE_ACIERS'!$B$5:$B$20,0)),0))*'PARAMÈTRES'!$C$58),0)</f>
        <v>50</v>
      </c>
      <c r="S543">
        <f>ROUNDUP(S542/(IFERROR(_xlfn.XLOOKUP("HA12",'BASE_ACIERS'!$B$5:$B$20,'BASE_ACIERS'!$D$5:$D$20),IFERROR(INDEX('BASE_ACIERS'!$D$5:$D$20,MATCH("HA12",'BASE_ACIERS'!$B$5:$B$20,0)),0))*'PARAMÈTRES'!$C$58),0)</f>
        <v>53</v>
      </c>
      <c r="T543">
        <f>ROUNDUP(T542/(IFERROR(_xlfn.XLOOKUP("HA12",'BASE_ACIERS'!$B$5:$B$20,'BASE_ACIERS'!$D$5:$D$20),IFERROR(INDEX('BASE_ACIERS'!$D$5:$D$20,MATCH("HA12",'BASE_ACIERS'!$B$5:$B$20,0)),0))*'PARAMÈTRES'!$C$58),0)</f>
        <v>53</v>
      </c>
      <c r="U543">
        <f>ROUNDUP(U542/(IFERROR(_xlfn.XLOOKUP("HA12",'BASE_ACIERS'!$B$5:$B$20,'BASE_ACIERS'!$D$5:$D$20),IFERROR(INDEX('BASE_ACIERS'!$D$5:$D$20,MATCH("HA12",'BASE_ACIERS'!$B$5:$B$20,0)),0))*'PARAMÈTRES'!$C$58),0)</f>
        <v>53</v>
      </c>
      <c r="V543">
        <f>ROUNDUP(V542/(IFERROR(_xlfn.XLOOKUP("HA12",'BASE_ACIERS'!$B$5:$B$20,'BASE_ACIERS'!$D$5:$D$20),IFERROR(INDEX('BASE_ACIERS'!$D$5:$D$20,MATCH("HA12",'BASE_ACIERS'!$B$5:$B$20,0)),0))*'PARAMÈTRES'!$C$58),0)</f>
        <v>59</v>
      </c>
      <c r="W543">
        <f>ROUNDUP(W542/(IFERROR(_xlfn.XLOOKUP("HA12",'BASE_ACIERS'!$B$5:$B$20,'BASE_ACIERS'!$D$5:$D$20),IFERROR(INDEX('BASE_ACIERS'!$D$5:$D$20,MATCH("HA12",'BASE_ACIERS'!$B$5:$B$20,0)),0))*'PARAMÈTRES'!$C$58),0)</f>
        <v>59</v>
      </c>
      <c r="X543">
        <f>ROUNDUP(X542/(IFERROR(_xlfn.XLOOKUP("HA12",'BASE_ACIERS'!$B$5:$B$20,'BASE_ACIERS'!$D$5:$D$20),IFERROR(INDEX('BASE_ACIERS'!$D$5:$D$20,MATCH("HA12",'BASE_ACIERS'!$B$5:$B$20,0)),0))*'PARAMÈTRES'!$C$58),0)</f>
        <v>59</v>
      </c>
    </row>
    <row r="544">
      <c r="A544" t="inlineStr">
        <is>
          <t>kg_HA14</t>
        </is>
      </c>
      <c r="B544" t="inlineStr">
        <is>
          <t>GROS_ŒUVRE!I107</t>
        </is>
      </c>
      <c r="D544">
        <f>(IF(D386="HA14",D391,0)+IF(D392="HA14",D397,0)+IF(D398="HA14",D403,0)+IF(D408="HA14",D413,0)+IF(D414="HA14",D419,0)+IF(D420="HA14",D425,0)+IF(D429="HA14",D434,0)+IF(D435="HA14",D440,0)+IF(D446="HA14",D451,0)+IF(D452="HA14",D457,0)+IF(D458="HA14",D463,0)+IF(D464="HA14",D469,0)+IF(D470="HA14",D475,0)+IF(D484="HA14",D489,0)+IF(D490="HA14",D495,0)+IF(D499="HA14",D504,0)+IF(D505="HA14",D510,0)+IF(D514="HA14",D519,0)+IF(D520="HA14",D525,0))*(1+'PARAMÈTRES'!$C$154)</f>
        <v>0</v>
      </c>
      <c r="E544">
        <f>(IF(E386="HA14",E391,0)+IF(E392="HA14",E397,0)+IF(E398="HA14",E403,0)+IF(E408="HA14",E413,0)+IF(E414="HA14",E419,0)+IF(E420="HA14",E425,0)+IF(E429="HA14",E434,0)+IF(E435="HA14",E440,0)+IF(E446="HA14",E451,0)+IF(E452="HA14",E457,0)+IF(E458="HA14",E463,0)+IF(E464="HA14",E469,0)+IF(E470="HA14",E475,0)+IF(E484="HA14",E489,0)+IF(E490="HA14",E495,0)+IF(E499="HA14",E504,0)+IF(E505="HA14",E510,0)+IF(E514="HA14",E519,0)+IF(E520="HA14",E525,0))*(1+'PARAMÈTRES'!$C$154)</f>
        <v>0</v>
      </c>
      <c r="F544">
        <f>(IF(F386="HA14",F391,0)+IF(F392="HA14",F397,0)+IF(F398="HA14",F403,0)+IF(F408="HA14",F413,0)+IF(F414="HA14",F419,0)+IF(F420="HA14",F425,0)+IF(F429="HA14",F434,0)+IF(F435="HA14",F440,0)+IF(F446="HA14",F451,0)+IF(F452="HA14",F457,0)+IF(F458="HA14",F463,0)+IF(F464="HA14",F469,0)+IF(F470="HA14",F475,0)+IF(F484="HA14",F489,0)+IF(F490="HA14",F495,0)+IF(F499="HA14",F504,0)+IF(F505="HA14",F510,0)+IF(F514="HA14",F519,0)+IF(F520="HA14",F525,0))*(1+'PARAMÈTRES'!$C$154)</f>
        <v>0</v>
      </c>
      <c r="G544">
        <f>(IF(G386="HA14",G391,0)+IF(G392="HA14",G397,0)+IF(G398="HA14",G403,0)+IF(G408="HA14",G413,0)+IF(G414="HA14",G419,0)+IF(G420="HA14",G425,0)+IF(G429="HA14",G434,0)+IF(G435="HA14",G440,0)+IF(G446="HA14",G451,0)+IF(G452="HA14",G457,0)+IF(G458="HA14",G463,0)+IF(G464="HA14",G469,0)+IF(G470="HA14",G475,0)+IF(G484="HA14",G489,0)+IF(G490="HA14",G495,0)+IF(G499="HA14",G504,0)+IF(G505="HA14",G510,0)+IF(G514="HA14",G519,0)+IF(G520="HA14",G525,0))*(1+'PARAMÈTRES'!$C$154)</f>
        <v>0</v>
      </c>
      <c r="H544">
        <f>(IF(H386="HA14",H391,0)+IF(H392="HA14",H397,0)+IF(H398="HA14",H403,0)+IF(H408="HA14",H413,0)+IF(H414="HA14",H419,0)+IF(H420="HA14",H425,0)+IF(H429="HA14",H434,0)+IF(H435="HA14",H440,0)+IF(H446="HA14",H451,0)+IF(H452="HA14",H457,0)+IF(H458="HA14",H463,0)+IF(H464="HA14",H469,0)+IF(H470="HA14",H475,0)+IF(H484="HA14",H489,0)+IF(H490="HA14",H495,0)+IF(H499="HA14",H504,0)+IF(H505="HA14",H510,0)+IF(H514="HA14",H519,0)+IF(H520="HA14",H525,0))*(1+'PARAMÈTRES'!$C$154)</f>
        <v>0</v>
      </c>
      <c r="I544">
        <f>(IF(I386="HA14",I391,0)+IF(I392="HA14",I397,0)+IF(I398="HA14",I403,0)+IF(I408="HA14",I413,0)+IF(I414="HA14",I419,0)+IF(I420="HA14",I425,0)+IF(I429="HA14",I434,0)+IF(I435="HA14",I440,0)+IF(I446="HA14",I451,0)+IF(I452="HA14",I457,0)+IF(I458="HA14",I463,0)+IF(I464="HA14",I469,0)+IF(I470="HA14",I475,0)+IF(I484="HA14",I489,0)+IF(I490="HA14",I495,0)+IF(I499="HA14",I504,0)+IF(I505="HA14",I510,0)+IF(I514="HA14",I519,0)+IF(I520="HA14",I525,0))*(1+'PARAMÈTRES'!$C$154)</f>
        <v>0</v>
      </c>
      <c r="J544">
        <f>(IF(J386="HA14",J391,0)+IF(J392="HA14",J397,0)+IF(J398="HA14",J403,0)+IF(J408="HA14",J413,0)+IF(J414="HA14",J419,0)+IF(J420="HA14",J425,0)+IF(J429="HA14",J434,0)+IF(J435="HA14",J440,0)+IF(J446="HA14",J451,0)+IF(J452="HA14",J457,0)+IF(J458="HA14",J463,0)+IF(J464="HA14",J469,0)+IF(J470="HA14",J475,0)+IF(J484="HA14",J489,0)+IF(J490="HA14",J495,0)+IF(J499="HA14",J504,0)+IF(J505="HA14",J510,0)+IF(J514="HA14",J519,0)+IF(J520="HA14",J525,0))*(1+'PARAMÈTRES'!$C$154)</f>
        <v>0</v>
      </c>
      <c r="K544">
        <f>(IF(K386="HA14",K391,0)+IF(K392="HA14",K397,0)+IF(K398="HA14",K403,0)+IF(K408="HA14",K413,0)+IF(K414="HA14",K419,0)+IF(K420="HA14",K425,0)+IF(K429="HA14",K434,0)+IF(K435="HA14",K440,0)+IF(K446="HA14",K451,0)+IF(K452="HA14",K457,0)+IF(K458="HA14",K463,0)+IF(K464="HA14",K469,0)+IF(K470="HA14",K475,0)+IF(K484="HA14",K489,0)+IF(K490="HA14",K495,0)+IF(K499="HA14",K504,0)+IF(K505="HA14",K510,0)+IF(K514="HA14",K519,0)+IF(K520="HA14",K525,0))*(1+'PARAMÈTRES'!$C$154)</f>
        <v>0</v>
      </c>
      <c r="L544">
        <f>(IF(L386="HA14",L391,0)+IF(L392="HA14",L397,0)+IF(L398="HA14",L403,0)+IF(L408="HA14",L413,0)+IF(L414="HA14",L419,0)+IF(L420="HA14",L425,0)+IF(L429="HA14",L434,0)+IF(L435="HA14",L440,0)+IF(L446="HA14",L451,0)+IF(L452="HA14",L457,0)+IF(L458="HA14",L463,0)+IF(L464="HA14",L469,0)+IF(L470="HA14",L475,0)+IF(L484="HA14",L489,0)+IF(L490="HA14",L495,0)+IF(L499="HA14",L504,0)+IF(L505="HA14",L510,0)+IF(L514="HA14",L519,0)+IF(L520="HA14",L525,0))*(1+'PARAMÈTRES'!$C$154)</f>
        <v>0</v>
      </c>
      <c r="M544">
        <f>(IF(M386="HA14",M391,0)+IF(M392="HA14",M397,0)+IF(M398="HA14",M403,0)+IF(M408="HA14",M413,0)+IF(M414="HA14",M419,0)+IF(M420="HA14",M425,0)+IF(M429="HA14",M434,0)+IF(M435="HA14",M440,0)+IF(M446="HA14",M451,0)+IF(M452="HA14",M457,0)+IF(M458="HA14",M463,0)+IF(M464="HA14",M469,0)+IF(M470="HA14",M475,0)+IF(M484="HA14",M489,0)+IF(M490="HA14",M495,0)+IF(M499="HA14",M504,0)+IF(M505="HA14",M510,0)+IF(M514="HA14",M519,0)+IF(M520="HA14",M525,0))*(1+'PARAMÈTRES'!$C$154)</f>
        <v>0</v>
      </c>
      <c r="N544">
        <f>(IF(N386="HA14",N391,0)+IF(N392="HA14",N397,0)+IF(N398="HA14",N403,0)+IF(N408="HA14",N413,0)+IF(N414="HA14",N419,0)+IF(N420="HA14",N425,0)+IF(N429="HA14",N434,0)+IF(N435="HA14",N440,0)+IF(N446="HA14",N451,0)+IF(N452="HA14",N457,0)+IF(N458="HA14",N463,0)+IF(N464="HA14",N469,0)+IF(N470="HA14",N475,0)+IF(N484="HA14",N489,0)+IF(N490="HA14",N495,0)+IF(N499="HA14",N504,0)+IF(N505="HA14",N510,0)+IF(N514="HA14",N519,0)+IF(N520="HA14",N525,0))*(1+'PARAMÈTRES'!$C$154)</f>
        <v>0</v>
      </c>
      <c r="O544">
        <f>(IF(O386="HA14",O391,0)+IF(O392="HA14",O397,0)+IF(O398="HA14",O403,0)+IF(O408="HA14",O413,0)+IF(O414="HA14",O419,0)+IF(O420="HA14",O425,0)+IF(O429="HA14",O434,0)+IF(O435="HA14",O440,0)+IF(O446="HA14",O451,0)+IF(O452="HA14",O457,0)+IF(O458="HA14",O463,0)+IF(O464="HA14",O469,0)+IF(O470="HA14",O475,0)+IF(O484="HA14",O489,0)+IF(O490="HA14",O495,0)+IF(O499="HA14",O504,0)+IF(O505="HA14",O510,0)+IF(O514="HA14",O519,0)+IF(O520="HA14",O525,0))*(1+'PARAMÈTRES'!$C$154)</f>
        <v>0</v>
      </c>
      <c r="P544">
        <f>(IF(P386="HA14",P391,0)+IF(P392="HA14",P397,0)+IF(P398="HA14",P403,0)+IF(P408="HA14",P413,0)+IF(P414="HA14",P419,0)+IF(P420="HA14",P425,0)+IF(P429="HA14",P434,0)+IF(P435="HA14",P440,0)+IF(P446="HA14",P451,0)+IF(P452="HA14",P457,0)+IF(P458="HA14",P463,0)+IF(P464="HA14",P469,0)+IF(P470="HA14",P475,0)+IF(P484="HA14",P489,0)+IF(P490="HA14",P495,0)+IF(P499="HA14",P504,0)+IF(P505="HA14",P510,0)+IF(P514="HA14",P519,0)+IF(P520="HA14",P525,0))*(1+'PARAMÈTRES'!$C$154)</f>
        <v>0</v>
      </c>
      <c r="Q544">
        <f>(IF(Q386="HA14",Q391,0)+IF(Q392="HA14",Q397,0)+IF(Q398="HA14",Q403,0)+IF(Q408="HA14",Q413,0)+IF(Q414="HA14",Q419,0)+IF(Q420="HA14",Q425,0)+IF(Q429="HA14",Q434,0)+IF(Q435="HA14",Q440,0)+IF(Q446="HA14",Q451,0)+IF(Q452="HA14",Q457,0)+IF(Q458="HA14",Q463,0)+IF(Q464="HA14",Q469,0)+IF(Q470="HA14",Q475,0)+IF(Q484="HA14",Q489,0)+IF(Q490="HA14",Q495,0)+IF(Q499="HA14",Q504,0)+IF(Q505="HA14",Q510,0)+IF(Q514="HA14",Q519,0)+IF(Q520="HA14",Q525,0))*(1+'PARAMÈTRES'!$C$154)</f>
        <v>0</v>
      </c>
      <c r="R544">
        <f>(IF(R386="HA14",R391,0)+IF(R392="HA14",R397,0)+IF(R398="HA14",R403,0)+IF(R408="HA14",R413,0)+IF(R414="HA14",R419,0)+IF(R420="HA14",R425,0)+IF(R429="HA14",R434,0)+IF(R435="HA14",R440,0)+IF(R446="HA14",R451,0)+IF(R452="HA14",R457,0)+IF(R458="HA14",R463,0)+IF(R464="HA14",R469,0)+IF(R470="HA14",R475,0)+IF(R484="HA14",R489,0)+IF(R490="HA14",R495,0)+IF(R499="HA14",R504,0)+IF(R505="HA14",R510,0)+IF(R514="HA14",R519,0)+IF(R520="HA14",R525,0))*(1+'PARAMÈTRES'!$C$154)</f>
        <v>0</v>
      </c>
      <c r="S544">
        <f>(IF(S386="HA14",S391,0)+IF(S392="HA14",S397,0)+IF(S398="HA14",S403,0)+IF(S408="HA14",S413,0)+IF(S414="HA14",S419,0)+IF(S420="HA14",S425,0)+IF(S429="HA14",S434,0)+IF(S435="HA14",S440,0)+IF(S446="HA14",S451,0)+IF(S452="HA14",S457,0)+IF(S458="HA14",S463,0)+IF(S464="HA14",S469,0)+IF(S470="HA14",S475,0)+IF(S484="HA14",S489,0)+IF(S490="HA14",S495,0)+IF(S499="HA14",S504,0)+IF(S505="HA14",S510,0)+IF(S514="HA14",S519,0)+IF(S520="HA14",S525,0))*(1+'PARAMÈTRES'!$C$154)</f>
        <v>0</v>
      </c>
      <c r="T544">
        <f>(IF(T386="HA14",T391,0)+IF(T392="HA14",T397,0)+IF(T398="HA14",T403,0)+IF(T408="HA14",T413,0)+IF(T414="HA14",T419,0)+IF(T420="HA14",T425,0)+IF(T429="HA14",T434,0)+IF(T435="HA14",T440,0)+IF(T446="HA14",T451,0)+IF(T452="HA14",T457,0)+IF(T458="HA14",T463,0)+IF(T464="HA14",T469,0)+IF(T470="HA14",T475,0)+IF(T484="HA14",T489,0)+IF(T490="HA14",T495,0)+IF(T499="HA14",T504,0)+IF(T505="HA14",T510,0)+IF(T514="HA14",T519,0)+IF(T520="HA14",T525,0))*(1+'PARAMÈTRES'!$C$154)</f>
        <v>0</v>
      </c>
      <c r="U544">
        <f>(IF(U386="HA14",U391,0)+IF(U392="HA14",U397,0)+IF(U398="HA14",U403,0)+IF(U408="HA14",U413,0)+IF(U414="HA14",U419,0)+IF(U420="HA14",U425,0)+IF(U429="HA14",U434,0)+IF(U435="HA14",U440,0)+IF(U446="HA14",U451,0)+IF(U452="HA14",U457,0)+IF(U458="HA14",U463,0)+IF(U464="HA14",U469,0)+IF(U470="HA14",U475,0)+IF(U484="HA14",U489,0)+IF(U490="HA14",U495,0)+IF(U499="HA14",U504,0)+IF(U505="HA14",U510,0)+IF(U514="HA14",U519,0)+IF(U520="HA14",U525,0))*(1+'PARAMÈTRES'!$C$154)</f>
        <v>0</v>
      </c>
      <c r="V544">
        <f>(IF(V386="HA14",V391,0)+IF(V392="HA14",V397,0)+IF(V398="HA14",V403,0)+IF(V408="HA14",V413,0)+IF(V414="HA14",V419,0)+IF(V420="HA14",V425,0)+IF(V429="HA14",V434,0)+IF(V435="HA14",V440,0)+IF(V446="HA14",V451,0)+IF(V452="HA14",V457,0)+IF(V458="HA14",V463,0)+IF(V464="HA14",V469,0)+IF(V470="HA14",V475,0)+IF(V484="HA14",V489,0)+IF(V490="HA14",V495,0)+IF(V499="HA14",V504,0)+IF(V505="HA14",V510,0)+IF(V514="HA14",V519,0)+IF(V520="HA14",V525,0))*(1+'PARAMÈTRES'!$C$154)</f>
        <v>0</v>
      </c>
      <c r="W544">
        <f>(IF(W386="HA14",W391,0)+IF(W392="HA14",W397,0)+IF(W398="HA14",W403,0)+IF(W408="HA14",W413,0)+IF(W414="HA14",W419,0)+IF(W420="HA14",W425,0)+IF(W429="HA14",W434,0)+IF(W435="HA14",W440,0)+IF(W446="HA14",W451,0)+IF(W452="HA14",W457,0)+IF(W458="HA14",W463,0)+IF(W464="HA14",W469,0)+IF(W470="HA14",W475,0)+IF(W484="HA14",W489,0)+IF(W490="HA14",W495,0)+IF(W499="HA14",W504,0)+IF(W505="HA14",W510,0)+IF(W514="HA14",W519,0)+IF(W520="HA14",W525,0))*(1+'PARAMÈTRES'!$C$154)</f>
        <v>0</v>
      </c>
      <c r="X544">
        <f>(IF(X386="HA14",X391,0)+IF(X392="HA14",X397,0)+IF(X398="HA14",X403,0)+IF(X408="HA14",X413,0)+IF(X414="HA14",X419,0)+IF(X420="HA14",X425,0)+IF(X429="HA14",X434,0)+IF(X435="HA14",X440,0)+IF(X446="HA14",X451,0)+IF(X452="HA14",X457,0)+IF(X458="HA14",X463,0)+IF(X464="HA14",X469,0)+IF(X470="HA14",X475,0)+IF(X484="HA14",X489,0)+IF(X490="HA14",X495,0)+IF(X499="HA14",X504,0)+IF(X505="HA14",X510,0)+IF(X514="HA14",X519,0)+IF(X520="HA14",X525,0))*(1+'PARAMÈTRES'!$C$154)</f>
        <v>0</v>
      </c>
    </row>
    <row r="545">
      <c r="A545" t="inlineStr">
        <is>
          <t>bar_HA14</t>
        </is>
      </c>
      <c r="B545" t="inlineStr">
        <is>
          <t>GROS_ŒUVRE!E107</t>
        </is>
      </c>
      <c r="D545">
        <f>ROUNDUP(D544/(IFERROR(_xlfn.XLOOKUP("HA14",'BASE_ACIERS'!$B$5:$B$20,'BASE_ACIERS'!$D$5:$D$20),IFERROR(INDEX('BASE_ACIERS'!$D$5:$D$20,MATCH("HA14",'BASE_ACIERS'!$B$5:$B$20,0)),0))*'PARAMÈTRES'!$C$58),0)</f>
        <v>0</v>
      </c>
      <c r="E545">
        <f>ROUNDUP(E544/(IFERROR(_xlfn.XLOOKUP("HA14",'BASE_ACIERS'!$B$5:$B$20,'BASE_ACIERS'!$D$5:$D$20),IFERROR(INDEX('BASE_ACIERS'!$D$5:$D$20,MATCH("HA14",'BASE_ACIERS'!$B$5:$B$20,0)),0))*'PARAMÈTRES'!$C$58),0)</f>
        <v>0</v>
      </c>
      <c r="F545">
        <f>ROUNDUP(F544/(IFERROR(_xlfn.XLOOKUP("HA14",'BASE_ACIERS'!$B$5:$B$20,'BASE_ACIERS'!$D$5:$D$20),IFERROR(INDEX('BASE_ACIERS'!$D$5:$D$20,MATCH("HA14",'BASE_ACIERS'!$B$5:$B$20,0)),0))*'PARAMÈTRES'!$C$58),0)</f>
        <v>0</v>
      </c>
      <c r="G545">
        <f>ROUNDUP(G544/(IFERROR(_xlfn.XLOOKUP("HA14",'BASE_ACIERS'!$B$5:$B$20,'BASE_ACIERS'!$D$5:$D$20),IFERROR(INDEX('BASE_ACIERS'!$D$5:$D$20,MATCH("HA14",'BASE_ACIERS'!$B$5:$B$20,0)),0))*'PARAMÈTRES'!$C$58),0)</f>
        <v>0</v>
      </c>
      <c r="H545">
        <f>ROUNDUP(H544/(IFERROR(_xlfn.XLOOKUP("HA14",'BASE_ACIERS'!$B$5:$B$20,'BASE_ACIERS'!$D$5:$D$20),IFERROR(INDEX('BASE_ACIERS'!$D$5:$D$20,MATCH("HA14",'BASE_ACIERS'!$B$5:$B$20,0)),0))*'PARAMÈTRES'!$C$58),0)</f>
        <v>0</v>
      </c>
      <c r="I545">
        <f>ROUNDUP(I544/(IFERROR(_xlfn.XLOOKUP("HA14",'BASE_ACIERS'!$B$5:$B$20,'BASE_ACIERS'!$D$5:$D$20),IFERROR(INDEX('BASE_ACIERS'!$D$5:$D$20,MATCH("HA14",'BASE_ACIERS'!$B$5:$B$20,0)),0))*'PARAMÈTRES'!$C$58),0)</f>
        <v>0</v>
      </c>
      <c r="J545">
        <f>ROUNDUP(J544/(IFERROR(_xlfn.XLOOKUP("HA14",'BASE_ACIERS'!$B$5:$B$20,'BASE_ACIERS'!$D$5:$D$20),IFERROR(INDEX('BASE_ACIERS'!$D$5:$D$20,MATCH("HA14",'BASE_ACIERS'!$B$5:$B$20,0)),0))*'PARAMÈTRES'!$C$58),0)</f>
        <v>0</v>
      </c>
      <c r="K545">
        <f>ROUNDUP(K544/(IFERROR(_xlfn.XLOOKUP("HA14",'BASE_ACIERS'!$B$5:$B$20,'BASE_ACIERS'!$D$5:$D$20),IFERROR(INDEX('BASE_ACIERS'!$D$5:$D$20,MATCH("HA14",'BASE_ACIERS'!$B$5:$B$20,0)),0))*'PARAMÈTRES'!$C$58),0)</f>
        <v>0</v>
      </c>
      <c r="L545">
        <f>ROUNDUP(L544/(IFERROR(_xlfn.XLOOKUP("HA14",'BASE_ACIERS'!$B$5:$B$20,'BASE_ACIERS'!$D$5:$D$20),IFERROR(INDEX('BASE_ACIERS'!$D$5:$D$20,MATCH("HA14",'BASE_ACIERS'!$B$5:$B$20,0)),0))*'PARAMÈTRES'!$C$58),0)</f>
        <v>0</v>
      </c>
      <c r="M545">
        <f>ROUNDUP(M544/(IFERROR(_xlfn.XLOOKUP("HA14",'BASE_ACIERS'!$B$5:$B$20,'BASE_ACIERS'!$D$5:$D$20),IFERROR(INDEX('BASE_ACIERS'!$D$5:$D$20,MATCH("HA14",'BASE_ACIERS'!$B$5:$B$20,0)),0))*'PARAMÈTRES'!$C$58),0)</f>
        <v>0</v>
      </c>
      <c r="N545">
        <f>ROUNDUP(N544/(IFERROR(_xlfn.XLOOKUP("HA14",'BASE_ACIERS'!$B$5:$B$20,'BASE_ACIERS'!$D$5:$D$20),IFERROR(INDEX('BASE_ACIERS'!$D$5:$D$20,MATCH("HA14",'BASE_ACIERS'!$B$5:$B$20,0)),0))*'PARAMÈTRES'!$C$58),0)</f>
        <v>0</v>
      </c>
      <c r="O545">
        <f>ROUNDUP(O544/(IFERROR(_xlfn.XLOOKUP("HA14",'BASE_ACIERS'!$B$5:$B$20,'BASE_ACIERS'!$D$5:$D$20),IFERROR(INDEX('BASE_ACIERS'!$D$5:$D$20,MATCH("HA14",'BASE_ACIERS'!$B$5:$B$20,0)),0))*'PARAMÈTRES'!$C$58),0)</f>
        <v>0</v>
      </c>
      <c r="P545">
        <f>ROUNDUP(P544/(IFERROR(_xlfn.XLOOKUP("HA14",'BASE_ACIERS'!$B$5:$B$20,'BASE_ACIERS'!$D$5:$D$20),IFERROR(INDEX('BASE_ACIERS'!$D$5:$D$20,MATCH("HA14",'BASE_ACIERS'!$B$5:$B$20,0)),0))*'PARAMÈTRES'!$C$58),0)</f>
        <v>0</v>
      </c>
      <c r="Q545">
        <f>ROUNDUP(Q544/(IFERROR(_xlfn.XLOOKUP("HA14",'BASE_ACIERS'!$B$5:$B$20,'BASE_ACIERS'!$D$5:$D$20),IFERROR(INDEX('BASE_ACIERS'!$D$5:$D$20,MATCH("HA14",'BASE_ACIERS'!$B$5:$B$20,0)),0))*'PARAMÈTRES'!$C$58),0)</f>
        <v>0</v>
      </c>
      <c r="R545">
        <f>ROUNDUP(R544/(IFERROR(_xlfn.XLOOKUP("HA14",'BASE_ACIERS'!$B$5:$B$20,'BASE_ACIERS'!$D$5:$D$20),IFERROR(INDEX('BASE_ACIERS'!$D$5:$D$20,MATCH("HA14",'BASE_ACIERS'!$B$5:$B$20,0)),0))*'PARAMÈTRES'!$C$58),0)</f>
        <v>0</v>
      </c>
      <c r="S545">
        <f>ROUNDUP(S544/(IFERROR(_xlfn.XLOOKUP("HA14",'BASE_ACIERS'!$B$5:$B$20,'BASE_ACIERS'!$D$5:$D$20),IFERROR(INDEX('BASE_ACIERS'!$D$5:$D$20,MATCH("HA14",'BASE_ACIERS'!$B$5:$B$20,0)),0))*'PARAMÈTRES'!$C$58),0)</f>
        <v>0</v>
      </c>
      <c r="T545">
        <f>ROUNDUP(T544/(IFERROR(_xlfn.XLOOKUP("HA14",'BASE_ACIERS'!$B$5:$B$20,'BASE_ACIERS'!$D$5:$D$20),IFERROR(INDEX('BASE_ACIERS'!$D$5:$D$20,MATCH("HA14",'BASE_ACIERS'!$B$5:$B$20,0)),0))*'PARAMÈTRES'!$C$58),0)</f>
        <v>0</v>
      </c>
      <c r="U545">
        <f>ROUNDUP(U544/(IFERROR(_xlfn.XLOOKUP("HA14",'BASE_ACIERS'!$B$5:$B$20,'BASE_ACIERS'!$D$5:$D$20),IFERROR(INDEX('BASE_ACIERS'!$D$5:$D$20,MATCH("HA14",'BASE_ACIERS'!$B$5:$B$20,0)),0))*'PARAMÈTRES'!$C$58),0)</f>
        <v>0</v>
      </c>
      <c r="V545">
        <f>ROUNDUP(V544/(IFERROR(_xlfn.XLOOKUP("HA14",'BASE_ACIERS'!$B$5:$B$20,'BASE_ACIERS'!$D$5:$D$20),IFERROR(INDEX('BASE_ACIERS'!$D$5:$D$20,MATCH("HA14",'BASE_ACIERS'!$B$5:$B$20,0)),0))*'PARAMÈTRES'!$C$58),0)</f>
        <v>0</v>
      </c>
      <c r="W545">
        <f>ROUNDUP(W544/(IFERROR(_xlfn.XLOOKUP("HA14",'BASE_ACIERS'!$B$5:$B$20,'BASE_ACIERS'!$D$5:$D$20),IFERROR(INDEX('BASE_ACIERS'!$D$5:$D$20,MATCH("HA14",'BASE_ACIERS'!$B$5:$B$20,0)),0))*'PARAMÈTRES'!$C$58),0)</f>
        <v>0</v>
      </c>
      <c r="X545">
        <f>ROUNDUP(X544/(IFERROR(_xlfn.XLOOKUP("HA14",'BASE_ACIERS'!$B$5:$B$20,'BASE_ACIERS'!$D$5:$D$20),IFERROR(INDEX('BASE_ACIERS'!$D$5:$D$20,MATCH("HA14",'BASE_ACIERS'!$B$5:$B$20,0)),0))*'PARAMÈTRES'!$C$58),0)</f>
        <v>0</v>
      </c>
    </row>
    <row r="546">
      <c r="A546" t="inlineStr">
        <is>
          <t>kg_HA16</t>
        </is>
      </c>
      <c r="B546" t="inlineStr">
        <is>
          <t>GROS_ŒUVRE!I108</t>
        </is>
      </c>
      <c r="D546">
        <f>(IF(D386="HA16",D391,0)+IF(D392="HA16",D397,0)+IF(D398="HA16",D403,0)+IF(D408="HA16",D413,0)+IF(D414="HA16",D419,0)+IF(D420="HA16",D425,0)+IF(D429="HA16",D434,0)+IF(D435="HA16",D440,0)+IF(D446="HA16",D451,0)+IF(D452="HA16",D457,0)+IF(D458="HA16",D463,0)+IF(D464="HA16",D469,0)+IF(D470="HA16",D475,0)+IF(D484="HA16",D489,0)+IF(D490="HA16",D495,0)+IF(D499="HA16",D504,0)+IF(D505="HA16",D510,0)+IF(D514="HA16",D519,0)+IF(D520="HA16",D525,0))*(1+'PARAMÈTRES'!$C$154)</f>
        <v>0</v>
      </c>
      <c r="E546">
        <f>(IF(E386="HA16",E391,0)+IF(E392="HA16",E397,0)+IF(E398="HA16",E403,0)+IF(E408="HA16",E413,0)+IF(E414="HA16",E419,0)+IF(E420="HA16",E425,0)+IF(E429="HA16",E434,0)+IF(E435="HA16",E440,0)+IF(E446="HA16",E451,0)+IF(E452="HA16",E457,0)+IF(E458="HA16",E463,0)+IF(E464="HA16",E469,0)+IF(E470="HA16",E475,0)+IF(E484="HA16",E489,0)+IF(E490="HA16",E495,0)+IF(E499="HA16",E504,0)+IF(E505="HA16",E510,0)+IF(E514="HA16",E519,0)+IF(E520="HA16",E525,0))*(1+'PARAMÈTRES'!$C$154)</f>
        <v>0</v>
      </c>
      <c r="F546">
        <f>(IF(F386="HA16",F391,0)+IF(F392="HA16",F397,0)+IF(F398="HA16",F403,0)+IF(F408="HA16",F413,0)+IF(F414="HA16",F419,0)+IF(F420="HA16",F425,0)+IF(F429="HA16",F434,0)+IF(F435="HA16",F440,0)+IF(F446="HA16",F451,0)+IF(F452="HA16",F457,0)+IF(F458="HA16",F463,0)+IF(F464="HA16",F469,0)+IF(F470="HA16",F475,0)+IF(F484="HA16",F489,0)+IF(F490="HA16",F495,0)+IF(F499="HA16",F504,0)+IF(F505="HA16",F510,0)+IF(F514="HA16",F519,0)+IF(F520="HA16",F525,0))*(1+'PARAMÈTRES'!$C$154)</f>
        <v>0</v>
      </c>
      <c r="G546">
        <f>(IF(G386="HA16",G391,0)+IF(G392="HA16",G397,0)+IF(G398="HA16",G403,0)+IF(G408="HA16",G413,0)+IF(G414="HA16",G419,0)+IF(G420="HA16",G425,0)+IF(G429="HA16",G434,0)+IF(G435="HA16",G440,0)+IF(G446="HA16",G451,0)+IF(G452="HA16",G457,0)+IF(G458="HA16",G463,0)+IF(G464="HA16",G469,0)+IF(G470="HA16",G475,0)+IF(G484="HA16",G489,0)+IF(G490="HA16",G495,0)+IF(G499="HA16",G504,0)+IF(G505="HA16",G510,0)+IF(G514="HA16",G519,0)+IF(G520="HA16",G525,0))*(1+'PARAMÈTRES'!$C$154)</f>
        <v>0</v>
      </c>
      <c r="H546">
        <f>(IF(H386="HA16",H391,0)+IF(H392="HA16",H397,0)+IF(H398="HA16",H403,0)+IF(H408="HA16",H413,0)+IF(H414="HA16",H419,0)+IF(H420="HA16",H425,0)+IF(H429="HA16",H434,0)+IF(H435="HA16",H440,0)+IF(H446="HA16",H451,0)+IF(H452="HA16",H457,0)+IF(H458="HA16",H463,0)+IF(H464="HA16",H469,0)+IF(H470="HA16",H475,0)+IF(H484="HA16",H489,0)+IF(H490="HA16",H495,0)+IF(H499="HA16",H504,0)+IF(H505="HA16",H510,0)+IF(H514="HA16",H519,0)+IF(H520="HA16",H525,0))*(1+'PARAMÈTRES'!$C$154)</f>
        <v>0</v>
      </c>
      <c r="I546">
        <f>(IF(I386="HA16",I391,0)+IF(I392="HA16",I397,0)+IF(I398="HA16",I403,0)+IF(I408="HA16",I413,0)+IF(I414="HA16",I419,0)+IF(I420="HA16",I425,0)+IF(I429="HA16",I434,0)+IF(I435="HA16",I440,0)+IF(I446="HA16",I451,0)+IF(I452="HA16",I457,0)+IF(I458="HA16",I463,0)+IF(I464="HA16",I469,0)+IF(I470="HA16",I475,0)+IF(I484="HA16",I489,0)+IF(I490="HA16",I495,0)+IF(I499="HA16",I504,0)+IF(I505="HA16",I510,0)+IF(I514="HA16",I519,0)+IF(I520="HA16",I525,0))*(1+'PARAMÈTRES'!$C$154)</f>
        <v>0</v>
      </c>
      <c r="J546">
        <f>(IF(J386="HA16",J391,0)+IF(J392="HA16",J397,0)+IF(J398="HA16",J403,0)+IF(J408="HA16",J413,0)+IF(J414="HA16",J419,0)+IF(J420="HA16",J425,0)+IF(J429="HA16",J434,0)+IF(J435="HA16",J440,0)+IF(J446="HA16",J451,0)+IF(J452="HA16",J457,0)+IF(J458="HA16",J463,0)+IF(J464="HA16",J469,0)+IF(J470="HA16",J475,0)+IF(J484="HA16",J489,0)+IF(J490="HA16",J495,0)+IF(J499="HA16",J504,0)+IF(J505="HA16",J510,0)+IF(J514="HA16",J519,0)+IF(J520="HA16",J525,0))*(1+'PARAMÈTRES'!$C$154)</f>
        <v>0</v>
      </c>
      <c r="K546">
        <f>(IF(K386="HA16",K391,0)+IF(K392="HA16",K397,0)+IF(K398="HA16",K403,0)+IF(K408="HA16",K413,0)+IF(K414="HA16",K419,0)+IF(K420="HA16",K425,0)+IF(K429="HA16",K434,0)+IF(K435="HA16",K440,0)+IF(K446="HA16",K451,0)+IF(K452="HA16",K457,0)+IF(K458="HA16",K463,0)+IF(K464="HA16",K469,0)+IF(K470="HA16",K475,0)+IF(K484="HA16",K489,0)+IF(K490="HA16",K495,0)+IF(K499="HA16",K504,0)+IF(K505="HA16",K510,0)+IF(K514="HA16",K519,0)+IF(K520="HA16",K525,0))*(1+'PARAMÈTRES'!$C$154)</f>
        <v>0</v>
      </c>
      <c r="L546">
        <f>(IF(L386="HA16",L391,0)+IF(L392="HA16",L397,0)+IF(L398="HA16",L403,0)+IF(L408="HA16",L413,0)+IF(L414="HA16",L419,0)+IF(L420="HA16",L425,0)+IF(L429="HA16",L434,0)+IF(L435="HA16",L440,0)+IF(L446="HA16",L451,0)+IF(L452="HA16",L457,0)+IF(L458="HA16",L463,0)+IF(L464="HA16",L469,0)+IF(L470="HA16",L475,0)+IF(L484="HA16",L489,0)+IF(L490="HA16",L495,0)+IF(L499="HA16",L504,0)+IF(L505="HA16",L510,0)+IF(L514="HA16",L519,0)+IF(L520="HA16",L525,0))*(1+'PARAMÈTRES'!$C$154)</f>
        <v>0</v>
      </c>
      <c r="M546">
        <f>(IF(M386="HA16",M391,0)+IF(M392="HA16",M397,0)+IF(M398="HA16",M403,0)+IF(M408="HA16",M413,0)+IF(M414="HA16",M419,0)+IF(M420="HA16",M425,0)+IF(M429="HA16",M434,0)+IF(M435="HA16",M440,0)+IF(M446="HA16",M451,0)+IF(M452="HA16",M457,0)+IF(M458="HA16",M463,0)+IF(M464="HA16",M469,0)+IF(M470="HA16",M475,0)+IF(M484="HA16",M489,0)+IF(M490="HA16",M495,0)+IF(M499="HA16",M504,0)+IF(M505="HA16",M510,0)+IF(M514="HA16",M519,0)+IF(M520="HA16",M525,0))*(1+'PARAMÈTRES'!$C$154)</f>
        <v>0</v>
      </c>
      <c r="N546">
        <f>(IF(N386="HA16",N391,0)+IF(N392="HA16",N397,0)+IF(N398="HA16",N403,0)+IF(N408="HA16",N413,0)+IF(N414="HA16",N419,0)+IF(N420="HA16",N425,0)+IF(N429="HA16",N434,0)+IF(N435="HA16",N440,0)+IF(N446="HA16",N451,0)+IF(N452="HA16",N457,0)+IF(N458="HA16",N463,0)+IF(N464="HA16",N469,0)+IF(N470="HA16",N475,0)+IF(N484="HA16",N489,0)+IF(N490="HA16",N495,0)+IF(N499="HA16",N504,0)+IF(N505="HA16",N510,0)+IF(N514="HA16",N519,0)+IF(N520="HA16",N525,0))*(1+'PARAMÈTRES'!$C$154)</f>
        <v>0</v>
      </c>
      <c r="O546">
        <f>(IF(O386="HA16",O391,0)+IF(O392="HA16",O397,0)+IF(O398="HA16",O403,0)+IF(O408="HA16",O413,0)+IF(O414="HA16",O419,0)+IF(O420="HA16",O425,0)+IF(O429="HA16",O434,0)+IF(O435="HA16",O440,0)+IF(O446="HA16",O451,0)+IF(O452="HA16",O457,0)+IF(O458="HA16",O463,0)+IF(O464="HA16",O469,0)+IF(O470="HA16",O475,0)+IF(O484="HA16",O489,0)+IF(O490="HA16",O495,0)+IF(O499="HA16",O504,0)+IF(O505="HA16",O510,0)+IF(O514="HA16",O519,0)+IF(O520="HA16",O525,0))*(1+'PARAMÈTRES'!$C$154)</f>
        <v>0</v>
      </c>
      <c r="P546">
        <f>(IF(P386="HA16",P391,0)+IF(P392="HA16",P397,0)+IF(P398="HA16",P403,0)+IF(P408="HA16",P413,0)+IF(P414="HA16",P419,0)+IF(P420="HA16",P425,0)+IF(P429="HA16",P434,0)+IF(P435="HA16",P440,0)+IF(P446="HA16",P451,0)+IF(P452="HA16",P457,0)+IF(P458="HA16",P463,0)+IF(P464="HA16",P469,0)+IF(P470="HA16",P475,0)+IF(P484="HA16",P489,0)+IF(P490="HA16",P495,0)+IF(P499="HA16",P504,0)+IF(P505="HA16",P510,0)+IF(P514="HA16",P519,0)+IF(P520="HA16",P525,0))*(1+'PARAMÈTRES'!$C$154)</f>
        <v>0</v>
      </c>
      <c r="Q546">
        <f>(IF(Q386="HA16",Q391,0)+IF(Q392="HA16",Q397,0)+IF(Q398="HA16",Q403,0)+IF(Q408="HA16",Q413,0)+IF(Q414="HA16",Q419,0)+IF(Q420="HA16",Q425,0)+IF(Q429="HA16",Q434,0)+IF(Q435="HA16",Q440,0)+IF(Q446="HA16",Q451,0)+IF(Q452="HA16",Q457,0)+IF(Q458="HA16",Q463,0)+IF(Q464="HA16",Q469,0)+IF(Q470="HA16",Q475,0)+IF(Q484="HA16",Q489,0)+IF(Q490="HA16",Q495,0)+IF(Q499="HA16",Q504,0)+IF(Q505="HA16",Q510,0)+IF(Q514="HA16",Q519,0)+IF(Q520="HA16",Q525,0))*(1+'PARAMÈTRES'!$C$154)</f>
        <v>0</v>
      </c>
      <c r="R546">
        <f>(IF(R386="HA16",R391,0)+IF(R392="HA16",R397,0)+IF(R398="HA16",R403,0)+IF(R408="HA16",R413,0)+IF(R414="HA16",R419,0)+IF(R420="HA16",R425,0)+IF(R429="HA16",R434,0)+IF(R435="HA16",R440,0)+IF(R446="HA16",R451,0)+IF(R452="HA16",R457,0)+IF(R458="HA16",R463,0)+IF(R464="HA16",R469,0)+IF(R470="HA16",R475,0)+IF(R484="HA16",R489,0)+IF(R490="HA16",R495,0)+IF(R499="HA16",R504,0)+IF(R505="HA16",R510,0)+IF(R514="HA16",R519,0)+IF(R520="HA16",R525,0))*(1+'PARAMÈTRES'!$C$154)</f>
        <v>0</v>
      </c>
      <c r="S546">
        <f>(IF(S386="HA16",S391,0)+IF(S392="HA16",S397,0)+IF(S398="HA16",S403,0)+IF(S408="HA16",S413,0)+IF(S414="HA16",S419,0)+IF(S420="HA16",S425,0)+IF(S429="HA16",S434,0)+IF(S435="HA16",S440,0)+IF(S446="HA16",S451,0)+IF(S452="HA16",S457,0)+IF(S458="HA16",S463,0)+IF(S464="HA16",S469,0)+IF(S470="HA16",S475,0)+IF(S484="HA16",S489,0)+IF(S490="HA16",S495,0)+IF(S499="HA16",S504,0)+IF(S505="HA16",S510,0)+IF(S514="HA16",S519,0)+IF(S520="HA16",S525,0))*(1+'PARAMÈTRES'!$C$154)</f>
        <v>0</v>
      </c>
      <c r="T546">
        <f>(IF(T386="HA16",T391,0)+IF(T392="HA16",T397,0)+IF(T398="HA16",T403,0)+IF(T408="HA16",T413,0)+IF(T414="HA16",T419,0)+IF(T420="HA16",T425,0)+IF(T429="HA16",T434,0)+IF(T435="HA16",T440,0)+IF(T446="HA16",T451,0)+IF(T452="HA16",T457,0)+IF(T458="HA16",T463,0)+IF(T464="HA16",T469,0)+IF(T470="HA16",T475,0)+IF(T484="HA16",T489,0)+IF(T490="HA16",T495,0)+IF(T499="HA16",T504,0)+IF(T505="HA16",T510,0)+IF(T514="HA16",T519,0)+IF(T520="HA16",T525,0))*(1+'PARAMÈTRES'!$C$154)</f>
        <v>0</v>
      </c>
      <c r="U546">
        <f>(IF(U386="HA16",U391,0)+IF(U392="HA16",U397,0)+IF(U398="HA16",U403,0)+IF(U408="HA16",U413,0)+IF(U414="HA16",U419,0)+IF(U420="HA16",U425,0)+IF(U429="HA16",U434,0)+IF(U435="HA16",U440,0)+IF(U446="HA16",U451,0)+IF(U452="HA16",U457,0)+IF(U458="HA16",U463,0)+IF(U464="HA16",U469,0)+IF(U470="HA16",U475,0)+IF(U484="HA16",U489,0)+IF(U490="HA16",U495,0)+IF(U499="HA16",U504,0)+IF(U505="HA16",U510,0)+IF(U514="HA16",U519,0)+IF(U520="HA16",U525,0))*(1+'PARAMÈTRES'!$C$154)</f>
        <v>0</v>
      </c>
      <c r="V546">
        <f>(IF(V386="HA16",V391,0)+IF(V392="HA16",V397,0)+IF(V398="HA16",V403,0)+IF(V408="HA16",V413,0)+IF(V414="HA16",V419,0)+IF(V420="HA16",V425,0)+IF(V429="HA16",V434,0)+IF(V435="HA16",V440,0)+IF(V446="HA16",V451,0)+IF(V452="HA16",V457,0)+IF(V458="HA16",V463,0)+IF(V464="HA16",V469,0)+IF(V470="HA16",V475,0)+IF(V484="HA16",V489,0)+IF(V490="HA16",V495,0)+IF(V499="HA16",V504,0)+IF(V505="HA16",V510,0)+IF(V514="HA16",V519,0)+IF(V520="HA16",V525,0))*(1+'PARAMÈTRES'!$C$154)</f>
        <v>0</v>
      </c>
      <c r="W546">
        <f>(IF(W386="HA16",W391,0)+IF(W392="HA16",W397,0)+IF(W398="HA16",W403,0)+IF(W408="HA16",W413,0)+IF(W414="HA16",W419,0)+IF(W420="HA16",W425,0)+IF(W429="HA16",W434,0)+IF(W435="HA16",W440,0)+IF(W446="HA16",W451,0)+IF(W452="HA16",W457,0)+IF(W458="HA16",W463,0)+IF(W464="HA16",W469,0)+IF(W470="HA16",W475,0)+IF(W484="HA16",W489,0)+IF(W490="HA16",W495,0)+IF(W499="HA16",W504,0)+IF(W505="HA16",W510,0)+IF(W514="HA16",W519,0)+IF(W520="HA16",W525,0))*(1+'PARAMÈTRES'!$C$154)</f>
        <v>0</v>
      </c>
      <c r="X546">
        <f>(IF(X386="HA16",X391,0)+IF(X392="HA16",X397,0)+IF(X398="HA16",X403,0)+IF(X408="HA16",X413,0)+IF(X414="HA16",X419,0)+IF(X420="HA16",X425,0)+IF(X429="HA16",X434,0)+IF(X435="HA16",X440,0)+IF(X446="HA16",X451,0)+IF(X452="HA16",X457,0)+IF(X458="HA16",X463,0)+IF(X464="HA16",X469,0)+IF(X470="HA16",X475,0)+IF(X484="HA16",X489,0)+IF(X490="HA16",X495,0)+IF(X499="HA16",X504,0)+IF(X505="HA16",X510,0)+IF(X514="HA16",X519,0)+IF(X520="HA16",X525,0))*(1+'PARAMÈTRES'!$C$154)</f>
        <v>0</v>
      </c>
    </row>
    <row r="547">
      <c r="A547" t="inlineStr">
        <is>
          <t>bar_HA16</t>
        </is>
      </c>
      <c r="B547" t="inlineStr">
        <is>
          <t>GROS_ŒUVRE!E108</t>
        </is>
      </c>
      <c r="D547">
        <f>ROUNDUP(D546/(IFERROR(_xlfn.XLOOKUP("HA16",'BASE_ACIERS'!$B$5:$B$20,'BASE_ACIERS'!$D$5:$D$20),IFERROR(INDEX('BASE_ACIERS'!$D$5:$D$20,MATCH("HA16",'BASE_ACIERS'!$B$5:$B$20,0)),0))*'PARAMÈTRES'!$C$58),0)</f>
        <v>0</v>
      </c>
      <c r="E547">
        <f>ROUNDUP(E546/(IFERROR(_xlfn.XLOOKUP("HA16",'BASE_ACIERS'!$B$5:$B$20,'BASE_ACIERS'!$D$5:$D$20),IFERROR(INDEX('BASE_ACIERS'!$D$5:$D$20,MATCH("HA16",'BASE_ACIERS'!$B$5:$B$20,0)),0))*'PARAMÈTRES'!$C$58),0)</f>
        <v>0</v>
      </c>
      <c r="F547">
        <f>ROUNDUP(F546/(IFERROR(_xlfn.XLOOKUP("HA16",'BASE_ACIERS'!$B$5:$B$20,'BASE_ACIERS'!$D$5:$D$20),IFERROR(INDEX('BASE_ACIERS'!$D$5:$D$20,MATCH("HA16",'BASE_ACIERS'!$B$5:$B$20,0)),0))*'PARAMÈTRES'!$C$58),0)</f>
        <v>0</v>
      </c>
      <c r="G547">
        <f>ROUNDUP(G546/(IFERROR(_xlfn.XLOOKUP("HA16",'BASE_ACIERS'!$B$5:$B$20,'BASE_ACIERS'!$D$5:$D$20),IFERROR(INDEX('BASE_ACIERS'!$D$5:$D$20,MATCH("HA16",'BASE_ACIERS'!$B$5:$B$20,0)),0))*'PARAMÈTRES'!$C$58),0)</f>
        <v>0</v>
      </c>
      <c r="H547">
        <f>ROUNDUP(H546/(IFERROR(_xlfn.XLOOKUP("HA16",'BASE_ACIERS'!$B$5:$B$20,'BASE_ACIERS'!$D$5:$D$20),IFERROR(INDEX('BASE_ACIERS'!$D$5:$D$20,MATCH("HA16",'BASE_ACIERS'!$B$5:$B$20,0)),0))*'PARAMÈTRES'!$C$58),0)</f>
        <v>0</v>
      </c>
      <c r="I547">
        <f>ROUNDUP(I546/(IFERROR(_xlfn.XLOOKUP("HA16",'BASE_ACIERS'!$B$5:$B$20,'BASE_ACIERS'!$D$5:$D$20),IFERROR(INDEX('BASE_ACIERS'!$D$5:$D$20,MATCH("HA16",'BASE_ACIERS'!$B$5:$B$20,0)),0))*'PARAMÈTRES'!$C$58),0)</f>
        <v>0</v>
      </c>
      <c r="J547">
        <f>ROUNDUP(J546/(IFERROR(_xlfn.XLOOKUP("HA16",'BASE_ACIERS'!$B$5:$B$20,'BASE_ACIERS'!$D$5:$D$20),IFERROR(INDEX('BASE_ACIERS'!$D$5:$D$20,MATCH("HA16",'BASE_ACIERS'!$B$5:$B$20,0)),0))*'PARAMÈTRES'!$C$58),0)</f>
        <v>0</v>
      </c>
      <c r="K547">
        <f>ROUNDUP(K546/(IFERROR(_xlfn.XLOOKUP("HA16",'BASE_ACIERS'!$B$5:$B$20,'BASE_ACIERS'!$D$5:$D$20),IFERROR(INDEX('BASE_ACIERS'!$D$5:$D$20,MATCH("HA16",'BASE_ACIERS'!$B$5:$B$20,0)),0))*'PARAMÈTRES'!$C$58),0)</f>
        <v>0</v>
      </c>
      <c r="L547">
        <f>ROUNDUP(L546/(IFERROR(_xlfn.XLOOKUP("HA16",'BASE_ACIERS'!$B$5:$B$20,'BASE_ACIERS'!$D$5:$D$20),IFERROR(INDEX('BASE_ACIERS'!$D$5:$D$20,MATCH("HA16",'BASE_ACIERS'!$B$5:$B$20,0)),0))*'PARAMÈTRES'!$C$58),0)</f>
        <v>0</v>
      </c>
      <c r="M547">
        <f>ROUNDUP(M546/(IFERROR(_xlfn.XLOOKUP("HA16",'BASE_ACIERS'!$B$5:$B$20,'BASE_ACIERS'!$D$5:$D$20),IFERROR(INDEX('BASE_ACIERS'!$D$5:$D$20,MATCH("HA16",'BASE_ACIERS'!$B$5:$B$20,0)),0))*'PARAMÈTRES'!$C$58),0)</f>
        <v>0</v>
      </c>
      <c r="N547">
        <f>ROUNDUP(N546/(IFERROR(_xlfn.XLOOKUP("HA16",'BASE_ACIERS'!$B$5:$B$20,'BASE_ACIERS'!$D$5:$D$20),IFERROR(INDEX('BASE_ACIERS'!$D$5:$D$20,MATCH("HA16",'BASE_ACIERS'!$B$5:$B$20,0)),0))*'PARAMÈTRES'!$C$58),0)</f>
        <v>0</v>
      </c>
      <c r="O547">
        <f>ROUNDUP(O546/(IFERROR(_xlfn.XLOOKUP("HA16",'BASE_ACIERS'!$B$5:$B$20,'BASE_ACIERS'!$D$5:$D$20),IFERROR(INDEX('BASE_ACIERS'!$D$5:$D$20,MATCH("HA16",'BASE_ACIERS'!$B$5:$B$20,0)),0))*'PARAMÈTRES'!$C$58),0)</f>
        <v>0</v>
      </c>
      <c r="P547">
        <f>ROUNDUP(P546/(IFERROR(_xlfn.XLOOKUP("HA16",'BASE_ACIERS'!$B$5:$B$20,'BASE_ACIERS'!$D$5:$D$20),IFERROR(INDEX('BASE_ACIERS'!$D$5:$D$20,MATCH("HA16",'BASE_ACIERS'!$B$5:$B$20,0)),0))*'PARAMÈTRES'!$C$58),0)</f>
        <v>0</v>
      </c>
      <c r="Q547">
        <f>ROUNDUP(Q546/(IFERROR(_xlfn.XLOOKUP("HA16",'BASE_ACIERS'!$B$5:$B$20,'BASE_ACIERS'!$D$5:$D$20),IFERROR(INDEX('BASE_ACIERS'!$D$5:$D$20,MATCH("HA16",'BASE_ACIERS'!$B$5:$B$20,0)),0))*'PARAMÈTRES'!$C$58),0)</f>
        <v>0</v>
      </c>
      <c r="R547">
        <f>ROUNDUP(R546/(IFERROR(_xlfn.XLOOKUP("HA16",'BASE_ACIERS'!$B$5:$B$20,'BASE_ACIERS'!$D$5:$D$20),IFERROR(INDEX('BASE_ACIERS'!$D$5:$D$20,MATCH("HA16",'BASE_ACIERS'!$B$5:$B$20,0)),0))*'PARAMÈTRES'!$C$58),0)</f>
        <v>0</v>
      </c>
      <c r="S547">
        <f>ROUNDUP(S546/(IFERROR(_xlfn.XLOOKUP("HA16",'BASE_ACIERS'!$B$5:$B$20,'BASE_ACIERS'!$D$5:$D$20),IFERROR(INDEX('BASE_ACIERS'!$D$5:$D$20,MATCH("HA16",'BASE_ACIERS'!$B$5:$B$20,0)),0))*'PARAMÈTRES'!$C$58),0)</f>
        <v>0</v>
      </c>
      <c r="T547">
        <f>ROUNDUP(T546/(IFERROR(_xlfn.XLOOKUP("HA16",'BASE_ACIERS'!$B$5:$B$20,'BASE_ACIERS'!$D$5:$D$20),IFERROR(INDEX('BASE_ACIERS'!$D$5:$D$20,MATCH("HA16",'BASE_ACIERS'!$B$5:$B$20,0)),0))*'PARAMÈTRES'!$C$58),0)</f>
        <v>0</v>
      </c>
      <c r="U547">
        <f>ROUNDUP(U546/(IFERROR(_xlfn.XLOOKUP("HA16",'BASE_ACIERS'!$B$5:$B$20,'BASE_ACIERS'!$D$5:$D$20),IFERROR(INDEX('BASE_ACIERS'!$D$5:$D$20,MATCH("HA16",'BASE_ACIERS'!$B$5:$B$20,0)),0))*'PARAMÈTRES'!$C$58),0)</f>
        <v>0</v>
      </c>
      <c r="V547">
        <f>ROUNDUP(V546/(IFERROR(_xlfn.XLOOKUP("HA16",'BASE_ACIERS'!$B$5:$B$20,'BASE_ACIERS'!$D$5:$D$20),IFERROR(INDEX('BASE_ACIERS'!$D$5:$D$20,MATCH("HA16",'BASE_ACIERS'!$B$5:$B$20,0)),0))*'PARAMÈTRES'!$C$58),0)</f>
        <v>0</v>
      </c>
      <c r="W547">
        <f>ROUNDUP(W546/(IFERROR(_xlfn.XLOOKUP("HA16",'BASE_ACIERS'!$B$5:$B$20,'BASE_ACIERS'!$D$5:$D$20),IFERROR(INDEX('BASE_ACIERS'!$D$5:$D$20,MATCH("HA16",'BASE_ACIERS'!$B$5:$B$20,0)),0))*'PARAMÈTRES'!$C$58),0)</f>
        <v>0</v>
      </c>
      <c r="X547">
        <f>ROUNDUP(X546/(IFERROR(_xlfn.XLOOKUP("HA16",'BASE_ACIERS'!$B$5:$B$20,'BASE_ACIERS'!$D$5:$D$20),IFERROR(INDEX('BASE_ACIERS'!$D$5:$D$20,MATCH("HA16",'BASE_ACIERS'!$B$5:$B$20,0)),0))*'PARAMÈTRES'!$C$58),0)</f>
        <v>0</v>
      </c>
    </row>
    <row r="548">
      <c r="A548" t="inlineStr">
        <is>
          <t>kg_HA</t>
        </is>
      </c>
      <c r="B548" t="inlineStr">
        <is>
          <t>GROS_ŒUVRE!I109</t>
        </is>
      </c>
      <c r="D548">
        <f>D536+D538+D540+D542+D544+D546</f>
        <v>2576.590275</v>
      </c>
      <c r="E548">
        <f>E536+E538+E540+E542+E544+E546</f>
        <v>2576.590275</v>
      </c>
      <c r="F548">
        <f>F536+F538+F540+F542+F544+F546</f>
        <v>4265.19384467965</v>
      </c>
      <c r="G548">
        <f>G536+G538+G540+G542+G544+G546</f>
        <v>2539.4625375</v>
      </c>
      <c r="H548">
        <f>H536+H538+H540+H542+H544+H546</f>
        <v>2539.4625375</v>
      </c>
      <c r="I548">
        <f>I536+I538+I540+I542+I544+I546</f>
        <v>4163.19609701947</v>
      </c>
      <c r="J548">
        <f>J536+J538+J540+J542+J544+J546</f>
        <v>3663.0846525</v>
      </c>
      <c r="K548">
        <f>K536+K538+K540+K542+K544+K546</f>
        <v>3663.0846525</v>
      </c>
      <c r="L548">
        <f>L536+L538+L540+L542+L544+L546</f>
        <v>5597.74757201947</v>
      </c>
      <c r="M548">
        <f>M536+M538+M540+M542+M544+M546</f>
        <v>3256.682415</v>
      </c>
      <c r="N548">
        <f>N536+N538+N540+N542+N544+N546</f>
        <v>3256.682415</v>
      </c>
      <c r="O548">
        <f>O536+O538+O540+O542+O544+O546</f>
        <v>5126.5918743593</v>
      </c>
      <c r="P548">
        <f>P536+P538+P540+P542+P544+P546</f>
        <v>6214.278945</v>
      </c>
      <c r="Q548">
        <f>Q536+Q538+Q540+Q542+Q544+Q546</f>
        <v>6214.278945</v>
      </c>
      <c r="R548">
        <f>R536+R538+R540+R542+R544+R546</f>
        <v>8821.3446843593</v>
      </c>
      <c r="S548">
        <f>S536+S538+S540+S542+S544+S546</f>
        <v>8993.18742</v>
      </c>
      <c r="T548">
        <f>T536+T538+T540+T542+T544+T546</f>
        <v>8993.18742</v>
      </c>
      <c r="U548">
        <f>U536+U538+U540+U542+U544+U546</f>
        <v>11977.190849039</v>
      </c>
      <c r="V548">
        <f>V536+V538+V540+V542+V544+V546</f>
        <v>11800.032615</v>
      </c>
      <c r="W548">
        <f>W536+W538+W540+W542+W544+W546</f>
        <v>11800.032615</v>
      </c>
      <c r="X548">
        <f>X536+X538+X540+X542+X544+X546</f>
        <v>15613.6176037186</v>
      </c>
    </row>
    <row r="549">
      <c r="A549" t="inlineStr">
        <is>
          <t>n_ap</t>
        </is>
      </c>
      <c r="B549" t="inlineStr">
        <is>
          <t>GROS_ŒUVRE!E110</t>
        </is>
      </c>
      <c r="D549">
        <f>D442</f>
        <v>1050</v>
      </c>
      <c r="E549">
        <f>E442</f>
        <v>1050</v>
      </c>
      <c r="F549">
        <f>F442</f>
        <v>1050</v>
      </c>
      <c r="G549">
        <f>G442</f>
        <v>919</v>
      </c>
      <c r="H549">
        <f>H442</f>
        <v>919</v>
      </c>
      <c r="I549">
        <f>I442</f>
        <v>919</v>
      </c>
      <c r="J549">
        <f>J442</f>
        <v>1182</v>
      </c>
      <c r="K549">
        <f>K442</f>
        <v>1182</v>
      </c>
      <c r="L549">
        <f>L442</f>
        <v>1182</v>
      </c>
      <c r="M549">
        <f>M442</f>
        <v>1050</v>
      </c>
      <c r="N549">
        <f>N442</f>
        <v>1050</v>
      </c>
      <c r="O549">
        <f>O442</f>
        <v>1050</v>
      </c>
      <c r="P549">
        <f>P442</f>
        <v>1575</v>
      </c>
      <c r="Q549">
        <f>Q442</f>
        <v>1575</v>
      </c>
      <c r="R549">
        <f>R442</f>
        <v>1575</v>
      </c>
      <c r="S549">
        <f>S442</f>
        <v>1838</v>
      </c>
      <c r="T549">
        <f>T442</f>
        <v>1838</v>
      </c>
      <c r="U549">
        <f>U442</f>
        <v>1838</v>
      </c>
      <c r="V549">
        <f>V442</f>
        <v>2100</v>
      </c>
      <c r="W549">
        <f>W442</f>
        <v>2100</v>
      </c>
      <c r="X549">
        <f>X442</f>
        <v>2100</v>
      </c>
    </row>
    <row r="550">
      <c r="A550" t="inlineStr">
        <is>
          <t>n_ac</t>
        </is>
      </c>
      <c r="B550" t="inlineStr">
        <is>
          <t>GROS_ŒUVRE!E111</t>
        </is>
      </c>
      <c r="D550">
        <f>D479</f>
        <v>0</v>
      </c>
      <c r="E550">
        <f>E479</f>
        <v>0</v>
      </c>
      <c r="F550">
        <f>F479</f>
        <v>5880</v>
      </c>
      <c r="G550">
        <f>G479</f>
        <v>0</v>
      </c>
      <c r="H550">
        <f>H479</f>
        <v>0</v>
      </c>
      <c r="I550">
        <f>I479</f>
        <v>5224</v>
      </c>
      <c r="J550">
        <f>J479</f>
        <v>0</v>
      </c>
      <c r="K550">
        <f>K479</f>
        <v>0</v>
      </c>
      <c r="L550">
        <f>L479</f>
        <v>6799</v>
      </c>
      <c r="M550">
        <f>M479</f>
        <v>0</v>
      </c>
      <c r="N550">
        <f>N479</f>
        <v>0</v>
      </c>
      <c r="O550">
        <f>O479</f>
        <v>6195</v>
      </c>
      <c r="P550">
        <f>P479</f>
        <v>0</v>
      </c>
      <c r="Q550">
        <f>Q479</f>
        <v>0</v>
      </c>
      <c r="R550">
        <f>R479</f>
        <v>9345</v>
      </c>
      <c r="S550">
        <f>S479</f>
        <v>0</v>
      </c>
      <c r="T550">
        <f>T479</f>
        <v>0</v>
      </c>
      <c r="U550">
        <f>U479</f>
        <v>11445</v>
      </c>
      <c r="V550">
        <f>V479</f>
        <v>0</v>
      </c>
      <c r="W550">
        <f>W479</f>
        <v>0</v>
      </c>
      <c r="X550">
        <f>X479</f>
        <v>16555</v>
      </c>
    </row>
    <row r="551">
      <c r="A551" t="inlineStr">
        <is>
          <t>polyane</t>
        </is>
      </c>
      <c r="B551" t="inlineStr">
        <is>
          <t>GROS_ŒUVRE!E112</t>
        </is>
      </c>
      <c r="D551">
        <f>D444</f>
        <v>323.42475</v>
      </c>
      <c r="E551">
        <f>E444</f>
        <v>323.42475</v>
      </c>
      <c r="F551">
        <f>F444</f>
        <v>323.42475</v>
      </c>
      <c r="G551">
        <f>G444</f>
        <v>324.24975</v>
      </c>
      <c r="H551">
        <f>H444</f>
        <v>324.24975</v>
      </c>
      <c r="I551">
        <f>I444</f>
        <v>324.24975</v>
      </c>
      <c r="J551">
        <f>J444</f>
        <v>487.59975</v>
      </c>
      <c r="K551">
        <f>K444</f>
        <v>487.59975</v>
      </c>
      <c r="L551">
        <f>L444</f>
        <v>487.59975</v>
      </c>
      <c r="M551">
        <f>M444</f>
        <v>433.42475</v>
      </c>
      <c r="N551">
        <f>N444</f>
        <v>433.42475</v>
      </c>
      <c r="O551">
        <f>O444</f>
        <v>433.42475</v>
      </c>
      <c r="P551">
        <f>P444</f>
        <v>870.12475</v>
      </c>
      <c r="Q551">
        <f>Q444</f>
        <v>870.12475</v>
      </c>
      <c r="R551">
        <f>R444</f>
        <v>870.12475</v>
      </c>
      <c r="S551">
        <f>S444</f>
        <v>1308.47475</v>
      </c>
      <c r="T551">
        <f>T444</f>
        <v>1308.47475</v>
      </c>
      <c r="U551">
        <f>U444</f>
        <v>1308.47475</v>
      </c>
      <c r="V551">
        <f>V444</f>
        <v>1746.82475</v>
      </c>
      <c r="W551">
        <f>W444</f>
        <v>1746.82475</v>
      </c>
      <c r="X551">
        <f>X444</f>
        <v>1746.82475</v>
      </c>
    </row>
    <row r="552">
      <c r="A552" t="inlineStr">
        <is>
          <t>coffrage</t>
        </is>
      </c>
      <c r="B552" t="inlineStr">
        <is>
          <t>GROS_ŒUVRE!E113</t>
        </is>
      </c>
      <c r="D552">
        <f>D385+D407+D428+D483+D498+D513</f>
        <v>76.48</v>
      </c>
      <c r="E552">
        <f>E385+E407+E428+E483+E498+E513</f>
        <v>76.48</v>
      </c>
      <c r="F552">
        <f>F385+F407+F428+F483+F498+F513</f>
        <v>261.84675289675</v>
      </c>
      <c r="G552">
        <f>G385+G407+G428+G483+G498+G513</f>
        <v>69.92</v>
      </c>
      <c r="H552">
        <f>H385+H407+H428+H483+H498+H513</f>
        <v>69.92</v>
      </c>
      <c r="I552">
        <f>I385+I407+I428+I483+I498+I513</f>
        <v>247.337629345125</v>
      </c>
      <c r="J552">
        <f>J385+J407+J428+J483+J498+J513</f>
        <v>84.64</v>
      </c>
      <c r="K552">
        <f>K385+K407+K428+K483+K498+K513</f>
        <v>84.64</v>
      </c>
      <c r="L552">
        <f>L385+L407+L428+L483+L498+L513</f>
        <v>296.857629345125</v>
      </c>
      <c r="M552">
        <f>M385+M407+M428+M483+M498+M513</f>
        <v>78.08</v>
      </c>
      <c r="N552">
        <f>N385+N407+N428+N483+N498+N513</f>
        <v>78.08</v>
      </c>
      <c r="O552">
        <f>O385+O407+O428+O483+O498+O513</f>
        <v>282.3485057935</v>
      </c>
      <c r="P552">
        <f>P385+P407+P428+P483+P498+P513</f>
        <v>114.24</v>
      </c>
      <c r="Q552">
        <f>Q385+Q407+Q428+Q483+Q498+Q513</f>
        <v>114.24</v>
      </c>
      <c r="R552">
        <f>R385+R407+R428+R483+R498+R513</f>
        <v>398.9085057935</v>
      </c>
      <c r="S552">
        <f>S385+S407+S428+S483+S498+S513</f>
        <v>126.4</v>
      </c>
      <c r="T552">
        <f>T385+T407+T428+T483+T498+T513</f>
        <v>126.4</v>
      </c>
      <c r="U552">
        <f>U385+U407+U428+U483+U498+U513</f>
        <v>453.970258690251</v>
      </c>
      <c r="V552">
        <f>V385+V407+V428+V483+V498+V513</f>
        <v>142.72</v>
      </c>
      <c r="W552">
        <f>W385+W407+W428+W483+W498+W513</f>
        <v>142.72</v>
      </c>
      <c r="X552">
        <f>X385+X407+X428+X483+X498+X513</f>
        <v>557.592011587001</v>
      </c>
    </row>
    <row r="553">
      <c r="A553" t="inlineStr">
        <is>
          <t>cout_fac_ag</t>
        </is>
      </c>
      <c r="B553" t="inlineStr">
        <is>
          <t>GROS_ŒUVRE!I114</t>
        </is>
      </c>
      <c r="D553">
        <f>(D479*'PARAMÈTRES'!$C$196+(D482+D497+D512)*D373+(D480+D527)*D374+(D489*IF(D484="HA6",'PARAMÈTRES'!$C$189,IF(D484="HA8",'PARAMÈTRES'!$C$190,IF(D484="HA10",'PARAMÈTRES'!$C$191,IF(D484="HA12",'PARAMÈTRES'!$C$192,IF(D484="HA14",'PARAMÈTRES'!$C$193,IF(D484="HA16",'PARAMÈTRES'!$C$194,0))))))+D495*IF(D490="HA6",'PARAMÈTRES'!$C$189,IF(D490="HA8",'PARAMÈTRES'!$C$190,IF(D490="HA10",'PARAMÈTRES'!$C$191,IF(D490="HA12",'PARAMÈTRES'!$C$192,IF(D490="HA14",'PARAMÈTRES'!$C$193,IF(D490="HA16",'PARAMÈTRES'!$C$194,0))))))+D504*IF(D499="HA6",'PARAMÈTRES'!$C$189,IF(D499="HA8",'PARAMÈTRES'!$C$190,IF(D499="HA10",'PARAMÈTRES'!$C$191,IF(D499="HA12",'PARAMÈTRES'!$C$192,IF(D499="HA14",'PARAMÈTRES'!$C$193,IF(D499="HA16",'PARAMÈTRES'!$C$194,0))))))+D510*IF(D505="HA6",'PARAMÈTRES'!$C$189,IF(D505="HA8",'PARAMÈTRES'!$C$190,IF(D505="HA10",'PARAMÈTRES'!$C$191,IF(D505="HA12",'PARAMÈTRES'!$C$192,IF(D505="HA14",'PARAMÈTRES'!$C$193,IF(D505="HA16",'PARAMÈTRES'!$C$194,0))))))+D519*IF(D514="HA6",'PARAMÈTRES'!$C$189,IF(D514="HA8",'PARAMÈTRES'!$C$190,IF(D514="HA10",'PARAMÈTRES'!$C$191,IF(D514="HA12",'PARAMÈTRES'!$C$192,IF(D514="HA14",'PARAMÈTRES'!$C$193,IF(D514="HA16",'PARAMÈTRES'!$C$194,0))))))+D525*IF(D520="HA6",'PARAMÈTRES'!$C$189,IF(D520="HA8",'PARAMÈTRES'!$C$190,IF(D520="HA10",'PARAMÈTRES'!$C$191,IF(D520="HA12",'PARAMÈTRES'!$C$192,IF(D520="HA14",'PARAMÈTRES'!$C$193,IF(D520="HA16",'PARAMÈTRES'!$C$194,0)))))))*(1+'PARAMÈTRES'!$C$154)+(D483+D498+D513)*'PARAMÈTRES'!$C$198)*(1+'PARAMÈTRES'!$C$155)</f>
        <v>0</v>
      </c>
      <c r="E553">
        <f>(E479*'PARAMÈTRES'!$C$196+(E482+E497+E512)*E373+(E480+E527)*E374+(E489*IF(E484="HA6",'PARAMÈTRES'!$C$189,IF(E484="HA8",'PARAMÈTRES'!$C$190,IF(E484="HA10",'PARAMÈTRES'!$C$191,IF(E484="HA12",'PARAMÈTRES'!$C$192,IF(E484="HA14",'PARAMÈTRES'!$C$193,IF(E484="HA16",'PARAMÈTRES'!$C$194,0))))))+E495*IF(E490="HA6",'PARAMÈTRES'!$C$189,IF(E490="HA8",'PARAMÈTRES'!$C$190,IF(E490="HA10",'PARAMÈTRES'!$C$191,IF(E490="HA12",'PARAMÈTRES'!$C$192,IF(E490="HA14",'PARAMÈTRES'!$C$193,IF(E490="HA16",'PARAMÈTRES'!$C$194,0))))))+E504*IF(E499="HA6",'PARAMÈTRES'!$C$189,IF(E499="HA8",'PARAMÈTRES'!$C$190,IF(E499="HA10",'PARAMÈTRES'!$C$191,IF(E499="HA12",'PARAMÈTRES'!$C$192,IF(E499="HA14",'PARAMÈTRES'!$C$193,IF(E499="HA16",'PARAMÈTRES'!$C$194,0))))))+E510*IF(E505="HA6",'PARAMÈTRES'!$C$189,IF(E505="HA8",'PARAMÈTRES'!$C$190,IF(E505="HA10",'PARAMÈTRES'!$C$191,IF(E505="HA12",'PARAMÈTRES'!$C$192,IF(E505="HA14",'PARAMÈTRES'!$C$193,IF(E505="HA16",'PARAMÈTRES'!$C$194,0))))))+E519*IF(E514="HA6",'PARAMÈTRES'!$C$189,IF(E514="HA8",'PARAMÈTRES'!$C$190,IF(E514="HA10",'PARAMÈTRES'!$C$191,IF(E514="HA12",'PARAMÈTRES'!$C$192,IF(E514="HA14",'PARAMÈTRES'!$C$193,IF(E514="HA16",'PARAMÈTRES'!$C$194,0))))))+E525*IF(E520="HA6",'PARAMÈTRES'!$C$189,IF(E520="HA8",'PARAMÈTRES'!$C$190,IF(E520="HA10",'PARAMÈTRES'!$C$191,IF(E520="HA12",'PARAMÈTRES'!$C$192,IF(E520="HA14",'PARAMÈTRES'!$C$193,IF(E520="HA16",'PARAMÈTRES'!$C$194,0)))))))*(1+'PARAMÈTRES'!$C$154)+(E483+E498+E513)*'PARAMÈTRES'!$C$198)*(1+'PARAMÈTRES'!$C$155)</f>
        <v>0</v>
      </c>
      <c r="F553">
        <f>(F479*'PARAMÈTRES'!$C$196+(F482+F497+F512)*F373+(F480+F527)*F374+(F489*IF(F484="HA6",'PARAMÈTRES'!$C$189,IF(F484="HA8",'PARAMÈTRES'!$C$190,IF(F484="HA10",'PARAMÈTRES'!$C$191,IF(F484="HA12",'PARAMÈTRES'!$C$192,IF(F484="HA14",'PARAMÈTRES'!$C$193,IF(F484="HA16",'PARAMÈTRES'!$C$194,0))))))+F495*IF(F490="HA6",'PARAMÈTRES'!$C$189,IF(F490="HA8",'PARAMÈTRES'!$C$190,IF(F490="HA10",'PARAMÈTRES'!$C$191,IF(F490="HA12",'PARAMÈTRES'!$C$192,IF(F490="HA14",'PARAMÈTRES'!$C$193,IF(F490="HA16",'PARAMÈTRES'!$C$194,0))))))+F504*IF(F499="HA6",'PARAMÈTRES'!$C$189,IF(F499="HA8",'PARAMÈTRES'!$C$190,IF(F499="HA10",'PARAMÈTRES'!$C$191,IF(F499="HA12",'PARAMÈTRES'!$C$192,IF(F499="HA14",'PARAMÈTRES'!$C$193,IF(F499="HA16",'PARAMÈTRES'!$C$194,0))))))+F510*IF(F505="HA6",'PARAMÈTRES'!$C$189,IF(F505="HA8",'PARAMÈTRES'!$C$190,IF(F505="HA10",'PARAMÈTRES'!$C$191,IF(F505="HA12",'PARAMÈTRES'!$C$192,IF(F505="HA14",'PARAMÈTRES'!$C$193,IF(F505="HA16",'PARAMÈTRES'!$C$194,0))))))+F519*IF(F514="HA6",'PARAMÈTRES'!$C$189,IF(F514="HA8",'PARAMÈTRES'!$C$190,IF(F514="HA10",'PARAMÈTRES'!$C$191,IF(F514="HA12",'PARAMÈTRES'!$C$192,IF(F514="HA14",'PARAMÈTRES'!$C$193,IF(F514="HA16",'PARAMÈTRES'!$C$194,0))))))+F525*IF(F520="HA6",'PARAMÈTRES'!$C$189,IF(F520="HA8",'PARAMÈTRES'!$C$190,IF(F520="HA10",'PARAMÈTRES'!$C$191,IF(F520="HA12",'PARAMÈTRES'!$C$192,IF(F520="HA14",'PARAMÈTRES'!$C$193,IF(F520="HA16",'PARAMÈTRES'!$C$194,0)))))))*(1+'PARAMÈTRES'!$C$154)+(F483+F498+F513)*'PARAMÈTRES'!$C$198)*(1+'PARAMÈTRES'!$C$155)</f>
        <v>7329355.21891303</v>
      </c>
      <c r="G553">
        <f>(G479*'PARAMÈTRES'!$C$196+(G482+G497+G512)*G373+(G480+G527)*G374+(G489*IF(G484="HA6",'PARAMÈTRES'!$C$189,IF(G484="HA8",'PARAMÈTRES'!$C$190,IF(G484="HA10",'PARAMÈTRES'!$C$191,IF(G484="HA12",'PARAMÈTRES'!$C$192,IF(G484="HA14",'PARAMÈTRES'!$C$193,IF(G484="HA16",'PARAMÈTRES'!$C$194,0))))))+G495*IF(G490="HA6",'PARAMÈTRES'!$C$189,IF(G490="HA8",'PARAMÈTRES'!$C$190,IF(G490="HA10",'PARAMÈTRES'!$C$191,IF(G490="HA12",'PARAMÈTRES'!$C$192,IF(G490="HA14",'PARAMÈTRES'!$C$193,IF(G490="HA16",'PARAMÈTRES'!$C$194,0))))))+G504*IF(G499="HA6",'PARAMÈTRES'!$C$189,IF(G499="HA8",'PARAMÈTRES'!$C$190,IF(G499="HA10",'PARAMÈTRES'!$C$191,IF(G499="HA12",'PARAMÈTRES'!$C$192,IF(G499="HA14",'PARAMÈTRES'!$C$193,IF(G499="HA16",'PARAMÈTRES'!$C$194,0))))))+G510*IF(G505="HA6",'PARAMÈTRES'!$C$189,IF(G505="HA8",'PARAMÈTRES'!$C$190,IF(G505="HA10",'PARAMÈTRES'!$C$191,IF(G505="HA12",'PARAMÈTRES'!$C$192,IF(G505="HA14",'PARAMÈTRES'!$C$193,IF(G505="HA16",'PARAMÈTRES'!$C$194,0))))))+G519*IF(G514="HA6",'PARAMÈTRES'!$C$189,IF(G514="HA8",'PARAMÈTRES'!$C$190,IF(G514="HA10",'PARAMÈTRES'!$C$191,IF(G514="HA12",'PARAMÈTRES'!$C$192,IF(G514="HA14",'PARAMÈTRES'!$C$193,IF(G514="HA16",'PARAMÈTRES'!$C$194,0))))))+G525*IF(G520="HA6",'PARAMÈTRES'!$C$189,IF(G520="HA8",'PARAMÈTRES'!$C$190,IF(G520="HA10",'PARAMÈTRES'!$C$191,IF(G520="HA12",'PARAMÈTRES'!$C$192,IF(G520="HA14",'PARAMÈTRES'!$C$193,IF(G520="HA16",'PARAMÈTRES'!$C$194,0)))))))*(1+'PARAMÈTRES'!$C$154)+(G483+G498+G513)*'PARAMÈTRES'!$C$198)*(1+'PARAMÈTRES'!$C$155)</f>
        <v>0</v>
      </c>
      <c r="H553">
        <f>(H479*'PARAMÈTRES'!$C$196+(H482+H497+H512)*H373+(H480+H527)*H374+(H489*IF(H484="HA6",'PARAMÈTRES'!$C$189,IF(H484="HA8",'PARAMÈTRES'!$C$190,IF(H484="HA10",'PARAMÈTRES'!$C$191,IF(H484="HA12",'PARAMÈTRES'!$C$192,IF(H484="HA14",'PARAMÈTRES'!$C$193,IF(H484="HA16",'PARAMÈTRES'!$C$194,0))))))+H495*IF(H490="HA6",'PARAMÈTRES'!$C$189,IF(H490="HA8",'PARAMÈTRES'!$C$190,IF(H490="HA10",'PARAMÈTRES'!$C$191,IF(H490="HA12",'PARAMÈTRES'!$C$192,IF(H490="HA14",'PARAMÈTRES'!$C$193,IF(H490="HA16",'PARAMÈTRES'!$C$194,0))))))+H504*IF(H499="HA6",'PARAMÈTRES'!$C$189,IF(H499="HA8",'PARAMÈTRES'!$C$190,IF(H499="HA10",'PARAMÈTRES'!$C$191,IF(H499="HA12",'PARAMÈTRES'!$C$192,IF(H499="HA14",'PARAMÈTRES'!$C$193,IF(H499="HA16",'PARAMÈTRES'!$C$194,0))))))+H510*IF(H505="HA6",'PARAMÈTRES'!$C$189,IF(H505="HA8",'PARAMÈTRES'!$C$190,IF(H505="HA10",'PARAMÈTRES'!$C$191,IF(H505="HA12",'PARAMÈTRES'!$C$192,IF(H505="HA14",'PARAMÈTRES'!$C$193,IF(H505="HA16",'PARAMÈTRES'!$C$194,0))))))+H519*IF(H514="HA6",'PARAMÈTRES'!$C$189,IF(H514="HA8",'PARAMÈTRES'!$C$190,IF(H514="HA10",'PARAMÈTRES'!$C$191,IF(H514="HA12",'PARAMÈTRES'!$C$192,IF(H514="HA14",'PARAMÈTRES'!$C$193,IF(H514="HA16",'PARAMÈTRES'!$C$194,0))))))+H525*IF(H520="HA6",'PARAMÈTRES'!$C$189,IF(H520="HA8",'PARAMÈTRES'!$C$190,IF(H520="HA10",'PARAMÈTRES'!$C$191,IF(H520="HA12",'PARAMÈTRES'!$C$192,IF(H520="HA14",'PARAMÈTRES'!$C$193,IF(H520="HA16",'PARAMÈTRES'!$C$194,0)))))))*(1+'PARAMÈTRES'!$C$154)+(H483+H498+H513)*'PARAMÈTRES'!$C$198)*(1+'PARAMÈTRES'!$C$155)</f>
        <v>0</v>
      </c>
      <c r="I553">
        <f>(I479*'PARAMÈTRES'!$C$196+(I482+I497+I512)*I373+(I480+I527)*I374+(I489*IF(I484="HA6",'PARAMÈTRES'!$C$189,IF(I484="HA8",'PARAMÈTRES'!$C$190,IF(I484="HA10",'PARAMÈTRES'!$C$191,IF(I484="HA12",'PARAMÈTRES'!$C$192,IF(I484="HA14",'PARAMÈTRES'!$C$193,IF(I484="HA16",'PARAMÈTRES'!$C$194,0))))))+I495*IF(I490="HA6",'PARAMÈTRES'!$C$189,IF(I490="HA8",'PARAMÈTRES'!$C$190,IF(I490="HA10",'PARAMÈTRES'!$C$191,IF(I490="HA12",'PARAMÈTRES'!$C$192,IF(I490="HA14",'PARAMÈTRES'!$C$193,IF(I490="HA16",'PARAMÈTRES'!$C$194,0))))))+I504*IF(I499="HA6",'PARAMÈTRES'!$C$189,IF(I499="HA8",'PARAMÈTRES'!$C$190,IF(I499="HA10",'PARAMÈTRES'!$C$191,IF(I499="HA12",'PARAMÈTRES'!$C$192,IF(I499="HA14",'PARAMÈTRES'!$C$193,IF(I499="HA16",'PARAMÈTRES'!$C$194,0))))))+I510*IF(I505="HA6",'PARAMÈTRES'!$C$189,IF(I505="HA8",'PARAMÈTRES'!$C$190,IF(I505="HA10",'PARAMÈTRES'!$C$191,IF(I505="HA12",'PARAMÈTRES'!$C$192,IF(I505="HA14",'PARAMÈTRES'!$C$193,IF(I505="HA16",'PARAMÈTRES'!$C$194,0))))))+I519*IF(I514="HA6",'PARAMÈTRES'!$C$189,IF(I514="HA8",'PARAMÈTRES'!$C$190,IF(I514="HA10",'PARAMÈTRES'!$C$191,IF(I514="HA12",'PARAMÈTRES'!$C$192,IF(I514="HA14",'PARAMÈTRES'!$C$193,IF(I514="HA16",'PARAMÈTRES'!$C$194,0))))))+I525*IF(I520="HA6",'PARAMÈTRES'!$C$189,IF(I520="HA8",'PARAMÈTRES'!$C$190,IF(I520="HA10",'PARAMÈTRES'!$C$191,IF(I520="HA12",'PARAMÈTRES'!$C$192,IF(I520="HA14",'PARAMÈTRES'!$C$193,IF(I520="HA16",'PARAMÈTRES'!$C$194,0)))))))*(1+'PARAMÈTRES'!$C$154)+(I483+I498+I513)*'PARAMÈTRES'!$C$198)*(1+'PARAMÈTRES'!$C$155)</f>
        <v>6780431.66561955</v>
      </c>
      <c r="J553">
        <f>(J479*'PARAMÈTRES'!$C$196+(J482+J497+J512)*J373+(J480+J527)*J374+(J489*IF(J484="HA6",'PARAMÈTRES'!$C$189,IF(J484="HA8",'PARAMÈTRES'!$C$190,IF(J484="HA10",'PARAMÈTRES'!$C$191,IF(J484="HA12",'PARAMÈTRES'!$C$192,IF(J484="HA14",'PARAMÈTRES'!$C$193,IF(J484="HA16",'PARAMÈTRES'!$C$194,0))))))+J495*IF(J490="HA6",'PARAMÈTRES'!$C$189,IF(J490="HA8",'PARAMÈTRES'!$C$190,IF(J490="HA10",'PARAMÈTRES'!$C$191,IF(J490="HA12",'PARAMÈTRES'!$C$192,IF(J490="HA14",'PARAMÈTRES'!$C$193,IF(J490="HA16",'PARAMÈTRES'!$C$194,0))))))+J504*IF(J499="HA6",'PARAMÈTRES'!$C$189,IF(J499="HA8",'PARAMÈTRES'!$C$190,IF(J499="HA10",'PARAMÈTRES'!$C$191,IF(J499="HA12",'PARAMÈTRES'!$C$192,IF(J499="HA14",'PARAMÈTRES'!$C$193,IF(J499="HA16",'PARAMÈTRES'!$C$194,0))))))+J510*IF(J505="HA6",'PARAMÈTRES'!$C$189,IF(J505="HA8",'PARAMÈTRES'!$C$190,IF(J505="HA10",'PARAMÈTRES'!$C$191,IF(J505="HA12",'PARAMÈTRES'!$C$192,IF(J505="HA14",'PARAMÈTRES'!$C$193,IF(J505="HA16",'PARAMÈTRES'!$C$194,0))))))+J519*IF(J514="HA6",'PARAMÈTRES'!$C$189,IF(J514="HA8",'PARAMÈTRES'!$C$190,IF(J514="HA10",'PARAMÈTRES'!$C$191,IF(J514="HA12",'PARAMÈTRES'!$C$192,IF(J514="HA14",'PARAMÈTRES'!$C$193,IF(J514="HA16",'PARAMÈTRES'!$C$194,0))))))+J525*IF(J520="HA6",'PARAMÈTRES'!$C$189,IF(J520="HA8",'PARAMÈTRES'!$C$190,IF(J520="HA10",'PARAMÈTRES'!$C$191,IF(J520="HA12",'PARAMÈTRES'!$C$192,IF(J520="HA14",'PARAMÈTRES'!$C$193,IF(J520="HA16",'PARAMÈTRES'!$C$194,0)))))))*(1+'PARAMÈTRES'!$C$154)+(J483+J498+J513)*'PARAMÈTRES'!$C$198)*(1+'PARAMÈTRES'!$C$155)</f>
        <v>0</v>
      </c>
      <c r="K553">
        <f>(K479*'PARAMÈTRES'!$C$196+(K482+K497+K512)*K373+(K480+K527)*K374+(K489*IF(K484="HA6",'PARAMÈTRES'!$C$189,IF(K484="HA8",'PARAMÈTRES'!$C$190,IF(K484="HA10",'PARAMÈTRES'!$C$191,IF(K484="HA12",'PARAMÈTRES'!$C$192,IF(K484="HA14",'PARAMÈTRES'!$C$193,IF(K484="HA16",'PARAMÈTRES'!$C$194,0))))))+K495*IF(K490="HA6",'PARAMÈTRES'!$C$189,IF(K490="HA8",'PARAMÈTRES'!$C$190,IF(K490="HA10",'PARAMÈTRES'!$C$191,IF(K490="HA12",'PARAMÈTRES'!$C$192,IF(K490="HA14",'PARAMÈTRES'!$C$193,IF(K490="HA16",'PARAMÈTRES'!$C$194,0))))))+K504*IF(K499="HA6",'PARAMÈTRES'!$C$189,IF(K499="HA8",'PARAMÈTRES'!$C$190,IF(K499="HA10",'PARAMÈTRES'!$C$191,IF(K499="HA12",'PARAMÈTRES'!$C$192,IF(K499="HA14",'PARAMÈTRES'!$C$193,IF(K499="HA16",'PARAMÈTRES'!$C$194,0))))))+K510*IF(K505="HA6",'PARAMÈTRES'!$C$189,IF(K505="HA8",'PARAMÈTRES'!$C$190,IF(K505="HA10",'PARAMÈTRES'!$C$191,IF(K505="HA12",'PARAMÈTRES'!$C$192,IF(K505="HA14",'PARAMÈTRES'!$C$193,IF(K505="HA16",'PARAMÈTRES'!$C$194,0))))))+K519*IF(K514="HA6",'PARAMÈTRES'!$C$189,IF(K514="HA8",'PARAMÈTRES'!$C$190,IF(K514="HA10",'PARAMÈTRES'!$C$191,IF(K514="HA12",'PARAMÈTRES'!$C$192,IF(K514="HA14",'PARAMÈTRES'!$C$193,IF(K514="HA16",'PARAMÈTRES'!$C$194,0))))))+K525*IF(K520="HA6",'PARAMÈTRES'!$C$189,IF(K520="HA8",'PARAMÈTRES'!$C$190,IF(K520="HA10",'PARAMÈTRES'!$C$191,IF(K520="HA12",'PARAMÈTRES'!$C$192,IF(K520="HA14",'PARAMÈTRES'!$C$193,IF(K520="HA16",'PARAMÈTRES'!$C$194,0)))))))*(1+'PARAMÈTRES'!$C$154)+(K483+K498+K513)*'PARAMÈTRES'!$C$198)*(1+'PARAMÈTRES'!$C$155)</f>
        <v>0</v>
      </c>
      <c r="L553">
        <f>(L479*'PARAMÈTRES'!$C$196+(L482+L497+L512)*L373+(L480+L527)*L374+(L489*IF(L484="HA6",'PARAMÈTRES'!$C$189,IF(L484="HA8",'PARAMÈTRES'!$C$190,IF(L484="HA10",'PARAMÈTRES'!$C$191,IF(L484="HA12",'PARAMÈTRES'!$C$192,IF(L484="HA14",'PARAMÈTRES'!$C$193,IF(L484="HA16",'PARAMÈTRES'!$C$194,0))))))+L495*IF(L490="HA6",'PARAMÈTRES'!$C$189,IF(L490="HA8",'PARAMÈTRES'!$C$190,IF(L490="HA10",'PARAMÈTRES'!$C$191,IF(L490="HA12",'PARAMÈTRES'!$C$192,IF(L490="HA14",'PARAMÈTRES'!$C$193,IF(L490="HA16",'PARAMÈTRES'!$C$194,0))))))+L504*IF(L499="HA6",'PARAMÈTRES'!$C$189,IF(L499="HA8",'PARAMÈTRES'!$C$190,IF(L499="HA10",'PARAMÈTRES'!$C$191,IF(L499="HA12",'PARAMÈTRES'!$C$192,IF(L499="HA14",'PARAMÈTRES'!$C$193,IF(L499="HA16",'PARAMÈTRES'!$C$194,0))))))+L510*IF(L505="HA6",'PARAMÈTRES'!$C$189,IF(L505="HA8",'PARAMÈTRES'!$C$190,IF(L505="HA10",'PARAMÈTRES'!$C$191,IF(L505="HA12",'PARAMÈTRES'!$C$192,IF(L505="HA14",'PARAMÈTRES'!$C$193,IF(L505="HA16",'PARAMÈTRES'!$C$194,0))))))+L519*IF(L514="HA6",'PARAMÈTRES'!$C$189,IF(L514="HA8",'PARAMÈTRES'!$C$190,IF(L514="HA10",'PARAMÈTRES'!$C$191,IF(L514="HA12",'PARAMÈTRES'!$C$192,IF(L514="HA14",'PARAMÈTRES'!$C$193,IF(L514="HA16",'PARAMÈTRES'!$C$194,0))))))+L525*IF(L520="HA6",'PARAMÈTRES'!$C$189,IF(L520="HA8",'PARAMÈTRES'!$C$190,IF(L520="HA10",'PARAMÈTRES'!$C$191,IF(L520="HA12",'PARAMÈTRES'!$C$192,IF(L520="HA14",'PARAMÈTRES'!$C$193,IF(L520="HA16",'PARAMÈTRES'!$C$194,0)))))))*(1+'PARAMÈTRES'!$C$154)+(L483+L498+L513)*'PARAMÈTRES'!$C$198)*(1+'PARAMÈTRES'!$C$155)</f>
        <v>8434210.86821954</v>
      </c>
      <c r="M553">
        <f>(M479*'PARAMÈTRES'!$C$196+(M482+M497+M512)*M373+(M480+M527)*M374+(M489*IF(M484="HA6",'PARAMÈTRES'!$C$189,IF(M484="HA8",'PARAMÈTRES'!$C$190,IF(M484="HA10",'PARAMÈTRES'!$C$191,IF(M484="HA12",'PARAMÈTRES'!$C$192,IF(M484="HA14",'PARAMÈTRES'!$C$193,IF(M484="HA16",'PARAMÈTRES'!$C$194,0))))))+M495*IF(M490="HA6",'PARAMÈTRES'!$C$189,IF(M490="HA8",'PARAMÈTRES'!$C$190,IF(M490="HA10",'PARAMÈTRES'!$C$191,IF(M490="HA12",'PARAMÈTRES'!$C$192,IF(M490="HA14",'PARAMÈTRES'!$C$193,IF(M490="HA16",'PARAMÈTRES'!$C$194,0))))))+M504*IF(M499="HA6",'PARAMÈTRES'!$C$189,IF(M499="HA8",'PARAMÈTRES'!$C$190,IF(M499="HA10",'PARAMÈTRES'!$C$191,IF(M499="HA12",'PARAMÈTRES'!$C$192,IF(M499="HA14",'PARAMÈTRES'!$C$193,IF(M499="HA16",'PARAMÈTRES'!$C$194,0))))))+M510*IF(M505="HA6",'PARAMÈTRES'!$C$189,IF(M505="HA8",'PARAMÈTRES'!$C$190,IF(M505="HA10",'PARAMÈTRES'!$C$191,IF(M505="HA12",'PARAMÈTRES'!$C$192,IF(M505="HA14",'PARAMÈTRES'!$C$193,IF(M505="HA16",'PARAMÈTRES'!$C$194,0))))))+M519*IF(M514="HA6",'PARAMÈTRES'!$C$189,IF(M514="HA8",'PARAMÈTRES'!$C$190,IF(M514="HA10",'PARAMÈTRES'!$C$191,IF(M514="HA12",'PARAMÈTRES'!$C$192,IF(M514="HA14",'PARAMÈTRES'!$C$193,IF(M514="HA16",'PARAMÈTRES'!$C$194,0))))))+M525*IF(M520="HA6",'PARAMÈTRES'!$C$189,IF(M520="HA8",'PARAMÈTRES'!$C$190,IF(M520="HA10",'PARAMÈTRES'!$C$191,IF(M520="HA12",'PARAMÈTRES'!$C$192,IF(M520="HA14",'PARAMÈTRES'!$C$193,IF(M520="HA16",'PARAMÈTRES'!$C$194,0)))))))*(1+'PARAMÈTRES'!$C$154)+(M483+M498+M513)*'PARAMÈTRES'!$C$198)*(1+'PARAMÈTRES'!$C$155)</f>
        <v>0</v>
      </c>
      <c r="N553">
        <f>(N479*'PARAMÈTRES'!$C$196+(N482+N497+N512)*N373+(N480+N527)*N374+(N489*IF(N484="HA6",'PARAMÈTRES'!$C$189,IF(N484="HA8",'PARAMÈTRES'!$C$190,IF(N484="HA10",'PARAMÈTRES'!$C$191,IF(N484="HA12",'PARAMÈTRES'!$C$192,IF(N484="HA14",'PARAMÈTRES'!$C$193,IF(N484="HA16",'PARAMÈTRES'!$C$194,0))))))+N495*IF(N490="HA6",'PARAMÈTRES'!$C$189,IF(N490="HA8",'PARAMÈTRES'!$C$190,IF(N490="HA10",'PARAMÈTRES'!$C$191,IF(N490="HA12",'PARAMÈTRES'!$C$192,IF(N490="HA14",'PARAMÈTRES'!$C$193,IF(N490="HA16",'PARAMÈTRES'!$C$194,0))))))+N504*IF(N499="HA6",'PARAMÈTRES'!$C$189,IF(N499="HA8",'PARAMÈTRES'!$C$190,IF(N499="HA10",'PARAMÈTRES'!$C$191,IF(N499="HA12",'PARAMÈTRES'!$C$192,IF(N499="HA14",'PARAMÈTRES'!$C$193,IF(N499="HA16",'PARAMÈTRES'!$C$194,0))))))+N510*IF(N505="HA6",'PARAMÈTRES'!$C$189,IF(N505="HA8",'PARAMÈTRES'!$C$190,IF(N505="HA10",'PARAMÈTRES'!$C$191,IF(N505="HA12",'PARAMÈTRES'!$C$192,IF(N505="HA14",'PARAMÈTRES'!$C$193,IF(N505="HA16",'PARAMÈTRES'!$C$194,0))))))+N519*IF(N514="HA6",'PARAMÈTRES'!$C$189,IF(N514="HA8",'PARAMÈTRES'!$C$190,IF(N514="HA10",'PARAMÈTRES'!$C$191,IF(N514="HA12",'PARAMÈTRES'!$C$192,IF(N514="HA14",'PARAMÈTRES'!$C$193,IF(N514="HA16",'PARAMÈTRES'!$C$194,0))))))+N525*IF(N520="HA6",'PARAMÈTRES'!$C$189,IF(N520="HA8",'PARAMÈTRES'!$C$190,IF(N520="HA10",'PARAMÈTRES'!$C$191,IF(N520="HA12",'PARAMÈTRES'!$C$192,IF(N520="HA14",'PARAMÈTRES'!$C$193,IF(N520="HA16",'PARAMÈTRES'!$C$194,0)))))))*(1+'PARAMÈTRES'!$C$154)+(N483+N498+N513)*'PARAMÈTRES'!$C$198)*(1+'PARAMÈTRES'!$C$155)</f>
        <v>0</v>
      </c>
      <c r="O553">
        <f>(O479*'PARAMÈTRES'!$C$196+(O482+O497+O512)*O373+(O480+O527)*O374+(O489*IF(O484="HA6",'PARAMÈTRES'!$C$189,IF(O484="HA8",'PARAMÈTRES'!$C$190,IF(O484="HA10",'PARAMÈTRES'!$C$191,IF(O484="HA12",'PARAMÈTRES'!$C$192,IF(O484="HA14",'PARAMÈTRES'!$C$193,IF(O484="HA16",'PARAMÈTRES'!$C$194,0))))))+O495*IF(O490="HA6",'PARAMÈTRES'!$C$189,IF(O490="HA8",'PARAMÈTRES'!$C$190,IF(O490="HA10",'PARAMÈTRES'!$C$191,IF(O490="HA12",'PARAMÈTRES'!$C$192,IF(O490="HA14",'PARAMÈTRES'!$C$193,IF(O490="HA16",'PARAMÈTRES'!$C$194,0))))))+O504*IF(O499="HA6",'PARAMÈTRES'!$C$189,IF(O499="HA8",'PARAMÈTRES'!$C$190,IF(O499="HA10",'PARAMÈTRES'!$C$191,IF(O499="HA12",'PARAMÈTRES'!$C$192,IF(O499="HA14",'PARAMÈTRES'!$C$193,IF(O499="HA16",'PARAMÈTRES'!$C$194,0))))))+O510*IF(O505="HA6",'PARAMÈTRES'!$C$189,IF(O505="HA8",'PARAMÈTRES'!$C$190,IF(O505="HA10",'PARAMÈTRES'!$C$191,IF(O505="HA12",'PARAMÈTRES'!$C$192,IF(O505="HA14",'PARAMÈTRES'!$C$193,IF(O505="HA16",'PARAMÈTRES'!$C$194,0))))))+O519*IF(O514="HA6",'PARAMÈTRES'!$C$189,IF(O514="HA8",'PARAMÈTRES'!$C$190,IF(O514="HA10",'PARAMÈTRES'!$C$191,IF(O514="HA12",'PARAMÈTRES'!$C$192,IF(O514="HA14",'PARAMÈTRES'!$C$193,IF(O514="HA16",'PARAMÈTRES'!$C$194,0))))))+O525*IF(O520="HA6",'PARAMÈTRES'!$C$189,IF(O520="HA8",'PARAMÈTRES'!$C$190,IF(O520="HA10",'PARAMÈTRES'!$C$191,IF(O520="HA12",'PARAMÈTRES'!$C$192,IF(O520="HA14",'PARAMÈTRES'!$C$193,IF(O520="HA16",'PARAMÈTRES'!$C$194,0)))))))*(1+'PARAMÈTRES'!$C$154)+(O483+O498+O513)*'PARAMÈTRES'!$C$198)*(1+'PARAMÈTRES'!$C$155)</f>
        <v>7916598.65092606</v>
      </c>
      <c r="P553">
        <f>(P479*'PARAMÈTRES'!$C$196+(P482+P497+P512)*P373+(P480+P527)*P374+(P489*IF(P484="HA6",'PARAMÈTRES'!$C$189,IF(P484="HA8",'PARAMÈTRES'!$C$190,IF(P484="HA10",'PARAMÈTRES'!$C$191,IF(P484="HA12",'PARAMÈTRES'!$C$192,IF(P484="HA14",'PARAMÈTRES'!$C$193,IF(P484="HA16",'PARAMÈTRES'!$C$194,0))))))+P495*IF(P490="HA6",'PARAMÈTRES'!$C$189,IF(P490="HA8",'PARAMÈTRES'!$C$190,IF(P490="HA10",'PARAMÈTRES'!$C$191,IF(P490="HA12",'PARAMÈTRES'!$C$192,IF(P490="HA14",'PARAMÈTRES'!$C$193,IF(P490="HA16",'PARAMÈTRES'!$C$194,0))))))+P504*IF(P499="HA6",'PARAMÈTRES'!$C$189,IF(P499="HA8",'PARAMÈTRES'!$C$190,IF(P499="HA10",'PARAMÈTRES'!$C$191,IF(P499="HA12",'PARAMÈTRES'!$C$192,IF(P499="HA14",'PARAMÈTRES'!$C$193,IF(P499="HA16",'PARAMÈTRES'!$C$194,0))))))+P510*IF(P505="HA6",'PARAMÈTRES'!$C$189,IF(P505="HA8",'PARAMÈTRES'!$C$190,IF(P505="HA10",'PARAMÈTRES'!$C$191,IF(P505="HA12",'PARAMÈTRES'!$C$192,IF(P505="HA14",'PARAMÈTRES'!$C$193,IF(P505="HA16",'PARAMÈTRES'!$C$194,0))))))+P519*IF(P514="HA6",'PARAMÈTRES'!$C$189,IF(P514="HA8",'PARAMÈTRES'!$C$190,IF(P514="HA10",'PARAMÈTRES'!$C$191,IF(P514="HA12",'PARAMÈTRES'!$C$192,IF(P514="HA14",'PARAMÈTRES'!$C$193,IF(P514="HA16",'PARAMÈTRES'!$C$194,0))))))+P525*IF(P520="HA6",'PARAMÈTRES'!$C$189,IF(P520="HA8",'PARAMÈTRES'!$C$190,IF(P520="HA10",'PARAMÈTRES'!$C$191,IF(P520="HA12",'PARAMÈTRES'!$C$192,IF(P520="HA14",'PARAMÈTRES'!$C$193,IF(P520="HA16",'PARAMÈTRES'!$C$194,0)))))))*(1+'PARAMÈTRES'!$C$154)+(P483+P498+P513)*'PARAMÈTRES'!$C$198)*(1+'PARAMÈTRES'!$C$155)</f>
        <v>0</v>
      </c>
      <c r="Q553">
        <f>(Q479*'PARAMÈTRES'!$C$196+(Q482+Q497+Q512)*Q373+(Q480+Q527)*Q374+(Q489*IF(Q484="HA6",'PARAMÈTRES'!$C$189,IF(Q484="HA8",'PARAMÈTRES'!$C$190,IF(Q484="HA10",'PARAMÈTRES'!$C$191,IF(Q484="HA12",'PARAMÈTRES'!$C$192,IF(Q484="HA14",'PARAMÈTRES'!$C$193,IF(Q484="HA16",'PARAMÈTRES'!$C$194,0))))))+Q495*IF(Q490="HA6",'PARAMÈTRES'!$C$189,IF(Q490="HA8",'PARAMÈTRES'!$C$190,IF(Q490="HA10",'PARAMÈTRES'!$C$191,IF(Q490="HA12",'PARAMÈTRES'!$C$192,IF(Q490="HA14",'PARAMÈTRES'!$C$193,IF(Q490="HA16",'PARAMÈTRES'!$C$194,0))))))+Q504*IF(Q499="HA6",'PARAMÈTRES'!$C$189,IF(Q499="HA8",'PARAMÈTRES'!$C$190,IF(Q499="HA10",'PARAMÈTRES'!$C$191,IF(Q499="HA12",'PARAMÈTRES'!$C$192,IF(Q499="HA14",'PARAMÈTRES'!$C$193,IF(Q499="HA16",'PARAMÈTRES'!$C$194,0))))))+Q510*IF(Q505="HA6",'PARAMÈTRES'!$C$189,IF(Q505="HA8",'PARAMÈTRES'!$C$190,IF(Q505="HA10",'PARAMÈTRES'!$C$191,IF(Q505="HA12",'PARAMÈTRES'!$C$192,IF(Q505="HA14",'PARAMÈTRES'!$C$193,IF(Q505="HA16",'PARAMÈTRES'!$C$194,0))))))+Q519*IF(Q514="HA6",'PARAMÈTRES'!$C$189,IF(Q514="HA8",'PARAMÈTRES'!$C$190,IF(Q514="HA10",'PARAMÈTRES'!$C$191,IF(Q514="HA12",'PARAMÈTRES'!$C$192,IF(Q514="HA14",'PARAMÈTRES'!$C$193,IF(Q514="HA16",'PARAMÈTRES'!$C$194,0))))))+Q525*IF(Q520="HA6",'PARAMÈTRES'!$C$189,IF(Q520="HA8",'PARAMÈTRES'!$C$190,IF(Q520="HA10",'PARAMÈTRES'!$C$191,IF(Q520="HA12",'PARAMÈTRES'!$C$192,IF(Q520="HA14",'PARAMÈTRES'!$C$193,IF(Q520="HA16",'PARAMÈTRES'!$C$194,0)))))))*(1+'PARAMÈTRES'!$C$154)+(Q483+Q498+Q513)*'PARAMÈTRES'!$C$198)*(1+'PARAMÈTRES'!$C$155)</f>
        <v>0</v>
      </c>
      <c r="R553">
        <f>(R479*'PARAMÈTRES'!$C$196+(R482+R497+R512)*R373+(R480+R527)*R374+(R489*IF(R484="HA6",'PARAMÈTRES'!$C$189,IF(R484="HA8",'PARAMÈTRES'!$C$190,IF(R484="HA10",'PARAMÈTRES'!$C$191,IF(R484="HA12",'PARAMÈTRES'!$C$192,IF(R484="HA14",'PARAMÈTRES'!$C$193,IF(R484="HA16",'PARAMÈTRES'!$C$194,0))))))+R495*IF(R490="HA6",'PARAMÈTRES'!$C$189,IF(R490="HA8",'PARAMÈTRES'!$C$190,IF(R490="HA10",'PARAMÈTRES'!$C$191,IF(R490="HA12",'PARAMÈTRES'!$C$192,IF(R490="HA14",'PARAMÈTRES'!$C$193,IF(R490="HA16",'PARAMÈTRES'!$C$194,0))))))+R504*IF(R499="HA6",'PARAMÈTRES'!$C$189,IF(R499="HA8",'PARAMÈTRES'!$C$190,IF(R499="HA10",'PARAMÈTRES'!$C$191,IF(R499="HA12",'PARAMÈTRES'!$C$192,IF(R499="HA14",'PARAMÈTRES'!$C$193,IF(R499="HA16",'PARAMÈTRES'!$C$194,0))))))+R510*IF(R505="HA6",'PARAMÈTRES'!$C$189,IF(R505="HA8",'PARAMÈTRES'!$C$190,IF(R505="HA10",'PARAMÈTRES'!$C$191,IF(R505="HA12",'PARAMÈTRES'!$C$192,IF(R505="HA14",'PARAMÈTRES'!$C$193,IF(R505="HA16",'PARAMÈTRES'!$C$194,0))))))+R519*IF(R514="HA6",'PARAMÈTRES'!$C$189,IF(R514="HA8",'PARAMÈTRES'!$C$190,IF(R514="HA10",'PARAMÈTRES'!$C$191,IF(R514="HA12",'PARAMÈTRES'!$C$192,IF(R514="HA14",'PARAMÈTRES'!$C$193,IF(R514="HA16",'PARAMÈTRES'!$C$194,0))))))+R525*IF(R520="HA6",'PARAMÈTRES'!$C$189,IF(R520="HA8",'PARAMÈTRES'!$C$190,IF(R520="HA10",'PARAMÈTRES'!$C$191,IF(R520="HA12",'PARAMÈTRES'!$C$192,IF(R520="HA14",'PARAMÈTRES'!$C$193,IF(R520="HA16",'PARAMÈTRES'!$C$194,0)))))))*(1+'PARAMÈTRES'!$C$154)+(R483+R498+R513)*'PARAMÈTRES'!$C$198)*(1+'PARAMÈTRES'!$C$155)</f>
        <v>11463851.6567261</v>
      </c>
      <c r="S553">
        <f>(S479*'PARAMÈTRES'!$C$196+(S482+S497+S512)*S373+(S480+S527)*S374+(S489*IF(S484="HA6",'PARAMÈTRES'!$C$189,IF(S484="HA8",'PARAMÈTRES'!$C$190,IF(S484="HA10",'PARAMÈTRES'!$C$191,IF(S484="HA12",'PARAMÈTRES'!$C$192,IF(S484="HA14",'PARAMÈTRES'!$C$193,IF(S484="HA16",'PARAMÈTRES'!$C$194,0))))))+S495*IF(S490="HA6",'PARAMÈTRES'!$C$189,IF(S490="HA8",'PARAMÈTRES'!$C$190,IF(S490="HA10",'PARAMÈTRES'!$C$191,IF(S490="HA12",'PARAMÈTRES'!$C$192,IF(S490="HA14",'PARAMÈTRES'!$C$193,IF(S490="HA16",'PARAMÈTRES'!$C$194,0))))))+S504*IF(S499="HA6",'PARAMÈTRES'!$C$189,IF(S499="HA8",'PARAMÈTRES'!$C$190,IF(S499="HA10",'PARAMÈTRES'!$C$191,IF(S499="HA12",'PARAMÈTRES'!$C$192,IF(S499="HA14",'PARAMÈTRES'!$C$193,IF(S499="HA16",'PARAMÈTRES'!$C$194,0))))))+S510*IF(S505="HA6",'PARAMÈTRES'!$C$189,IF(S505="HA8",'PARAMÈTRES'!$C$190,IF(S505="HA10",'PARAMÈTRES'!$C$191,IF(S505="HA12",'PARAMÈTRES'!$C$192,IF(S505="HA14",'PARAMÈTRES'!$C$193,IF(S505="HA16",'PARAMÈTRES'!$C$194,0))))))+S519*IF(S514="HA6",'PARAMÈTRES'!$C$189,IF(S514="HA8",'PARAMÈTRES'!$C$190,IF(S514="HA10",'PARAMÈTRES'!$C$191,IF(S514="HA12",'PARAMÈTRES'!$C$192,IF(S514="HA14",'PARAMÈTRES'!$C$193,IF(S514="HA16",'PARAMÈTRES'!$C$194,0))))))+S525*IF(S520="HA6",'PARAMÈTRES'!$C$189,IF(S520="HA8",'PARAMÈTRES'!$C$190,IF(S520="HA10",'PARAMÈTRES'!$C$191,IF(S520="HA12",'PARAMÈTRES'!$C$192,IF(S520="HA14",'PARAMÈTRES'!$C$193,IF(S520="HA16",'PARAMÈTRES'!$C$194,0)))))))*(1+'PARAMÈTRES'!$C$154)+(S483+S498+S513)*'PARAMÈTRES'!$C$198)*(1+'PARAMÈTRES'!$C$155)</f>
        <v>0</v>
      </c>
      <c r="T553">
        <f>(T479*'PARAMÈTRES'!$C$196+(T482+T497+T512)*T373+(T480+T527)*T374+(T489*IF(T484="HA6",'PARAMÈTRES'!$C$189,IF(T484="HA8",'PARAMÈTRES'!$C$190,IF(T484="HA10",'PARAMÈTRES'!$C$191,IF(T484="HA12",'PARAMÈTRES'!$C$192,IF(T484="HA14",'PARAMÈTRES'!$C$193,IF(T484="HA16",'PARAMÈTRES'!$C$194,0))))))+T495*IF(T490="HA6",'PARAMÈTRES'!$C$189,IF(T490="HA8",'PARAMÈTRES'!$C$190,IF(T490="HA10",'PARAMÈTRES'!$C$191,IF(T490="HA12",'PARAMÈTRES'!$C$192,IF(T490="HA14",'PARAMÈTRES'!$C$193,IF(T490="HA16",'PARAMÈTRES'!$C$194,0))))))+T504*IF(T499="HA6",'PARAMÈTRES'!$C$189,IF(T499="HA8",'PARAMÈTRES'!$C$190,IF(T499="HA10",'PARAMÈTRES'!$C$191,IF(T499="HA12",'PARAMÈTRES'!$C$192,IF(T499="HA14",'PARAMÈTRES'!$C$193,IF(T499="HA16",'PARAMÈTRES'!$C$194,0))))))+T510*IF(T505="HA6",'PARAMÈTRES'!$C$189,IF(T505="HA8",'PARAMÈTRES'!$C$190,IF(T505="HA10",'PARAMÈTRES'!$C$191,IF(T505="HA12",'PARAMÈTRES'!$C$192,IF(T505="HA14",'PARAMÈTRES'!$C$193,IF(T505="HA16",'PARAMÈTRES'!$C$194,0))))))+T519*IF(T514="HA6",'PARAMÈTRES'!$C$189,IF(T514="HA8",'PARAMÈTRES'!$C$190,IF(T514="HA10",'PARAMÈTRES'!$C$191,IF(T514="HA12",'PARAMÈTRES'!$C$192,IF(T514="HA14",'PARAMÈTRES'!$C$193,IF(T514="HA16",'PARAMÈTRES'!$C$194,0))))))+T525*IF(T520="HA6",'PARAMÈTRES'!$C$189,IF(T520="HA8",'PARAMÈTRES'!$C$190,IF(T520="HA10",'PARAMÈTRES'!$C$191,IF(T520="HA12",'PARAMÈTRES'!$C$192,IF(T520="HA14",'PARAMÈTRES'!$C$193,IF(T520="HA16",'PARAMÈTRES'!$C$194,0)))))))*(1+'PARAMÈTRES'!$C$154)+(T483+T498+T513)*'PARAMÈTRES'!$C$198)*(1+'PARAMÈTRES'!$C$155)</f>
        <v>0</v>
      </c>
      <c r="U553">
        <f>(U479*'PARAMÈTRES'!$C$196+(U482+U497+U512)*U373+(U480+U527)*U374+(U489*IF(U484="HA6",'PARAMÈTRES'!$C$189,IF(U484="HA8",'PARAMÈTRES'!$C$190,IF(U484="HA10",'PARAMÈTRES'!$C$191,IF(U484="HA12",'PARAMÈTRES'!$C$192,IF(U484="HA14",'PARAMÈTRES'!$C$193,IF(U484="HA16",'PARAMÈTRES'!$C$194,0))))))+U495*IF(U490="HA6",'PARAMÈTRES'!$C$189,IF(U490="HA8",'PARAMÈTRES'!$C$190,IF(U490="HA10",'PARAMÈTRES'!$C$191,IF(U490="HA12",'PARAMÈTRES'!$C$192,IF(U490="HA14",'PARAMÈTRES'!$C$193,IF(U490="HA16",'PARAMÈTRES'!$C$194,0))))))+U504*IF(U499="HA6",'PARAMÈTRES'!$C$189,IF(U499="HA8",'PARAMÈTRES'!$C$190,IF(U499="HA10",'PARAMÈTRES'!$C$191,IF(U499="HA12",'PARAMÈTRES'!$C$192,IF(U499="HA14",'PARAMÈTRES'!$C$193,IF(U499="HA16",'PARAMÈTRES'!$C$194,0))))))+U510*IF(U505="HA6",'PARAMÈTRES'!$C$189,IF(U505="HA8",'PARAMÈTRES'!$C$190,IF(U505="HA10",'PARAMÈTRES'!$C$191,IF(U505="HA12",'PARAMÈTRES'!$C$192,IF(U505="HA14",'PARAMÈTRES'!$C$193,IF(U505="HA16",'PARAMÈTRES'!$C$194,0))))))+U519*IF(U514="HA6",'PARAMÈTRES'!$C$189,IF(U514="HA8",'PARAMÈTRES'!$C$190,IF(U514="HA10",'PARAMÈTRES'!$C$191,IF(U514="HA12",'PARAMÈTRES'!$C$192,IF(U514="HA14",'PARAMÈTRES'!$C$193,IF(U514="HA16",'PARAMÈTRES'!$C$194,0))))))+U525*IF(U520="HA6",'PARAMÈTRES'!$C$189,IF(U520="HA8",'PARAMÈTRES'!$C$190,IF(U520="HA10",'PARAMÈTRES'!$C$191,IF(U520="HA12",'PARAMÈTRES'!$C$192,IF(U520="HA14",'PARAMÈTRES'!$C$193,IF(U520="HA16",'PARAMÈTRES'!$C$194,0)))))))*(1+'PARAMÈTRES'!$C$154)+(U483+U498+U513)*'PARAMÈTRES'!$C$198)*(1+'PARAMÈTRES'!$C$155)</f>
        <v>13590952.8907391</v>
      </c>
      <c r="V553">
        <f>(V479*'PARAMÈTRES'!$C$196+(V482+V497+V512)*V373+(V480+V527)*V374+(V489*IF(V484="HA6",'PARAMÈTRES'!$C$189,IF(V484="HA8",'PARAMÈTRES'!$C$190,IF(V484="HA10",'PARAMÈTRES'!$C$191,IF(V484="HA12",'PARAMÈTRES'!$C$192,IF(V484="HA14",'PARAMÈTRES'!$C$193,IF(V484="HA16",'PARAMÈTRES'!$C$194,0))))))+V495*IF(V490="HA6",'PARAMÈTRES'!$C$189,IF(V490="HA8",'PARAMÈTRES'!$C$190,IF(V490="HA10",'PARAMÈTRES'!$C$191,IF(V490="HA12",'PARAMÈTRES'!$C$192,IF(V490="HA14",'PARAMÈTRES'!$C$193,IF(V490="HA16",'PARAMÈTRES'!$C$194,0))))))+V504*IF(V499="HA6",'PARAMÈTRES'!$C$189,IF(V499="HA8",'PARAMÈTRES'!$C$190,IF(V499="HA10",'PARAMÈTRES'!$C$191,IF(V499="HA12",'PARAMÈTRES'!$C$192,IF(V499="HA14",'PARAMÈTRES'!$C$193,IF(V499="HA16",'PARAMÈTRES'!$C$194,0))))))+V510*IF(V505="HA6",'PARAMÈTRES'!$C$189,IF(V505="HA8",'PARAMÈTRES'!$C$190,IF(V505="HA10",'PARAMÈTRES'!$C$191,IF(V505="HA12",'PARAMÈTRES'!$C$192,IF(V505="HA14",'PARAMÈTRES'!$C$193,IF(V505="HA16",'PARAMÈTRES'!$C$194,0))))))+V519*IF(V514="HA6",'PARAMÈTRES'!$C$189,IF(V514="HA8",'PARAMÈTRES'!$C$190,IF(V514="HA10",'PARAMÈTRES'!$C$191,IF(V514="HA12",'PARAMÈTRES'!$C$192,IF(V514="HA14",'PARAMÈTRES'!$C$193,IF(V514="HA16",'PARAMÈTRES'!$C$194,0))))))+V525*IF(V520="HA6",'PARAMÈTRES'!$C$189,IF(V520="HA8",'PARAMÈTRES'!$C$190,IF(V520="HA10",'PARAMÈTRES'!$C$191,IF(V520="HA12",'PARAMÈTRES'!$C$192,IF(V520="HA14",'PARAMÈTRES'!$C$193,IF(V520="HA16",'PARAMÈTRES'!$C$194,0)))))))*(1+'PARAMÈTRES'!$C$154)+(V483+V498+V513)*'PARAMÈTRES'!$C$198)*(1+'PARAMÈTRES'!$C$155)</f>
        <v>0</v>
      </c>
      <c r="W553">
        <f>(W479*'PARAMÈTRES'!$C$196+(W482+W497+W512)*W373+(W480+W527)*W374+(W489*IF(W484="HA6",'PARAMÈTRES'!$C$189,IF(W484="HA8",'PARAMÈTRES'!$C$190,IF(W484="HA10",'PARAMÈTRES'!$C$191,IF(W484="HA12",'PARAMÈTRES'!$C$192,IF(W484="HA14",'PARAMÈTRES'!$C$193,IF(W484="HA16",'PARAMÈTRES'!$C$194,0))))))+W495*IF(W490="HA6",'PARAMÈTRES'!$C$189,IF(W490="HA8",'PARAMÈTRES'!$C$190,IF(W490="HA10",'PARAMÈTRES'!$C$191,IF(W490="HA12",'PARAMÈTRES'!$C$192,IF(W490="HA14",'PARAMÈTRES'!$C$193,IF(W490="HA16",'PARAMÈTRES'!$C$194,0))))))+W504*IF(W499="HA6",'PARAMÈTRES'!$C$189,IF(W499="HA8",'PARAMÈTRES'!$C$190,IF(W499="HA10",'PARAMÈTRES'!$C$191,IF(W499="HA12",'PARAMÈTRES'!$C$192,IF(W499="HA14",'PARAMÈTRES'!$C$193,IF(W499="HA16",'PARAMÈTRES'!$C$194,0))))))+W510*IF(W505="HA6",'PARAMÈTRES'!$C$189,IF(W505="HA8",'PARAMÈTRES'!$C$190,IF(W505="HA10",'PARAMÈTRES'!$C$191,IF(W505="HA12",'PARAMÈTRES'!$C$192,IF(W505="HA14",'PARAMÈTRES'!$C$193,IF(W505="HA16",'PARAMÈTRES'!$C$194,0))))))+W519*IF(W514="HA6",'PARAMÈTRES'!$C$189,IF(W514="HA8",'PARAMÈTRES'!$C$190,IF(W514="HA10",'PARAMÈTRES'!$C$191,IF(W514="HA12",'PARAMÈTRES'!$C$192,IF(W514="HA14",'PARAMÈTRES'!$C$193,IF(W514="HA16",'PARAMÈTRES'!$C$194,0))))))+W525*IF(W520="HA6",'PARAMÈTRES'!$C$189,IF(W520="HA8",'PARAMÈTRES'!$C$190,IF(W520="HA10",'PARAMÈTRES'!$C$191,IF(W520="HA12",'PARAMÈTRES'!$C$192,IF(W520="HA14",'PARAMÈTRES'!$C$193,IF(W520="HA16",'PARAMÈTRES'!$C$194,0)))))))*(1+'PARAMÈTRES'!$C$154)+(W483+W498+W513)*'PARAMÈTRES'!$C$198)*(1+'PARAMÈTRES'!$C$155)</f>
        <v>0</v>
      </c>
      <c r="X553">
        <f>(X479*'PARAMÈTRES'!$C$196+(X482+X497+X512)*X373+(X480+X527)*X374+(X489*IF(X484="HA6",'PARAMÈTRES'!$C$189,IF(X484="HA8",'PARAMÈTRES'!$C$190,IF(X484="HA10",'PARAMÈTRES'!$C$191,IF(X484="HA12",'PARAMÈTRES'!$C$192,IF(X484="HA14",'PARAMÈTRES'!$C$193,IF(X484="HA16",'PARAMÈTRES'!$C$194,0))))))+X495*IF(X490="HA6",'PARAMÈTRES'!$C$189,IF(X490="HA8",'PARAMÈTRES'!$C$190,IF(X490="HA10",'PARAMÈTRES'!$C$191,IF(X490="HA12",'PARAMÈTRES'!$C$192,IF(X490="HA14",'PARAMÈTRES'!$C$193,IF(X490="HA16",'PARAMÈTRES'!$C$194,0))))))+X504*IF(X499="HA6",'PARAMÈTRES'!$C$189,IF(X499="HA8",'PARAMÈTRES'!$C$190,IF(X499="HA10",'PARAMÈTRES'!$C$191,IF(X499="HA12",'PARAMÈTRES'!$C$192,IF(X499="HA14",'PARAMÈTRES'!$C$193,IF(X499="HA16",'PARAMÈTRES'!$C$194,0))))))+X510*IF(X505="HA6",'PARAMÈTRES'!$C$189,IF(X505="HA8",'PARAMÈTRES'!$C$190,IF(X505="HA10",'PARAMÈTRES'!$C$191,IF(X505="HA12",'PARAMÈTRES'!$C$192,IF(X505="HA14",'PARAMÈTRES'!$C$193,IF(X505="HA16",'PARAMÈTRES'!$C$194,0))))))+X519*IF(X514="HA6",'PARAMÈTRES'!$C$189,IF(X514="HA8",'PARAMÈTRES'!$C$190,IF(X514="HA10",'PARAMÈTRES'!$C$191,IF(X514="HA12",'PARAMÈTRES'!$C$192,IF(X514="HA14",'PARAMÈTRES'!$C$193,IF(X514="HA16",'PARAMÈTRES'!$C$194,0))))))+X525*IF(X520="HA6",'PARAMÈTRES'!$C$189,IF(X520="HA8",'PARAMÈTRES'!$C$190,IF(X520="HA10",'PARAMÈTRES'!$C$191,IF(X520="HA12",'PARAMÈTRES'!$C$192,IF(X520="HA14",'PARAMÈTRES'!$C$193,IF(X520="HA16",'PARAMÈTRES'!$C$194,0)))))))*(1+'PARAMÈTRES'!$C$154)+(X483+X498+X513)*'PARAMÈTRES'!$C$198)*(1+'PARAMÈTRES'!$C$155)</f>
        <v>18483818.1285521</v>
      </c>
    </row>
    <row r="554">
      <c r="A554" t="inlineStr">
        <is>
          <t>dqe_1_1_q</t>
        </is>
      </c>
      <c r="B554" t="inlineStr">
        <is>
          <t>DQE_DEVIS!E7</t>
        </is>
      </c>
      <c r="D554">
        <f>D355</f>
        <v>10270.1780390206</v>
      </c>
      <c r="E554">
        <f>E355</f>
        <v>10270.1780390206</v>
      </c>
      <c r="F554">
        <f>F355</f>
        <v>8813.45518235398</v>
      </c>
      <c r="G554">
        <f>G355</f>
        <v>11543.2988106959</v>
      </c>
      <c r="H554">
        <f>H355</f>
        <v>11543.2988106959</v>
      </c>
      <c r="I554">
        <f>I355</f>
        <v>10364.4275946959</v>
      </c>
      <c r="J554">
        <f>J355</f>
        <v>14307.9077839643</v>
      </c>
      <c r="K554">
        <f>K355</f>
        <v>14307.9077839643</v>
      </c>
      <c r="L554">
        <f>L355</f>
        <v>12641.1689979643</v>
      </c>
      <c r="M554">
        <f>M355</f>
        <v>16051.4378047435</v>
      </c>
      <c r="N554">
        <f>N355</f>
        <v>16051.4378047435</v>
      </c>
      <c r="O554">
        <f>O355</f>
        <v>14671.9913318546</v>
      </c>
      <c r="P554">
        <f>P355</f>
        <v>25987.8354729895</v>
      </c>
      <c r="Q554">
        <f>Q355</f>
        <v>25987.8354729895</v>
      </c>
      <c r="R554">
        <f>R355</f>
        <v>23692.0092567672</v>
      </c>
      <c r="S554">
        <f>S355</f>
        <v>44985.602988224</v>
      </c>
      <c r="T554">
        <f>T355</f>
        <v>44985.602988224</v>
      </c>
      <c r="U554">
        <f>U355</f>
        <v>42238.396178224</v>
      </c>
      <c r="V554">
        <f>V355</f>
        <v>62380.6580057533</v>
      </c>
      <c r="W554">
        <f>W355</f>
        <v>62380.6580057533</v>
      </c>
      <c r="X554">
        <f>X355</f>
        <v>58406.2056443459</v>
      </c>
    </row>
    <row r="555">
      <c r="A555" t="inlineStr">
        <is>
          <t>dqe_1_1_pu</t>
        </is>
      </c>
      <c r="B555" t="inlineStr">
        <is>
          <t>DQE_DEVIS!F7</t>
        </is>
      </c>
      <c r="D555">
        <f>'PARAMÈTRES'!$C$158</f>
        <v>1150</v>
      </c>
      <c r="E555">
        <f>'PARAMÈTRES'!$C$158</f>
        <v>1150</v>
      </c>
      <c r="F555">
        <f>'PARAMÈTRES'!$C$158</f>
        <v>1150</v>
      </c>
      <c r="G555">
        <f>'PARAMÈTRES'!$C$158</f>
        <v>1150</v>
      </c>
      <c r="H555">
        <f>'PARAMÈTRES'!$C$158</f>
        <v>1150</v>
      </c>
      <c r="I555">
        <f>'PARAMÈTRES'!$C$158</f>
        <v>1150</v>
      </c>
      <c r="J555">
        <f>'PARAMÈTRES'!$C$158</f>
        <v>1150</v>
      </c>
      <c r="K555">
        <f>'PARAMÈTRES'!$C$158</f>
        <v>1150</v>
      </c>
      <c r="L555">
        <f>'PARAMÈTRES'!$C$158</f>
        <v>1150</v>
      </c>
      <c r="M555">
        <f>'PARAMÈTRES'!$C$158</f>
        <v>1150</v>
      </c>
      <c r="N555">
        <f>'PARAMÈTRES'!$C$158</f>
        <v>1150</v>
      </c>
      <c r="O555">
        <f>'PARAMÈTRES'!$C$158</f>
        <v>1150</v>
      </c>
      <c r="P555">
        <f>'PARAMÈTRES'!$C$158</f>
        <v>1150</v>
      </c>
      <c r="Q555">
        <f>'PARAMÈTRES'!$C$158</f>
        <v>1150</v>
      </c>
      <c r="R555">
        <f>'PARAMÈTRES'!$C$158</f>
        <v>1150</v>
      </c>
      <c r="S555">
        <f>'PARAMÈTRES'!$C$158</f>
        <v>1150</v>
      </c>
      <c r="T555">
        <f>'PARAMÈTRES'!$C$158</f>
        <v>1150</v>
      </c>
      <c r="U555">
        <f>'PARAMÈTRES'!$C$158</f>
        <v>1150</v>
      </c>
      <c r="V555">
        <f>'PARAMÈTRES'!$C$158</f>
        <v>1150</v>
      </c>
      <c r="W555">
        <f>'PARAMÈTRES'!$C$158</f>
        <v>1150</v>
      </c>
      <c r="X555">
        <f>'PARAMÈTRES'!$C$158</f>
        <v>1150</v>
      </c>
    </row>
    <row r="556">
      <c r="A556" t="inlineStr">
        <is>
          <t>dqe_1_1_m</t>
        </is>
      </c>
      <c r="B556" t="inlineStr">
        <is>
          <t>DQE_DEVIS!G7</t>
        </is>
      </c>
      <c r="D556">
        <f>D554*D555</f>
        <v>11810704.7448737</v>
      </c>
      <c r="E556">
        <f>E554*E555</f>
        <v>11810704.7448737</v>
      </c>
      <c r="F556">
        <f>F554*F555</f>
        <v>10135473.4597071</v>
      </c>
      <c r="G556">
        <f>G554*G555</f>
        <v>13274793.6323002</v>
      </c>
      <c r="H556">
        <f>H554*H555</f>
        <v>13274793.6323002</v>
      </c>
      <c r="I556">
        <f>I554*I555</f>
        <v>11919091.7339002</v>
      </c>
      <c r="J556">
        <f>J554*J555</f>
        <v>16454093.9515589</v>
      </c>
      <c r="K556">
        <f>K554*K555</f>
        <v>16454093.9515589</v>
      </c>
      <c r="L556">
        <f>L554*L555</f>
        <v>14537344.3476589</v>
      </c>
      <c r="M556">
        <f>M554*M555</f>
        <v>18459153.475455</v>
      </c>
      <c r="N556">
        <f>N554*N555</f>
        <v>18459153.475455</v>
      </c>
      <c r="O556">
        <f>O554*O555</f>
        <v>16872790.0316328</v>
      </c>
      <c r="P556">
        <f>P554*P555</f>
        <v>29886010.7939379</v>
      </c>
      <c r="Q556">
        <f>Q554*Q555</f>
        <v>29886010.7939379</v>
      </c>
      <c r="R556">
        <f>R554*R555</f>
        <v>27245810.6452823</v>
      </c>
      <c r="S556">
        <f>S554*S555</f>
        <v>51733443.4364576</v>
      </c>
      <c r="T556">
        <f>T554*T555</f>
        <v>51733443.4364576</v>
      </c>
      <c r="U556">
        <f>U554*U555</f>
        <v>48574155.6049576</v>
      </c>
      <c r="V556">
        <f>V554*V555</f>
        <v>71737756.7066163</v>
      </c>
      <c r="W556">
        <f>W554*W555</f>
        <v>71737756.7066163</v>
      </c>
      <c r="X556">
        <f>X554*X555</f>
        <v>67167136.4909978</v>
      </c>
    </row>
    <row r="557">
      <c r="A557" t="inlineStr">
        <is>
          <t>dqe_1_2_q</t>
        </is>
      </c>
      <c r="B557" t="inlineStr">
        <is>
          <t>DQE_DEVIS!E8</t>
        </is>
      </c>
      <c r="D557">
        <f>D355</f>
        <v>10270.1780390206</v>
      </c>
      <c r="E557">
        <f>E355</f>
        <v>10270.1780390206</v>
      </c>
      <c r="F557">
        <f>F355</f>
        <v>8813.45518235398</v>
      </c>
      <c r="G557">
        <f>G355</f>
        <v>11543.2988106959</v>
      </c>
      <c r="H557">
        <f>H355</f>
        <v>11543.2988106959</v>
      </c>
      <c r="I557">
        <f>I355</f>
        <v>10364.4275946959</v>
      </c>
      <c r="J557">
        <f>J355</f>
        <v>14307.9077839643</v>
      </c>
      <c r="K557">
        <f>K355</f>
        <v>14307.9077839643</v>
      </c>
      <c r="L557">
        <f>L355</f>
        <v>12641.1689979643</v>
      </c>
      <c r="M557">
        <f>M355</f>
        <v>16051.4378047435</v>
      </c>
      <c r="N557">
        <f>N355</f>
        <v>16051.4378047435</v>
      </c>
      <c r="O557">
        <f>O355</f>
        <v>14671.9913318546</v>
      </c>
      <c r="P557">
        <f>P355</f>
        <v>25987.8354729895</v>
      </c>
      <c r="Q557">
        <f>Q355</f>
        <v>25987.8354729895</v>
      </c>
      <c r="R557">
        <f>R355</f>
        <v>23692.0092567672</v>
      </c>
      <c r="S557">
        <f>S355</f>
        <v>44985.602988224</v>
      </c>
      <c r="T557">
        <f>T355</f>
        <v>44985.602988224</v>
      </c>
      <c r="U557">
        <f>U355</f>
        <v>42238.396178224</v>
      </c>
      <c r="V557">
        <f>V355</f>
        <v>62380.6580057533</v>
      </c>
      <c r="W557">
        <f>W355</f>
        <v>62380.6580057533</v>
      </c>
      <c r="X557">
        <f>X355</f>
        <v>58406.2056443459</v>
      </c>
    </row>
    <row r="558">
      <c r="A558" t="inlineStr">
        <is>
          <t>dqe_1_2_pu</t>
        </is>
      </c>
      <c r="B558" t="inlineStr">
        <is>
          <t>DQE_DEVIS!F8</t>
        </is>
      </c>
      <c r="D558">
        <f>'PARAMÈTRES'!$C$159</f>
        <v>250</v>
      </c>
      <c r="E558">
        <f>'PARAMÈTRES'!$C$159</f>
        <v>250</v>
      </c>
      <c r="F558">
        <f>'PARAMÈTRES'!$C$159</f>
        <v>250</v>
      </c>
      <c r="G558">
        <f>'PARAMÈTRES'!$C$159</f>
        <v>250</v>
      </c>
      <c r="H558">
        <f>'PARAMÈTRES'!$C$159</f>
        <v>250</v>
      </c>
      <c r="I558">
        <f>'PARAMÈTRES'!$C$159</f>
        <v>250</v>
      </c>
      <c r="J558">
        <f>'PARAMÈTRES'!$C$159</f>
        <v>250</v>
      </c>
      <c r="K558">
        <f>'PARAMÈTRES'!$C$159</f>
        <v>250</v>
      </c>
      <c r="L558">
        <f>'PARAMÈTRES'!$C$159</f>
        <v>250</v>
      </c>
      <c r="M558">
        <f>'PARAMÈTRES'!$C$159</f>
        <v>250</v>
      </c>
      <c r="N558">
        <f>'PARAMÈTRES'!$C$159</f>
        <v>250</v>
      </c>
      <c r="O558">
        <f>'PARAMÈTRES'!$C$159</f>
        <v>250</v>
      </c>
      <c r="P558">
        <f>'PARAMÈTRES'!$C$159</f>
        <v>250</v>
      </c>
      <c r="Q558">
        <f>'PARAMÈTRES'!$C$159</f>
        <v>250</v>
      </c>
      <c r="R558">
        <f>'PARAMÈTRES'!$C$159</f>
        <v>250</v>
      </c>
      <c r="S558">
        <f>'PARAMÈTRES'!$C$159</f>
        <v>250</v>
      </c>
      <c r="T558">
        <f>'PARAMÈTRES'!$C$159</f>
        <v>250</v>
      </c>
      <c r="U558">
        <f>'PARAMÈTRES'!$C$159</f>
        <v>250</v>
      </c>
      <c r="V558">
        <f>'PARAMÈTRES'!$C$159</f>
        <v>250</v>
      </c>
      <c r="W558">
        <f>'PARAMÈTRES'!$C$159</f>
        <v>250</v>
      </c>
      <c r="X558">
        <f>'PARAMÈTRES'!$C$159</f>
        <v>250</v>
      </c>
    </row>
    <row r="559">
      <c r="A559" t="inlineStr">
        <is>
          <t>dqe_1_2_m</t>
        </is>
      </c>
      <c r="B559" t="inlineStr">
        <is>
          <t>DQE_DEVIS!G8</t>
        </is>
      </c>
      <c r="D559">
        <f>D557*D558</f>
        <v>2567544.50975516</v>
      </c>
      <c r="E559">
        <f>E557*E558</f>
        <v>2567544.50975516</v>
      </c>
      <c r="F559">
        <f>F557*F558</f>
        <v>2203363.79558849</v>
      </c>
      <c r="G559">
        <f>G557*G558</f>
        <v>2885824.70267397</v>
      </c>
      <c r="H559">
        <f>H557*H558</f>
        <v>2885824.70267397</v>
      </c>
      <c r="I559">
        <f>I557*I558</f>
        <v>2591106.89867397</v>
      </c>
      <c r="J559">
        <f>J557*J558</f>
        <v>3576976.94599107</v>
      </c>
      <c r="K559">
        <f>K557*K558</f>
        <v>3576976.94599107</v>
      </c>
      <c r="L559">
        <f>L557*L558</f>
        <v>3160292.24949107</v>
      </c>
      <c r="M559">
        <f>M557*M558</f>
        <v>4012859.45118586</v>
      </c>
      <c r="N559">
        <f>N557*N558</f>
        <v>4012859.45118586</v>
      </c>
      <c r="O559">
        <f>O557*O558</f>
        <v>3667997.83296364</v>
      </c>
      <c r="P559">
        <f>P557*P558</f>
        <v>6496958.86824736</v>
      </c>
      <c r="Q559">
        <f>Q557*Q558</f>
        <v>6496958.86824736</v>
      </c>
      <c r="R559">
        <f>R557*R558</f>
        <v>5923002.31419181</v>
      </c>
      <c r="S559">
        <f>S557*S558</f>
        <v>11246400.747056</v>
      </c>
      <c r="T559">
        <f>T557*T558</f>
        <v>11246400.747056</v>
      </c>
      <c r="U559">
        <f>U557*U558</f>
        <v>10559599.044556</v>
      </c>
      <c r="V559">
        <f>V557*V558</f>
        <v>15595164.5014383</v>
      </c>
      <c r="W559">
        <f>W557*W558</f>
        <v>15595164.5014383</v>
      </c>
      <c r="X559">
        <f>X557*X558</f>
        <v>14601551.4110865</v>
      </c>
    </row>
    <row r="560">
      <c r="A560" t="inlineStr">
        <is>
          <t>dqe_1_3_q</t>
        </is>
      </c>
      <c r="B560" t="inlineStr">
        <is>
          <t>DQE_DEVIS!E9</t>
        </is>
      </c>
      <c r="D560">
        <f>IF('PARAMÈTRES'!$C$59="Galvanisation à chaud",D358,D359)</f>
        <v>9563.23622763871</v>
      </c>
      <c r="E560">
        <f>IF('PARAMÈTRES'!$C$59="Galvanisation à chaud",E358,E359)</f>
        <v>9563.23622763871</v>
      </c>
      <c r="F560">
        <f>IF('PARAMÈTRES'!$C$59="Galvanisation à chaud",F358,F359)</f>
        <v>8195.69064986093</v>
      </c>
      <c r="G560">
        <f>IF('PARAMÈTRES'!$C$59="Galvanisation à chaud",G358,G359)</f>
        <v>10788.1297296223</v>
      </c>
      <c r="H560">
        <f>IF('PARAMÈTRES'!$C$59="Galvanisation à chaud",H358,H359)</f>
        <v>10788.1297296223</v>
      </c>
      <c r="I560">
        <f>IF('PARAMÈTRES'!$C$59="Galvanisation à chaud",I358,I359)</f>
        <v>9686.3809296223</v>
      </c>
      <c r="J560">
        <f>IF('PARAMÈTRES'!$C$59="Galvanisation à chaud",J358,J359)</f>
        <v>13371.8764336115</v>
      </c>
      <c r="K560">
        <f>IF('PARAMÈTRES'!$C$59="Galvanisation à chaud",K358,K359)</f>
        <v>13371.8764336115</v>
      </c>
      <c r="L560">
        <f>IF('PARAMÈTRES'!$C$59="Galvanisation à chaud",L358,L359)</f>
        <v>11814.1766336115</v>
      </c>
      <c r="M560">
        <f>IF('PARAMÈTRES'!$C$59="Galvanisation à chaud",M358,M359)</f>
        <v>15001.3437427509</v>
      </c>
      <c r="N560">
        <f>IF('PARAMÈTRES'!$C$59="Galvanisation à chaud",N358,N359)</f>
        <v>15001.3437427509</v>
      </c>
      <c r="O560">
        <f>IF('PARAMÈTRES'!$C$59="Galvanisation à chaud",O358,O359)</f>
        <v>13712.1414316398</v>
      </c>
      <c r="P560">
        <f>IF('PARAMÈTRES'!$C$59="Galvanisation à chaud",P358,P359)</f>
        <v>24287.6967037285</v>
      </c>
      <c r="Q560">
        <f>IF('PARAMÈTRES'!$C$59="Galvanisation à chaud",Q358,Q359)</f>
        <v>24287.6967037285</v>
      </c>
      <c r="R560">
        <f>IF('PARAMÈTRES'!$C$59="Galvanisation à chaud",R358,R359)</f>
        <v>22142.0647259507</v>
      </c>
      <c r="S560">
        <f>IF('PARAMÈTRES'!$C$59="Galvanisation à chaud",S358,S359)</f>
        <v>42042.6196151626</v>
      </c>
      <c r="T560">
        <f>IF('PARAMÈTRES'!$C$59="Galvanisation à chaud",T358,T359)</f>
        <v>42042.6196151626</v>
      </c>
      <c r="U560">
        <f>IF('PARAMÈTRES'!$C$59="Galvanisation à chaud",U358,U359)</f>
        <v>39475.1366151626</v>
      </c>
      <c r="V560">
        <f>IF('PARAMÈTRES'!$C$59="Galvanisation à chaud",V358,V359)</f>
        <v>58299.6803792087</v>
      </c>
      <c r="W560">
        <f>IF('PARAMÈTRES'!$C$59="Galvanisation à chaud",W358,W359)</f>
        <v>58299.6803792087</v>
      </c>
      <c r="X560">
        <f>IF('PARAMÈTRES'!$C$59="Galvanisation à chaud",X358,X359)</f>
        <v>54585.2389199494</v>
      </c>
    </row>
    <row r="561">
      <c r="A561" t="inlineStr">
        <is>
          <t>dqe_1_3_pu</t>
        </is>
      </c>
      <c r="B561" t="inlineStr">
        <is>
          <t>DQE_DEVIS!F9</t>
        </is>
      </c>
      <c r="D561">
        <f>IF('PARAMÈTRES'!$C$59="Galvanisation à chaud",'PARAMÈTRES'!$C$160,'PARAMÈTRES'!$C$161)</f>
        <v>450</v>
      </c>
      <c r="E561">
        <f>IF('PARAMÈTRES'!$C$59="Galvanisation à chaud",'PARAMÈTRES'!$C$160,'PARAMÈTRES'!$C$161)</f>
        <v>450</v>
      </c>
      <c r="F561">
        <f>IF('PARAMÈTRES'!$C$59="Galvanisation à chaud",'PARAMÈTRES'!$C$160,'PARAMÈTRES'!$C$161)</f>
        <v>450</v>
      </c>
      <c r="G561">
        <f>IF('PARAMÈTRES'!$C$59="Galvanisation à chaud",'PARAMÈTRES'!$C$160,'PARAMÈTRES'!$C$161)</f>
        <v>450</v>
      </c>
      <c r="H561">
        <f>IF('PARAMÈTRES'!$C$59="Galvanisation à chaud",'PARAMÈTRES'!$C$160,'PARAMÈTRES'!$C$161)</f>
        <v>450</v>
      </c>
      <c r="I561">
        <f>IF('PARAMÈTRES'!$C$59="Galvanisation à chaud",'PARAMÈTRES'!$C$160,'PARAMÈTRES'!$C$161)</f>
        <v>450</v>
      </c>
      <c r="J561">
        <f>IF('PARAMÈTRES'!$C$59="Galvanisation à chaud",'PARAMÈTRES'!$C$160,'PARAMÈTRES'!$C$161)</f>
        <v>450</v>
      </c>
      <c r="K561">
        <f>IF('PARAMÈTRES'!$C$59="Galvanisation à chaud",'PARAMÈTRES'!$C$160,'PARAMÈTRES'!$C$161)</f>
        <v>450</v>
      </c>
      <c r="L561">
        <f>IF('PARAMÈTRES'!$C$59="Galvanisation à chaud",'PARAMÈTRES'!$C$160,'PARAMÈTRES'!$C$161)</f>
        <v>450</v>
      </c>
      <c r="M561">
        <f>IF('PARAMÈTRES'!$C$59="Galvanisation à chaud",'PARAMÈTRES'!$C$160,'PARAMÈTRES'!$C$161)</f>
        <v>450</v>
      </c>
      <c r="N561">
        <f>IF('PARAMÈTRES'!$C$59="Galvanisation à chaud",'PARAMÈTRES'!$C$160,'PARAMÈTRES'!$C$161)</f>
        <v>450</v>
      </c>
      <c r="O561">
        <f>IF('PARAMÈTRES'!$C$59="Galvanisation à chaud",'PARAMÈTRES'!$C$160,'PARAMÈTRES'!$C$161)</f>
        <v>450</v>
      </c>
      <c r="P561">
        <f>IF('PARAMÈTRES'!$C$59="Galvanisation à chaud",'PARAMÈTRES'!$C$160,'PARAMÈTRES'!$C$161)</f>
        <v>450</v>
      </c>
      <c r="Q561">
        <f>IF('PARAMÈTRES'!$C$59="Galvanisation à chaud",'PARAMÈTRES'!$C$160,'PARAMÈTRES'!$C$161)</f>
        <v>450</v>
      </c>
      <c r="R561">
        <f>IF('PARAMÈTRES'!$C$59="Galvanisation à chaud",'PARAMÈTRES'!$C$160,'PARAMÈTRES'!$C$161)</f>
        <v>450</v>
      </c>
      <c r="S561">
        <f>IF('PARAMÈTRES'!$C$59="Galvanisation à chaud",'PARAMÈTRES'!$C$160,'PARAMÈTRES'!$C$161)</f>
        <v>450</v>
      </c>
      <c r="T561">
        <f>IF('PARAMÈTRES'!$C$59="Galvanisation à chaud",'PARAMÈTRES'!$C$160,'PARAMÈTRES'!$C$161)</f>
        <v>450</v>
      </c>
      <c r="U561">
        <f>IF('PARAMÈTRES'!$C$59="Galvanisation à chaud",'PARAMÈTRES'!$C$160,'PARAMÈTRES'!$C$161)</f>
        <v>450</v>
      </c>
      <c r="V561">
        <f>IF('PARAMÈTRES'!$C$59="Galvanisation à chaud",'PARAMÈTRES'!$C$160,'PARAMÈTRES'!$C$161)</f>
        <v>450</v>
      </c>
      <c r="W561">
        <f>IF('PARAMÈTRES'!$C$59="Galvanisation à chaud",'PARAMÈTRES'!$C$160,'PARAMÈTRES'!$C$161)</f>
        <v>450</v>
      </c>
      <c r="X561">
        <f>IF('PARAMÈTRES'!$C$59="Galvanisation à chaud",'PARAMÈTRES'!$C$160,'PARAMÈTRES'!$C$161)</f>
        <v>450</v>
      </c>
    </row>
    <row r="562">
      <c r="A562" t="inlineStr">
        <is>
          <t>dqe_1_3_m</t>
        </is>
      </c>
      <c r="B562" t="inlineStr">
        <is>
          <t>DQE_DEVIS!G9</t>
        </is>
      </c>
      <c r="D562">
        <f>D560*D561</f>
        <v>4303456.30243742</v>
      </c>
      <c r="E562">
        <f>E560*E561</f>
        <v>4303456.30243742</v>
      </c>
      <c r="F562">
        <f>F560*F561</f>
        <v>3688060.79243742</v>
      </c>
      <c r="G562">
        <f>G560*G561</f>
        <v>4854658.37833004</v>
      </c>
      <c r="H562">
        <f>H560*H561</f>
        <v>4854658.37833004</v>
      </c>
      <c r="I562">
        <f>I560*I561</f>
        <v>4358871.41833004</v>
      </c>
      <c r="J562">
        <f>J560*J561</f>
        <v>6017344.39512517</v>
      </c>
      <c r="K562">
        <f>K560*K561</f>
        <v>6017344.39512517</v>
      </c>
      <c r="L562">
        <f>L560*L561</f>
        <v>5316379.48512517</v>
      </c>
      <c r="M562">
        <f>M560*M561</f>
        <v>6750604.6842379</v>
      </c>
      <c r="N562">
        <f>N560*N561</f>
        <v>6750604.6842379</v>
      </c>
      <c r="O562">
        <f>O560*O561</f>
        <v>6170463.6442379</v>
      </c>
      <c r="P562">
        <f>P560*P561</f>
        <v>10929463.5166778</v>
      </c>
      <c r="Q562">
        <f>Q560*Q561</f>
        <v>10929463.5166778</v>
      </c>
      <c r="R562">
        <f>R560*R561</f>
        <v>9963929.12667781</v>
      </c>
      <c r="S562">
        <f>S560*S561</f>
        <v>18919178.8268232</v>
      </c>
      <c r="T562">
        <f>T560*T561</f>
        <v>18919178.8268232</v>
      </c>
      <c r="U562">
        <f>U560*U561</f>
        <v>17763811.4768232</v>
      </c>
      <c r="V562">
        <f>V560*V561</f>
        <v>26234856.1706439</v>
      </c>
      <c r="W562">
        <f>W560*W561</f>
        <v>26234856.1706439</v>
      </c>
      <c r="X562">
        <f>X560*X561</f>
        <v>24563357.5139773</v>
      </c>
    </row>
    <row r="563">
      <c r="A563" t="inlineStr">
        <is>
          <t>dqe_1_4_q</t>
        </is>
      </c>
      <c r="B563" t="inlineStr">
        <is>
          <t>DQE_DEVIS!E10</t>
        </is>
      </c>
      <c r="D563">
        <f>D332+D338</f>
        <v>52</v>
      </c>
      <c r="E563">
        <f>E332+E338</f>
        <v>52</v>
      </c>
      <c r="F563">
        <f>F332+F338</f>
        <v>52</v>
      </c>
      <c r="G563">
        <f>G332+G338</f>
        <v>48</v>
      </c>
      <c r="H563">
        <f>H332+H338</f>
        <v>48</v>
      </c>
      <c r="I563">
        <f>I332+I338</f>
        <v>48</v>
      </c>
      <c r="J563">
        <f>J332+J338</f>
        <v>56</v>
      </c>
      <c r="K563">
        <f>K332+K338</f>
        <v>56</v>
      </c>
      <c r="L563">
        <f>L332+L338</f>
        <v>56</v>
      </c>
      <c r="M563">
        <f>M332+M338</f>
        <v>52</v>
      </c>
      <c r="N563">
        <f>N332+N338</f>
        <v>52</v>
      </c>
      <c r="O563">
        <f>O332+O338</f>
        <v>52</v>
      </c>
      <c r="P563">
        <f>P332+P338</f>
        <v>76</v>
      </c>
      <c r="Q563">
        <f>Q332+Q338</f>
        <v>76</v>
      </c>
      <c r="R563">
        <f>R332+R338</f>
        <v>76</v>
      </c>
      <c r="S563">
        <f>S332+S338</f>
        <v>80</v>
      </c>
      <c r="T563">
        <f>T332+T338</f>
        <v>80</v>
      </c>
      <c r="U563">
        <f>U332+U338</f>
        <v>80</v>
      </c>
      <c r="V563">
        <f>V332+V338</f>
        <v>88</v>
      </c>
      <c r="W563">
        <f>W332+W338</f>
        <v>88</v>
      </c>
      <c r="X563">
        <f>X332+X338</f>
        <v>88</v>
      </c>
    </row>
    <row r="564">
      <c r="A564" t="inlineStr">
        <is>
          <t>dqe_1_4_pu</t>
        </is>
      </c>
      <c r="B564" t="inlineStr">
        <is>
          <t>DQE_DEVIS!F10</t>
        </is>
      </c>
      <c r="D564">
        <f>'PARAMÈTRES'!$C$162</f>
        <v>6000</v>
      </c>
      <c r="E564">
        <f>'PARAMÈTRES'!$C$162</f>
        <v>6000</v>
      </c>
      <c r="F564">
        <f>'PARAMÈTRES'!$C$162</f>
        <v>6000</v>
      </c>
      <c r="G564">
        <f>'PARAMÈTRES'!$C$162</f>
        <v>6000</v>
      </c>
      <c r="H564">
        <f>'PARAMÈTRES'!$C$162</f>
        <v>6000</v>
      </c>
      <c r="I564">
        <f>'PARAMÈTRES'!$C$162</f>
        <v>6000</v>
      </c>
      <c r="J564">
        <f>'PARAMÈTRES'!$C$162</f>
        <v>6000</v>
      </c>
      <c r="K564">
        <f>'PARAMÈTRES'!$C$162</f>
        <v>6000</v>
      </c>
      <c r="L564">
        <f>'PARAMÈTRES'!$C$162</f>
        <v>6000</v>
      </c>
      <c r="M564">
        <f>'PARAMÈTRES'!$C$162</f>
        <v>6000</v>
      </c>
      <c r="N564">
        <f>'PARAMÈTRES'!$C$162</f>
        <v>6000</v>
      </c>
      <c r="O564">
        <f>'PARAMÈTRES'!$C$162</f>
        <v>6000</v>
      </c>
      <c r="P564">
        <f>'PARAMÈTRES'!$C$162</f>
        <v>6000</v>
      </c>
      <c r="Q564">
        <f>'PARAMÈTRES'!$C$162</f>
        <v>6000</v>
      </c>
      <c r="R564">
        <f>'PARAMÈTRES'!$C$162</f>
        <v>6000</v>
      </c>
      <c r="S564">
        <f>'PARAMÈTRES'!$C$162</f>
        <v>6000</v>
      </c>
      <c r="T564">
        <f>'PARAMÈTRES'!$C$162</f>
        <v>6000</v>
      </c>
      <c r="U564">
        <f>'PARAMÈTRES'!$C$162</f>
        <v>6000</v>
      </c>
      <c r="V564">
        <f>'PARAMÈTRES'!$C$162</f>
        <v>6000</v>
      </c>
      <c r="W564">
        <f>'PARAMÈTRES'!$C$162</f>
        <v>6000</v>
      </c>
      <c r="X564">
        <f>'PARAMÈTRES'!$C$162</f>
        <v>6000</v>
      </c>
    </row>
    <row r="565">
      <c r="A565" t="inlineStr">
        <is>
          <t>dqe_1_4_m</t>
        </is>
      </c>
      <c r="B565" t="inlineStr">
        <is>
          <t>DQE_DEVIS!G10</t>
        </is>
      </c>
      <c r="D565">
        <f>D563*D564</f>
        <v>312000</v>
      </c>
      <c r="E565">
        <f>E563*E564</f>
        <v>312000</v>
      </c>
      <c r="F565">
        <f>F563*F564</f>
        <v>312000</v>
      </c>
      <c r="G565">
        <f>G563*G564</f>
        <v>288000</v>
      </c>
      <c r="H565">
        <f>H563*H564</f>
        <v>288000</v>
      </c>
      <c r="I565">
        <f>I563*I564</f>
        <v>288000</v>
      </c>
      <c r="J565">
        <f>J563*J564</f>
        <v>336000</v>
      </c>
      <c r="K565">
        <f>K563*K564</f>
        <v>336000</v>
      </c>
      <c r="L565">
        <f>L563*L564</f>
        <v>336000</v>
      </c>
      <c r="M565">
        <f>M563*M564</f>
        <v>312000</v>
      </c>
      <c r="N565">
        <f>N563*N564</f>
        <v>312000</v>
      </c>
      <c r="O565">
        <f>O563*O564</f>
        <v>312000</v>
      </c>
      <c r="P565">
        <f>P563*P564</f>
        <v>456000</v>
      </c>
      <c r="Q565">
        <f>Q563*Q564</f>
        <v>456000</v>
      </c>
      <c r="R565">
        <f>R563*R564</f>
        <v>456000</v>
      </c>
      <c r="S565">
        <f>S563*S564</f>
        <v>480000</v>
      </c>
      <c r="T565">
        <f>T563*T564</f>
        <v>480000</v>
      </c>
      <c r="U565">
        <f>U563*U564</f>
        <v>480000</v>
      </c>
      <c r="V565">
        <f>V563*V564</f>
        <v>528000</v>
      </c>
      <c r="W565">
        <f>W563*W564</f>
        <v>528000</v>
      </c>
      <c r="X565">
        <f>X563*X564</f>
        <v>528000</v>
      </c>
    </row>
    <row r="566">
      <c r="A566" t="inlineStr">
        <is>
          <t>dqe_1_5_q</t>
        </is>
      </c>
      <c r="B566" t="inlineStr">
        <is>
          <t>DQE_DEVIS!E11</t>
        </is>
      </c>
      <c r="D566">
        <f>D348</f>
        <v>14</v>
      </c>
      <c r="E566">
        <f>E348</f>
        <v>14</v>
      </c>
      <c r="F566">
        <f>F348</f>
        <v>14</v>
      </c>
      <c r="G566">
        <f>G348</f>
        <v>14</v>
      </c>
      <c r="H566">
        <f>H348</f>
        <v>14</v>
      </c>
      <c r="I566">
        <f>I348</f>
        <v>14</v>
      </c>
      <c r="J566">
        <f>J348</f>
        <v>16</v>
      </c>
      <c r="K566">
        <f>K348</f>
        <v>16</v>
      </c>
      <c r="L566">
        <f>L348</f>
        <v>16</v>
      </c>
      <c r="M566">
        <f>M348</f>
        <v>16</v>
      </c>
      <c r="N566">
        <f>N348</f>
        <v>16</v>
      </c>
      <c r="O566">
        <f>O348</f>
        <v>16</v>
      </c>
      <c r="P566">
        <f>P348</f>
        <v>22</v>
      </c>
      <c r="Q566">
        <f>Q348</f>
        <v>22</v>
      </c>
      <c r="R566">
        <f>R348</f>
        <v>22</v>
      </c>
      <c r="S566">
        <f>S348</f>
        <v>24</v>
      </c>
      <c r="T566">
        <f>T348</f>
        <v>24</v>
      </c>
      <c r="U566">
        <f>U348</f>
        <v>24</v>
      </c>
      <c r="V566">
        <f>V348</f>
        <v>28</v>
      </c>
      <c r="W566">
        <f>W348</f>
        <v>28</v>
      </c>
      <c r="X566">
        <f>X348</f>
        <v>28</v>
      </c>
    </row>
    <row r="567">
      <c r="A567" t="inlineStr">
        <is>
          <t>dqe_1_5_pu</t>
        </is>
      </c>
      <c r="B567" t="inlineStr">
        <is>
          <t>DQE_DEVIS!F11</t>
        </is>
      </c>
      <c r="D567">
        <f>'PARAMÈTRES'!$C$163</f>
        <v>7500</v>
      </c>
      <c r="E567">
        <f>'PARAMÈTRES'!$C$163</f>
        <v>7500</v>
      </c>
      <c r="F567">
        <f>'PARAMÈTRES'!$C$163</f>
        <v>7500</v>
      </c>
      <c r="G567">
        <f>'PARAMÈTRES'!$C$163</f>
        <v>7500</v>
      </c>
      <c r="H567">
        <f>'PARAMÈTRES'!$C$163</f>
        <v>7500</v>
      </c>
      <c r="I567">
        <f>'PARAMÈTRES'!$C$163</f>
        <v>7500</v>
      </c>
      <c r="J567">
        <f>'PARAMÈTRES'!$C$163</f>
        <v>7500</v>
      </c>
      <c r="K567">
        <f>'PARAMÈTRES'!$C$163</f>
        <v>7500</v>
      </c>
      <c r="L567">
        <f>'PARAMÈTRES'!$C$163</f>
        <v>7500</v>
      </c>
      <c r="M567">
        <f>'PARAMÈTRES'!$C$163</f>
        <v>7500</v>
      </c>
      <c r="N567">
        <f>'PARAMÈTRES'!$C$163</f>
        <v>7500</v>
      </c>
      <c r="O567">
        <f>'PARAMÈTRES'!$C$163</f>
        <v>7500</v>
      </c>
      <c r="P567">
        <f>'PARAMÈTRES'!$C$163</f>
        <v>7500</v>
      </c>
      <c r="Q567">
        <f>'PARAMÈTRES'!$C$163</f>
        <v>7500</v>
      </c>
      <c r="R567">
        <f>'PARAMÈTRES'!$C$163</f>
        <v>7500</v>
      </c>
      <c r="S567">
        <f>'PARAMÈTRES'!$C$163</f>
        <v>7500</v>
      </c>
      <c r="T567">
        <f>'PARAMÈTRES'!$C$163</f>
        <v>7500</v>
      </c>
      <c r="U567">
        <f>'PARAMÈTRES'!$C$163</f>
        <v>7500</v>
      </c>
      <c r="V567">
        <f>'PARAMÈTRES'!$C$163</f>
        <v>7500</v>
      </c>
      <c r="W567">
        <f>'PARAMÈTRES'!$C$163</f>
        <v>7500</v>
      </c>
      <c r="X567">
        <f>'PARAMÈTRES'!$C$163</f>
        <v>7500</v>
      </c>
    </row>
    <row r="568">
      <c r="A568" t="inlineStr">
        <is>
          <t>dqe_1_5_m</t>
        </is>
      </c>
      <c r="B568" t="inlineStr">
        <is>
          <t>DQE_DEVIS!G11</t>
        </is>
      </c>
      <c r="D568">
        <f>D566*D567</f>
        <v>105000</v>
      </c>
      <c r="E568">
        <f>E566*E567</f>
        <v>105000</v>
      </c>
      <c r="F568">
        <f>F566*F567</f>
        <v>105000</v>
      </c>
      <c r="G568">
        <f>G566*G567</f>
        <v>105000</v>
      </c>
      <c r="H568">
        <f>H566*H567</f>
        <v>105000</v>
      </c>
      <c r="I568">
        <f>I566*I567</f>
        <v>105000</v>
      </c>
      <c r="J568">
        <f>J566*J567</f>
        <v>120000</v>
      </c>
      <c r="K568">
        <f>K566*K567</f>
        <v>120000</v>
      </c>
      <c r="L568">
        <f>L566*L567</f>
        <v>120000</v>
      </c>
      <c r="M568">
        <f>M566*M567</f>
        <v>120000</v>
      </c>
      <c r="N568">
        <f>N566*N567</f>
        <v>120000</v>
      </c>
      <c r="O568">
        <f>O566*O567</f>
        <v>120000</v>
      </c>
      <c r="P568">
        <f>P566*P567</f>
        <v>165000</v>
      </c>
      <c r="Q568">
        <f>Q566*Q567</f>
        <v>165000</v>
      </c>
      <c r="R568">
        <f>R566*R567</f>
        <v>165000</v>
      </c>
      <c r="S568">
        <f>S566*S567</f>
        <v>180000</v>
      </c>
      <c r="T568">
        <f>T566*T567</f>
        <v>180000</v>
      </c>
      <c r="U568">
        <f>U566*U567</f>
        <v>180000</v>
      </c>
      <c r="V568">
        <f>V566*V567</f>
        <v>210000</v>
      </c>
      <c r="W568">
        <f>W566*W567</f>
        <v>210000</v>
      </c>
      <c r="X568">
        <f>X566*X567</f>
        <v>210000</v>
      </c>
    </row>
    <row r="569">
      <c r="A569" t="inlineStr">
        <is>
          <t>st1</t>
        </is>
      </c>
      <c r="B569" t="inlineStr">
        <is>
          <t>DQE_DEVIS!G12</t>
        </is>
      </c>
      <c r="D569">
        <f>D556+D559+D562+D565+D568</f>
        <v>19098705.5570663</v>
      </c>
      <c r="E569">
        <f>E556+E559+E562+E565+E568</f>
        <v>19098705.5570663</v>
      </c>
      <c r="F569">
        <f>F556+F559+F562+F565+F568</f>
        <v>16443898.047733</v>
      </c>
      <c r="G569">
        <f>G556+G559+G562+G565+G568</f>
        <v>21408276.7133042</v>
      </c>
      <c r="H569">
        <f>H556+H559+H562+H565+H568</f>
        <v>21408276.7133042</v>
      </c>
      <c r="I569">
        <f>I556+I559+I562+I565+I568</f>
        <v>19262070.0509042</v>
      </c>
      <c r="J569">
        <f>J556+J559+J562+J565+J568</f>
        <v>26504415.2926752</v>
      </c>
      <c r="K569">
        <f>K556+K559+K562+K565+K568</f>
        <v>26504415.2926752</v>
      </c>
      <c r="L569">
        <f>L556+L559+L562+L565+L568</f>
        <v>23470016.0822752</v>
      </c>
      <c r="M569">
        <f>M556+M559+M562+M565+M568</f>
        <v>29654617.6108787</v>
      </c>
      <c r="N569">
        <f>N556+N559+N562+N565+N568</f>
        <v>29654617.6108787</v>
      </c>
      <c r="O569">
        <f>O556+O559+O562+O565+O568</f>
        <v>27143251.5088343</v>
      </c>
      <c r="P569">
        <f>P556+P559+P562+P565+P568</f>
        <v>47933433.178863</v>
      </c>
      <c r="Q569">
        <f>Q556+Q559+Q562+Q565+Q568</f>
        <v>47933433.178863</v>
      </c>
      <c r="R569">
        <f>R556+R559+R562+R565+R568</f>
        <v>43753742.0861519</v>
      </c>
      <c r="S569">
        <f>S556+S559+S562+S565+S568</f>
        <v>82559023.0103368</v>
      </c>
      <c r="T569">
        <f>T556+T559+T562+T565+T568</f>
        <v>82559023.0103368</v>
      </c>
      <c r="U569">
        <f>U556+U559+U562+U565+U568</f>
        <v>77557566.1263368</v>
      </c>
      <c r="V569">
        <f>V556+V559+V562+V565+V568</f>
        <v>114305777.378699</v>
      </c>
      <c r="W569">
        <f>W556+W559+W562+W565+W568</f>
        <v>114305777.378699</v>
      </c>
      <c r="X569">
        <f>X556+X559+X562+X565+X568</f>
        <v>107070045.416062</v>
      </c>
    </row>
    <row r="570">
      <c r="A570" t="inlineStr">
        <is>
          <t>dqe_2_1_q</t>
        </is>
      </c>
      <c r="B570" t="inlineStr">
        <is>
          <t>DQE_DEVIS!E15</t>
        </is>
      </c>
      <c r="D570">
        <f>D256</f>
        <v>304.132048300695</v>
      </c>
      <c r="E570">
        <f>E256</f>
        <v>304.132048300695</v>
      </c>
      <c r="F570">
        <f>F256</f>
        <v>304.132048300695</v>
      </c>
      <c r="G570">
        <f>G256</f>
        <v>307.170205636976</v>
      </c>
      <c r="H570">
        <f>H256</f>
        <v>307.170205636976</v>
      </c>
      <c r="I570">
        <f>I256</f>
        <v>307.170205636976</v>
      </c>
      <c r="J570">
        <f>J256</f>
        <v>459.078072451042</v>
      </c>
      <c r="K570">
        <f>K256</f>
        <v>459.078072451042</v>
      </c>
      <c r="L570">
        <f>L256</f>
        <v>459.078072451042</v>
      </c>
      <c r="M570">
        <f>M256</f>
        <v>411.480274182634</v>
      </c>
      <c r="N570">
        <f>N256</f>
        <v>411.480274182634</v>
      </c>
      <c r="O570">
        <f>O256</f>
        <v>411.480274182634</v>
      </c>
      <c r="P570">
        <f>P256</f>
        <v>816.567919020144</v>
      </c>
      <c r="Q570">
        <f>Q256</f>
        <v>816.567919020144</v>
      </c>
      <c r="R570">
        <f>R256</f>
        <v>816.567919020144</v>
      </c>
      <c r="S570">
        <f>S256</f>
        <v>1227.73187853022</v>
      </c>
      <c r="T570">
        <f>T256</f>
        <v>1227.73187853022</v>
      </c>
      <c r="U570">
        <f>U256</f>
        <v>1227.73187853022</v>
      </c>
      <c r="V570">
        <f>V256</f>
        <v>1638.89583804029</v>
      </c>
      <c r="W570">
        <f>W256</f>
        <v>1638.89583804029</v>
      </c>
      <c r="X570">
        <f>X256</f>
        <v>1638.89583804029</v>
      </c>
    </row>
    <row r="571">
      <c r="A571" t="inlineStr">
        <is>
          <t>dqe_2_1_pu</t>
        </is>
      </c>
      <c r="B571" t="inlineStr">
        <is>
          <t>DQE_DEVIS!F15</t>
        </is>
      </c>
      <c r="D571">
        <f>'PARAMÈTRES'!$C$164</f>
        <v>6500</v>
      </c>
      <c r="E571">
        <f>'PARAMÈTRES'!$C$164</f>
        <v>6500</v>
      </c>
      <c r="F571">
        <f>'PARAMÈTRES'!$C$164</f>
        <v>6500</v>
      </c>
      <c r="G571">
        <f>'PARAMÈTRES'!$C$164</f>
        <v>6500</v>
      </c>
      <c r="H571">
        <f>'PARAMÈTRES'!$C$164</f>
        <v>6500</v>
      </c>
      <c r="I571">
        <f>'PARAMÈTRES'!$C$164</f>
        <v>6500</v>
      </c>
      <c r="J571">
        <f>'PARAMÈTRES'!$C$164</f>
        <v>6500</v>
      </c>
      <c r="K571">
        <f>'PARAMÈTRES'!$C$164</f>
        <v>6500</v>
      </c>
      <c r="L571">
        <f>'PARAMÈTRES'!$C$164</f>
        <v>6500</v>
      </c>
      <c r="M571">
        <f>'PARAMÈTRES'!$C$164</f>
        <v>6500</v>
      </c>
      <c r="N571">
        <f>'PARAMÈTRES'!$C$164</f>
        <v>6500</v>
      </c>
      <c r="O571">
        <f>'PARAMÈTRES'!$C$164</f>
        <v>6500</v>
      </c>
      <c r="P571">
        <f>'PARAMÈTRES'!$C$164</f>
        <v>6500</v>
      </c>
      <c r="Q571">
        <f>'PARAMÈTRES'!$C$164</f>
        <v>6500</v>
      </c>
      <c r="R571">
        <f>'PARAMÈTRES'!$C$164</f>
        <v>6500</v>
      </c>
      <c r="S571">
        <f>'PARAMÈTRES'!$C$164</f>
        <v>6500</v>
      </c>
      <c r="T571">
        <f>'PARAMÈTRES'!$C$164</f>
        <v>6500</v>
      </c>
      <c r="U571">
        <f>'PARAMÈTRES'!$C$164</f>
        <v>6500</v>
      </c>
      <c r="V571">
        <f>'PARAMÈTRES'!$C$164</f>
        <v>6500</v>
      </c>
      <c r="W571">
        <f>'PARAMÈTRES'!$C$164</f>
        <v>6500</v>
      </c>
      <c r="X571">
        <f>'PARAMÈTRES'!$C$164</f>
        <v>6500</v>
      </c>
    </row>
    <row r="572">
      <c r="A572" t="inlineStr">
        <is>
          <t>dqe_2_1_m</t>
        </is>
      </c>
      <c r="B572" t="inlineStr">
        <is>
          <t>DQE_DEVIS!G15</t>
        </is>
      </c>
      <c r="D572">
        <f>D570*D571</f>
        <v>1976858.31395451</v>
      </c>
      <c r="E572">
        <f>E570*E571</f>
        <v>1976858.31395451</v>
      </c>
      <c r="F572">
        <f>F570*F571</f>
        <v>1976858.31395451</v>
      </c>
      <c r="G572">
        <f>G570*G571</f>
        <v>1996606.33664034</v>
      </c>
      <c r="H572">
        <f>H570*H571</f>
        <v>1996606.33664034</v>
      </c>
      <c r="I572">
        <f>I570*I571</f>
        <v>1996606.33664034</v>
      </c>
      <c r="J572">
        <f>J570*J571</f>
        <v>2984007.47093177</v>
      </c>
      <c r="K572">
        <f>K570*K571</f>
        <v>2984007.47093177</v>
      </c>
      <c r="L572">
        <f>L570*L571</f>
        <v>2984007.47093177</v>
      </c>
      <c r="M572">
        <f>M570*M571</f>
        <v>2674621.78218712</v>
      </c>
      <c r="N572">
        <f>N570*N571</f>
        <v>2674621.78218712</v>
      </c>
      <c r="O572">
        <f>O570*O571</f>
        <v>2674621.78218712</v>
      </c>
      <c r="P572">
        <f>P570*P571</f>
        <v>5307691.47363094</v>
      </c>
      <c r="Q572">
        <f>Q570*Q571</f>
        <v>5307691.47363094</v>
      </c>
      <c r="R572">
        <f>R570*R571</f>
        <v>5307691.47363094</v>
      </c>
      <c r="S572">
        <f>S570*S571</f>
        <v>7980257.2104464</v>
      </c>
      <c r="T572">
        <f>T570*T571</f>
        <v>7980257.2104464</v>
      </c>
      <c r="U572">
        <f>U570*U571</f>
        <v>7980257.2104464</v>
      </c>
      <c r="V572">
        <f>V570*V571</f>
        <v>10652822.9472619</v>
      </c>
      <c r="W572">
        <f>W570*W571</f>
        <v>10652822.9472619</v>
      </c>
      <c r="X572">
        <f>X570*X571</f>
        <v>10652822.9472619</v>
      </c>
    </row>
    <row r="573">
      <c r="A573" t="inlineStr">
        <is>
          <t>dqe_2_2_q</t>
        </is>
      </c>
      <c r="B573" t="inlineStr">
        <is>
          <t>DQE_DEVIS!E16</t>
        </is>
      </c>
      <c r="D573">
        <f>D258</f>
        <v>30.9892048300695</v>
      </c>
      <c r="E573">
        <f>E258</f>
        <v>30.9892048300695</v>
      </c>
      <c r="F573">
        <f>F258</f>
        <v>30.9892048300695</v>
      </c>
      <c r="G573">
        <f>G258</f>
        <v>31.2930205636976</v>
      </c>
      <c r="H573">
        <f>H258</f>
        <v>31.2930205636976</v>
      </c>
      <c r="I573">
        <f>I258</f>
        <v>31.2930205636976</v>
      </c>
      <c r="J573">
        <f>J258</f>
        <v>46.4838072451042</v>
      </c>
      <c r="K573">
        <f>K258</f>
        <v>46.4838072451042</v>
      </c>
      <c r="L573">
        <f>L258</f>
        <v>46.4838072451042</v>
      </c>
      <c r="M573">
        <f>M258</f>
        <v>41.7240274182635</v>
      </c>
      <c r="N573">
        <f>N258</f>
        <v>41.7240274182635</v>
      </c>
      <c r="O573">
        <f>O258</f>
        <v>41.7240274182635</v>
      </c>
      <c r="P573">
        <f>P258</f>
        <v>82.2327919020144</v>
      </c>
      <c r="Q573">
        <f>Q258</f>
        <v>82.2327919020144</v>
      </c>
      <c r="R573">
        <f>R258</f>
        <v>82.2327919020144</v>
      </c>
      <c r="S573">
        <f>S258</f>
        <v>123.349187853022</v>
      </c>
      <c r="T573">
        <f>T258</f>
        <v>123.349187853022</v>
      </c>
      <c r="U573">
        <f>U258</f>
        <v>123.349187853022</v>
      </c>
      <c r="V573">
        <f>V258</f>
        <v>164.465583804029</v>
      </c>
      <c r="W573">
        <f>W258</f>
        <v>164.465583804029</v>
      </c>
      <c r="X573">
        <f>X258</f>
        <v>164.465583804029</v>
      </c>
    </row>
    <row r="574">
      <c r="A574" t="inlineStr">
        <is>
          <t>dqe_2_2_pu</t>
        </is>
      </c>
      <c r="B574" t="inlineStr">
        <is>
          <t>DQE_DEVIS!F16</t>
        </is>
      </c>
      <c r="D574">
        <f>'PARAMÈTRES'!$C$165</f>
        <v>12000</v>
      </c>
      <c r="E574">
        <f>'PARAMÈTRES'!$C$165</f>
        <v>12000</v>
      </c>
      <c r="F574">
        <f>'PARAMÈTRES'!$C$165</f>
        <v>12000</v>
      </c>
      <c r="G574">
        <f>'PARAMÈTRES'!$C$165</f>
        <v>12000</v>
      </c>
      <c r="H574">
        <f>'PARAMÈTRES'!$C$165</f>
        <v>12000</v>
      </c>
      <c r="I574">
        <f>'PARAMÈTRES'!$C$165</f>
        <v>12000</v>
      </c>
      <c r="J574">
        <f>'PARAMÈTRES'!$C$165</f>
        <v>12000</v>
      </c>
      <c r="K574">
        <f>'PARAMÈTRES'!$C$165</f>
        <v>12000</v>
      </c>
      <c r="L574">
        <f>'PARAMÈTRES'!$C$165</f>
        <v>12000</v>
      </c>
      <c r="M574">
        <f>'PARAMÈTRES'!$C$165</f>
        <v>12000</v>
      </c>
      <c r="N574">
        <f>'PARAMÈTRES'!$C$165</f>
        <v>12000</v>
      </c>
      <c r="O574">
        <f>'PARAMÈTRES'!$C$165</f>
        <v>12000</v>
      </c>
      <c r="P574">
        <f>'PARAMÈTRES'!$C$165</f>
        <v>12000</v>
      </c>
      <c r="Q574">
        <f>'PARAMÈTRES'!$C$165</f>
        <v>12000</v>
      </c>
      <c r="R574">
        <f>'PARAMÈTRES'!$C$165</f>
        <v>12000</v>
      </c>
      <c r="S574">
        <f>'PARAMÈTRES'!$C$165</f>
        <v>12000</v>
      </c>
      <c r="T574">
        <f>'PARAMÈTRES'!$C$165</f>
        <v>12000</v>
      </c>
      <c r="U574">
        <f>'PARAMÈTRES'!$C$165</f>
        <v>12000</v>
      </c>
      <c r="V574">
        <f>'PARAMÈTRES'!$C$165</f>
        <v>12000</v>
      </c>
      <c r="W574">
        <f>'PARAMÈTRES'!$C$165</f>
        <v>12000</v>
      </c>
      <c r="X574">
        <f>'PARAMÈTRES'!$C$165</f>
        <v>12000</v>
      </c>
    </row>
    <row r="575">
      <c r="A575" t="inlineStr">
        <is>
          <t>dqe_2_2_m</t>
        </is>
      </c>
      <c r="B575" t="inlineStr">
        <is>
          <t>DQE_DEVIS!G16</t>
        </is>
      </c>
      <c r="D575">
        <f>D573*D574</f>
        <v>371870.457960833</v>
      </c>
      <c r="E575">
        <f>E573*E574</f>
        <v>371870.457960833</v>
      </c>
      <c r="F575">
        <f>F573*F574</f>
        <v>371870.457960833</v>
      </c>
      <c r="G575">
        <f>G573*G574</f>
        <v>375516.246764371</v>
      </c>
      <c r="H575">
        <f>H573*H574</f>
        <v>375516.246764371</v>
      </c>
      <c r="I575">
        <f>I573*I574</f>
        <v>375516.246764371</v>
      </c>
      <c r="J575">
        <f>J573*J574</f>
        <v>557805.68694125</v>
      </c>
      <c r="K575">
        <f>K573*K574</f>
        <v>557805.68694125</v>
      </c>
      <c r="L575">
        <f>L573*L574</f>
        <v>557805.68694125</v>
      </c>
      <c r="M575">
        <f>M573*M574</f>
        <v>500688.329019161</v>
      </c>
      <c r="N575">
        <f>N573*N574</f>
        <v>500688.329019161</v>
      </c>
      <c r="O575">
        <f>O573*O574</f>
        <v>500688.329019161</v>
      </c>
      <c r="P575">
        <f>P573*P574</f>
        <v>986793.502824172</v>
      </c>
      <c r="Q575">
        <f>Q573*Q574</f>
        <v>986793.502824172</v>
      </c>
      <c r="R575">
        <f>R573*R574</f>
        <v>986793.502824172</v>
      </c>
      <c r="S575">
        <f>S573*S574</f>
        <v>1480190.25423626</v>
      </c>
      <c r="T575">
        <f>T573*T574</f>
        <v>1480190.25423626</v>
      </c>
      <c r="U575">
        <f>U573*U574</f>
        <v>1480190.25423626</v>
      </c>
      <c r="V575">
        <f>V573*V574</f>
        <v>1973587.00564834</v>
      </c>
      <c r="W575">
        <f>W573*W574</f>
        <v>1973587.00564834</v>
      </c>
      <c r="X575">
        <f>X573*X574</f>
        <v>1973587.00564834</v>
      </c>
    </row>
    <row r="576">
      <c r="A576" t="inlineStr">
        <is>
          <t>dqe_2_3_q</t>
        </is>
      </c>
      <c r="B576" t="inlineStr">
        <is>
          <t>DQE_DEVIS!E17</t>
        </is>
      </c>
      <c r="D576">
        <f>D260</f>
        <v>30.6</v>
      </c>
      <c r="E576">
        <f>E260</f>
        <v>30.6</v>
      </c>
      <c r="F576">
        <f>F260</f>
        <v>30.6</v>
      </c>
      <c r="G576">
        <f>G260</f>
        <v>20.6</v>
      </c>
      <c r="H576">
        <f>H260</f>
        <v>20.6</v>
      </c>
      <c r="I576">
        <f>I260</f>
        <v>20.6</v>
      </c>
      <c r="J576">
        <f>J260</f>
        <v>30.6</v>
      </c>
      <c r="K576">
        <f>K260</f>
        <v>30.6</v>
      </c>
      <c r="L576">
        <f>L260</f>
        <v>30.6</v>
      </c>
      <c r="M576">
        <f>M260</f>
        <v>20.6</v>
      </c>
      <c r="N576">
        <f>N260</f>
        <v>20.6</v>
      </c>
      <c r="O576">
        <f>O260</f>
        <v>20.6</v>
      </c>
      <c r="P576">
        <f>P260</f>
        <v>40.6</v>
      </c>
      <c r="Q576">
        <f>Q260</f>
        <v>40.6</v>
      </c>
      <c r="R576">
        <f>R260</f>
        <v>40.6</v>
      </c>
      <c r="S576">
        <f>S260</f>
        <v>40.6</v>
      </c>
      <c r="T576">
        <f>T260</f>
        <v>40.6</v>
      </c>
      <c r="U576">
        <f>U260</f>
        <v>40.6</v>
      </c>
      <c r="V576">
        <f>V260</f>
        <v>40.6</v>
      </c>
      <c r="W576">
        <f>W260</f>
        <v>40.6</v>
      </c>
      <c r="X576">
        <f>X260</f>
        <v>40.6</v>
      </c>
    </row>
    <row r="577">
      <c r="A577" t="inlineStr">
        <is>
          <t>dqe_2_3_pu</t>
        </is>
      </c>
      <c r="B577" t="inlineStr">
        <is>
          <t>DQE_DEVIS!F17</t>
        </is>
      </c>
      <c r="D577">
        <f>'PARAMÈTRES'!$C$166</f>
        <v>4500</v>
      </c>
      <c r="E577">
        <f>'PARAMÈTRES'!$C$166</f>
        <v>4500</v>
      </c>
      <c r="F577">
        <f>'PARAMÈTRES'!$C$166</f>
        <v>4500</v>
      </c>
      <c r="G577">
        <f>'PARAMÈTRES'!$C$166</f>
        <v>4500</v>
      </c>
      <c r="H577">
        <f>'PARAMÈTRES'!$C$166</f>
        <v>4500</v>
      </c>
      <c r="I577">
        <f>'PARAMÈTRES'!$C$166</f>
        <v>4500</v>
      </c>
      <c r="J577">
        <f>'PARAMÈTRES'!$C$166</f>
        <v>4500</v>
      </c>
      <c r="K577">
        <f>'PARAMÈTRES'!$C$166</f>
        <v>4500</v>
      </c>
      <c r="L577">
        <f>'PARAMÈTRES'!$C$166</f>
        <v>4500</v>
      </c>
      <c r="M577">
        <f>'PARAMÈTRES'!$C$166</f>
        <v>4500</v>
      </c>
      <c r="N577">
        <f>'PARAMÈTRES'!$C$166</f>
        <v>4500</v>
      </c>
      <c r="O577">
        <f>'PARAMÈTRES'!$C$166</f>
        <v>4500</v>
      </c>
      <c r="P577">
        <f>'PARAMÈTRES'!$C$166</f>
        <v>4500</v>
      </c>
      <c r="Q577">
        <f>'PARAMÈTRES'!$C$166</f>
        <v>4500</v>
      </c>
      <c r="R577">
        <f>'PARAMÈTRES'!$C$166</f>
        <v>4500</v>
      </c>
      <c r="S577">
        <f>'PARAMÈTRES'!$C$166</f>
        <v>4500</v>
      </c>
      <c r="T577">
        <f>'PARAMÈTRES'!$C$166</f>
        <v>4500</v>
      </c>
      <c r="U577">
        <f>'PARAMÈTRES'!$C$166</f>
        <v>4500</v>
      </c>
      <c r="V577">
        <f>'PARAMÈTRES'!$C$166</f>
        <v>4500</v>
      </c>
      <c r="W577">
        <f>'PARAMÈTRES'!$C$166</f>
        <v>4500</v>
      </c>
      <c r="X577">
        <f>'PARAMÈTRES'!$C$166</f>
        <v>4500</v>
      </c>
    </row>
    <row r="578">
      <c r="A578" t="inlineStr">
        <is>
          <t>dqe_2_3_m</t>
        </is>
      </c>
      <c r="B578" t="inlineStr">
        <is>
          <t>DQE_DEVIS!G17</t>
        </is>
      </c>
      <c r="D578">
        <f>D576*D577</f>
        <v>137700</v>
      </c>
      <c r="E578">
        <f>E576*E577</f>
        <v>137700</v>
      </c>
      <c r="F578">
        <f>F576*F577</f>
        <v>137700</v>
      </c>
      <c r="G578">
        <f>G576*G577</f>
        <v>92700</v>
      </c>
      <c r="H578">
        <f>H576*H577</f>
        <v>92700</v>
      </c>
      <c r="I578">
        <f>I576*I577</f>
        <v>92700</v>
      </c>
      <c r="J578">
        <f>J576*J577</f>
        <v>137700</v>
      </c>
      <c r="K578">
        <f>K576*K577</f>
        <v>137700</v>
      </c>
      <c r="L578">
        <f>L576*L577</f>
        <v>137700</v>
      </c>
      <c r="M578">
        <f>M576*M577</f>
        <v>92700</v>
      </c>
      <c r="N578">
        <f>N576*N577</f>
        <v>92700</v>
      </c>
      <c r="O578">
        <f>O576*O577</f>
        <v>92700</v>
      </c>
      <c r="P578">
        <f>P576*P577</f>
        <v>182700</v>
      </c>
      <c r="Q578">
        <f>Q576*Q577</f>
        <v>182700</v>
      </c>
      <c r="R578">
        <f>R576*R577</f>
        <v>182700</v>
      </c>
      <c r="S578">
        <f>S576*S577</f>
        <v>182700</v>
      </c>
      <c r="T578">
        <f>T576*T577</f>
        <v>182700</v>
      </c>
      <c r="U578">
        <f>U576*U577</f>
        <v>182700</v>
      </c>
      <c r="V578">
        <f>V576*V577</f>
        <v>182700</v>
      </c>
      <c r="W578">
        <f>W576*W577</f>
        <v>182700</v>
      </c>
      <c r="X578">
        <f>X576*X577</f>
        <v>182700</v>
      </c>
    </row>
    <row r="579">
      <c r="A579" t="inlineStr">
        <is>
          <t>dqe_2_4_q</t>
        </is>
      </c>
      <c r="B579" t="inlineStr">
        <is>
          <t>DQE_DEVIS!E18</t>
        </is>
      </c>
      <c r="D579">
        <f>D262</f>
        <v>20.2543822418755</v>
      </c>
      <c r="E579">
        <f>E262</f>
        <v>20.2543822418755</v>
      </c>
      <c r="F579">
        <f>F262</f>
        <v>20.2543822418755</v>
      </c>
      <c r="G579">
        <f>G262</f>
        <v>30.3815733628132</v>
      </c>
      <c r="H579">
        <f>H262</f>
        <v>30.3815733628132</v>
      </c>
      <c r="I579">
        <f>I262</f>
        <v>30.3815733628132</v>
      </c>
      <c r="J579">
        <f>J262</f>
        <v>30.3815733628132</v>
      </c>
      <c r="K579">
        <f>K262</f>
        <v>30.3815733628132</v>
      </c>
      <c r="L579">
        <f>L262</f>
        <v>30.3815733628132</v>
      </c>
      <c r="M579">
        <f>M262</f>
        <v>40.5087644837509</v>
      </c>
      <c r="N579">
        <f>N262</f>
        <v>40.5087644837509</v>
      </c>
      <c r="O579">
        <f>O262</f>
        <v>40.5087644837509</v>
      </c>
      <c r="P579">
        <f>P262</f>
        <v>40.5087644837509</v>
      </c>
      <c r="Q579">
        <f>Q262</f>
        <v>40.5087644837509</v>
      </c>
      <c r="R579">
        <f>R262</f>
        <v>40.5087644837509</v>
      </c>
      <c r="S579">
        <f>S262</f>
        <v>60.7631467256264</v>
      </c>
      <c r="T579">
        <f>T262</f>
        <v>60.7631467256264</v>
      </c>
      <c r="U579">
        <f>U262</f>
        <v>60.7631467256264</v>
      </c>
      <c r="V579">
        <f>V262</f>
        <v>81.0175289675018</v>
      </c>
      <c r="W579">
        <f>W262</f>
        <v>81.0175289675018</v>
      </c>
      <c r="X579">
        <f>X262</f>
        <v>81.0175289675018</v>
      </c>
    </row>
    <row r="580">
      <c r="A580" t="inlineStr">
        <is>
          <t>dqe_2_4_pu</t>
        </is>
      </c>
      <c r="B580" t="inlineStr">
        <is>
          <t>DQE_DEVIS!F18</t>
        </is>
      </c>
      <c r="D580">
        <f>'PARAMÈTRES'!$C$167</f>
        <v>3500</v>
      </c>
      <c r="E580">
        <f>'PARAMÈTRES'!$C$167</f>
        <v>3500</v>
      </c>
      <c r="F580">
        <f>'PARAMÈTRES'!$C$167</f>
        <v>3500</v>
      </c>
      <c r="G580">
        <f>'PARAMÈTRES'!$C$167</f>
        <v>3500</v>
      </c>
      <c r="H580">
        <f>'PARAMÈTRES'!$C$167</f>
        <v>3500</v>
      </c>
      <c r="I580">
        <f>'PARAMÈTRES'!$C$167</f>
        <v>3500</v>
      </c>
      <c r="J580">
        <f>'PARAMÈTRES'!$C$167</f>
        <v>3500</v>
      </c>
      <c r="K580">
        <f>'PARAMÈTRES'!$C$167</f>
        <v>3500</v>
      </c>
      <c r="L580">
        <f>'PARAMÈTRES'!$C$167</f>
        <v>3500</v>
      </c>
      <c r="M580">
        <f>'PARAMÈTRES'!$C$167</f>
        <v>3500</v>
      </c>
      <c r="N580">
        <f>'PARAMÈTRES'!$C$167</f>
        <v>3500</v>
      </c>
      <c r="O580">
        <f>'PARAMÈTRES'!$C$167</f>
        <v>3500</v>
      </c>
      <c r="P580">
        <f>'PARAMÈTRES'!$C$167</f>
        <v>3500</v>
      </c>
      <c r="Q580">
        <f>'PARAMÈTRES'!$C$167</f>
        <v>3500</v>
      </c>
      <c r="R580">
        <f>'PARAMÈTRES'!$C$167</f>
        <v>3500</v>
      </c>
      <c r="S580">
        <f>'PARAMÈTRES'!$C$167</f>
        <v>3500</v>
      </c>
      <c r="T580">
        <f>'PARAMÈTRES'!$C$167</f>
        <v>3500</v>
      </c>
      <c r="U580">
        <f>'PARAMÈTRES'!$C$167</f>
        <v>3500</v>
      </c>
      <c r="V580">
        <f>'PARAMÈTRES'!$C$167</f>
        <v>3500</v>
      </c>
      <c r="W580">
        <f>'PARAMÈTRES'!$C$167</f>
        <v>3500</v>
      </c>
      <c r="X580">
        <f>'PARAMÈTRES'!$C$167</f>
        <v>3500</v>
      </c>
    </row>
    <row r="581">
      <c r="A581" t="inlineStr">
        <is>
          <t>dqe_2_4_m</t>
        </is>
      </c>
      <c r="B581" t="inlineStr">
        <is>
          <t>DQE_DEVIS!G18</t>
        </is>
      </c>
      <c r="D581">
        <f>D579*D580</f>
        <v>70890.3378465641</v>
      </c>
      <c r="E581">
        <f>E579*E580</f>
        <v>70890.3378465641</v>
      </c>
      <c r="F581">
        <f>F579*F580</f>
        <v>70890.3378465641</v>
      </c>
      <c r="G581">
        <f>G579*G580</f>
        <v>106335.506769846</v>
      </c>
      <c r="H581">
        <f>H579*H580</f>
        <v>106335.506769846</v>
      </c>
      <c r="I581">
        <f>I579*I580</f>
        <v>106335.506769846</v>
      </c>
      <c r="J581">
        <f>J579*J580</f>
        <v>106335.506769846</v>
      </c>
      <c r="K581">
        <f>K579*K580</f>
        <v>106335.506769846</v>
      </c>
      <c r="L581">
        <f>L579*L580</f>
        <v>106335.506769846</v>
      </c>
      <c r="M581">
        <f>M579*M580</f>
        <v>141780.675693128</v>
      </c>
      <c r="N581">
        <f>N579*N580</f>
        <v>141780.675693128</v>
      </c>
      <c r="O581">
        <f>O579*O580</f>
        <v>141780.675693128</v>
      </c>
      <c r="P581">
        <f>P579*P580</f>
        <v>141780.675693128</v>
      </c>
      <c r="Q581">
        <f>Q579*Q580</f>
        <v>141780.675693128</v>
      </c>
      <c r="R581">
        <f>R579*R580</f>
        <v>141780.675693128</v>
      </c>
      <c r="S581">
        <f>S579*S580</f>
        <v>212671.013539692</v>
      </c>
      <c r="T581">
        <f>T579*T580</f>
        <v>212671.013539692</v>
      </c>
      <c r="U581">
        <f>U579*U580</f>
        <v>212671.013539692</v>
      </c>
      <c r="V581">
        <f>V579*V580</f>
        <v>283561.351386256</v>
      </c>
      <c r="W581">
        <f>W579*W580</f>
        <v>283561.351386256</v>
      </c>
      <c r="X581">
        <f>X579*X580</f>
        <v>283561.351386256</v>
      </c>
    </row>
    <row r="582">
      <c r="A582" t="inlineStr">
        <is>
          <t>dqe_2_5_q</t>
        </is>
      </c>
      <c r="B582" t="inlineStr">
        <is>
          <t>DQE_DEVIS!E19</t>
        </is>
      </c>
      <c r="D582">
        <f>D264</f>
        <v>61.2</v>
      </c>
      <c r="E582">
        <f>E264</f>
        <v>61.2</v>
      </c>
      <c r="F582">
        <f>F264</f>
        <v>61.2</v>
      </c>
      <c r="G582">
        <f>G264</f>
        <v>41.2</v>
      </c>
      <c r="H582">
        <f>H264</f>
        <v>41.2</v>
      </c>
      <c r="I582">
        <f>I264</f>
        <v>41.2</v>
      </c>
      <c r="J582">
        <f>J264</f>
        <v>61.2</v>
      </c>
      <c r="K582">
        <f>K264</f>
        <v>61.2</v>
      </c>
      <c r="L582">
        <f>L264</f>
        <v>61.2</v>
      </c>
      <c r="M582">
        <f>M264</f>
        <v>41.2</v>
      </c>
      <c r="N582">
        <f>N264</f>
        <v>41.2</v>
      </c>
      <c r="O582">
        <f>O264</f>
        <v>41.2</v>
      </c>
      <c r="P582">
        <f>P264</f>
        <v>81.2</v>
      </c>
      <c r="Q582">
        <f>Q264</f>
        <v>81.2</v>
      </c>
      <c r="R582">
        <f>R264</f>
        <v>81.2</v>
      </c>
      <c r="S582">
        <f>S264</f>
        <v>81.2</v>
      </c>
      <c r="T582">
        <f>T264</f>
        <v>81.2</v>
      </c>
      <c r="U582">
        <f>U264</f>
        <v>81.2</v>
      </c>
      <c r="V582">
        <f>V264</f>
        <v>81.2</v>
      </c>
      <c r="W582">
        <f>W264</f>
        <v>81.2</v>
      </c>
      <c r="X582">
        <f>X264</f>
        <v>81.2</v>
      </c>
    </row>
    <row r="583">
      <c r="A583" t="inlineStr">
        <is>
          <t>dqe_2_5_pu</t>
        </is>
      </c>
      <c r="B583" t="inlineStr">
        <is>
          <t>DQE_DEVIS!F19</t>
        </is>
      </c>
      <c r="D583">
        <f>'PARAMÈTRES'!$C$168</f>
        <v>3000</v>
      </c>
      <c r="E583">
        <f>'PARAMÈTRES'!$C$168</f>
        <v>3000</v>
      </c>
      <c r="F583">
        <f>'PARAMÈTRES'!$C$168</f>
        <v>3000</v>
      </c>
      <c r="G583">
        <f>'PARAMÈTRES'!$C$168</f>
        <v>3000</v>
      </c>
      <c r="H583">
        <f>'PARAMÈTRES'!$C$168</f>
        <v>3000</v>
      </c>
      <c r="I583">
        <f>'PARAMÈTRES'!$C$168</f>
        <v>3000</v>
      </c>
      <c r="J583">
        <f>'PARAMÈTRES'!$C$168</f>
        <v>3000</v>
      </c>
      <c r="K583">
        <f>'PARAMÈTRES'!$C$168</f>
        <v>3000</v>
      </c>
      <c r="L583">
        <f>'PARAMÈTRES'!$C$168</f>
        <v>3000</v>
      </c>
      <c r="M583">
        <f>'PARAMÈTRES'!$C$168</f>
        <v>3000</v>
      </c>
      <c r="N583">
        <f>'PARAMÈTRES'!$C$168</f>
        <v>3000</v>
      </c>
      <c r="O583">
        <f>'PARAMÈTRES'!$C$168</f>
        <v>3000</v>
      </c>
      <c r="P583">
        <f>'PARAMÈTRES'!$C$168</f>
        <v>3000</v>
      </c>
      <c r="Q583">
        <f>'PARAMÈTRES'!$C$168</f>
        <v>3000</v>
      </c>
      <c r="R583">
        <f>'PARAMÈTRES'!$C$168</f>
        <v>3000</v>
      </c>
      <c r="S583">
        <f>'PARAMÈTRES'!$C$168</f>
        <v>3000</v>
      </c>
      <c r="T583">
        <f>'PARAMÈTRES'!$C$168</f>
        <v>3000</v>
      </c>
      <c r="U583">
        <f>'PARAMÈTRES'!$C$168</f>
        <v>3000</v>
      </c>
      <c r="V583">
        <f>'PARAMÈTRES'!$C$168</f>
        <v>3000</v>
      </c>
      <c r="W583">
        <f>'PARAMÈTRES'!$C$168</f>
        <v>3000</v>
      </c>
      <c r="X583">
        <f>'PARAMÈTRES'!$C$168</f>
        <v>3000</v>
      </c>
    </row>
    <row r="584">
      <c r="A584" t="inlineStr">
        <is>
          <t>dqe_2_5_m</t>
        </is>
      </c>
      <c r="B584" t="inlineStr">
        <is>
          <t>DQE_DEVIS!G19</t>
        </is>
      </c>
      <c r="D584">
        <f>D582*D583</f>
        <v>183600</v>
      </c>
      <c r="E584">
        <f>E582*E583</f>
        <v>183600</v>
      </c>
      <c r="F584">
        <f>F582*F583</f>
        <v>183600</v>
      </c>
      <c r="G584">
        <f>G582*G583</f>
        <v>123600</v>
      </c>
      <c r="H584">
        <f>H582*H583</f>
        <v>123600</v>
      </c>
      <c r="I584">
        <f>I582*I583</f>
        <v>123600</v>
      </c>
      <c r="J584">
        <f>J582*J583</f>
        <v>183600</v>
      </c>
      <c r="K584">
        <f>K582*K583</f>
        <v>183600</v>
      </c>
      <c r="L584">
        <f>L582*L583</f>
        <v>183600</v>
      </c>
      <c r="M584">
        <f>M582*M583</f>
        <v>123600</v>
      </c>
      <c r="N584">
        <f>N582*N583</f>
        <v>123600</v>
      </c>
      <c r="O584">
        <f>O582*O583</f>
        <v>123600</v>
      </c>
      <c r="P584">
        <f>P582*P583</f>
        <v>243600</v>
      </c>
      <c r="Q584">
        <f>Q582*Q583</f>
        <v>243600</v>
      </c>
      <c r="R584">
        <f>R582*R583</f>
        <v>243600</v>
      </c>
      <c r="S584">
        <f>S582*S583</f>
        <v>243600</v>
      </c>
      <c r="T584">
        <f>T582*T583</f>
        <v>243600</v>
      </c>
      <c r="U584">
        <f>U582*U583</f>
        <v>243600</v>
      </c>
      <c r="V584">
        <f>V582*V583</f>
        <v>243600</v>
      </c>
      <c r="W584">
        <f>W582*W583</f>
        <v>243600</v>
      </c>
      <c r="X584">
        <f>X582*X583</f>
        <v>243600</v>
      </c>
    </row>
    <row r="585">
      <c r="A585" t="inlineStr">
        <is>
          <t>dqe_2_6_q</t>
        </is>
      </c>
      <c r="B585" t="inlineStr">
        <is>
          <t>DQE_DEVIS!E20</t>
        </is>
      </c>
      <c r="D585">
        <f>D266</f>
        <v>60</v>
      </c>
      <c r="E585">
        <f>E266</f>
        <v>60</v>
      </c>
      <c r="F585">
        <f>F266</f>
        <v>60</v>
      </c>
      <c r="G585">
        <f>G266</f>
        <v>40</v>
      </c>
      <c r="H585">
        <f>H266</f>
        <v>40</v>
      </c>
      <c r="I585">
        <f>I266</f>
        <v>40</v>
      </c>
      <c r="J585">
        <f>J266</f>
        <v>60</v>
      </c>
      <c r="K585">
        <f>K266</f>
        <v>60</v>
      </c>
      <c r="L585">
        <f>L266</f>
        <v>60</v>
      </c>
      <c r="M585">
        <f>M266</f>
        <v>40</v>
      </c>
      <c r="N585">
        <f>N266</f>
        <v>40</v>
      </c>
      <c r="O585">
        <f>O266</f>
        <v>40</v>
      </c>
      <c r="P585">
        <f>P266</f>
        <v>80</v>
      </c>
      <c r="Q585">
        <f>Q266</f>
        <v>80</v>
      </c>
      <c r="R585">
        <f>R266</f>
        <v>80</v>
      </c>
      <c r="S585">
        <f>S266</f>
        <v>80</v>
      </c>
      <c r="T585">
        <f>T266</f>
        <v>80</v>
      </c>
      <c r="U585">
        <f>U266</f>
        <v>80</v>
      </c>
      <c r="V585">
        <f>V266</f>
        <v>80</v>
      </c>
      <c r="W585">
        <f>W266</f>
        <v>80</v>
      </c>
      <c r="X585">
        <f>X266</f>
        <v>80</v>
      </c>
    </row>
    <row r="586">
      <c r="A586" t="inlineStr">
        <is>
          <t>dqe_2_6_pu</t>
        </is>
      </c>
      <c r="B586" t="inlineStr">
        <is>
          <t>DQE_DEVIS!F20</t>
        </is>
      </c>
      <c r="D586">
        <f>'PARAMÈTRES'!$C$169</f>
        <v>15000</v>
      </c>
      <c r="E586">
        <f>'PARAMÈTRES'!$C$169</f>
        <v>15000</v>
      </c>
      <c r="F586">
        <f>'PARAMÈTRES'!$C$169</f>
        <v>15000</v>
      </c>
      <c r="G586">
        <f>'PARAMÈTRES'!$C$169</f>
        <v>15000</v>
      </c>
      <c r="H586">
        <f>'PARAMÈTRES'!$C$169</f>
        <v>15000</v>
      </c>
      <c r="I586">
        <f>'PARAMÈTRES'!$C$169</f>
        <v>15000</v>
      </c>
      <c r="J586">
        <f>'PARAMÈTRES'!$C$169</f>
        <v>15000</v>
      </c>
      <c r="K586">
        <f>'PARAMÈTRES'!$C$169</f>
        <v>15000</v>
      </c>
      <c r="L586">
        <f>'PARAMÈTRES'!$C$169</f>
        <v>15000</v>
      </c>
      <c r="M586">
        <f>'PARAMÈTRES'!$C$169</f>
        <v>15000</v>
      </c>
      <c r="N586">
        <f>'PARAMÈTRES'!$C$169</f>
        <v>15000</v>
      </c>
      <c r="O586">
        <f>'PARAMÈTRES'!$C$169</f>
        <v>15000</v>
      </c>
      <c r="P586">
        <f>'PARAMÈTRES'!$C$169</f>
        <v>15000</v>
      </c>
      <c r="Q586">
        <f>'PARAMÈTRES'!$C$169</f>
        <v>15000</v>
      </c>
      <c r="R586">
        <f>'PARAMÈTRES'!$C$169</f>
        <v>15000</v>
      </c>
      <c r="S586">
        <f>'PARAMÈTRES'!$C$169</f>
        <v>15000</v>
      </c>
      <c r="T586">
        <f>'PARAMÈTRES'!$C$169</f>
        <v>15000</v>
      </c>
      <c r="U586">
        <f>'PARAMÈTRES'!$C$169</f>
        <v>15000</v>
      </c>
      <c r="V586">
        <f>'PARAMÈTRES'!$C$169</f>
        <v>15000</v>
      </c>
      <c r="W586">
        <f>'PARAMÈTRES'!$C$169</f>
        <v>15000</v>
      </c>
      <c r="X586">
        <f>'PARAMÈTRES'!$C$169</f>
        <v>15000</v>
      </c>
    </row>
    <row r="587">
      <c r="A587" t="inlineStr">
        <is>
          <t>dqe_2_6_m</t>
        </is>
      </c>
      <c r="B587" t="inlineStr">
        <is>
          <t>DQE_DEVIS!G20</t>
        </is>
      </c>
      <c r="D587">
        <f>D585*D586</f>
        <v>900000</v>
      </c>
      <c r="E587">
        <f>E585*E586</f>
        <v>900000</v>
      </c>
      <c r="F587">
        <f>F585*F586</f>
        <v>900000</v>
      </c>
      <c r="G587">
        <f>G585*G586</f>
        <v>600000</v>
      </c>
      <c r="H587">
        <f>H585*H586</f>
        <v>600000</v>
      </c>
      <c r="I587">
        <f>I585*I586</f>
        <v>600000</v>
      </c>
      <c r="J587">
        <f>J585*J586</f>
        <v>900000</v>
      </c>
      <c r="K587">
        <f>K585*K586</f>
        <v>900000</v>
      </c>
      <c r="L587">
        <f>L585*L586</f>
        <v>900000</v>
      </c>
      <c r="M587">
        <f>M585*M586</f>
        <v>600000</v>
      </c>
      <c r="N587">
        <f>N585*N586</f>
        <v>600000</v>
      </c>
      <c r="O587">
        <f>O585*O586</f>
        <v>600000</v>
      </c>
      <c r="P587">
        <f>P585*P586</f>
        <v>1200000</v>
      </c>
      <c r="Q587">
        <f>Q585*Q586</f>
        <v>1200000</v>
      </c>
      <c r="R587">
        <f>R585*R586</f>
        <v>1200000</v>
      </c>
      <c r="S587">
        <f>S585*S586</f>
        <v>1200000</v>
      </c>
      <c r="T587">
        <f>T585*T586</f>
        <v>1200000</v>
      </c>
      <c r="U587">
        <f>U585*U586</f>
        <v>1200000</v>
      </c>
      <c r="V587">
        <f>V585*V586</f>
        <v>1200000</v>
      </c>
      <c r="W587">
        <f>W585*W586</f>
        <v>1200000</v>
      </c>
      <c r="X587">
        <f>X585*X586</f>
        <v>1200000</v>
      </c>
    </row>
    <row r="588">
      <c r="A588" t="inlineStr">
        <is>
          <t>dqe_2_7_q</t>
        </is>
      </c>
      <c r="B588" t="inlineStr">
        <is>
          <t>DQE_DEVIS!E21</t>
        </is>
      </c>
      <c r="D588">
        <f>D268</f>
        <v>2</v>
      </c>
      <c r="E588">
        <f>E268</f>
        <v>2</v>
      </c>
      <c r="F588">
        <f>F268</f>
        <v>2</v>
      </c>
      <c r="G588">
        <f>G268</f>
        <v>2</v>
      </c>
      <c r="H588">
        <f>H268</f>
        <v>2</v>
      </c>
      <c r="I588">
        <f>I268</f>
        <v>2</v>
      </c>
      <c r="J588">
        <f>J268</f>
        <v>4</v>
      </c>
      <c r="K588">
        <f>K268</f>
        <v>4</v>
      </c>
      <c r="L588">
        <f>L268</f>
        <v>4</v>
      </c>
      <c r="M588">
        <f>M268</f>
        <v>4</v>
      </c>
      <c r="N588">
        <f>N268</f>
        <v>4</v>
      </c>
      <c r="O588">
        <f>O268</f>
        <v>4</v>
      </c>
      <c r="P588">
        <f>P268</f>
        <v>6</v>
      </c>
      <c r="Q588">
        <f>Q268</f>
        <v>6</v>
      </c>
      <c r="R588">
        <f>R268</f>
        <v>6</v>
      </c>
      <c r="S588">
        <f>S268</f>
        <v>8</v>
      </c>
      <c r="T588">
        <f>T268</f>
        <v>8</v>
      </c>
      <c r="U588">
        <f>U268</f>
        <v>8</v>
      </c>
      <c r="V588">
        <f>V268</f>
        <v>10</v>
      </c>
      <c r="W588">
        <f>W268</f>
        <v>10</v>
      </c>
      <c r="X588">
        <f>X268</f>
        <v>10</v>
      </c>
    </row>
    <row r="589">
      <c r="A589" t="inlineStr">
        <is>
          <t>dqe_2_7_pu</t>
        </is>
      </c>
      <c r="B589" t="inlineStr">
        <is>
          <t>DQE_DEVIS!F21</t>
        </is>
      </c>
      <c r="D589">
        <f>'PARAMÈTRES'!$C$170</f>
        <v>7500</v>
      </c>
      <c r="E589">
        <f>'PARAMÈTRES'!$C$170</f>
        <v>7500</v>
      </c>
      <c r="F589">
        <f>'PARAMÈTRES'!$C$170</f>
        <v>7500</v>
      </c>
      <c r="G589">
        <f>'PARAMÈTRES'!$C$170</f>
        <v>7500</v>
      </c>
      <c r="H589">
        <f>'PARAMÈTRES'!$C$170</f>
        <v>7500</v>
      </c>
      <c r="I589">
        <f>'PARAMÈTRES'!$C$170</f>
        <v>7500</v>
      </c>
      <c r="J589">
        <f>'PARAMÈTRES'!$C$170</f>
        <v>7500</v>
      </c>
      <c r="K589">
        <f>'PARAMÈTRES'!$C$170</f>
        <v>7500</v>
      </c>
      <c r="L589">
        <f>'PARAMÈTRES'!$C$170</f>
        <v>7500</v>
      </c>
      <c r="M589">
        <f>'PARAMÈTRES'!$C$170</f>
        <v>7500</v>
      </c>
      <c r="N589">
        <f>'PARAMÈTRES'!$C$170</f>
        <v>7500</v>
      </c>
      <c r="O589">
        <f>'PARAMÈTRES'!$C$170</f>
        <v>7500</v>
      </c>
      <c r="P589">
        <f>'PARAMÈTRES'!$C$170</f>
        <v>7500</v>
      </c>
      <c r="Q589">
        <f>'PARAMÈTRES'!$C$170</f>
        <v>7500</v>
      </c>
      <c r="R589">
        <f>'PARAMÈTRES'!$C$170</f>
        <v>7500</v>
      </c>
      <c r="S589">
        <f>'PARAMÈTRES'!$C$170</f>
        <v>7500</v>
      </c>
      <c r="T589">
        <f>'PARAMÈTRES'!$C$170</f>
        <v>7500</v>
      </c>
      <c r="U589">
        <f>'PARAMÈTRES'!$C$170</f>
        <v>7500</v>
      </c>
      <c r="V589">
        <f>'PARAMÈTRES'!$C$170</f>
        <v>7500</v>
      </c>
      <c r="W589">
        <f>'PARAMÈTRES'!$C$170</f>
        <v>7500</v>
      </c>
      <c r="X589">
        <f>'PARAMÈTRES'!$C$170</f>
        <v>7500</v>
      </c>
    </row>
    <row r="590">
      <c r="A590" t="inlineStr">
        <is>
          <t>dqe_2_7_m</t>
        </is>
      </c>
      <c r="B590" t="inlineStr">
        <is>
          <t>DQE_DEVIS!G21</t>
        </is>
      </c>
      <c r="D590">
        <f>D588*D589</f>
        <v>15000</v>
      </c>
      <c r="E590">
        <f>E588*E589</f>
        <v>15000</v>
      </c>
      <c r="F590">
        <f>F588*F589</f>
        <v>15000</v>
      </c>
      <c r="G590">
        <f>G588*G589</f>
        <v>15000</v>
      </c>
      <c r="H590">
        <f>H588*H589</f>
        <v>15000</v>
      </c>
      <c r="I590">
        <f>I588*I589</f>
        <v>15000</v>
      </c>
      <c r="J590">
        <f>J588*J589</f>
        <v>30000</v>
      </c>
      <c r="K590">
        <f>K588*K589</f>
        <v>30000</v>
      </c>
      <c r="L590">
        <f>L588*L589</f>
        <v>30000</v>
      </c>
      <c r="M590">
        <f>M588*M589</f>
        <v>30000</v>
      </c>
      <c r="N590">
        <f>N588*N589</f>
        <v>30000</v>
      </c>
      <c r="O590">
        <f>O588*O589</f>
        <v>30000</v>
      </c>
      <c r="P590">
        <f>P588*P589</f>
        <v>45000</v>
      </c>
      <c r="Q590">
        <f>Q588*Q589</f>
        <v>45000</v>
      </c>
      <c r="R590">
        <f>R588*R589</f>
        <v>45000</v>
      </c>
      <c r="S590">
        <f>S588*S589</f>
        <v>60000</v>
      </c>
      <c r="T590">
        <f>T588*T589</f>
        <v>60000</v>
      </c>
      <c r="U590">
        <f>U588*U589</f>
        <v>60000</v>
      </c>
      <c r="V590">
        <f>V588*V589</f>
        <v>75000</v>
      </c>
      <c r="W590">
        <f>W588*W589</f>
        <v>75000</v>
      </c>
      <c r="X590">
        <f>X588*X589</f>
        <v>75000</v>
      </c>
    </row>
    <row r="591">
      <c r="A591" t="inlineStr">
        <is>
          <t>dqe_2_8_q</t>
        </is>
      </c>
      <c r="B591" t="inlineStr">
        <is>
          <t>DQE_DEVIS!E22</t>
        </is>
      </c>
      <c r="D591">
        <f>D270</f>
        <v>12</v>
      </c>
      <c r="E591">
        <f>E270</f>
        <v>12</v>
      </c>
      <c r="F591">
        <f>F270</f>
        <v>12</v>
      </c>
      <c r="G591">
        <f>G270</f>
        <v>12</v>
      </c>
      <c r="H591">
        <f>H270</f>
        <v>12</v>
      </c>
      <c r="I591">
        <f>I270</f>
        <v>12</v>
      </c>
      <c r="J591">
        <f>J270</f>
        <v>24</v>
      </c>
      <c r="K591">
        <f>K270</f>
        <v>24</v>
      </c>
      <c r="L591">
        <f>L270</f>
        <v>24</v>
      </c>
      <c r="M591">
        <f>M270</f>
        <v>24</v>
      </c>
      <c r="N591">
        <f>N270</f>
        <v>24</v>
      </c>
      <c r="O591">
        <f>O270</f>
        <v>24</v>
      </c>
      <c r="P591">
        <f>P270</f>
        <v>36</v>
      </c>
      <c r="Q591">
        <f>Q270</f>
        <v>36</v>
      </c>
      <c r="R591">
        <f>R270</f>
        <v>36</v>
      </c>
      <c r="S591">
        <f>S270</f>
        <v>48</v>
      </c>
      <c r="T591">
        <f>T270</f>
        <v>48</v>
      </c>
      <c r="U591">
        <f>U270</f>
        <v>48</v>
      </c>
      <c r="V591">
        <f>V270</f>
        <v>73.3333333333333</v>
      </c>
      <c r="W591">
        <f>W270</f>
        <v>73.3333333333333</v>
      </c>
      <c r="X591">
        <f>X270</f>
        <v>73.3333333333333</v>
      </c>
    </row>
    <row r="592">
      <c r="A592" t="inlineStr">
        <is>
          <t>dqe_2_8_pu</t>
        </is>
      </c>
      <c r="B592" t="inlineStr">
        <is>
          <t>DQE_DEVIS!F22</t>
        </is>
      </c>
      <c r="D592">
        <f>'PARAMÈTRES'!$C$171</f>
        <v>6000</v>
      </c>
      <c r="E592">
        <f>'PARAMÈTRES'!$C$171</f>
        <v>6000</v>
      </c>
      <c r="F592">
        <f>'PARAMÈTRES'!$C$171</f>
        <v>6000</v>
      </c>
      <c r="G592">
        <f>'PARAMÈTRES'!$C$171</f>
        <v>6000</v>
      </c>
      <c r="H592">
        <f>'PARAMÈTRES'!$C$171</f>
        <v>6000</v>
      </c>
      <c r="I592">
        <f>'PARAMÈTRES'!$C$171</f>
        <v>6000</v>
      </c>
      <c r="J592">
        <f>'PARAMÈTRES'!$C$171</f>
        <v>6000</v>
      </c>
      <c r="K592">
        <f>'PARAMÈTRES'!$C$171</f>
        <v>6000</v>
      </c>
      <c r="L592">
        <f>'PARAMÈTRES'!$C$171</f>
        <v>6000</v>
      </c>
      <c r="M592">
        <f>'PARAMÈTRES'!$C$171</f>
        <v>6000</v>
      </c>
      <c r="N592">
        <f>'PARAMÈTRES'!$C$171</f>
        <v>6000</v>
      </c>
      <c r="O592">
        <f>'PARAMÈTRES'!$C$171</f>
        <v>6000</v>
      </c>
      <c r="P592">
        <f>'PARAMÈTRES'!$C$171</f>
        <v>6000</v>
      </c>
      <c r="Q592">
        <f>'PARAMÈTRES'!$C$171</f>
        <v>6000</v>
      </c>
      <c r="R592">
        <f>'PARAMÈTRES'!$C$171</f>
        <v>6000</v>
      </c>
      <c r="S592">
        <f>'PARAMÈTRES'!$C$171</f>
        <v>6000</v>
      </c>
      <c r="T592">
        <f>'PARAMÈTRES'!$C$171</f>
        <v>6000</v>
      </c>
      <c r="U592">
        <f>'PARAMÈTRES'!$C$171</f>
        <v>6000</v>
      </c>
      <c r="V592">
        <f>'PARAMÈTRES'!$C$171</f>
        <v>6000</v>
      </c>
      <c r="W592">
        <f>'PARAMÈTRES'!$C$171</f>
        <v>6000</v>
      </c>
      <c r="X592">
        <f>'PARAMÈTRES'!$C$171</f>
        <v>6000</v>
      </c>
    </row>
    <row r="593">
      <c r="A593" t="inlineStr">
        <is>
          <t>dqe_2_8_m</t>
        </is>
      </c>
      <c r="B593" t="inlineStr">
        <is>
          <t>DQE_DEVIS!G22</t>
        </is>
      </c>
      <c r="D593">
        <f>D591*D592</f>
        <v>72000</v>
      </c>
      <c r="E593">
        <f>E591*E592</f>
        <v>72000</v>
      </c>
      <c r="F593">
        <f>F591*F592</f>
        <v>72000</v>
      </c>
      <c r="G593">
        <f>G591*G592</f>
        <v>72000</v>
      </c>
      <c r="H593">
        <f>H591*H592</f>
        <v>72000</v>
      </c>
      <c r="I593">
        <f>I591*I592</f>
        <v>72000</v>
      </c>
      <c r="J593">
        <f>J591*J592</f>
        <v>144000</v>
      </c>
      <c r="K593">
        <f>K591*K592</f>
        <v>144000</v>
      </c>
      <c r="L593">
        <f>L591*L592</f>
        <v>144000</v>
      </c>
      <c r="M593">
        <f>M591*M592</f>
        <v>144000</v>
      </c>
      <c r="N593">
        <f>N591*N592</f>
        <v>144000</v>
      </c>
      <c r="O593">
        <f>O591*O592</f>
        <v>144000</v>
      </c>
      <c r="P593">
        <f>P591*P592</f>
        <v>216000</v>
      </c>
      <c r="Q593">
        <f>Q591*Q592</f>
        <v>216000</v>
      </c>
      <c r="R593">
        <f>R591*R592</f>
        <v>216000</v>
      </c>
      <c r="S593">
        <f>S591*S592</f>
        <v>288000</v>
      </c>
      <c r="T593">
        <f>T591*T592</f>
        <v>288000</v>
      </c>
      <c r="U593">
        <f>U591*U592</f>
        <v>288000</v>
      </c>
      <c r="V593">
        <f>V591*V592</f>
        <v>440000</v>
      </c>
      <c r="W593">
        <f>W591*W592</f>
        <v>440000</v>
      </c>
      <c r="X593">
        <f>X591*X592</f>
        <v>440000</v>
      </c>
    </row>
    <row r="594">
      <c r="A594" t="inlineStr">
        <is>
          <t>dqe_2_9_q</t>
        </is>
      </c>
      <c r="B594" t="inlineStr">
        <is>
          <t>DQE_DEVIS!E23</t>
        </is>
      </c>
      <c r="D594">
        <f>D272</f>
        <v>4</v>
      </c>
      <c r="E594">
        <f>E272</f>
        <v>4</v>
      </c>
      <c r="F594">
        <f>F272</f>
        <v>4</v>
      </c>
      <c r="G594">
        <f>G272</f>
        <v>4</v>
      </c>
      <c r="H594">
        <f>H272</f>
        <v>4</v>
      </c>
      <c r="I594">
        <f>I272</f>
        <v>4</v>
      </c>
      <c r="J594">
        <f>J272</f>
        <v>4</v>
      </c>
      <c r="K594">
        <f>K272</f>
        <v>4</v>
      </c>
      <c r="L594">
        <f>L272</f>
        <v>4</v>
      </c>
      <c r="M594">
        <f>M272</f>
        <v>4</v>
      </c>
      <c r="N594">
        <f>N272</f>
        <v>4</v>
      </c>
      <c r="O594">
        <f>O272</f>
        <v>4</v>
      </c>
      <c r="P594">
        <f>P272</f>
        <v>4</v>
      </c>
      <c r="Q594">
        <f>Q272</f>
        <v>4</v>
      </c>
      <c r="R594">
        <f>R272</f>
        <v>4</v>
      </c>
      <c r="S594">
        <f>S272</f>
        <v>4</v>
      </c>
      <c r="T594">
        <f>T272</f>
        <v>4</v>
      </c>
      <c r="U594">
        <f>U272</f>
        <v>4</v>
      </c>
      <c r="V594">
        <f>V272</f>
        <v>4</v>
      </c>
      <c r="W594">
        <f>W272</f>
        <v>4</v>
      </c>
      <c r="X594">
        <f>X272</f>
        <v>4</v>
      </c>
    </row>
    <row r="595">
      <c r="A595" t="inlineStr">
        <is>
          <t>dqe_2_9_pu</t>
        </is>
      </c>
      <c r="B595" t="inlineStr">
        <is>
          <t>DQE_DEVIS!F23</t>
        </is>
      </c>
      <c r="D595">
        <f>'PARAMÈTRES'!$C$172</f>
        <v>150000</v>
      </c>
      <c r="E595">
        <f>'PARAMÈTRES'!$C$172</f>
        <v>150000</v>
      </c>
      <c r="F595">
        <f>'PARAMÈTRES'!$C$172</f>
        <v>150000</v>
      </c>
      <c r="G595">
        <f>'PARAMÈTRES'!$C$172</f>
        <v>150000</v>
      </c>
      <c r="H595">
        <f>'PARAMÈTRES'!$C$172</f>
        <v>150000</v>
      </c>
      <c r="I595">
        <f>'PARAMÈTRES'!$C$172</f>
        <v>150000</v>
      </c>
      <c r="J595">
        <f>'PARAMÈTRES'!$C$172</f>
        <v>150000</v>
      </c>
      <c r="K595">
        <f>'PARAMÈTRES'!$C$172</f>
        <v>150000</v>
      </c>
      <c r="L595">
        <f>'PARAMÈTRES'!$C$172</f>
        <v>150000</v>
      </c>
      <c r="M595">
        <f>'PARAMÈTRES'!$C$172</f>
        <v>150000</v>
      </c>
      <c r="N595">
        <f>'PARAMÈTRES'!$C$172</f>
        <v>150000</v>
      </c>
      <c r="O595">
        <f>'PARAMÈTRES'!$C$172</f>
        <v>150000</v>
      </c>
      <c r="P595">
        <f>'PARAMÈTRES'!$C$172</f>
        <v>150000</v>
      </c>
      <c r="Q595">
        <f>'PARAMÈTRES'!$C$172</f>
        <v>150000</v>
      </c>
      <c r="R595">
        <f>'PARAMÈTRES'!$C$172</f>
        <v>150000</v>
      </c>
      <c r="S595">
        <f>'PARAMÈTRES'!$C$172</f>
        <v>150000</v>
      </c>
      <c r="T595">
        <f>'PARAMÈTRES'!$C$172</f>
        <v>150000</v>
      </c>
      <c r="U595">
        <f>'PARAMÈTRES'!$C$172</f>
        <v>150000</v>
      </c>
      <c r="V595">
        <f>'PARAMÈTRES'!$C$172</f>
        <v>150000</v>
      </c>
      <c r="W595">
        <f>'PARAMÈTRES'!$C$172</f>
        <v>150000</v>
      </c>
      <c r="X595">
        <f>'PARAMÈTRES'!$C$172</f>
        <v>150000</v>
      </c>
    </row>
    <row r="596">
      <c r="A596" t="inlineStr">
        <is>
          <t>dqe_2_9_m</t>
        </is>
      </c>
      <c r="B596" t="inlineStr">
        <is>
          <t>DQE_DEVIS!G23</t>
        </is>
      </c>
      <c r="D596">
        <f>D594*D595</f>
        <v>600000</v>
      </c>
      <c r="E596">
        <f>E594*E595</f>
        <v>600000</v>
      </c>
      <c r="F596">
        <f>F594*F595</f>
        <v>600000</v>
      </c>
      <c r="G596">
        <f>G594*G595</f>
        <v>600000</v>
      </c>
      <c r="H596">
        <f>H594*H595</f>
        <v>600000</v>
      </c>
      <c r="I596">
        <f>I594*I595</f>
        <v>600000</v>
      </c>
      <c r="J596">
        <f>J594*J595</f>
        <v>600000</v>
      </c>
      <c r="K596">
        <f>K594*K595</f>
        <v>600000</v>
      </c>
      <c r="L596">
        <f>L594*L595</f>
        <v>600000</v>
      </c>
      <c r="M596">
        <f>M594*M595</f>
        <v>600000</v>
      </c>
      <c r="N596">
        <f>N594*N595</f>
        <v>600000</v>
      </c>
      <c r="O596">
        <f>O594*O595</f>
        <v>600000</v>
      </c>
      <c r="P596">
        <f>P594*P595</f>
        <v>600000</v>
      </c>
      <c r="Q596">
        <f>Q594*Q595</f>
        <v>600000</v>
      </c>
      <c r="R596">
        <f>R594*R595</f>
        <v>600000</v>
      </c>
      <c r="S596">
        <f>S594*S595</f>
        <v>600000</v>
      </c>
      <c r="T596">
        <f>T594*T595</f>
        <v>600000</v>
      </c>
      <c r="U596">
        <f>U594*U595</f>
        <v>600000</v>
      </c>
      <c r="V596">
        <f>V594*V595</f>
        <v>600000</v>
      </c>
      <c r="W596">
        <f>W594*W595</f>
        <v>600000</v>
      </c>
      <c r="X596">
        <f>X594*X595</f>
        <v>600000</v>
      </c>
    </row>
    <row r="597">
      <c r="A597" t="inlineStr">
        <is>
          <t>dqe_2_10_q</t>
        </is>
      </c>
      <c r="B597" t="inlineStr">
        <is>
          <t>DQE_DEVIS!E24</t>
        </is>
      </c>
      <c r="D597">
        <f>D350</f>
        <v>4968</v>
      </c>
      <c r="E597">
        <f>E350</f>
        <v>4968</v>
      </c>
      <c r="F597">
        <f>F350</f>
        <v>2011</v>
      </c>
      <c r="G597">
        <f>G350</f>
        <v>4658</v>
      </c>
      <c r="H597">
        <f>H350</f>
        <v>4658</v>
      </c>
      <c r="I597">
        <f>I350</f>
        <v>2031</v>
      </c>
      <c r="J597">
        <f>J350</f>
        <v>6453</v>
      </c>
      <c r="K597">
        <f>K350</f>
        <v>6453</v>
      </c>
      <c r="L597">
        <f>L350</f>
        <v>3034</v>
      </c>
      <c r="M597">
        <f>M350</f>
        <v>5835</v>
      </c>
      <c r="N597">
        <f>N350</f>
        <v>5835</v>
      </c>
      <c r="O597">
        <f>O350</f>
        <v>2720</v>
      </c>
      <c r="P597">
        <f>P350</f>
        <v>10093</v>
      </c>
      <c r="Q597">
        <f>Q350</f>
        <v>10093</v>
      </c>
      <c r="R597">
        <f>R350</f>
        <v>5393</v>
      </c>
      <c r="S597">
        <f>S350</f>
        <v>13862</v>
      </c>
      <c r="T597">
        <f>T350</f>
        <v>13862</v>
      </c>
      <c r="U597">
        <f>U350</f>
        <v>8107</v>
      </c>
      <c r="V597">
        <f>V350</f>
        <v>19145</v>
      </c>
      <c r="W597">
        <f>W350</f>
        <v>19145</v>
      </c>
      <c r="X597">
        <f>X350</f>
        <v>10821</v>
      </c>
    </row>
    <row r="598">
      <c r="A598" t="inlineStr">
        <is>
          <t>dqe_2_10_pu</t>
        </is>
      </c>
      <c r="B598" t="inlineStr">
        <is>
          <t>DQE_DEVIS!F24</t>
        </is>
      </c>
      <c r="D598">
        <f>'PARAMÈTRES'!$C$173</f>
        <v>75</v>
      </c>
      <c r="E598">
        <f>'PARAMÈTRES'!$C$173</f>
        <v>75</v>
      </c>
      <c r="F598">
        <f>'PARAMÈTRES'!$C$173</f>
        <v>75</v>
      </c>
      <c r="G598">
        <f>'PARAMÈTRES'!$C$173</f>
        <v>75</v>
      </c>
      <c r="H598">
        <f>'PARAMÈTRES'!$C$173</f>
        <v>75</v>
      </c>
      <c r="I598">
        <f>'PARAMÈTRES'!$C$173</f>
        <v>75</v>
      </c>
      <c r="J598">
        <f>'PARAMÈTRES'!$C$173</f>
        <v>75</v>
      </c>
      <c r="K598">
        <f>'PARAMÈTRES'!$C$173</f>
        <v>75</v>
      </c>
      <c r="L598">
        <f>'PARAMÈTRES'!$C$173</f>
        <v>75</v>
      </c>
      <c r="M598">
        <f>'PARAMÈTRES'!$C$173</f>
        <v>75</v>
      </c>
      <c r="N598">
        <f>'PARAMÈTRES'!$C$173</f>
        <v>75</v>
      </c>
      <c r="O598">
        <f>'PARAMÈTRES'!$C$173</f>
        <v>75</v>
      </c>
      <c r="P598">
        <f>'PARAMÈTRES'!$C$173</f>
        <v>75</v>
      </c>
      <c r="Q598">
        <f>'PARAMÈTRES'!$C$173</f>
        <v>75</v>
      </c>
      <c r="R598">
        <f>'PARAMÈTRES'!$C$173</f>
        <v>75</v>
      </c>
      <c r="S598">
        <f>'PARAMÈTRES'!$C$173</f>
        <v>75</v>
      </c>
      <c r="T598">
        <f>'PARAMÈTRES'!$C$173</f>
        <v>75</v>
      </c>
      <c r="U598">
        <f>'PARAMÈTRES'!$C$173</f>
        <v>75</v>
      </c>
      <c r="V598">
        <f>'PARAMÈTRES'!$C$173</f>
        <v>75</v>
      </c>
      <c r="W598">
        <f>'PARAMÈTRES'!$C$173</f>
        <v>75</v>
      </c>
      <c r="X598">
        <f>'PARAMÈTRES'!$C$173</f>
        <v>75</v>
      </c>
    </row>
    <row r="599">
      <c r="A599" t="inlineStr">
        <is>
          <t>dqe_2_10_m</t>
        </is>
      </c>
      <c r="B599" t="inlineStr">
        <is>
          <t>DQE_DEVIS!G24</t>
        </is>
      </c>
      <c r="D599">
        <f>D597*D598</f>
        <v>372600</v>
      </c>
      <c r="E599">
        <f>E597*E598</f>
        <v>372600</v>
      </c>
      <c r="F599">
        <f>F597*F598</f>
        <v>150825</v>
      </c>
      <c r="G599">
        <f>G597*G598</f>
        <v>349350</v>
      </c>
      <c r="H599">
        <f>H597*H598</f>
        <v>349350</v>
      </c>
      <c r="I599">
        <f>I597*I598</f>
        <v>152325</v>
      </c>
      <c r="J599">
        <f>J597*J598</f>
        <v>483975</v>
      </c>
      <c r="K599">
        <f>K597*K598</f>
        <v>483975</v>
      </c>
      <c r="L599">
        <f>L597*L598</f>
        <v>227550</v>
      </c>
      <c r="M599">
        <f>M597*M598</f>
        <v>437625</v>
      </c>
      <c r="N599">
        <f>N597*N598</f>
        <v>437625</v>
      </c>
      <c r="O599">
        <f>O597*O598</f>
        <v>204000</v>
      </c>
      <c r="P599">
        <f>P597*P598</f>
        <v>756975</v>
      </c>
      <c r="Q599">
        <f>Q597*Q598</f>
        <v>756975</v>
      </c>
      <c r="R599">
        <f>R597*R598</f>
        <v>404475</v>
      </c>
      <c r="S599">
        <f>S597*S598</f>
        <v>1039650</v>
      </c>
      <c r="T599">
        <f>T597*T598</f>
        <v>1039650</v>
      </c>
      <c r="U599">
        <f>U597*U598</f>
        <v>608025</v>
      </c>
      <c r="V599">
        <f>V597*V598</f>
        <v>1435875</v>
      </c>
      <c r="W599">
        <f>W597*W598</f>
        <v>1435875</v>
      </c>
      <c r="X599">
        <f>X597*X598</f>
        <v>811575</v>
      </c>
    </row>
    <row r="600">
      <c r="A600" t="inlineStr">
        <is>
          <t>dqe_2_11_q</t>
        </is>
      </c>
      <c r="B600" t="inlineStr">
        <is>
          <t>DQE_DEVIS!E25</t>
        </is>
      </c>
      <c r="D600">
        <f>D274</f>
        <v>300</v>
      </c>
      <c r="E600">
        <f>E274</f>
        <v>300</v>
      </c>
      <c r="F600">
        <f>F274</f>
        <v>300</v>
      </c>
      <c r="G600">
        <f>G274</f>
        <v>200</v>
      </c>
      <c r="H600">
        <f>H274</f>
        <v>200</v>
      </c>
      <c r="I600">
        <f>I274</f>
        <v>200</v>
      </c>
      <c r="J600">
        <f>J274</f>
        <v>300</v>
      </c>
      <c r="K600">
        <f>K274</f>
        <v>300</v>
      </c>
      <c r="L600">
        <f>L274</f>
        <v>300</v>
      </c>
      <c r="M600">
        <f>M274</f>
        <v>200</v>
      </c>
      <c r="N600">
        <f>N274</f>
        <v>200</v>
      </c>
      <c r="O600">
        <f>O274</f>
        <v>200</v>
      </c>
      <c r="P600">
        <f>P274</f>
        <v>400</v>
      </c>
      <c r="Q600">
        <f>Q274</f>
        <v>400</v>
      </c>
      <c r="R600">
        <f>R274</f>
        <v>400</v>
      </c>
      <c r="S600">
        <f>S274</f>
        <v>400</v>
      </c>
      <c r="T600">
        <f>T274</f>
        <v>400</v>
      </c>
      <c r="U600">
        <f>U274</f>
        <v>400</v>
      </c>
      <c r="V600">
        <f>V274</f>
        <v>400</v>
      </c>
      <c r="W600">
        <f>W274</f>
        <v>400</v>
      </c>
      <c r="X600">
        <f>X274</f>
        <v>400</v>
      </c>
    </row>
    <row r="601">
      <c r="A601" t="inlineStr">
        <is>
          <t>dqe_2_11_pu</t>
        </is>
      </c>
      <c r="B601" t="inlineStr">
        <is>
          <t>DQE_DEVIS!F25</t>
        </is>
      </c>
      <c r="D601">
        <f>'PARAMÈTRES'!$C$174</f>
        <v>25</v>
      </c>
      <c r="E601">
        <f>'PARAMÈTRES'!$C$174</f>
        <v>25</v>
      </c>
      <c r="F601">
        <f>'PARAMÈTRES'!$C$174</f>
        <v>25</v>
      </c>
      <c r="G601">
        <f>'PARAMÈTRES'!$C$174</f>
        <v>25</v>
      </c>
      <c r="H601">
        <f>'PARAMÈTRES'!$C$174</f>
        <v>25</v>
      </c>
      <c r="I601">
        <f>'PARAMÈTRES'!$C$174</f>
        <v>25</v>
      </c>
      <c r="J601">
        <f>'PARAMÈTRES'!$C$174</f>
        <v>25</v>
      </c>
      <c r="K601">
        <f>'PARAMÈTRES'!$C$174</f>
        <v>25</v>
      </c>
      <c r="L601">
        <f>'PARAMÈTRES'!$C$174</f>
        <v>25</v>
      </c>
      <c r="M601">
        <f>'PARAMÈTRES'!$C$174</f>
        <v>25</v>
      </c>
      <c r="N601">
        <f>'PARAMÈTRES'!$C$174</f>
        <v>25</v>
      </c>
      <c r="O601">
        <f>'PARAMÈTRES'!$C$174</f>
        <v>25</v>
      </c>
      <c r="P601">
        <f>'PARAMÈTRES'!$C$174</f>
        <v>25</v>
      </c>
      <c r="Q601">
        <f>'PARAMÈTRES'!$C$174</f>
        <v>25</v>
      </c>
      <c r="R601">
        <f>'PARAMÈTRES'!$C$174</f>
        <v>25</v>
      </c>
      <c r="S601">
        <f>'PARAMÈTRES'!$C$174</f>
        <v>25</v>
      </c>
      <c r="T601">
        <f>'PARAMÈTRES'!$C$174</f>
        <v>25</v>
      </c>
      <c r="U601">
        <f>'PARAMÈTRES'!$C$174</f>
        <v>25</v>
      </c>
      <c r="V601">
        <f>'PARAMÈTRES'!$C$174</f>
        <v>25</v>
      </c>
      <c r="W601">
        <f>'PARAMÈTRES'!$C$174</f>
        <v>25</v>
      </c>
      <c r="X601">
        <f>'PARAMÈTRES'!$C$174</f>
        <v>25</v>
      </c>
    </row>
    <row r="602">
      <c r="A602" t="inlineStr">
        <is>
          <t>dqe_2_11_m</t>
        </is>
      </c>
      <c r="B602" t="inlineStr">
        <is>
          <t>DQE_DEVIS!G25</t>
        </is>
      </c>
      <c r="D602">
        <f>D600*D601</f>
        <v>7500</v>
      </c>
      <c r="E602">
        <f>E600*E601</f>
        <v>7500</v>
      </c>
      <c r="F602">
        <f>F600*F601</f>
        <v>7500</v>
      </c>
      <c r="G602">
        <f>G600*G601</f>
        <v>5000</v>
      </c>
      <c r="H602">
        <f>H600*H601</f>
        <v>5000</v>
      </c>
      <c r="I602">
        <f>I600*I601</f>
        <v>5000</v>
      </c>
      <c r="J602">
        <f>J600*J601</f>
        <v>7500</v>
      </c>
      <c r="K602">
        <f>K600*K601</f>
        <v>7500</v>
      </c>
      <c r="L602">
        <f>L600*L601</f>
        <v>7500</v>
      </c>
      <c r="M602">
        <f>M600*M601</f>
        <v>5000</v>
      </c>
      <c r="N602">
        <f>N600*N601</f>
        <v>5000</v>
      </c>
      <c r="O602">
        <f>O600*O601</f>
        <v>5000</v>
      </c>
      <c r="P602">
        <f>P600*P601</f>
        <v>10000</v>
      </c>
      <c r="Q602">
        <f>Q600*Q601</f>
        <v>10000</v>
      </c>
      <c r="R602">
        <f>R600*R601</f>
        <v>10000</v>
      </c>
      <c r="S602">
        <f>S600*S601</f>
        <v>10000</v>
      </c>
      <c r="T602">
        <f>T600*T601</f>
        <v>10000</v>
      </c>
      <c r="U602">
        <f>U600*U601</f>
        <v>10000</v>
      </c>
      <c r="V602">
        <f>V600*V601</f>
        <v>10000</v>
      </c>
      <c r="W602">
        <f>W600*W601</f>
        <v>10000</v>
      </c>
      <c r="X602">
        <f>X600*X601</f>
        <v>10000</v>
      </c>
    </row>
    <row r="603">
      <c r="A603" t="inlineStr">
        <is>
          <t>st2</t>
        </is>
      </c>
      <c r="B603" t="inlineStr">
        <is>
          <t>DQE_DEVIS!G26</t>
        </is>
      </c>
      <c r="D603">
        <f>D572+D575+D578+D581+D584+D587+D590+D593+D596+D599+D602</f>
        <v>4708019.10976191</v>
      </c>
      <c r="E603">
        <f>E572+E575+E578+E581+E584+E587+E590+E593+E596+E599+E602</f>
        <v>4708019.10976191</v>
      </c>
      <c r="F603">
        <f>F572+F575+F578+F581+F584+F587+F590+F593+F596+F599+F602</f>
        <v>4486244.10976191</v>
      </c>
      <c r="G603">
        <f>G572+G575+G578+G581+G584+G587+G590+G593+G596+G599+G602</f>
        <v>4336108.09017456</v>
      </c>
      <c r="H603">
        <f>H572+H575+H578+H581+H584+H587+H590+H593+H596+H599+H602</f>
        <v>4336108.09017456</v>
      </c>
      <c r="I603">
        <f>I572+I575+I578+I581+I584+I587+I590+I593+I596+I599+I602</f>
        <v>4139083.09017456</v>
      </c>
      <c r="J603">
        <f>J572+J575+J578+J581+J584+J587+J590+J593+J596+J599+J602</f>
        <v>6134923.66464287</v>
      </c>
      <c r="K603">
        <f>K572+K575+K578+K581+K584+K587+K590+K593+K596+K599+K602</f>
        <v>6134923.66464287</v>
      </c>
      <c r="L603">
        <f>L572+L575+L578+L581+L584+L587+L590+L593+L596+L599+L602</f>
        <v>5878498.66464287</v>
      </c>
      <c r="M603">
        <f>M572+M575+M578+M581+M584+M587+M590+M593+M596+M599+M602</f>
        <v>5350015.78689941</v>
      </c>
      <c r="N603">
        <f>N572+N575+N578+N581+N584+N587+N590+N593+N596+N599+N602</f>
        <v>5350015.78689941</v>
      </c>
      <c r="O603">
        <f>O572+O575+O578+O581+O584+O587+O590+O593+O596+O599+O602</f>
        <v>5116390.78689941</v>
      </c>
      <c r="P603">
        <f>P572+P575+P578+P581+P584+P587+P590+P593+P596+P599+P602</f>
        <v>9690540.65214824</v>
      </c>
      <c r="Q603">
        <f>Q572+Q575+Q578+Q581+Q584+Q587+Q590+Q593+Q596+Q599+Q602</f>
        <v>9690540.65214824</v>
      </c>
      <c r="R603">
        <f>R572+R575+R578+R581+R584+R587+R590+R593+R596+R599+R602</f>
        <v>9338040.65214824</v>
      </c>
      <c r="S603">
        <f>S572+S575+S578+S581+S584+S587+S590+S593+S596+S599+S602</f>
        <v>13297068.4782224</v>
      </c>
      <c r="T603">
        <f>T572+T575+T578+T581+T584+T587+T590+T593+T596+T599+T602</f>
        <v>13297068.4782224</v>
      </c>
      <c r="U603">
        <f>U572+U575+U578+U581+U584+U587+U590+U593+U596+U599+U602</f>
        <v>12865443.4782224</v>
      </c>
      <c r="V603">
        <f>V572+V575+V578+V581+V584+V587+V590+V593+V596+V599+V602</f>
        <v>17097146.3042965</v>
      </c>
      <c r="W603">
        <f>W572+W575+W578+W581+W584+W587+W590+W593+W596+W599+W602</f>
        <v>17097146.3042965</v>
      </c>
      <c r="X603">
        <f>X572+X575+X578+X581+X584+X587+X590+X593+X596+X599+X602</f>
        <v>16472846.3042965</v>
      </c>
    </row>
    <row r="604">
      <c r="A604" t="inlineStr">
        <is>
          <t>dqe_3_1_q</t>
        </is>
      </c>
      <c r="B604" t="inlineStr">
        <is>
          <t>DQE_DEVIS!E29</t>
        </is>
      </c>
      <c r="D604">
        <f>D300</f>
        <v>492.8</v>
      </c>
      <c r="E604">
        <f>E300</f>
        <v>492.8</v>
      </c>
      <c r="F604">
        <f>F300</f>
        <v>0</v>
      </c>
      <c r="G604">
        <f>G300</f>
        <v>437.8</v>
      </c>
      <c r="H604">
        <f>H300</f>
        <v>437.8</v>
      </c>
      <c r="I604">
        <f>I300</f>
        <v>0</v>
      </c>
      <c r="J604">
        <f>J300</f>
        <v>569.8</v>
      </c>
      <c r="K604">
        <f>K300</f>
        <v>569.8</v>
      </c>
      <c r="L604">
        <f>L300</f>
        <v>0</v>
      </c>
      <c r="M604">
        <f>M300</f>
        <v>519.2</v>
      </c>
      <c r="N604">
        <f>N300</f>
        <v>519.2</v>
      </c>
      <c r="O604">
        <f>O300</f>
        <v>0</v>
      </c>
      <c r="P604">
        <f>P300</f>
        <v>783.2</v>
      </c>
      <c r="Q604">
        <f>Q300</f>
        <v>783.2</v>
      </c>
      <c r="R604">
        <f>R300</f>
        <v>0</v>
      </c>
      <c r="S604">
        <f>S300</f>
        <v>959.2</v>
      </c>
      <c r="T604">
        <f>T300</f>
        <v>959.2</v>
      </c>
      <c r="U604">
        <f>U300</f>
        <v>0</v>
      </c>
      <c r="V604">
        <f>V300</f>
        <v>1387.46666666667</v>
      </c>
      <c r="W604">
        <f>W300</f>
        <v>1387.46666666667</v>
      </c>
      <c r="X604">
        <f>X300</f>
        <v>0</v>
      </c>
    </row>
    <row r="605">
      <c r="A605" t="inlineStr">
        <is>
          <t>dqe_3_1_pu</t>
        </is>
      </c>
      <c r="B605" t="inlineStr">
        <is>
          <t>DQE_DEVIS!F29</t>
        </is>
      </c>
      <c r="D605">
        <f>'PARAMÈTRES'!$C$175</f>
        <v>6000</v>
      </c>
      <c r="E605">
        <f>'PARAMÈTRES'!$C$175</f>
        <v>6000</v>
      </c>
      <c r="F605">
        <f>'PARAMÈTRES'!$C$175</f>
        <v>6000</v>
      </c>
      <c r="G605">
        <f>'PARAMÈTRES'!$C$175</f>
        <v>6000</v>
      </c>
      <c r="H605">
        <f>'PARAMÈTRES'!$C$175</f>
        <v>6000</v>
      </c>
      <c r="I605">
        <f>'PARAMÈTRES'!$C$175</f>
        <v>6000</v>
      </c>
      <c r="J605">
        <f>'PARAMÈTRES'!$C$175</f>
        <v>6000</v>
      </c>
      <c r="K605">
        <f>'PARAMÈTRES'!$C$175</f>
        <v>6000</v>
      </c>
      <c r="L605">
        <f>'PARAMÈTRES'!$C$175</f>
        <v>6000</v>
      </c>
      <c r="M605">
        <f>'PARAMÈTRES'!$C$175</f>
        <v>6000</v>
      </c>
      <c r="N605">
        <f>'PARAMÈTRES'!$C$175</f>
        <v>6000</v>
      </c>
      <c r="O605">
        <f>'PARAMÈTRES'!$C$175</f>
        <v>6000</v>
      </c>
      <c r="P605">
        <f>'PARAMÈTRES'!$C$175</f>
        <v>6000</v>
      </c>
      <c r="Q605">
        <f>'PARAMÈTRES'!$C$175</f>
        <v>6000</v>
      </c>
      <c r="R605">
        <f>'PARAMÈTRES'!$C$175</f>
        <v>6000</v>
      </c>
      <c r="S605">
        <f>'PARAMÈTRES'!$C$175</f>
        <v>6000</v>
      </c>
      <c r="T605">
        <f>'PARAMÈTRES'!$C$175</f>
        <v>6000</v>
      </c>
      <c r="U605">
        <f>'PARAMÈTRES'!$C$175</f>
        <v>6000</v>
      </c>
      <c r="V605">
        <f>'PARAMÈTRES'!$C$175</f>
        <v>6000</v>
      </c>
      <c r="W605">
        <f>'PARAMÈTRES'!$C$175</f>
        <v>6000</v>
      </c>
      <c r="X605">
        <f>'PARAMÈTRES'!$C$175</f>
        <v>6000</v>
      </c>
    </row>
    <row r="606">
      <c r="A606" t="inlineStr">
        <is>
          <t>dqe_3_1_m</t>
        </is>
      </c>
      <c r="B606" t="inlineStr">
        <is>
          <t>DQE_DEVIS!G29</t>
        </is>
      </c>
      <c r="D606">
        <f>D604*D605</f>
        <v>2956800</v>
      </c>
      <c r="E606">
        <f>E604*E605</f>
        <v>2956800</v>
      </c>
      <c r="F606">
        <f>F604*F605</f>
        <v>0</v>
      </c>
      <c r="G606">
        <f>G604*G605</f>
        <v>2626800</v>
      </c>
      <c r="H606">
        <f>H604*H605</f>
        <v>2626800</v>
      </c>
      <c r="I606">
        <f>I604*I605</f>
        <v>0</v>
      </c>
      <c r="J606">
        <f>J604*J605</f>
        <v>3418800</v>
      </c>
      <c r="K606">
        <f>K604*K605</f>
        <v>3418800</v>
      </c>
      <c r="L606">
        <f>L604*L605</f>
        <v>0</v>
      </c>
      <c r="M606">
        <f>M604*M605</f>
        <v>3115200</v>
      </c>
      <c r="N606">
        <f>N604*N605</f>
        <v>3115200</v>
      </c>
      <c r="O606">
        <f>O604*O605</f>
        <v>0</v>
      </c>
      <c r="P606">
        <f>P604*P605</f>
        <v>4699200</v>
      </c>
      <c r="Q606">
        <f>Q604*Q605</f>
        <v>4699200</v>
      </c>
      <c r="R606">
        <f>R604*R605</f>
        <v>0</v>
      </c>
      <c r="S606">
        <f>S604*S605</f>
        <v>5755200</v>
      </c>
      <c r="T606">
        <f>T604*T605</f>
        <v>5755200</v>
      </c>
      <c r="U606">
        <f>U604*U605</f>
        <v>0</v>
      </c>
      <c r="V606">
        <f>V604*V605</f>
        <v>8324800</v>
      </c>
      <c r="W606">
        <f>W604*W605</f>
        <v>8324800</v>
      </c>
      <c r="X606">
        <f>X604*X605</f>
        <v>0</v>
      </c>
    </row>
    <row r="607">
      <c r="A607" t="inlineStr">
        <is>
          <t>dqe_3_2_q</t>
        </is>
      </c>
      <c r="B607" t="inlineStr">
        <is>
          <t>DQE_DEVIS!E30</t>
        </is>
      </c>
      <c r="D607">
        <f>D306</f>
        <v>94.5</v>
      </c>
      <c r="E607">
        <f>E306</f>
        <v>94.5</v>
      </c>
      <c r="F607">
        <f>F306</f>
        <v>0</v>
      </c>
      <c r="G607">
        <f>G306</f>
        <v>84.5</v>
      </c>
      <c r="H607">
        <f>H306</f>
        <v>84.5</v>
      </c>
      <c r="I607">
        <f>I306</f>
        <v>0</v>
      </c>
      <c r="J607">
        <f>J306</f>
        <v>104.5</v>
      </c>
      <c r="K607">
        <f>K306</f>
        <v>104.5</v>
      </c>
      <c r="L607">
        <f>L306</f>
        <v>0</v>
      </c>
      <c r="M607">
        <f>M306</f>
        <v>94.5</v>
      </c>
      <c r="N607">
        <f>N306</f>
        <v>94.5</v>
      </c>
      <c r="O607">
        <f>O306</f>
        <v>0</v>
      </c>
      <c r="P607">
        <f>P306</f>
        <v>134.5</v>
      </c>
      <c r="Q607">
        <f>Q306</f>
        <v>134.5</v>
      </c>
      <c r="R607">
        <f>R306</f>
        <v>0</v>
      </c>
      <c r="S607">
        <f>S306</f>
        <v>154.5</v>
      </c>
      <c r="T607">
        <f>T306</f>
        <v>154.5</v>
      </c>
      <c r="U607">
        <f>U306</f>
        <v>0</v>
      </c>
      <c r="V607">
        <f>V306</f>
        <v>179.833333333333</v>
      </c>
      <c r="W607">
        <f>W306</f>
        <v>179.833333333333</v>
      </c>
      <c r="X607">
        <f>X306</f>
        <v>0</v>
      </c>
    </row>
    <row r="608">
      <c r="A608" t="inlineStr">
        <is>
          <t>dqe_3_2_pu</t>
        </is>
      </c>
      <c r="B608" t="inlineStr">
        <is>
          <t>DQE_DEVIS!F30</t>
        </is>
      </c>
      <c r="D608">
        <f>'PARAMÈTRES'!$C$176</f>
        <v>3000</v>
      </c>
      <c r="E608">
        <f>'PARAMÈTRES'!$C$176</f>
        <v>3000</v>
      </c>
      <c r="F608">
        <f>'PARAMÈTRES'!$C$176</f>
        <v>3000</v>
      </c>
      <c r="G608">
        <f>'PARAMÈTRES'!$C$176</f>
        <v>3000</v>
      </c>
      <c r="H608">
        <f>'PARAMÈTRES'!$C$176</f>
        <v>3000</v>
      </c>
      <c r="I608">
        <f>'PARAMÈTRES'!$C$176</f>
        <v>3000</v>
      </c>
      <c r="J608">
        <f>'PARAMÈTRES'!$C$176</f>
        <v>3000</v>
      </c>
      <c r="K608">
        <f>'PARAMÈTRES'!$C$176</f>
        <v>3000</v>
      </c>
      <c r="L608">
        <f>'PARAMÈTRES'!$C$176</f>
        <v>3000</v>
      </c>
      <c r="M608">
        <f>'PARAMÈTRES'!$C$176</f>
        <v>3000</v>
      </c>
      <c r="N608">
        <f>'PARAMÈTRES'!$C$176</f>
        <v>3000</v>
      </c>
      <c r="O608">
        <f>'PARAMÈTRES'!$C$176</f>
        <v>3000</v>
      </c>
      <c r="P608">
        <f>'PARAMÈTRES'!$C$176</f>
        <v>3000</v>
      </c>
      <c r="Q608">
        <f>'PARAMÈTRES'!$C$176</f>
        <v>3000</v>
      </c>
      <c r="R608">
        <f>'PARAMÈTRES'!$C$176</f>
        <v>3000</v>
      </c>
      <c r="S608">
        <f>'PARAMÈTRES'!$C$176</f>
        <v>3000</v>
      </c>
      <c r="T608">
        <f>'PARAMÈTRES'!$C$176</f>
        <v>3000</v>
      </c>
      <c r="U608">
        <f>'PARAMÈTRES'!$C$176</f>
        <v>3000</v>
      </c>
      <c r="V608">
        <f>'PARAMÈTRES'!$C$176</f>
        <v>3000</v>
      </c>
      <c r="W608">
        <f>'PARAMÈTRES'!$C$176</f>
        <v>3000</v>
      </c>
      <c r="X608">
        <f>'PARAMÈTRES'!$C$176</f>
        <v>3000</v>
      </c>
    </row>
    <row r="609">
      <c r="A609" t="inlineStr">
        <is>
          <t>dqe_3_2_m</t>
        </is>
      </c>
      <c r="B609" t="inlineStr">
        <is>
          <t>DQE_DEVIS!G30</t>
        </is>
      </c>
      <c r="D609">
        <f>D607*D608</f>
        <v>283500</v>
      </c>
      <c r="E609">
        <f>E607*E608</f>
        <v>283500</v>
      </c>
      <c r="F609">
        <f>F607*F608</f>
        <v>0</v>
      </c>
      <c r="G609">
        <f>G607*G608</f>
        <v>253500</v>
      </c>
      <c r="H609">
        <f>H607*H608</f>
        <v>253500</v>
      </c>
      <c r="I609">
        <f>I607*I608</f>
        <v>0</v>
      </c>
      <c r="J609">
        <f>J607*J608</f>
        <v>313500</v>
      </c>
      <c r="K609">
        <f>K607*K608</f>
        <v>313500</v>
      </c>
      <c r="L609">
        <f>L607*L608</f>
        <v>0</v>
      </c>
      <c r="M609">
        <f>M607*M608</f>
        <v>283500</v>
      </c>
      <c r="N609">
        <f>N607*N608</f>
        <v>283500</v>
      </c>
      <c r="O609">
        <f>O607*O608</f>
        <v>0</v>
      </c>
      <c r="P609">
        <f>P607*P608</f>
        <v>403500</v>
      </c>
      <c r="Q609">
        <f>Q607*Q608</f>
        <v>403500</v>
      </c>
      <c r="R609">
        <f>R607*R608</f>
        <v>0</v>
      </c>
      <c r="S609">
        <f>S607*S608</f>
        <v>463500</v>
      </c>
      <c r="T609">
        <f>T607*T608</f>
        <v>463500</v>
      </c>
      <c r="U609">
        <f>U607*U608</f>
        <v>0</v>
      </c>
      <c r="V609">
        <f>V607*V608</f>
        <v>539500</v>
      </c>
      <c r="W609">
        <f>W607*W608</f>
        <v>539500</v>
      </c>
      <c r="X609">
        <f>X607*X608</f>
        <v>0</v>
      </c>
    </row>
    <row r="610">
      <c r="A610" t="inlineStr">
        <is>
          <t>dqe_3_3_q</t>
        </is>
      </c>
      <c r="B610" t="inlineStr">
        <is>
          <t>DQE_DEVIS!E31</t>
        </is>
      </c>
      <c r="D610">
        <f>D302</f>
        <v>4.2</v>
      </c>
      <c r="E610">
        <f>E302</f>
        <v>4.2</v>
      </c>
      <c r="F610">
        <f>F302</f>
        <v>4.2</v>
      </c>
      <c r="G610">
        <f>G302</f>
        <v>4.2</v>
      </c>
      <c r="H610">
        <f>H302</f>
        <v>4.2</v>
      </c>
      <c r="I610">
        <f>I302</f>
        <v>4.2</v>
      </c>
      <c r="J610">
        <f>J302</f>
        <v>4.2</v>
      </c>
      <c r="K610">
        <f>K302</f>
        <v>4.2</v>
      </c>
      <c r="L610">
        <f>L302</f>
        <v>4.2</v>
      </c>
      <c r="M610">
        <f>M302</f>
        <v>4.2</v>
      </c>
      <c r="N610">
        <f>N302</f>
        <v>4.2</v>
      </c>
      <c r="O610">
        <f>O302</f>
        <v>4.2</v>
      </c>
      <c r="P610">
        <f>P302</f>
        <v>4.2</v>
      </c>
      <c r="Q610">
        <f>Q302</f>
        <v>4.2</v>
      </c>
      <c r="R610">
        <f>R302</f>
        <v>4.2</v>
      </c>
      <c r="S610">
        <f>S302</f>
        <v>4.2</v>
      </c>
      <c r="T610">
        <f>T302</f>
        <v>4.2</v>
      </c>
      <c r="U610">
        <f>U302</f>
        <v>4.2</v>
      </c>
      <c r="V610">
        <f>V302</f>
        <v>4.2</v>
      </c>
      <c r="W610">
        <f>W302</f>
        <v>4.2</v>
      </c>
      <c r="X610">
        <f>X302</f>
        <v>4.2</v>
      </c>
    </row>
    <row r="611">
      <c r="A611" t="inlineStr">
        <is>
          <t>dqe_3_3_pu</t>
        </is>
      </c>
      <c r="B611" t="inlineStr">
        <is>
          <t>DQE_DEVIS!F31</t>
        </is>
      </c>
      <c r="D611">
        <f>'PARAMÈTRES'!$C$177</f>
        <v>3500</v>
      </c>
      <c r="E611">
        <f>'PARAMÈTRES'!$C$177</f>
        <v>3500</v>
      </c>
      <c r="F611">
        <f>'PARAMÈTRES'!$C$177</f>
        <v>3500</v>
      </c>
      <c r="G611">
        <f>'PARAMÈTRES'!$C$177</f>
        <v>3500</v>
      </c>
      <c r="H611">
        <f>'PARAMÈTRES'!$C$177</f>
        <v>3500</v>
      </c>
      <c r="I611">
        <f>'PARAMÈTRES'!$C$177</f>
        <v>3500</v>
      </c>
      <c r="J611">
        <f>'PARAMÈTRES'!$C$177</f>
        <v>3500</v>
      </c>
      <c r="K611">
        <f>'PARAMÈTRES'!$C$177</f>
        <v>3500</v>
      </c>
      <c r="L611">
        <f>'PARAMÈTRES'!$C$177</f>
        <v>3500</v>
      </c>
      <c r="M611">
        <f>'PARAMÈTRES'!$C$177</f>
        <v>3500</v>
      </c>
      <c r="N611">
        <f>'PARAMÈTRES'!$C$177</f>
        <v>3500</v>
      </c>
      <c r="O611">
        <f>'PARAMÈTRES'!$C$177</f>
        <v>3500</v>
      </c>
      <c r="P611">
        <f>'PARAMÈTRES'!$C$177</f>
        <v>3500</v>
      </c>
      <c r="Q611">
        <f>'PARAMÈTRES'!$C$177</f>
        <v>3500</v>
      </c>
      <c r="R611">
        <f>'PARAMÈTRES'!$C$177</f>
        <v>3500</v>
      </c>
      <c r="S611">
        <f>'PARAMÈTRES'!$C$177</f>
        <v>3500</v>
      </c>
      <c r="T611">
        <f>'PARAMÈTRES'!$C$177</f>
        <v>3500</v>
      </c>
      <c r="U611">
        <f>'PARAMÈTRES'!$C$177</f>
        <v>3500</v>
      </c>
      <c r="V611">
        <f>'PARAMÈTRES'!$C$177</f>
        <v>3500</v>
      </c>
      <c r="W611">
        <f>'PARAMÈTRES'!$C$177</f>
        <v>3500</v>
      </c>
      <c r="X611">
        <f>'PARAMÈTRES'!$C$177</f>
        <v>3500</v>
      </c>
    </row>
    <row r="612">
      <c r="A612" t="inlineStr">
        <is>
          <t>dqe_3_3_m</t>
        </is>
      </c>
      <c r="B612" t="inlineStr">
        <is>
          <t>DQE_DEVIS!G31</t>
        </is>
      </c>
      <c r="D612">
        <f>D610*D611</f>
        <v>14700</v>
      </c>
      <c r="E612">
        <f>E610*E611</f>
        <v>14700</v>
      </c>
      <c r="F612">
        <f>F610*F611</f>
        <v>14700</v>
      </c>
      <c r="G612">
        <f>G610*G611</f>
        <v>14700</v>
      </c>
      <c r="H612">
        <f>H610*H611</f>
        <v>14700</v>
      </c>
      <c r="I612">
        <f>I610*I611</f>
        <v>14700</v>
      </c>
      <c r="J612">
        <f>J610*J611</f>
        <v>14700</v>
      </c>
      <c r="K612">
        <f>K610*K611</f>
        <v>14700</v>
      </c>
      <c r="L612">
        <f>L610*L611</f>
        <v>14700</v>
      </c>
      <c r="M612">
        <f>M610*M611</f>
        <v>14700</v>
      </c>
      <c r="N612">
        <f>N610*N611</f>
        <v>14700</v>
      </c>
      <c r="O612">
        <f>O610*O611</f>
        <v>14700</v>
      </c>
      <c r="P612">
        <f>P610*P611</f>
        <v>14700</v>
      </c>
      <c r="Q612">
        <f>Q610*Q611</f>
        <v>14700</v>
      </c>
      <c r="R612">
        <f>R610*R611</f>
        <v>14700</v>
      </c>
      <c r="S612">
        <f>S610*S611</f>
        <v>14700</v>
      </c>
      <c r="T612">
        <f>T610*T611</f>
        <v>14700</v>
      </c>
      <c r="U612">
        <f>U610*U611</f>
        <v>14700</v>
      </c>
      <c r="V612">
        <f>V610*V611</f>
        <v>14700</v>
      </c>
      <c r="W612">
        <f>W610*W611</f>
        <v>14700</v>
      </c>
      <c r="X612">
        <f>X610*X611</f>
        <v>14700</v>
      </c>
    </row>
    <row r="613">
      <c r="A613" t="inlineStr">
        <is>
          <t>dqe_3_4_q</t>
        </is>
      </c>
      <c r="B613" t="inlineStr">
        <is>
          <t>DQE_DEVIS!E32</t>
        </is>
      </c>
      <c r="D613">
        <f>D304</f>
        <v>8</v>
      </c>
      <c r="E613">
        <f>E304</f>
        <v>8</v>
      </c>
      <c r="F613">
        <f>F304</f>
        <v>8</v>
      </c>
      <c r="G613">
        <f>G304</f>
        <v>8</v>
      </c>
      <c r="H613">
        <f>H304</f>
        <v>8</v>
      </c>
      <c r="I613">
        <f>I304</f>
        <v>8</v>
      </c>
      <c r="J613">
        <f>J304</f>
        <v>8</v>
      </c>
      <c r="K613">
        <f>K304</f>
        <v>8</v>
      </c>
      <c r="L613">
        <f>L304</f>
        <v>8</v>
      </c>
      <c r="M613">
        <f>M304</f>
        <v>8</v>
      </c>
      <c r="N613">
        <f>N304</f>
        <v>8</v>
      </c>
      <c r="O613">
        <f>O304</f>
        <v>8</v>
      </c>
      <c r="P613">
        <f>P304</f>
        <v>8</v>
      </c>
      <c r="Q613">
        <f>Q304</f>
        <v>8</v>
      </c>
      <c r="R613">
        <f>R304</f>
        <v>8</v>
      </c>
      <c r="S613">
        <f>S304</f>
        <v>8</v>
      </c>
      <c r="T613">
        <f>T304</f>
        <v>8</v>
      </c>
      <c r="U613">
        <f>U304</f>
        <v>8</v>
      </c>
      <c r="V613">
        <f>V304</f>
        <v>8</v>
      </c>
      <c r="W613">
        <f>W304</f>
        <v>8</v>
      </c>
      <c r="X613">
        <f>X304</f>
        <v>8</v>
      </c>
    </row>
    <row r="614">
      <c r="A614" t="inlineStr">
        <is>
          <t>dqe_3_4_pu</t>
        </is>
      </c>
      <c r="B614" t="inlineStr">
        <is>
          <t>DQE_DEVIS!F32</t>
        </is>
      </c>
      <c r="D614">
        <f>'PARAMÈTRES'!$C$178</f>
        <v>15000</v>
      </c>
      <c r="E614">
        <f>'PARAMÈTRES'!$C$178</f>
        <v>15000</v>
      </c>
      <c r="F614">
        <f>'PARAMÈTRES'!$C$178</f>
        <v>15000</v>
      </c>
      <c r="G614">
        <f>'PARAMÈTRES'!$C$178</f>
        <v>15000</v>
      </c>
      <c r="H614">
        <f>'PARAMÈTRES'!$C$178</f>
        <v>15000</v>
      </c>
      <c r="I614">
        <f>'PARAMÈTRES'!$C$178</f>
        <v>15000</v>
      </c>
      <c r="J614">
        <f>'PARAMÈTRES'!$C$178</f>
        <v>15000</v>
      </c>
      <c r="K614">
        <f>'PARAMÈTRES'!$C$178</f>
        <v>15000</v>
      </c>
      <c r="L614">
        <f>'PARAMÈTRES'!$C$178</f>
        <v>15000</v>
      </c>
      <c r="M614">
        <f>'PARAMÈTRES'!$C$178</f>
        <v>15000</v>
      </c>
      <c r="N614">
        <f>'PARAMÈTRES'!$C$178</f>
        <v>15000</v>
      </c>
      <c r="O614">
        <f>'PARAMÈTRES'!$C$178</f>
        <v>15000</v>
      </c>
      <c r="P614">
        <f>'PARAMÈTRES'!$C$178</f>
        <v>15000</v>
      </c>
      <c r="Q614">
        <f>'PARAMÈTRES'!$C$178</f>
        <v>15000</v>
      </c>
      <c r="R614">
        <f>'PARAMÈTRES'!$C$178</f>
        <v>15000</v>
      </c>
      <c r="S614">
        <f>'PARAMÈTRES'!$C$178</f>
        <v>15000</v>
      </c>
      <c r="T614">
        <f>'PARAMÈTRES'!$C$178</f>
        <v>15000</v>
      </c>
      <c r="U614">
        <f>'PARAMÈTRES'!$C$178</f>
        <v>15000</v>
      </c>
      <c r="V614">
        <f>'PARAMÈTRES'!$C$178</f>
        <v>15000</v>
      </c>
      <c r="W614">
        <f>'PARAMÈTRES'!$C$178</f>
        <v>15000</v>
      </c>
      <c r="X614">
        <f>'PARAMÈTRES'!$C$178</f>
        <v>15000</v>
      </c>
    </row>
    <row r="615">
      <c r="A615" t="inlineStr">
        <is>
          <t>dqe_3_4_m</t>
        </is>
      </c>
      <c r="B615" t="inlineStr">
        <is>
          <t>DQE_DEVIS!G32</t>
        </is>
      </c>
      <c r="D615">
        <f>D613*D614</f>
        <v>120000</v>
      </c>
      <c r="E615">
        <f>E613*E614</f>
        <v>120000</v>
      </c>
      <c r="F615">
        <f>F613*F614</f>
        <v>120000</v>
      </c>
      <c r="G615">
        <f>G613*G614</f>
        <v>120000</v>
      </c>
      <c r="H615">
        <f>H613*H614</f>
        <v>120000</v>
      </c>
      <c r="I615">
        <f>I613*I614</f>
        <v>120000</v>
      </c>
      <c r="J615">
        <f>J613*J614</f>
        <v>120000</v>
      </c>
      <c r="K615">
        <f>K613*K614</f>
        <v>120000</v>
      </c>
      <c r="L615">
        <f>L613*L614</f>
        <v>120000</v>
      </c>
      <c r="M615">
        <f>M613*M614</f>
        <v>120000</v>
      </c>
      <c r="N615">
        <f>N613*N614</f>
        <v>120000</v>
      </c>
      <c r="O615">
        <f>O613*O614</f>
        <v>120000</v>
      </c>
      <c r="P615">
        <f>P613*P614</f>
        <v>120000</v>
      </c>
      <c r="Q615">
        <f>Q613*Q614</f>
        <v>120000</v>
      </c>
      <c r="R615">
        <f>R613*R614</f>
        <v>120000</v>
      </c>
      <c r="S615">
        <f>S613*S614</f>
        <v>120000</v>
      </c>
      <c r="T615">
        <f>T613*T614</f>
        <v>120000</v>
      </c>
      <c r="U615">
        <f>U613*U614</f>
        <v>120000</v>
      </c>
      <c r="V615">
        <f>V613*V614</f>
        <v>120000</v>
      </c>
      <c r="W615">
        <f>W613*W614</f>
        <v>120000</v>
      </c>
      <c r="X615">
        <f>X613*X614</f>
        <v>120000</v>
      </c>
    </row>
    <row r="616">
      <c r="A616" t="inlineStr">
        <is>
          <t>dqe_3_5_q</t>
        </is>
      </c>
      <c r="B616" t="inlineStr">
        <is>
          <t>DQE_DEVIS!E33</t>
        </is>
      </c>
      <c r="D616">
        <f>'PARAMÈTRES'!$C$28*'PARAMÈTRES'!$C$29*'PARAMÈTRES'!$C$30</f>
        <v>18</v>
      </c>
      <c r="E616">
        <f>'PARAMÈTRES'!$C$28*'PARAMÈTRES'!$C$29*'PARAMÈTRES'!$C$30</f>
        <v>18</v>
      </c>
      <c r="F616">
        <f>'PARAMÈTRES'!$C$28*'PARAMÈTRES'!$C$29*'PARAMÈTRES'!$C$30</f>
        <v>18</v>
      </c>
      <c r="G616">
        <f>'PARAMÈTRES'!$C$28*'PARAMÈTRES'!$C$29*'PARAMÈTRES'!$C$30</f>
        <v>18</v>
      </c>
      <c r="H616">
        <f>'PARAMÈTRES'!$C$28*'PARAMÈTRES'!$C$29*'PARAMÈTRES'!$C$30</f>
        <v>18</v>
      </c>
      <c r="I616">
        <f>'PARAMÈTRES'!$C$28*'PARAMÈTRES'!$C$29*'PARAMÈTRES'!$C$30</f>
        <v>18</v>
      </c>
      <c r="J616">
        <f>'PARAMÈTRES'!$C$28*'PARAMÈTRES'!$C$29*'PARAMÈTRES'!$C$30</f>
        <v>18</v>
      </c>
      <c r="K616">
        <f>'PARAMÈTRES'!$C$28*'PARAMÈTRES'!$C$29*'PARAMÈTRES'!$C$30</f>
        <v>18</v>
      </c>
      <c r="L616">
        <f>'PARAMÈTRES'!$C$28*'PARAMÈTRES'!$C$29*'PARAMÈTRES'!$C$30</f>
        <v>18</v>
      </c>
      <c r="M616">
        <f>'PARAMÈTRES'!$C$28*'PARAMÈTRES'!$C$29*'PARAMÈTRES'!$C$30</f>
        <v>18</v>
      </c>
      <c r="N616">
        <f>'PARAMÈTRES'!$C$28*'PARAMÈTRES'!$C$29*'PARAMÈTRES'!$C$30</f>
        <v>18</v>
      </c>
      <c r="O616">
        <f>'PARAMÈTRES'!$C$28*'PARAMÈTRES'!$C$29*'PARAMÈTRES'!$C$30</f>
        <v>18</v>
      </c>
      <c r="P616">
        <f>'PARAMÈTRES'!$C$28*'PARAMÈTRES'!$C$29*'PARAMÈTRES'!$C$30</f>
        <v>18</v>
      </c>
      <c r="Q616">
        <f>'PARAMÈTRES'!$C$28*'PARAMÈTRES'!$C$29*'PARAMÈTRES'!$C$30</f>
        <v>18</v>
      </c>
      <c r="R616">
        <f>'PARAMÈTRES'!$C$28*'PARAMÈTRES'!$C$29*'PARAMÈTRES'!$C$30</f>
        <v>18</v>
      </c>
      <c r="S616">
        <f>'PARAMÈTRES'!$C$28*'PARAMÈTRES'!$C$29*'PARAMÈTRES'!$C$30</f>
        <v>18</v>
      </c>
      <c r="T616">
        <f>'PARAMÈTRES'!$C$28*'PARAMÈTRES'!$C$29*'PARAMÈTRES'!$C$30</f>
        <v>18</v>
      </c>
      <c r="U616">
        <f>'PARAMÈTRES'!$C$28*'PARAMÈTRES'!$C$29*'PARAMÈTRES'!$C$30</f>
        <v>18</v>
      </c>
      <c r="V616">
        <f>'PARAMÈTRES'!$C$28*'PARAMÈTRES'!$C$29*'PARAMÈTRES'!$C$30</f>
        <v>18</v>
      </c>
      <c r="W616">
        <f>'PARAMÈTRES'!$C$28*'PARAMÈTRES'!$C$29*'PARAMÈTRES'!$C$30</f>
        <v>18</v>
      </c>
      <c r="X616">
        <f>'PARAMÈTRES'!$C$28*'PARAMÈTRES'!$C$29*'PARAMÈTRES'!$C$30</f>
        <v>18</v>
      </c>
    </row>
    <row r="617">
      <c r="A617" t="inlineStr">
        <is>
          <t>dqe_3_5_pu</t>
        </is>
      </c>
      <c r="B617" t="inlineStr">
        <is>
          <t>DQE_DEVIS!F33</t>
        </is>
      </c>
      <c r="D617">
        <f>'PARAMÈTRES'!$C$179</f>
        <v>45000</v>
      </c>
      <c r="E617">
        <f>'PARAMÈTRES'!$C$179</f>
        <v>45000</v>
      </c>
      <c r="F617">
        <f>'PARAMÈTRES'!$C$179</f>
        <v>45000</v>
      </c>
      <c r="G617">
        <f>'PARAMÈTRES'!$C$179</f>
        <v>45000</v>
      </c>
      <c r="H617">
        <f>'PARAMÈTRES'!$C$179</f>
        <v>45000</v>
      </c>
      <c r="I617">
        <f>'PARAMÈTRES'!$C$179</f>
        <v>45000</v>
      </c>
      <c r="J617">
        <f>'PARAMÈTRES'!$C$179</f>
        <v>45000</v>
      </c>
      <c r="K617">
        <f>'PARAMÈTRES'!$C$179</f>
        <v>45000</v>
      </c>
      <c r="L617">
        <f>'PARAMÈTRES'!$C$179</f>
        <v>45000</v>
      </c>
      <c r="M617">
        <f>'PARAMÈTRES'!$C$179</f>
        <v>45000</v>
      </c>
      <c r="N617">
        <f>'PARAMÈTRES'!$C$179</f>
        <v>45000</v>
      </c>
      <c r="O617">
        <f>'PARAMÈTRES'!$C$179</f>
        <v>45000</v>
      </c>
      <c r="P617">
        <f>'PARAMÈTRES'!$C$179</f>
        <v>45000</v>
      </c>
      <c r="Q617">
        <f>'PARAMÈTRES'!$C$179</f>
        <v>45000</v>
      </c>
      <c r="R617">
        <f>'PARAMÈTRES'!$C$179</f>
        <v>45000</v>
      </c>
      <c r="S617">
        <f>'PARAMÈTRES'!$C$179</f>
        <v>45000</v>
      </c>
      <c r="T617">
        <f>'PARAMÈTRES'!$C$179</f>
        <v>45000</v>
      </c>
      <c r="U617">
        <f>'PARAMÈTRES'!$C$179</f>
        <v>45000</v>
      </c>
      <c r="V617">
        <f>'PARAMÈTRES'!$C$179</f>
        <v>45000</v>
      </c>
      <c r="W617">
        <f>'PARAMÈTRES'!$C$179</f>
        <v>45000</v>
      </c>
      <c r="X617">
        <f>'PARAMÈTRES'!$C$179</f>
        <v>45000</v>
      </c>
    </row>
    <row r="618">
      <c r="A618" t="inlineStr">
        <is>
          <t>dqe_3_5_m</t>
        </is>
      </c>
      <c r="B618" t="inlineStr">
        <is>
          <t>DQE_DEVIS!G33</t>
        </is>
      </c>
      <c r="D618">
        <f>D616*D617</f>
        <v>810000</v>
      </c>
      <c r="E618">
        <f>E616*E617</f>
        <v>810000</v>
      </c>
      <c r="F618">
        <f>F616*F617</f>
        <v>810000</v>
      </c>
      <c r="G618">
        <f>G616*G617</f>
        <v>810000</v>
      </c>
      <c r="H618">
        <f>H616*H617</f>
        <v>810000</v>
      </c>
      <c r="I618">
        <f>I616*I617</f>
        <v>810000</v>
      </c>
      <c r="J618">
        <f>J616*J617</f>
        <v>810000</v>
      </c>
      <c r="K618">
        <f>K616*K617</f>
        <v>810000</v>
      </c>
      <c r="L618">
        <f>L616*L617</f>
        <v>810000</v>
      </c>
      <c r="M618">
        <f>M616*M617</f>
        <v>810000</v>
      </c>
      <c r="N618">
        <f>N616*N617</f>
        <v>810000</v>
      </c>
      <c r="O618">
        <f>O616*O617</f>
        <v>810000</v>
      </c>
      <c r="P618">
        <f>P616*P617</f>
        <v>810000</v>
      </c>
      <c r="Q618">
        <f>Q616*Q617</f>
        <v>810000</v>
      </c>
      <c r="R618">
        <f>R616*R617</f>
        <v>810000</v>
      </c>
      <c r="S618">
        <f>S616*S617</f>
        <v>810000</v>
      </c>
      <c r="T618">
        <f>T616*T617</f>
        <v>810000</v>
      </c>
      <c r="U618">
        <f>U616*U617</f>
        <v>810000</v>
      </c>
      <c r="V618">
        <f>V616*V617</f>
        <v>810000</v>
      </c>
      <c r="W618">
        <f>W616*W617</f>
        <v>810000</v>
      </c>
      <c r="X618">
        <f>X616*X617</f>
        <v>810000</v>
      </c>
    </row>
    <row r="619">
      <c r="A619" t="inlineStr">
        <is>
          <t>dqe_3_6_q</t>
        </is>
      </c>
      <c r="B619" t="inlineStr">
        <is>
          <t>DQE_DEVIS!E34</t>
        </is>
      </c>
      <c r="D619">
        <f>'PARAMÈTRES'!$C$32*'PARAMÈTRES'!$C$33*'PARAMÈTRES'!$C$34</f>
        <v>22</v>
      </c>
      <c r="E619">
        <f>'PARAMÈTRES'!$C$32*'PARAMÈTRES'!$C$33*'PARAMÈTRES'!$C$34</f>
        <v>22</v>
      </c>
      <c r="F619">
        <f>'PARAMÈTRES'!$C$32*'PARAMÈTRES'!$C$33*'PARAMÈTRES'!$C$34</f>
        <v>22</v>
      </c>
      <c r="G619">
        <f>'PARAMÈTRES'!$C$32*'PARAMÈTRES'!$C$33*'PARAMÈTRES'!$C$34</f>
        <v>22</v>
      </c>
      <c r="H619">
        <f>'PARAMÈTRES'!$C$32*'PARAMÈTRES'!$C$33*'PARAMÈTRES'!$C$34</f>
        <v>22</v>
      </c>
      <c r="I619">
        <f>'PARAMÈTRES'!$C$32*'PARAMÈTRES'!$C$33*'PARAMÈTRES'!$C$34</f>
        <v>22</v>
      </c>
      <c r="J619">
        <f>'PARAMÈTRES'!$C$32*'PARAMÈTRES'!$C$33*'PARAMÈTRES'!$C$34</f>
        <v>22</v>
      </c>
      <c r="K619">
        <f>'PARAMÈTRES'!$C$32*'PARAMÈTRES'!$C$33*'PARAMÈTRES'!$C$34</f>
        <v>22</v>
      </c>
      <c r="L619">
        <f>'PARAMÈTRES'!$C$32*'PARAMÈTRES'!$C$33*'PARAMÈTRES'!$C$34</f>
        <v>22</v>
      </c>
      <c r="M619">
        <f>'PARAMÈTRES'!$C$32*'PARAMÈTRES'!$C$33*'PARAMÈTRES'!$C$34</f>
        <v>22</v>
      </c>
      <c r="N619">
        <f>'PARAMÈTRES'!$C$32*'PARAMÈTRES'!$C$33*'PARAMÈTRES'!$C$34</f>
        <v>22</v>
      </c>
      <c r="O619">
        <f>'PARAMÈTRES'!$C$32*'PARAMÈTRES'!$C$33*'PARAMÈTRES'!$C$34</f>
        <v>22</v>
      </c>
      <c r="P619">
        <f>'PARAMÈTRES'!$C$32*'PARAMÈTRES'!$C$33*'PARAMÈTRES'!$C$34</f>
        <v>22</v>
      </c>
      <c r="Q619">
        <f>'PARAMÈTRES'!$C$32*'PARAMÈTRES'!$C$33*'PARAMÈTRES'!$C$34</f>
        <v>22</v>
      </c>
      <c r="R619">
        <f>'PARAMÈTRES'!$C$32*'PARAMÈTRES'!$C$33*'PARAMÈTRES'!$C$34</f>
        <v>22</v>
      </c>
      <c r="S619">
        <f>'PARAMÈTRES'!$C$32*'PARAMÈTRES'!$C$33*'PARAMÈTRES'!$C$34</f>
        <v>22</v>
      </c>
      <c r="T619">
        <f>'PARAMÈTRES'!$C$32*'PARAMÈTRES'!$C$33*'PARAMÈTRES'!$C$34</f>
        <v>22</v>
      </c>
      <c r="U619">
        <f>'PARAMÈTRES'!$C$32*'PARAMÈTRES'!$C$33*'PARAMÈTRES'!$C$34</f>
        <v>22</v>
      </c>
      <c r="V619">
        <f>'PARAMÈTRES'!$C$32*'PARAMÈTRES'!$C$33*'PARAMÈTRES'!$C$34</f>
        <v>22</v>
      </c>
      <c r="W619">
        <f>'PARAMÈTRES'!$C$32*'PARAMÈTRES'!$C$33*'PARAMÈTRES'!$C$34</f>
        <v>22</v>
      </c>
      <c r="X619">
        <f>'PARAMÈTRES'!$C$32*'PARAMÈTRES'!$C$33*'PARAMÈTRES'!$C$34</f>
        <v>22</v>
      </c>
    </row>
    <row r="620">
      <c r="A620" t="inlineStr">
        <is>
          <t>dqe_3_6_pu</t>
        </is>
      </c>
      <c r="B620" t="inlineStr">
        <is>
          <t>DQE_DEVIS!F34</t>
        </is>
      </c>
      <c r="D620">
        <f>'PARAMÈTRES'!$C$180</f>
        <v>50000</v>
      </c>
      <c r="E620">
        <f>'PARAMÈTRES'!$C$180</f>
        <v>50000</v>
      </c>
      <c r="F620">
        <f>'PARAMÈTRES'!$C$180</f>
        <v>50000</v>
      </c>
      <c r="G620">
        <f>'PARAMÈTRES'!$C$180</f>
        <v>50000</v>
      </c>
      <c r="H620">
        <f>'PARAMÈTRES'!$C$180</f>
        <v>50000</v>
      </c>
      <c r="I620">
        <f>'PARAMÈTRES'!$C$180</f>
        <v>50000</v>
      </c>
      <c r="J620">
        <f>'PARAMÈTRES'!$C$180</f>
        <v>50000</v>
      </c>
      <c r="K620">
        <f>'PARAMÈTRES'!$C$180</f>
        <v>50000</v>
      </c>
      <c r="L620">
        <f>'PARAMÈTRES'!$C$180</f>
        <v>50000</v>
      </c>
      <c r="M620">
        <f>'PARAMÈTRES'!$C$180</f>
        <v>50000</v>
      </c>
      <c r="N620">
        <f>'PARAMÈTRES'!$C$180</f>
        <v>50000</v>
      </c>
      <c r="O620">
        <f>'PARAMÈTRES'!$C$180</f>
        <v>50000</v>
      </c>
      <c r="P620">
        <f>'PARAMÈTRES'!$C$180</f>
        <v>50000</v>
      </c>
      <c r="Q620">
        <f>'PARAMÈTRES'!$C$180</f>
        <v>50000</v>
      </c>
      <c r="R620">
        <f>'PARAMÈTRES'!$C$180</f>
        <v>50000</v>
      </c>
      <c r="S620">
        <f>'PARAMÈTRES'!$C$180</f>
        <v>50000</v>
      </c>
      <c r="T620">
        <f>'PARAMÈTRES'!$C$180</f>
        <v>50000</v>
      </c>
      <c r="U620">
        <f>'PARAMÈTRES'!$C$180</f>
        <v>50000</v>
      </c>
      <c r="V620">
        <f>'PARAMÈTRES'!$C$180</f>
        <v>50000</v>
      </c>
      <c r="W620">
        <f>'PARAMÈTRES'!$C$180</f>
        <v>50000</v>
      </c>
      <c r="X620">
        <f>'PARAMÈTRES'!$C$180</f>
        <v>50000</v>
      </c>
    </row>
    <row r="621">
      <c r="A621" t="inlineStr">
        <is>
          <t>dqe_3_6_m</t>
        </is>
      </c>
      <c r="B621" t="inlineStr">
        <is>
          <t>DQE_DEVIS!G34</t>
        </is>
      </c>
      <c r="D621">
        <f>D619*D620</f>
        <v>1100000</v>
      </c>
      <c r="E621">
        <f>E619*E620</f>
        <v>1100000</v>
      </c>
      <c r="F621">
        <f>F619*F620</f>
        <v>1100000</v>
      </c>
      <c r="G621">
        <f>G619*G620</f>
        <v>1100000</v>
      </c>
      <c r="H621">
        <f>H619*H620</f>
        <v>1100000</v>
      </c>
      <c r="I621">
        <f>I619*I620</f>
        <v>1100000</v>
      </c>
      <c r="J621">
        <f>J619*J620</f>
        <v>1100000</v>
      </c>
      <c r="K621">
        <f>K619*K620</f>
        <v>1100000</v>
      </c>
      <c r="L621">
        <f>L619*L620</f>
        <v>1100000</v>
      </c>
      <c r="M621">
        <f>M619*M620</f>
        <v>1100000</v>
      </c>
      <c r="N621">
        <f>N619*N620</f>
        <v>1100000</v>
      </c>
      <c r="O621">
        <f>O619*O620</f>
        <v>1100000</v>
      </c>
      <c r="P621">
        <f>P619*P620</f>
        <v>1100000</v>
      </c>
      <c r="Q621">
        <f>Q619*Q620</f>
        <v>1100000</v>
      </c>
      <c r="R621">
        <f>R619*R620</f>
        <v>1100000</v>
      </c>
      <c r="S621">
        <f>S619*S620</f>
        <v>1100000</v>
      </c>
      <c r="T621">
        <f>T619*T620</f>
        <v>1100000</v>
      </c>
      <c r="U621">
        <f>U619*U620</f>
        <v>1100000</v>
      </c>
      <c r="V621">
        <f>V619*V620</f>
        <v>1100000</v>
      </c>
      <c r="W621">
        <f>W619*W620</f>
        <v>1100000</v>
      </c>
      <c r="X621">
        <f>X619*X620</f>
        <v>1100000</v>
      </c>
    </row>
    <row r="622">
      <c r="A622" t="inlineStr">
        <is>
          <t>st3</t>
        </is>
      </c>
      <c r="B622" t="inlineStr">
        <is>
          <t>DQE_DEVIS!G35</t>
        </is>
      </c>
      <c r="D622">
        <f>D606+D609+D612+D615+D618+D621</f>
        <v>5285000</v>
      </c>
      <c r="E622">
        <f>E606+E609+E612+E615+E618+E621</f>
        <v>5285000</v>
      </c>
      <c r="F622">
        <f>F606+F609+F612+F615+F618+F621</f>
        <v>2044700</v>
      </c>
      <c r="G622">
        <f>G606+G609+G612+G615+G618+G621</f>
        <v>4925000</v>
      </c>
      <c r="H622">
        <f>H606+H609+H612+H615+H618+H621</f>
        <v>4925000</v>
      </c>
      <c r="I622">
        <f>I606+I609+I612+I615+I618+I621</f>
        <v>2044700</v>
      </c>
      <c r="J622">
        <f>J606+J609+J612+J615+J618+J621</f>
        <v>5777000</v>
      </c>
      <c r="K622">
        <f>K606+K609+K612+K615+K618+K621</f>
        <v>5777000</v>
      </c>
      <c r="L622">
        <f>L606+L609+L612+L615+L618+L621</f>
        <v>2044700</v>
      </c>
      <c r="M622">
        <f>M606+M609+M612+M615+M618+M621</f>
        <v>5443400</v>
      </c>
      <c r="N622">
        <f>N606+N609+N612+N615+N618+N621</f>
        <v>5443400</v>
      </c>
      <c r="O622">
        <f>O606+O609+O612+O615+O618+O621</f>
        <v>2044700</v>
      </c>
      <c r="P622">
        <f>P606+P609+P612+P615+P618+P621</f>
        <v>7147400</v>
      </c>
      <c r="Q622">
        <f>Q606+Q609+Q612+Q615+Q618+Q621</f>
        <v>7147400</v>
      </c>
      <c r="R622">
        <f>R606+R609+R612+R615+R618+R621</f>
        <v>2044700</v>
      </c>
      <c r="S622">
        <f>S606+S609+S612+S615+S618+S621</f>
        <v>8263400</v>
      </c>
      <c r="T622">
        <f>T606+T609+T612+T615+T618+T621</f>
        <v>8263400</v>
      </c>
      <c r="U622">
        <f>U606+U609+U612+U615+U618+U621</f>
        <v>2044700</v>
      </c>
      <c r="V622">
        <f>V606+V609+V612+V615+V618+V621</f>
        <v>10909000</v>
      </c>
      <c r="W622">
        <f>W606+W609+W612+W615+W618+W621</f>
        <v>10909000</v>
      </c>
      <c r="X622">
        <f>X606+X609+X612+X615+X618+X621</f>
        <v>2044700</v>
      </c>
    </row>
    <row r="623">
      <c r="A623" t="inlineStr">
        <is>
          <t>dqe_4_1_q</t>
        </is>
      </c>
      <c r="B623" t="inlineStr">
        <is>
          <t>DQE_DEVIS!E38</t>
        </is>
      </c>
      <c r="D623">
        <f>D375</f>
        <v>384</v>
      </c>
      <c r="E623">
        <f>E375</f>
        <v>384</v>
      </c>
      <c r="F623">
        <f>F375</f>
        <v>384</v>
      </c>
      <c r="G623">
        <f>G375</f>
        <v>374</v>
      </c>
      <c r="H623">
        <f>H375</f>
        <v>374</v>
      </c>
      <c r="I623">
        <f>I375</f>
        <v>374</v>
      </c>
      <c r="J623">
        <f>J375</f>
        <v>544</v>
      </c>
      <c r="K623">
        <f>K375</f>
        <v>544</v>
      </c>
      <c r="L623">
        <f>L375</f>
        <v>544</v>
      </c>
      <c r="M623">
        <f>M375</f>
        <v>484</v>
      </c>
      <c r="N623">
        <f>N375</f>
        <v>484</v>
      </c>
      <c r="O623">
        <f>O375</f>
        <v>484</v>
      </c>
      <c r="P623">
        <f>P375</f>
        <v>924</v>
      </c>
      <c r="Q623">
        <f>Q375</f>
        <v>924</v>
      </c>
      <c r="R623">
        <f>R375</f>
        <v>924</v>
      </c>
      <c r="S623">
        <f>S375</f>
        <v>1344</v>
      </c>
      <c r="T623">
        <f>T375</f>
        <v>1344</v>
      </c>
      <c r="U623">
        <f>U375</f>
        <v>1344</v>
      </c>
      <c r="V623">
        <f>V375</f>
        <v>1764</v>
      </c>
      <c r="W623">
        <f>W375</f>
        <v>1764</v>
      </c>
      <c r="X623">
        <f>X375</f>
        <v>1764</v>
      </c>
    </row>
    <row r="624">
      <c r="A624" t="inlineStr">
        <is>
          <t>dqe_4_1_pu</t>
        </is>
      </c>
      <c r="B624" t="inlineStr">
        <is>
          <t>DQE_DEVIS!F38</t>
        </is>
      </c>
      <c r="D624">
        <f>'PARAMÈTRES'!$C$181</f>
        <v>500</v>
      </c>
      <c r="E624">
        <f>'PARAMÈTRES'!$C$181</f>
        <v>500</v>
      </c>
      <c r="F624">
        <f>'PARAMÈTRES'!$C$181</f>
        <v>500</v>
      </c>
      <c r="G624">
        <f>'PARAMÈTRES'!$C$181</f>
        <v>500</v>
      </c>
      <c r="H624">
        <f>'PARAMÈTRES'!$C$181</f>
        <v>500</v>
      </c>
      <c r="I624">
        <f>'PARAMÈTRES'!$C$181</f>
        <v>500</v>
      </c>
      <c r="J624">
        <f>'PARAMÈTRES'!$C$181</f>
        <v>500</v>
      </c>
      <c r="K624">
        <f>'PARAMÈTRES'!$C$181</f>
        <v>500</v>
      </c>
      <c r="L624">
        <f>'PARAMÈTRES'!$C$181</f>
        <v>500</v>
      </c>
      <c r="M624">
        <f>'PARAMÈTRES'!$C$181</f>
        <v>500</v>
      </c>
      <c r="N624">
        <f>'PARAMÈTRES'!$C$181</f>
        <v>500</v>
      </c>
      <c r="O624">
        <f>'PARAMÈTRES'!$C$181</f>
        <v>500</v>
      </c>
      <c r="P624">
        <f>'PARAMÈTRES'!$C$181</f>
        <v>500</v>
      </c>
      <c r="Q624">
        <f>'PARAMÈTRES'!$C$181</f>
        <v>500</v>
      </c>
      <c r="R624">
        <f>'PARAMÈTRES'!$C$181</f>
        <v>500</v>
      </c>
      <c r="S624">
        <f>'PARAMÈTRES'!$C$181</f>
        <v>500</v>
      </c>
      <c r="T624">
        <f>'PARAMÈTRES'!$C$181</f>
        <v>500</v>
      </c>
      <c r="U624">
        <f>'PARAMÈTRES'!$C$181</f>
        <v>500</v>
      </c>
      <c r="V624">
        <f>'PARAMÈTRES'!$C$181</f>
        <v>500</v>
      </c>
      <c r="W624">
        <f>'PARAMÈTRES'!$C$181</f>
        <v>500</v>
      </c>
      <c r="X624">
        <f>'PARAMÈTRES'!$C$181</f>
        <v>500</v>
      </c>
    </row>
    <row r="625">
      <c r="A625" t="inlineStr">
        <is>
          <t>dqe_4_1_m</t>
        </is>
      </c>
      <c r="B625" t="inlineStr">
        <is>
          <t>DQE_DEVIS!G38</t>
        </is>
      </c>
      <c r="D625">
        <f>D623*D624</f>
        <v>192000</v>
      </c>
      <c r="E625">
        <f>E623*E624</f>
        <v>192000</v>
      </c>
      <c r="F625">
        <f>F623*F624</f>
        <v>192000</v>
      </c>
      <c r="G625">
        <f>G623*G624</f>
        <v>187000</v>
      </c>
      <c r="H625">
        <f>H623*H624</f>
        <v>187000</v>
      </c>
      <c r="I625">
        <f>I623*I624</f>
        <v>187000</v>
      </c>
      <c r="J625">
        <f>J623*J624</f>
        <v>272000</v>
      </c>
      <c r="K625">
        <f>K623*K624</f>
        <v>272000</v>
      </c>
      <c r="L625">
        <f>L623*L624</f>
        <v>272000</v>
      </c>
      <c r="M625">
        <f>M623*M624</f>
        <v>242000</v>
      </c>
      <c r="N625">
        <f>N623*N624</f>
        <v>242000</v>
      </c>
      <c r="O625">
        <f>O623*O624</f>
        <v>242000</v>
      </c>
      <c r="P625">
        <f>P623*P624</f>
        <v>462000</v>
      </c>
      <c r="Q625">
        <f>Q623*Q624</f>
        <v>462000</v>
      </c>
      <c r="R625">
        <f>R623*R624</f>
        <v>462000</v>
      </c>
      <c r="S625">
        <f>S623*S624</f>
        <v>672000</v>
      </c>
      <c r="T625">
        <f>T623*T624</f>
        <v>672000</v>
      </c>
      <c r="U625">
        <f>U623*U624</f>
        <v>672000</v>
      </c>
      <c r="V625">
        <f>V623*V624</f>
        <v>882000</v>
      </c>
      <c r="W625">
        <f>W623*W624</f>
        <v>882000</v>
      </c>
      <c r="X625">
        <f>X623*X624</f>
        <v>882000</v>
      </c>
    </row>
    <row r="626">
      <c r="A626" t="inlineStr">
        <is>
          <t>dqe_4_2_q</t>
        </is>
      </c>
      <c r="B626" t="inlineStr">
        <is>
          <t>DQE_DEVIS!E39</t>
        </is>
      </c>
      <c r="D626">
        <f>D376+D377+D378</f>
        <v>92.064</v>
      </c>
      <c r="E626">
        <f>E376+E377+E378</f>
        <v>92.064</v>
      </c>
      <c r="F626">
        <f>F376+F377+F378</f>
        <v>92.064</v>
      </c>
      <c r="G626">
        <f>G376+G377+G378</f>
        <v>80.928</v>
      </c>
      <c r="H626">
        <f>H376+H377+H378</f>
        <v>80.928</v>
      </c>
      <c r="I626">
        <f>I376+I377+I378</f>
        <v>80.928</v>
      </c>
      <c r="J626">
        <f>J376+J377+J378</f>
        <v>102.528</v>
      </c>
      <c r="K626">
        <f>K376+K377+K378</f>
        <v>102.528</v>
      </c>
      <c r="L626">
        <f>L376+L377+L378</f>
        <v>102.528</v>
      </c>
      <c r="M626">
        <f>M376+M377+M378</f>
        <v>91.392</v>
      </c>
      <c r="N626">
        <f>N376+N377+N378</f>
        <v>91.392</v>
      </c>
      <c r="O626">
        <f>O376+O377+O378</f>
        <v>91.392</v>
      </c>
      <c r="P626">
        <f>P376+P377+P378</f>
        <v>136.992</v>
      </c>
      <c r="Q626">
        <f>Q376+Q377+Q378</f>
        <v>136.992</v>
      </c>
      <c r="R626">
        <f>R376+R377+R378</f>
        <v>136.992</v>
      </c>
      <c r="S626">
        <f>S376+S377+S378</f>
        <v>157.056</v>
      </c>
      <c r="T626">
        <f>T376+T377+T378</f>
        <v>157.056</v>
      </c>
      <c r="U626">
        <f>U376+U377+U378</f>
        <v>157.056</v>
      </c>
      <c r="V626">
        <f>V376+V377+V378</f>
        <v>177.984</v>
      </c>
      <c r="W626">
        <f>W376+W377+W378</f>
        <v>177.984</v>
      </c>
      <c r="X626">
        <f>X376+X377+X378</f>
        <v>177.984</v>
      </c>
    </row>
    <row r="627">
      <c r="A627" t="inlineStr">
        <is>
          <t>dqe_4_2_pu</t>
        </is>
      </c>
      <c r="B627" t="inlineStr">
        <is>
          <t>DQE_DEVIS!F39</t>
        </is>
      </c>
      <c r="D627">
        <f>'PARAMÈTRES'!$C$182</f>
        <v>4500</v>
      </c>
      <c r="E627">
        <f>'PARAMÈTRES'!$C$182</f>
        <v>4500</v>
      </c>
      <c r="F627">
        <f>'PARAMÈTRES'!$C$182</f>
        <v>4500</v>
      </c>
      <c r="G627">
        <f>'PARAMÈTRES'!$C$182</f>
        <v>4500</v>
      </c>
      <c r="H627">
        <f>'PARAMÈTRES'!$C$182</f>
        <v>4500</v>
      </c>
      <c r="I627">
        <f>'PARAMÈTRES'!$C$182</f>
        <v>4500</v>
      </c>
      <c r="J627">
        <f>'PARAMÈTRES'!$C$182</f>
        <v>4500</v>
      </c>
      <c r="K627">
        <f>'PARAMÈTRES'!$C$182</f>
        <v>4500</v>
      </c>
      <c r="L627">
        <f>'PARAMÈTRES'!$C$182</f>
        <v>4500</v>
      </c>
      <c r="M627">
        <f>'PARAMÈTRES'!$C$182</f>
        <v>4500</v>
      </c>
      <c r="N627">
        <f>'PARAMÈTRES'!$C$182</f>
        <v>4500</v>
      </c>
      <c r="O627">
        <f>'PARAMÈTRES'!$C$182</f>
        <v>4500</v>
      </c>
      <c r="P627">
        <f>'PARAMÈTRES'!$C$182</f>
        <v>4500</v>
      </c>
      <c r="Q627">
        <f>'PARAMÈTRES'!$C$182</f>
        <v>4500</v>
      </c>
      <c r="R627">
        <f>'PARAMÈTRES'!$C$182</f>
        <v>4500</v>
      </c>
      <c r="S627">
        <f>'PARAMÈTRES'!$C$182</f>
        <v>4500</v>
      </c>
      <c r="T627">
        <f>'PARAMÈTRES'!$C$182</f>
        <v>4500</v>
      </c>
      <c r="U627">
        <f>'PARAMÈTRES'!$C$182</f>
        <v>4500</v>
      </c>
      <c r="V627">
        <f>'PARAMÈTRES'!$C$182</f>
        <v>4500</v>
      </c>
      <c r="W627">
        <f>'PARAMÈTRES'!$C$182</f>
        <v>4500</v>
      </c>
      <c r="X627">
        <f>'PARAMÈTRES'!$C$182</f>
        <v>4500</v>
      </c>
    </row>
    <row r="628">
      <c r="A628" t="inlineStr">
        <is>
          <t>dqe_4_2_m</t>
        </is>
      </c>
      <c r="B628" t="inlineStr">
        <is>
          <t>DQE_DEVIS!G39</t>
        </is>
      </c>
      <c r="D628">
        <f>D626*D627</f>
        <v>414288</v>
      </c>
      <c r="E628">
        <f>E626*E627</f>
        <v>414288</v>
      </c>
      <c r="F628">
        <f>F626*F627</f>
        <v>414288</v>
      </c>
      <c r="G628">
        <f>G626*G627</f>
        <v>364176</v>
      </c>
      <c r="H628">
        <f>H626*H627</f>
        <v>364176</v>
      </c>
      <c r="I628">
        <f>I626*I627</f>
        <v>364176</v>
      </c>
      <c r="J628">
        <f>J626*J627</f>
        <v>461376</v>
      </c>
      <c r="K628">
        <f>K626*K627</f>
        <v>461376</v>
      </c>
      <c r="L628">
        <f>L626*L627</f>
        <v>461376</v>
      </c>
      <c r="M628">
        <f>M626*M627</f>
        <v>411264</v>
      </c>
      <c r="N628">
        <f>N626*N627</f>
        <v>411264</v>
      </c>
      <c r="O628">
        <f>O626*O627</f>
        <v>411264</v>
      </c>
      <c r="P628">
        <f>P626*P627</f>
        <v>616464</v>
      </c>
      <c r="Q628">
        <f>Q626*Q627</f>
        <v>616464</v>
      </c>
      <c r="R628">
        <f>R626*R627</f>
        <v>616464</v>
      </c>
      <c r="S628">
        <f>S626*S627</f>
        <v>706752</v>
      </c>
      <c r="T628">
        <f>T626*T627</f>
        <v>706752</v>
      </c>
      <c r="U628">
        <f>U626*U627</f>
        <v>706752</v>
      </c>
      <c r="V628">
        <f>V626*V627</f>
        <v>800928</v>
      </c>
      <c r="W628">
        <f>W626*W627</f>
        <v>800928</v>
      </c>
      <c r="X628">
        <f>X626*X627</f>
        <v>800928</v>
      </c>
    </row>
    <row r="629">
      <c r="A629" t="inlineStr">
        <is>
          <t>dqe_4_3_q</t>
        </is>
      </c>
      <c r="B629" t="inlineStr">
        <is>
          <t>DQE_DEVIS!E40</t>
        </is>
      </c>
      <c r="D629">
        <f>D379</f>
        <v>73.505625</v>
      </c>
      <c r="E629">
        <f>E379</f>
        <v>73.505625</v>
      </c>
      <c r="F629">
        <f>F379</f>
        <v>73.505625</v>
      </c>
      <c r="G629">
        <f>G379</f>
        <v>73.693125</v>
      </c>
      <c r="H629">
        <f>H379</f>
        <v>73.693125</v>
      </c>
      <c r="I629">
        <f>I379</f>
        <v>73.693125</v>
      </c>
      <c r="J629">
        <f>J379</f>
        <v>110.818125</v>
      </c>
      <c r="K629">
        <f>K379</f>
        <v>110.818125</v>
      </c>
      <c r="L629">
        <f>L379</f>
        <v>110.818125</v>
      </c>
      <c r="M629">
        <f>M379</f>
        <v>98.505625</v>
      </c>
      <c r="N629">
        <f>N379</f>
        <v>98.505625</v>
      </c>
      <c r="O629">
        <f>O379</f>
        <v>98.505625</v>
      </c>
      <c r="P629">
        <f>P379</f>
        <v>197.755625</v>
      </c>
      <c r="Q629">
        <f>Q379</f>
        <v>197.755625</v>
      </c>
      <c r="R629">
        <f>R379</f>
        <v>197.755625</v>
      </c>
      <c r="S629">
        <f>S379</f>
        <v>297.380625</v>
      </c>
      <c r="T629">
        <f>T379</f>
        <v>297.380625</v>
      </c>
      <c r="U629">
        <f>U379</f>
        <v>297.380625</v>
      </c>
      <c r="V629">
        <f>V379</f>
        <v>397.005625</v>
      </c>
      <c r="W629">
        <f>W379</f>
        <v>397.005625</v>
      </c>
      <c r="X629">
        <f>X379</f>
        <v>397.005625</v>
      </c>
    </row>
    <row r="630">
      <c r="A630" t="inlineStr">
        <is>
          <t>dqe_4_3_pu</t>
        </is>
      </c>
      <c r="B630" t="inlineStr">
        <is>
          <t>DQE_DEVIS!F40</t>
        </is>
      </c>
      <c r="D630">
        <f>'PARAMÈTRES'!$C$183</f>
        <v>9000</v>
      </c>
      <c r="E630">
        <f>'PARAMÈTRES'!$C$183</f>
        <v>9000</v>
      </c>
      <c r="F630">
        <f>'PARAMÈTRES'!$C$183</f>
        <v>9000</v>
      </c>
      <c r="G630">
        <f>'PARAMÈTRES'!$C$183</f>
        <v>9000</v>
      </c>
      <c r="H630">
        <f>'PARAMÈTRES'!$C$183</f>
        <v>9000</v>
      </c>
      <c r="I630">
        <f>'PARAMÈTRES'!$C$183</f>
        <v>9000</v>
      </c>
      <c r="J630">
        <f>'PARAMÈTRES'!$C$183</f>
        <v>9000</v>
      </c>
      <c r="K630">
        <f>'PARAMÈTRES'!$C$183</f>
        <v>9000</v>
      </c>
      <c r="L630">
        <f>'PARAMÈTRES'!$C$183</f>
        <v>9000</v>
      </c>
      <c r="M630">
        <f>'PARAMÈTRES'!$C$183</f>
        <v>9000</v>
      </c>
      <c r="N630">
        <f>'PARAMÈTRES'!$C$183</f>
        <v>9000</v>
      </c>
      <c r="O630">
        <f>'PARAMÈTRES'!$C$183</f>
        <v>9000</v>
      </c>
      <c r="P630">
        <f>'PARAMÈTRES'!$C$183</f>
        <v>9000</v>
      </c>
      <c r="Q630">
        <f>'PARAMÈTRES'!$C$183</f>
        <v>9000</v>
      </c>
      <c r="R630">
        <f>'PARAMÈTRES'!$C$183</f>
        <v>9000</v>
      </c>
      <c r="S630">
        <f>'PARAMÈTRES'!$C$183</f>
        <v>9000</v>
      </c>
      <c r="T630">
        <f>'PARAMÈTRES'!$C$183</f>
        <v>9000</v>
      </c>
      <c r="U630">
        <f>'PARAMÈTRES'!$C$183</f>
        <v>9000</v>
      </c>
      <c r="V630">
        <f>'PARAMÈTRES'!$C$183</f>
        <v>9000</v>
      </c>
      <c r="W630">
        <f>'PARAMÈTRES'!$C$183</f>
        <v>9000</v>
      </c>
      <c r="X630">
        <f>'PARAMÈTRES'!$C$183</f>
        <v>9000</v>
      </c>
    </row>
    <row r="631">
      <c r="A631" t="inlineStr">
        <is>
          <t>dqe_4_3_m</t>
        </is>
      </c>
      <c r="B631" t="inlineStr">
        <is>
          <t>DQE_DEVIS!G40</t>
        </is>
      </c>
      <c r="D631">
        <f>D629*D630</f>
        <v>661550.625</v>
      </c>
      <c r="E631">
        <f>E629*E630</f>
        <v>661550.625</v>
      </c>
      <c r="F631">
        <f>F629*F630</f>
        <v>661550.625</v>
      </c>
      <c r="G631">
        <f>G629*G630</f>
        <v>663238.125</v>
      </c>
      <c r="H631">
        <f>H629*H630</f>
        <v>663238.125</v>
      </c>
      <c r="I631">
        <f>I629*I630</f>
        <v>663238.125</v>
      </c>
      <c r="J631">
        <f>J629*J630</f>
        <v>997363.125</v>
      </c>
      <c r="K631">
        <f>K629*K630</f>
        <v>997363.125</v>
      </c>
      <c r="L631">
        <f>L629*L630</f>
        <v>997363.125</v>
      </c>
      <c r="M631">
        <f>M629*M630</f>
        <v>886550.625</v>
      </c>
      <c r="N631">
        <f>N629*N630</f>
        <v>886550.625</v>
      </c>
      <c r="O631">
        <f>O629*O630</f>
        <v>886550.625</v>
      </c>
      <c r="P631">
        <f>P629*P630</f>
        <v>1779800.625</v>
      </c>
      <c r="Q631">
        <f>Q629*Q630</f>
        <v>1779800.625</v>
      </c>
      <c r="R631">
        <f>R629*R630</f>
        <v>1779800.625</v>
      </c>
      <c r="S631">
        <f>S629*S630</f>
        <v>2676425.625</v>
      </c>
      <c r="T631">
        <f>T629*T630</f>
        <v>2676425.625</v>
      </c>
      <c r="U631">
        <f>U629*U630</f>
        <v>2676425.625</v>
      </c>
      <c r="V631">
        <f>V629*V630</f>
        <v>3573050.625</v>
      </c>
      <c r="W631">
        <f>W629*W630</f>
        <v>3573050.625</v>
      </c>
      <c r="X631">
        <f>X629*X630</f>
        <v>3573050.625</v>
      </c>
    </row>
    <row r="632">
      <c r="A632" t="inlineStr">
        <is>
          <t>dqe_4_4_q</t>
        </is>
      </c>
      <c r="B632" t="inlineStr">
        <is>
          <t>DQE_DEVIS!E41</t>
        </is>
      </c>
      <c r="D632">
        <f>D381</f>
        <v>211.08</v>
      </c>
      <c r="E632">
        <f>E381</f>
        <v>211.08</v>
      </c>
      <c r="F632">
        <f>F381</f>
        <v>211.08</v>
      </c>
      <c r="G632">
        <f>G381</f>
        <v>194.66</v>
      </c>
      <c r="H632">
        <f>H381</f>
        <v>194.66</v>
      </c>
      <c r="I632">
        <f>I381</f>
        <v>194.66</v>
      </c>
      <c r="J632">
        <f>J381</f>
        <v>264.16</v>
      </c>
      <c r="K632">
        <f>K381</f>
        <v>264.16</v>
      </c>
      <c r="L632">
        <f>L381</f>
        <v>264.16</v>
      </c>
      <c r="M632">
        <f>M381</f>
        <v>235.24</v>
      </c>
      <c r="N632">
        <f>N381</f>
        <v>235.24</v>
      </c>
      <c r="O632">
        <f>O381</f>
        <v>235.24</v>
      </c>
      <c r="P632">
        <f>P381</f>
        <v>402.24</v>
      </c>
      <c r="Q632">
        <f>Q381</f>
        <v>402.24</v>
      </c>
      <c r="R632">
        <f>R381</f>
        <v>402.24</v>
      </c>
      <c r="S632">
        <f>S381</f>
        <v>532.32</v>
      </c>
      <c r="T632">
        <f>T381</f>
        <v>532.32</v>
      </c>
      <c r="U632">
        <f>U381</f>
        <v>532.32</v>
      </c>
      <c r="V632">
        <f>V381</f>
        <v>663.48</v>
      </c>
      <c r="W632">
        <f>W381</f>
        <v>663.48</v>
      </c>
      <c r="X632">
        <f>X381</f>
        <v>663.48</v>
      </c>
    </row>
    <row r="633">
      <c r="A633" t="inlineStr">
        <is>
          <t>dqe_4_4_pu</t>
        </is>
      </c>
      <c r="B633" t="inlineStr">
        <is>
          <t>DQE_DEVIS!F41</t>
        </is>
      </c>
      <c r="D633">
        <f>'PARAMÈTRES'!$C$184</f>
        <v>3500</v>
      </c>
      <c r="E633">
        <f>'PARAMÈTRES'!$C$184</f>
        <v>3500</v>
      </c>
      <c r="F633">
        <f>'PARAMÈTRES'!$C$184</f>
        <v>3500</v>
      </c>
      <c r="G633">
        <f>'PARAMÈTRES'!$C$184</f>
        <v>3500</v>
      </c>
      <c r="H633">
        <f>'PARAMÈTRES'!$C$184</f>
        <v>3500</v>
      </c>
      <c r="I633">
        <f>'PARAMÈTRES'!$C$184</f>
        <v>3500</v>
      </c>
      <c r="J633">
        <f>'PARAMÈTRES'!$C$184</f>
        <v>3500</v>
      </c>
      <c r="K633">
        <f>'PARAMÈTRES'!$C$184</f>
        <v>3500</v>
      </c>
      <c r="L633">
        <f>'PARAMÈTRES'!$C$184</f>
        <v>3500</v>
      </c>
      <c r="M633">
        <f>'PARAMÈTRES'!$C$184</f>
        <v>3500</v>
      </c>
      <c r="N633">
        <f>'PARAMÈTRES'!$C$184</f>
        <v>3500</v>
      </c>
      <c r="O633">
        <f>'PARAMÈTRES'!$C$184</f>
        <v>3500</v>
      </c>
      <c r="P633">
        <f>'PARAMÈTRES'!$C$184</f>
        <v>3500</v>
      </c>
      <c r="Q633">
        <f>'PARAMÈTRES'!$C$184</f>
        <v>3500</v>
      </c>
      <c r="R633">
        <f>'PARAMÈTRES'!$C$184</f>
        <v>3500</v>
      </c>
      <c r="S633">
        <f>'PARAMÈTRES'!$C$184</f>
        <v>3500</v>
      </c>
      <c r="T633">
        <f>'PARAMÈTRES'!$C$184</f>
        <v>3500</v>
      </c>
      <c r="U633">
        <f>'PARAMÈTRES'!$C$184</f>
        <v>3500</v>
      </c>
      <c r="V633">
        <f>'PARAMÈTRES'!$C$184</f>
        <v>3500</v>
      </c>
      <c r="W633">
        <f>'PARAMÈTRES'!$C$184</f>
        <v>3500</v>
      </c>
      <c r="X633">
        <f>'PARAMÈTRES'!$C$184</f>
        <v>3500</v>
      </c>
    </row>
    <row r="634">
      <c r="A634" t="inlineStr">
        <is>
          <t>dqe_4_4_m</t>
        </is>
      </c>
      <c r="B634" t="inlineStr">
        <is>
          <t>DQE_DEVIS!G41</t>
        </is>
      </c>
      <c r="D634">
        <f>D632*D633</f>
        <v>738780</v>
      </c>
      <c r="E634">
        <f>E632*E633</f>
        <v>738780</v>
      </c>
      <c r="F634">
        <f>F632*F633</f>
        <v>738780</v>
      </c>
      <c r="G634">
        <f>G632*G633</f>
        <v>681310</v>
      </c>
      <c r="H634">
        <f>H632*H633</f>
        <v>681310</v>
      </c>
      <c r="I634">
        <f>I632*I633</f>
        <v>681310</v>
      </c>
      <c r="J634">
        <f>J632*J633</f>
        <v>924560</v>
      </c>
      <c r="K634">
        <f>K632*K633</f>
        <v>924560</v>
      </c>
      <c r="L634">
        <f>L632*L633</f>
        <v>924560</v>
      </c>
      <c r="M634">
        <f>M632*M633</f>
        <v>823340</v>
      </c>
      <c r="N634">
        <f>N632*N633</f>
        <v>823340</v>
      </c>
      <c r="O634">
        <f>O632*O633</f>
        <v>823340</v>
      </c>
      <c r="P634">
        <f>P632*P633</f>
        <v>1407840</v>
      </c>
      <c r="Q634">
        <f>Q632*Q633</f>
        <v>1407840</v>
      </c>
      <c r="R634">
        <f>R632*R633</f>
        <v>1407840</v>
      </c>
      <c r="S634">
        <f>S632*S633</f>
        <v>1863120</v>
      </c>
      <c r="T634">
        <f>T632*T633</f>
        <v>1863120</v>
      </c>
      <c r="U634">
        <f>U632*U633</f>
        <v>1863120</v>
      </c>
      <c r="V634">
        <f>V632*V633</f>
        <v>2322180</v>
      </c>
      <c r="W634">
        <f>W632*W633</f>
        <v>2322180</v>
      </c>
      <c r="X634">
        <f>X632*X633</f>
        <v>2322180</v>
      </c>
    </row>
    <row r="635">
      <c r="A635" t="inlineStr">
        <is>
          <t>st4</t>
        </is>
      </c>
      <c r="B635" t="inlineStr">
        <is>
          <t>DQE_DEVIS!G42</t>
        </is>
      </c>
      <c r="D635">
        <f>D625+D628+D631+D634</f>
        <v>2006618.625</v>
      </c>
      <c r="E635">
        <f>E625+E628+E631+E634</f>
        <v>2006618.625</v>
      </c>
      <c r="F635">
        <f>F625+F628+F631+F634</f>
        <v>2006618.625</v>
      </c>
      <c r="G635">
        <f>G625+G628+G631+G634</f>
        <v>1895724.125</v>
      </c>
      <c r="H635">
        <f>H625+H628+H631+H634</f>
        <v>1895724.125</v>
      </c>
      <c r="I635">
        <f>I625+I628+I631+I634</f>
        <v>1895724.125</v>
      </c>
      <c r="J635">
        <f>J625+J628+J631+J634</f>
        <v>2655299.125</v>
      </c>
      <c r="K635">
        <f>K625+K628+K631+K634</f>
        <v>2655299.125</v>
      </c>
      <c r="L635">
        <f>L625+L628+L631+L634</f>
        <v>2655299.125</v>
      </c>
      <c r="M635">
        <f>M625+M628+M631+M634</f>
        <v>2363154.625</v>
      </c>
      <c r="N635">
        <f>N625+N628+N631+N634</f>
        <v>2363154.625</v>
      </c>
      <c r="O635">
        <f>O625+O628+O631+O634</f>
        <v>2363154.625</v>
      </c>
      <c r="P635">
        <f>P625+P628+P631+P634</f>
        <v>4266104.625</v>
      </c>
      <c r="Q635">
        <f>Q625+Q628+Q631+Q634</f>
        <v>4266104.625</v>
      </c>
      <c r="R635">
        <f>R625+R628+R631+R634</f>
        <v>4266104.625</v>
      </c>
      <c r="S635">
        <f>S625+S628+S631+S634</f>
        <v>5918297.625</v>
      </c>
      <c r="T635">
        <f>T625+T628+T631+T634</f>
        <v>5918297.625</v>
      </c>
      <c r="U635">
        <f>U625+U628+U631+U634</f>
        <v>5918297.625</v>
      </c>
      <c r="V635">
        <f>V625+V628+V631+V634</f>
        <v>7578158.625</v>
      </c>
      <c r="W635">
        <f>W625+W628+W631+W634</f>
        <v>7578158.625</v>
      </c>
      <c r="X635">
        <f>X625+X628+X631+X634</f>
        <v>7578158.625</v>
      </c>
    </row>
    <row r="636">
      <c r="A636" t="inlineStr">
        <is>
          <t>dqe_5_1_q</t>
        </is>
      </c>
      <c r="B636" t="inlineStr">
        <is>
          <t>DQE_DEVIS!E45</t>
        </is>
      </c>
      <c r="D636">
        <f>D532</f>
        <v>550</v>
      </c>
      <c r="E636">
        <f>E532</f>
        <v>550</v>
      </c>
      <c r="F636">
        <f>F532</f>
        <v>687</v>
      </c>
      <c r="G636">
        <f>G532</f>
        <v>535</v>
      </c>
      <c r="H636">
        <f>H532</f>
        <v>535</v>
      </c>
      <c r="I636">
        <f>I532</f>
        <v>663</v>
      </c>
      <c r="J636">
        <f>J532</f>
        <v>772</v>
      </c>
      <c r="K636">
        <f>K532</f>
        <v>772</v>
      </c>
      <c r="L636">
        <f>L532</f>
        <v>930</v>
      </c>
      <c r="M636">
        <f>M532</f>
        <v>687</v>
      </c>
      <c r="N636">
        <f>N532</f>
        <v>687</v>
      </c>
      <c r="O636">
        <f>O532</f>
        <v>836</v>
      </c>
      <c r="P636">
        <f>P532</f>
        <v>1311</v>
      </c>
      <c r="Q636">
        <f>Q532</f>
        <v>1311</v>
      </c>
      <c r="R636">
        <f>R532</f>
        <v>1523</v>
      </c>
      <c r="S636">
        <f>S532</f>
        <v>1892</v>
      </c>
      <c r="T636">
        <f>T532</f>
        <v>1892</v>
      </c>
      <c r="U636">
        <f>U532</f>
        <v>2142</v>
      </c>
      <c r="V636">
        <f>V532</f>
        <v>2476</v>
      </c>
      <c r="W636">
        <f>W532</f>
        <v>2476</v>
      </c>
      <c r="X636">
        <f>X532</f>
        <v>2806</v>
      </c>
    </row>
    <row r="637">
      <c r="A637" t="inlineStr">
        <is>
          <t>dqe_5_1_pu</t>
        </is>
      </c>
      <c r="B637" t="inlineStr">
        <is>
          <t>DQE_DEVIS!F45</t>
        </is>
      </c>
      <c r="D637">
        <f>'PARAMÈTRES'!$C$185</f>
        <v>5500</v>
      </c>
      <c r="E637">
        <f>'PARAMÈTRES'!$C$185</f>
        <v>5500</v>
      </c>
      <c r="F637">
        <f>'PARAMÈTRES'!$C$185</f>
        <v>5500</v>
      </c>
      <c r="G637">
        <f>'PARAMÈTRES'!$C$185</f>
        <v>5500</v>
      </c>
      <c r="H637">
        <f>'PARAMÈTRES'!$C$185</f>
        <v>5500</v>
      </c>
      <c r="I637">
        <f>'PARAMÈTRES'!$C$185</f>
        <v>5500</v>
      </c>
      <c r="J637">
        <f>'PARAMÈTRES'!$C$185</f>
        <v>5500</v>
      </c>
      <c r="K637">
        <f>'PARAMÈTRES'!$C$185</f>
        <v>5500</v>
      </c>
      <c r="L637">
        <f>'PARAMÈTRES'!$C$185</f>
        <v>5500</v>
      </c>
      <c r="M637">
        <f>'PARAMÈTRES'!$C$185</f>
        <v>5500</v>
      </c>
      <c r="N637">
        <f>'PARAMÈTRES'!$C$185</f>
        <v>5500</v>
      </c>
      <c r="O637">
        <f>'PARAMÈTRES'!$C$185</f>
        <v>5500</v>
      </c>
      <c r="P637">
        <f>'PARAMÈTRES'!$C$185</f>
        <v>5500</v>
      </c>
      <c r="Q637">
        <f>'PARAMÈTRES'!$C$185</f>
        <v>5500</v>
      </c>
      <c r="R637">
        <f>'PARAMÈTRES'!$C$185</f>
        <v>5500</v>
      </c>
      <c r="S637">
        <f>'PARAMÈTRES'!$C$185</f>
        <v>5500</v>
      </c>
      <c r="T637">
        <f>'PARAMÈTRES'!$C$185</f>
        <v>5500</v>
      </c>
      <c r="U637">
        <f>'PARAMÈTRES'!$C$185</f>
        <v>5500</v>
      </c>
      <c r="V637">
        <f>'PARAMÈTRES'!$C$185</f>
        <v>5500</v>
      </c>
      <c r="W637">
        <f>'PARAMÈTRES'!$C$185</f>
        <v>5500</v>
      </c>
      <c r="X637">
        <f>'PARAMÈTRES'!$C$185</f>
        <v>5500</v>
      </c>
    </row>
    <row r="638">
      <c r="A638" t="inlineStr">
        <is>
          <t>dqe_5_1_m</t>
        </is>
      </c>
      <c r="B638" t="inlineStr">
        <is>
          <t>DQE_DEVIS!G45</t>
        </is>
      </c>
      <c r="D638">
        <f>D636*D637</f>
        <v>3025000</v>
      </c>
      <c r="E638">
        <f>E636*E637</f>
        <v>3025000</v>
      </c>
      <c r="F638">
        <f>F636*F637</f>
        <v>3778500</v>
      </c>
      <c r="G638">
        <f>G636*G637</f>
        <v>2942500</v>
      </c>
      <c r="H638">
        <f>H636*H637</f>
        <v>2942500</v>
      </c>
      <c r="I638">
        <f>I636*I637</f>
        <v>3646500</v>
      </c>
      <c r="J638">
        <f>J636*J637</f>
        <v>4246000</v>
      </c>
      <c r="K638">
        <f>K636*K637</f>
        <v>4246000</v>
      </c>
      <c r="L638">
        <f>L636*L637</f>
        <v>5115000</v>
      </c>
      <c r="M638">
        <f>M636*M637</f>
        <v>3778500</v>
      </c>
      <c r="N638">
        <f>N636*N637</f>
        <v>3778500</v>
      </c>
      <c r="O638">
        <f>O636*O637</f>
        <v>4598000</v>
      </c>
      <c r="P638">
        <f>P636*P637</f>
        <v>7210500</v>
      </c>
      <c r="Q638">
        <f>Q636*Q637</f>
        <v>7210500</v>
      </c>
      <c r="R638">
        <f>R636*R637</f>
        <v>8376500</v>
      </c>
      <c r="S638">
        <f>S636*S637</f>
        <v>10406000</v>
      </c>
      <c r="T638">
        <f>T636*T637</f>
        <v>10406000</v>
      </c>
      <c r="U638">
        <f>U636*U637</f>
        <v>11781000</v>
      </c>
      <c r="V638">
        <f>V636*V637</f>
        <v>13618000</v>
      </c>
      <c r="W638">
        <f>W636*W637</f>
        <v>13618000</v>
      </c>
      <c r="X638">
        <f>X636*X637</f>
        <v>15433000</v>
      </c>
    </row>
    <row r="639">
      <c r="A639" t="inlineStr">
        <is>
          <t>dqe_5_2_q</t>
        </is>
      </c>
      <c r="B639" t="inlineStr">
        <is>
          <t>DQE_DEVIS!E46</t>
        </is>
      </c>
      <c r="D639">
        <f>D533</f>
        <v>47.680525</v>
      </c>
      <c r="E639">
        <f>E533</f>
        <v>47.680525</v>
      </c>
      <c r="F639">
        <f>F533</f>
        <v>60.5871775869025</v>
      </c>
      <c r="G639">
        <f>G533</f>
        <v>46.654625</v>
      </c>
      <c r="H639">
        <f>H533</f>
        <v>46.654625</v>
      </c>
      <c r="I639">
        <f>I533</f>
        <v>58.4978038803538</v>
      </c>
      <c r="J639">
        <f>J533</f>
        <v>68.017625</v>
      </c>
      <c r="K639">
        <f>K533</f>
        <v>68.017625</v>
      </c>
      <c r="L639">
        <f>L533</f>
        <v>82.8848038803538</v>
      </c>
      <c r="M639">
        <f>M533</f>
        <v>60.491725</v>
      </c>
      <c r="N639">
        <f>N533</f>
        <v>60.491725</v>
      </c>
      <c r="O639">
        <f>O533</f>
        <v>74.361430173805</v>
      </c>
      <c r="P639">
        <f>P533</f>
        <v>116.745725</v>
      </c>
      <c r="Q639">
        <f>Q533</f>
        <v>116.745725</v>
      </c>
      <c r="R639">
        <f>R533</f>
        <v>136.987430173805</v>
      </c>
      <c r="S639">
        <f>S533</f>
        <v>170.250325</v>
      </c>
      <c r="T639">
        <f>T533</f>
        <v>170.250325</v>
      </c>
      <c r="U639">
        <f>U533</f>
        <v>194.419082760708</v>
      </c>
      <c r="V639">
        <f>V533</f>
        <v>223.924525</v>
      </c>
      <c r="W639">
        <f>W533</f>
        <v>223.924525</v>
      </c>
      <c r="X639">
        <f>X533</f>
        <v>257.13633534761</v>
      </c>
    </row>
    <row r="640">
      <c r="A640" t="inlineStr">
        <is>
          <t>dqe_5_2_pu</t>
        </is>
      </c>
      <c r="B640" t="inlineStr">
        <is>
          <t>DQE_DEVIS!F46</t>
        </is>
      </c>
      <c r="D640">
        <f>'PARAMÈTRES'!$C$186</f>
        <v>12000</v>
      </c>
      <c r="E640">
        <f>'PARAMÈTRES'!$C$186</f>
        <v>12000</v>
      </c>
      <c r="F640">
        <f>'PARAMÈTRES'!$C$186</f>
        <v>12000</v>
      </c>
      <c r="G640">
        <f>'PARAMÈTRES'!$C$186</f>
        <v>12000</v>
      </c>
      <c r="H640">
        <f>'PARAMÈTRES'!$C$186</f>
        <v>12000</v>
      </c>
      <c r="I640">
        <f>'PARAMÈTRES'!$C$186</f>
        <v>12000</v>
      </c>
      <c r="J640">
        <f>'PARAMÈTRES'!$C$186</f>
        <v>12000</v>
      </c>
      <c r="K640">
        <f>'PARAMÈTRES'!$C$186</f>
        <v>12000</v>
      </c>
      <c r="L640">
        <f>'PARAMÈTRES'!$C$186</f>
        <v>12000</v>
      </c>
      <c r="M640">
        <f>'PARAMÈTRES'!$C$186</f>
        <v>12000</v>
      </c>
      <c r="N640">
        <f>'PARAMÈTRES'!$C$186</f>
        <v>12000</v>
      </c>
      <c r="O640">
        <f>'PARAMÈTRES'!$C$186</f>
        <v>12000</v>
      </c>
      <c r="P640">
        <f>'PARAMÈTRES'!$C$186</f>
        <v>12000</v>
      </c>
      <c r="Q640">
        <f>'PARAMÈTRES'!$C$186</f>
        <v>12000</v>
      </c>
      <c r="R640">
        <f>'PARAMÈTRES'!$C$186</f>
        <v>12000</v>
      </c>
      <c r="S640">
        <f>'PARAMÈTRES'!$C$186</f>
        <v>12000</v>
      </c>
      <c r="T640">
        <f>'PARAMÈTRES'!$C$186</f>
        <v>12000</v>
      </c>
      <c r="U640">
        <f>'PARAMÈTRES'!$C$186</f>
        <v>12000</v>
      </c>
      <c r="V640">
        <f>'PARAMÈTRES'!$C$186</f>
        <v>12000</v>
      </c>
      <c r="W640">
        <f>'PARAMÈTRES'!$C$186</f>
        <v>12000</v>
      </c>
      <c r="X640">
        <f>'PARAMÈTRES'!$C$186</f>
        <v>12000</v>
      </c>
    </row>
    <row r="641">
      <c r="A641" t="inlineStr">
        <is>
          <t>dqe_5_2_m</t>
        </is>
      </c>
      <c r="B641" t="inlineStr">
        <is>
          <t>DQE_DEVIS!G46</t>
        </is>
      </c>
      <c r="D641">
        <f>D639*D640</f>
        <v>572166.3</v>
      </c>
      <c r="E641">
        <f>E639*E640</f>
        <v>572166.3</v>
      </c>
      <c r="F641">
        <f>F639*F640</f>
        <v>727046.13104283</v>
      </c>
      <c r="G641">
        <f>G639*G640</f>
        <v>559855.5</v>
      </c>
      <c r="H641">
        <f>H639*H640</f>
        <v>559855.5</v>
      </c>
      <c r="I641">
        <f>I639*I640</f>
        <v>701973.646564245</v>
      </c>
      <c r="J641">
        <f>J639*J640</f>
        <v>816211.5</v>
      </c>
      <c r="K641">
        <f>K639*K640</f>
        <v>816211.5</v>
      </c>
      <c r="L641">
        <f>L639*L640</f>
        <v>994617.646564245</v>
      </c>
      <c r="M641">
        <f>M639*M640</f>
        <v>725900.7</v>
      </c>
      <c r="N641">
        <f>N639*N640</f>
        <v>725900.7</v>
      </c>
      <c r="O641">
        <f>O639*O640</f>
        <v>892337.16208566</v>
      </c>
      <c r="P641">
        <f>P639*P640</f>
        <v>1400948.7</v>
      </c>
      <c r="Q641">
        <f>Q639*Q640</f>
        <v>1400948.7</v>
      </c>
      <c r="R641">
        <f>R639*R640</f>
        <v>1643849.16208566</v>
      </c>
      <c r="S641">
        <f>S639*S640</f>
        <v>2043003.9</v>
      </c>
      <c r="T641">
        <f>T639*T640</f>
        <v>2043003.9</v>
      </c>
      <c r="U641">
        <f>U639*U640</f>
        <v>2333028.99312849</v>
      </c>
      <c r="V641">
        <f>V639*V640</f>
        <v>2687094.3</v>
      </c>
      <c r="W641">
        <f>W639*W640</f>
        <v>2687094.3</v>
      </c>
      <c r="X641">
        <f>X639*X640</f>
        <v>3085636.02417132</v>
      </c>
    </row>
    <row r="642">
      <c r="A642" t="inlineStr">
        <is>
          <t>dqe_5_3_q</t>
        </is>
      </c>
      <c r="B642" t="inlineStr">
        <is>
          <t>DQE_DEVIS!E47</t>
        </is>
      </c>
      <c r="D642">
        <f>D534</f>
        <v>23.74455</v>
      </c>
      <c r="E642">
        <f>E534</f>
        <v>23.74455</v>
      </c>
      <c r="F642">
        <f>F534</f>
        <v>27.8805394401769</v>
      </c>
      <c r="G642">
        <f>G534</f>
        <v>23.07075</v>
      </c>
      <c r="H642">
        <f>H534</f>
        <v>23.07075</v>
      </c>
      <c r="I642">
        <f>I534</f>
        <v>27.0278841602653</v>
      </c>
      <c r="J642">
        <f>J534</f>
        <v>33.27675</v>
      </c>
      <c r="K642">
        <f>K534</f>
        <v>33.27675</v>
      </c>
      <c r="L642">
        <f>L534</f>
        <v>38.0168841602653</v>
      </c>
      <c r="M642">
        <f>M534</f>
        <v>29.60295</v>
      </c>
      <c r="N642">
        <f>N534</f>
        <v>29.60295</v>
      </c>
      <c r="O642">
        <f>O534</f>
        <v>34.1642288803538</v>
      </c>
      <c r="P642">
        <f>P534</f>
        <v>56.41095</v>
      </c>
      <c r="Q642">
        <f>Q534</f>
        <v>56.41095</v>
      </c>
      <c r="R642">
        <f>R534</f>
        <v>62.7812288803538</v>
      </c>
      <c r="S642">
        <f>S534</f>
        <v>81.34815</v>
      </c>
      <c r="T642">
        <f>T534</f>
        <v>81.34815</v>
      </c>
      <c r="U642">
        <f>U534</f>
        <v>88.6837183205306</v>
      </c>
      <c r="V642">
        <f>V534</f>
        <v>106.41255</v>
      </c>
      <c r="W642">
        <f>W534</f>
        <v>106.41255</v>
      </c>
      <c r="X642">
        <f>X534</f>
        <v>115.712407760708</v>
      </c>
    </row>
    <row r="643">
      <c r="A643" t="inlineStr">
        <is>
          <t>dqe_5_3_pu</t>
        </is>
      </c>
      <c r="B643" t="inlineStr">
        <is>
          <t>DQE_DEVIS!F47</t>
        </is>
      </c>
      <c r="D643">
        <f>'PARAMÈTRES'!$C$187</f>
        <v>22000</v>
      </c>
      <c r="E643">
        <f>'PARAMÈTRES'!$C$187</f>
        <v>22000</v>
      </c>
      <c r="F643">
        <f>'PARAMÈTRES'!$C$187</f>
        <v>22000</v>
      </c>
      <c r="G643">
        <f>'PARAMÈTRES'!$C$187</f>
        <v>22000</v>
      </c>
      <c r="H643">
        <f>'PARAMÈTRES'!$C$187</f>
        <v>22000</v>
      </c>
      <c r="I643">
        <f>'PARAMÈTRES'!$C$187</f>
        <v>22000</v>
      </c>
      <c r="J643">
        <f>'PARAMÈTRES'!$C$187</f>
        <v>22000</v>
      </c>
      <c r="K643">
        <f>'PARAMÈTRES'!$C$187</f>
        <v>22000</v>
      </c>
      <c r="L643">
        <f>'PARAMÈTRES'!$C$187</f>
        <v>22000</v>
      </c>
      <c r="M643">
        <f>'PARAMÈTRES'!$C$187</f>
        <v>22000</v>
      </c>
      <c r="N643">
        <f>'PARAMÈTRES'!$C$187</f>
        <v>22000</v>
      </c>
      <c r="O643">
        <f>'PARAMÈTRES'!$C$187</f>
        <v>22000</v>
      </c>
      <c r="P643">
        <f>'PARAMÈTRES'!$C$187</f>
        <v>22000</v>
      </c>
      <c r="Q643">
        <f>'PARAMÈTRES'!$C$187</f>
        <v>22000</v>
      </c>
      <c r="R643">
        <f>'PARAMÈTRES'!$C$187</f>
        <v>22000</v>
      </c>
      <c r="S643">
        <f>'PARAMÈTRES'!$C$187</f>
        <v>22000</v>
      </c>
      <c r="T643">
        <f>'PARAMÈTRES'!$C$187</f>
        <v>22000</v>
      </c>
      <c r="U643">
        <f>'PARAMÈTRES'!$C$187</f>
        <v>22000</v>
      </c>
      <c r="V643">
        <f>'PARAMÈTRES'!$C$187</f>
        <v>22000</v>
      </c>
      <c r="W643">
        <f>'PARAMÈTRES'!$C$187</f>
        <v>22000</v>
      </c>
      <c r="X643">
        <f>'PARAMÈTRES'!$C$187</f>
        <v>22000</v>
      </c>
    </row>
    <row r="644">
      <c r="A644" t="inlineStr">
        <is>
          <t>dqe_5_3_m</t>
        </is>
      </c>
      <c r="B644" t="inlineStr">
        <is>
          <t>DQE_DEVIS!G47</t>
        </is>
      </c>
      <c r="D644">
        <f>D642*D643</f>
        <v>522380.1</v>
      </c>
      <c r="E644">
        <f>E642*E643</f>
        <v>522380.1</v>
      </c>
      <c r="F644">
        <f>F642*F643</f>
        <v>613371.867683891</v>
      </c>
      <c r="G644">
        <f>G642*G643</f>
        <v>507556.5</v>
      </c>
      <c r="H644">
        <f>H642*H643</f>
        <v>507556.5</v>
      </c>
      <c r="I644">
        <f>I642*I643</f>
        <v>594613.451525837</v>
      </c>
      <c r="J644">
        <f>J642*J643</f>
        <v>732088.5</v>
      </c>
      <c r="K644">
        <f>K642*K643</f>
        <v>732088.5</v>
      </c>
      <c r="L644">
        <f>L642*L643</f>
        <v>836371.451525837</v>
      </c>
      <c r="M644">
        <f>M642*M643</f>
        <v>651264.9</v>
      </c>
      <c r="N644">
        <f>N642*N643</f>
        <v>651264.9</v>
      </c>
      <c r="O644">
        <f>O642*O643</f>
        <v>751613.035367783</v>
      </c>
      <c r="P644">
        <f>P642*P643</f>
        <v>1241040.9</v>
      </c>
      <c r="Q644">
        <f>Q642*Q643</f>
        <v>1241040.9</v>
      </c>
      <c r="R644">
        <f>R642*R643</f>
        <v>1381187.03536778</v>
      </c>
      <c r="S644">
        <f>S642*S643</f>
        <v>1789659.3</v>
      </c>
      <c r="T644">
        <f>T642*T643</f>
        <v>1789659.3</v>
      </c>
      <c r="U644">
        <f>U642*U643</f>
        <v>1951041.80305167</v>
      </c>
      <c r="V644">
        <f>V642*V643</f>
        <v>2341076.1</v>
      </c>
      <c r="W644">
        <f>W642*W643</f>
        <v>2341076.1</v>
      </c>
      <c r="X644">
        <f>X642*X643</f>
        <v>2545672.97073557</v>
      </c>
    </row>
    <row r="645">
      <c r="A645" t="inlineStr">
        <is>
          <t>dqe_5_4_q</t>
        </is>
      </c>
      <c r="B645" t="inlineStr">
        <is>
          <t>DQE_DEVIS!E48</t>
        </is>
      </c>
      <c r="D645">
        <f>D535</f>
        <v>39.57425</v>
      </c>
      <c r="E645">
        <f>E535</f>
        <v>39.57425</v>
      </c>
      <c r="F645">
        <f>F535</f>
        <v>46.4675657336281</v>
      </c>
      <c r="G645">
        <f>G535</f>
        <v>38.45125</v>
      </c>
      <c r="H645">
        <f>H535</f>
        <v>38.45125</v>
      </c>
      <c r="I645">
        <f>I535</f>
        <v>45.0464736004422</v>
      </c>
      <c r="J645">
        <f>J535</f>
        <v>55.46125</v>
      </c>
      <c r="K645">
        <f>K535</f>
        <v>55.46125</v>
      </c>
      <c r="L645">
        <f>L535</f>
        <v>63.3614736004422</v>
      </c>
      <c r="M645">
        <f>M535</f>
        <v>49.33825</v>
      </c>
      <c r="N645">
        <f>N535</f>
        <v>49.33825</v>
      </c>
      <c r="O645">
        <f>O535</f>
        <v>56.9403814672563</v>
      </c>
      <c r="P645">
        <f>P535</f>
        <v>94.01825</v>
      </c>
      <c r="Q645">
        <f>Q535</f>
        <v>94.01825</v>
      </c>
      <c r="R645">
        <f>R535</f>
        <v>104.635381467256</v>
      </c>
      <c r="S645">
        <f>S535</f>
        <v>135.58025</v>
      </c>
      <c r="T645">
        <f>T535</f>
        <v>135.58025</v>
      </c>
      <c r="U645">
        <f>U535</f>
        <v>147.806197200884</v>
      </c>
      <c r="V645">
        <f>V535</f>
        <v>177.35425</v>
      </c>
      <c r="W645">
        <f>W535</f>
        <v>177.35425</v>
      </c>
      <c r="X645">
        <f>X535</f>
        <v>192.854012934513</v>
      </c>
    </row>
    <row r="646">
      <c r="A646" t="inlineStr">
        <is>
          <t>dqe_5_4_pu</t>
        </is>
      </c>
      <c r="B646" t="inlineStr">
        <is>
          <t>DQE_DEVIS!F48</t>
        </is>
      </c>
      <c r="D646">
        <f>'PARAMÈTRES'!$C$188</f>
        <v>20000</v>
      </c>
      <c r="E646">
        <f>'PARAMÈTRES'!$C$188</f>
        <v>20000</v>
      </c>
      <c r="F646">
        <f>'PARAMÈTRES'!$C$188</f>
        <v>20000</v>
      </c>
      <c r="G646">
        <f>'PARAMÈTRES'!$C$188</f>
        <v>20000</v>
      </c>
      <c r="H646">
        <f>'PARAMÈTRES'!$C$188</f>
        <v>20000</v>
      </c>
      <c r="I646">
        <f>'PARAMÈTRES'!$C$188</f>
        <v>20000</v>
      </c>
      <c r="J646">
        <f>'PARAMÈTRES'!$C$188</f>
        <v>20000</v>
      </c>
      <c r="K646">
        <f>'PARAMÈTRES'!$C$188</f>
        <v>20000</v>
      </c>
      <c r="L646">
        <f>'PARAMÈTRES'!$C$188</f>
        <v>20000</v>
      </c>
      <c r="M646">
        <f>'PARAMÈTRES'!$C$188</f>
        <v>20000</v>
      </c>
      <c r="N646">
        <f>'PARAMÈTRES'!$C$188</f>
        <v>20000</v>
      </c>
      <c r="O646">
        <f>'PARAMÈTRES'!$C$188</f>
        <v>20000</v>
      </c>
      <c r="P646">
        <f>'PARAMÈTRES'!$C$188</f>
        <v>20000</v>
      </c>
      <c r="Q646">
        <f>'PARAMÈTRES'!$C$188</f>
        <v>20000</v>
      </c>
      <c r="R646">
        <f>'PARAMÈTRES'!$C$188</f>
        <v>20000</v>
      </c>
      <c r="S646">
        <f>'PARAMÈTRES'!$C$188</f>
        <v>20000</v>
      </c>
      <c r="T646">
        <f>'PARAMÈTRES'!$C$188</f>
        <v>20000</v>
      </c>
      <c r="U646">
        <f>'PARAMÈTRES'!$C$188</f>
        <v>20000</v>
      </c>
      <c r="V646">
        <f>'PARAMÈTRES'!$C$188</f>
        <v>20000</v>
      </c>
      <c r="W646">
        <f>'PARAMÈTRES'!$C$188</f>
        <v>20000</v>
      </c>
      <c r="X646">
        <f>'PARAMÈTRES'!$C$188</f>
        <v>20000</v>
      </c>
    </row>
    <row r="647">
      <c r="A647" t="inlineStr">
        <is>
          <t>dqe_5_4_m</t>
        </is>
      </c>
      <c r="B647" t="inlineStr">
        <is>
          <t>DQE_DEVIS!G48</t>
        </is>
      </c>
      <c r="D647">
        <f>D645*D646</f>
        <v>791485</v>
      </c>
      <c r="E647">
        <f>E645*E646</f>
        <v>791485</v>
      </c>
      <c r="F647">
        <f>F645*F646</f>
        <v>929351.314672563</v>
      </c>
      <c r="G647">
        <f>G645*G646</f>
        <v>769025</v>
      </c>
      <c r="H647">
        <f>H645*H646</f>
        <v>769025</v>
      </c>
      <c r="I647">
        <f>I645*I646</f>
        <v>900929.472008844</v>
      </c>
      <c r="J647">
        <f>J645*J646</f>
        <v>1109225</v>
      </c>
      <c r="K647">
        <f>K645*K646</f>
        <v>1109225</v>
      </c>
      <c r="L647">
        <f>L645*L646</f>
        <v>1267229.47200884</v>
      </c>
      <c r="M647">
        <f>M645*M646</f>
        <v>986765</v>
      </c>
      <c r="N647">
        <f>N645*N646</f>
        <v>986765</v>
      </c>
      <c r="O647">
        <f>O645*O646</f>
        <v>1138807.62934513</v>
      </c>
      <c r="P647">
        <f>P645*P646</f>
        <v>1880365</v>
      </c>
      <c r="Q647">
        <f>Q645*Q646</f>
        <v>1880365</v>
      </c>
      <c r="R647">
        <f>R645*R646</f>
        <v>2092707.62934513</v>
      </c>
      <c r="S647">
        <f>S645*S646</f>
        <v>2711605</v>
      </c>
      <c r="T647">
        <f>T645*T646</f>
        <v>2711605</v>
      </c>
      <c r="U647">
        <f>U645*U646</f>
        <v>2956123.94401769</v>
      </c>
      <c r="V647">
        <f>V645*V646</f>
        <v>3547085</v>
      </c>
      <c r="W647">
        <f>W645*W646</f>
        <v>3547085</v>
      </c>
      <c r="X647">
        <f>X645*X646</f>
        <v>3857080.25869025</v>
      </c>
    </row>
    <row r="648">
      <c r="A648" t="inlineStr">
        <is>
          <t>dqe_5_5_q</t>
        </is>
      </c>
      <c r="B648" t="inlineStr">
        <is>
          <t>DQE_DEVIS!E49</t>
        </is>
      </c>
      <c r="D648">
        <f>D536</f>
        <v>39.44052</v>
      </c>
      <c r="E648">
        <f>E536</f>
        <v>39.44052</v>
      </c>
      <c r="F648">
        <f>F536</f>
        <v>318.76425</v>
      </c>
      <c r="G648">
        <f>G536</f>
        <v>37.7622</v>
      </c>
      <c r="H648">
        <f>H536</f>
        <v>37.7622</v>
      </c>
      <c r="I648">
        <f>I536</f>
        <v>305.43093</v>
      </c>
      <c r="J648">
        <f>J536</f>
        <v>43.63632</v>
      </c>
      <c r="K648">
        <f>K536</f>
        <v>43.63632</v>
      </c>
      <c r="L648">
        <f>L536</f>
        <v>363.61269</v>
      </c>
      <c r="M648">
        <f>M536</f>
        <v>41.958</v>
      </c>
      <c r="N648">
        <f>N536</f>
        <v>41.958</v>
      </c>
      <c r="O648">
        <f>O536</f>
        <v>350.39592</v>
      </c>
      <c r="P648">
        <f>P536</f>
        <v>59.58036</v>
      </c>
      <c r="Q648">
        <f>Q536</f>
        <v>59.58036</v>
      </c>
      <c r="R648">
        <f>R536</f>
        <v>489.9762</v>
      </c>
      <c r="S648">
        <f>S536</f>
        <v>63.77616</v>
      </c>
      <c r="T648">
        <f>T536</f>
        <v>63.77616</v>
      </c>
      <c r="U648">
        <f>U536</f>
        <v>558.25119</v>
      </c>
      <c r="V648">
        <f>V536</f>
        <v>72.16776</v>
      </c>
      <c r="W648">
        <f>W536</f>
        <v>72.16776</v>
      </c>
      <c r="X648">
        <f>X536</f>
        <v>695.17413</v>
      </c>
    </row>
    <row r="649">
      <c r="A649" t="inlineStr">
        <is>
          <t>dqe_5_5_pu</t>
        </is>
      </c>
      <c r="B649" t="inlineStr">
        <is>
          <t>DQE_DEVIS!F49</t>
        </is>
      </c>
      <c r="D649">
        <f>'PARAMÈTRES'!$C$189</f>
        <v>800</v>
      </c>
      <c r="E649">
        <f>'PARAMÈTRES'!$C$189</f>
        <v>800</v>
      </c>
      <c r="F649">
        <f>'PARAMÈTRES'!$C$189</f>
        <v>800</v>
      </c>
      <c r="G649">
        <f>'PARAMÈTRES'!$C$189</f>
        <v>800</v>
      </c>
      <c r="H649">
        <f>'PARAMÈTRES'!$C$189</f>
        <v>800</v>
      </c>
      <c r="I649">
        <f>'PARAMÈTRES'!$C$189</f>
        <v>800</v>
      </c>
      <c r="J649">
        <f>'PARAMÈTRES'!$C$189</f>
        <v>800</v>
      </c>
      <c r="K649">
        <f>'PARAMÈTRES'!$C$189</f>
        <v>800</v>
      </c>
      <c r="L649">
        <f>'PARAMÈTRES'!$C$189</f>
        <v>800</v>
      </c>
      <c r="M649">
        <f>'PARAMÈTRES'!$C$189</f>
        <v>800</v>
      </c>
      <c r="N649">
        <f>'PARAMÈTRES'!$C$189</f>
        <v>800</v>
      </c>
      <c r="O649">
        <f>'PARAMÈTRES'!$C$189</f>
        <v>800</v>
      </c>
      <c r="P649">
        <f>'PARAMÈTRES'!$C$189</f>
        <v>800</v>
      </c>
      <c r="Q649">
        <f>'PARAMÈTRES'!$C$189</f>
        <v>800</v>
      </c>
      <c r="R649">
        <f>'PARAMÈTRES'!$C$189</f>
        <v>800</v>
      </c>
      <c r="S649">
        <f>'PARAMÈTRES'!$C$189</f>
        <v>800</v>
      </c>
      <c r="T649">
        <f>'PARAMÈTRES'!$C$189</f>
        <v>800</v>
      </c>
      <c r="U649">
        <f>'PARAMÈTRES'!$C$189</f>
        <v>800</v>
      </c>
      <c r="V649">
        <f>'PARAMÈTRES'!$C$189</f>
        <v>800</v>
      </c>
      <c r="W649">
        <f>'PARAMÈTRES'!$C$189</f>
        <v>800</v>
      </c>
      <c r="X649">
        <f>'PARAMÈTRES'!$C$189</f>
        <v>800</v>
      </c>
    </row>
    <row r="650">
      <c r="A650" t="inlineStr">
        <is>
          <t>dqe_5_5_m</t>
        </is>
      </c>
      <c r="B650" t="inlineStr">
        <is>
          <t>DQE_DEVIS!G49</t>
        </is>
      </c>
      <c r="D650">
        <f>D648*D649</f>
        <v>31552.416</v>
      </c>
      <c r="E650">
        <f>E648*E649</f>
        <v>31552.416</v>
      </c>
      <c r="F650">
        <f>F648*F649</f>
        <v>255011.4</v>
      </c>
      <c r="G650">
        <f>G648*G649</f>
        <v>30209.76</v>
      </c>
      <c r="H650">
        <f>H648*H649</f>
        <v>30209.76</v>
      </c>
      <c r="I650">
        <f>I648*I649</f>
        <v>244344.744</v>
      </c>
      <c r="J650">
        <f>J648*J649</f>
        <v>34909.056</v>
      </c>
      <c r="K650">
        <f>K648*K649</f>
        <v>34909.056</v>
      </c>
      <c r="L650">
        <f>L648*L649</f>
        <v>290890.152</v>
      </c>
      <c r="M650">
        <f>M648*M649</f>
        <v>33566.4</v>
      </c>
      <c r="N650">
        <f>N648*N649</f>
        <v>33566.4</v>
      </c>
      <c r="O650">
        <f>O648*O649</f>
        <v>280316.736</v>
      </c>
      <c r="P650">
        <f>P648*P649</f>
        <v>47664.288</v>
      </c>
      <c r="Q650">
        <f>Q648*Q649</f>
        <v>47664.288</v>
      </c>
      <c r="R650">
        <f>R648*R649</f>
        <v>391980.96</v>
      </c>
      <c r="S650">
        <f>S648*S649</f>
        <v>51020.928</v>
      </c>
      <c r="T650">
        <f>T648*T649</f>
        <v>51020.928</v>
      </c>
      <c r="U650">
        <f>U648*U649</f>
        <v>446600.952</v>
      </c>
      <c r="V650">
        <f>V648*V649</f>
        <v>57734.208</v>
      </c>
      <c r="W650">
        <f>W648*W649</f>
        <v>57734.208</v>
      </c>
      <c r="X650">
        <f>X648*X649</f>
        <v>556139.304</v>
      </c>
    </row>
    <row r="651">
      <c r="A651" t="inlineStr">
        <is>
          <t>dqe_5_6_q</t>
        </is>
      </c>
      <c r="B651" t="inlineStr">
        <is>
          <t>DQE_DEVIS!E50</t>
        </is>
      </c>
      <c r="D651">
        <f>D538</f>
        <v>66.567375</v>
      </c>
      <c r="E651">
        <f>E538</f>
        <v>66.567375</v>
      </c>
      <c r="F651">
        <f>F538</f>
        <v>66.567375</v>
      </c>
      <c r="G651">
        <f>G538</f>
        <v>57.028125</v>
      </c>
      <c r="H651">
        <f>H538</f>
        <v>57.028125</v>
      </c>
      <c r="I651">
        <f>I538</f>
        <v>57.028125</v>
      </c>
      <c r="J651">
        <f>J538</f>
        <v>75.277125</v>
      </c>
      <c r="K651">
        <f>K538</f>
        <v>75.277125</v>
      </c>
      <c r="L651">
        <f>L538</f>
        <v>75.277125</v>
      </c>
      <c r="M651">
        <f>M538</f>
        <v>65.737875</v>
      </c>
      <c r="N651">
        <f>N538</f>
        <v>65.737875</v>
      </c>
      <c r="O651">
        <f>O538</f>
        <v>65.737875</v>
      </c>
      <c r="P651">
        <f>P538</f>
        <v>99.747375</v>
      </c>
      <c r="Q651">
        <f>Q538</f>
        <v>99.747375</v>
      </c>
      <c r="R651">
        <f>R538</f>
        <v>99.747375</v>
      </c>
      <c r="S651">
        <f>S538</f>
        <v>118.825875</v>
      </c>
      <c r="T651">
        <f>T538</f>
        <v>118.825875</v>
      </c>
      <c r="U651">
        <f>U538</f>
        <v>118.825875</v>
      </c>
      <c r="V651">
        <f>V538</f>
        <v>136.245375</v>
      </c>
      <c r="W651">
        <f>W538</f>
        <v>136.245375</v>
      </c>
      <c r="X651">
        <f>X538</f>
        <v>136.245375</v>
      </c>
    </row>
    <row r="652">
      <c r="A652" t="inlineStr">
        <is>
          <t>dqe_5_6_pu</t>
        </is>
      </c>
      <c r="B652" t="inlineStr">
        <is>
          <t>DQE_DEVIS!F50</t>
        </is>
      </c>
      <c r="D652">
        <f>'PARAMÈTRES'!$C$190</f>
        <v>750</v>
      </c>
      <c r="E652">
        <f>'PARAMÈTRES'!$C$190</f>
        <v>750</v>
      </c>
      <c r="F652">
        <f>'PARAMÈTRES'!$C$190</f>
        <v>750</v>
      </c>
      <c r="G652">
        <f>'PARAMÈTRES'!$C$190</f>
        <v>750</v>
      </c>
      <c r="H652">
        <f>'PARAMÈTRES'!$C$190</f>
        <v>750</v>
      </c>
      <c r="I652">
        <f>'PARAMÈTRES'!$C$190</f>
        <v>750</v>
      </c>
      <c r="J652">
        <f>'PARAMÈTRES'!$C$190</f>
        <v>750</v>
      </c>
      <c r="K652">
        <f>'PARAMÈTRES'!$C$190</f>
        <v>750</v>
      </c>
      <c r="L652">
        <f>'PARAMÈTRES'!$C$190</f>
        <v>750</v>
      </c>
      <c r="M652">
        <f>'PARAMÈTRES'!$C$190</f>
        <v>750</v>
      </c>
      <c r="N652">
        <f>'PARAMÈTRES'!$C$190</f>
        <v>750</v>
      </c>
      <c r="O652">
        <f>'PARAMÈTRES'!$C$190</f>
        <v>750</v>
      </c>
      <c r="P652">
        <f>'PARAMÈTRES'!$C$190</f>
        <v>750</v>
      </c>
      <c r="Q652">
        <f>'PARAMÈTRES'!$C$190</f>
        <v>750</v>
      </c>
      <c r="R652">
        <f>'PARAMÈTRES'!$C$190</f>
        <v>750</v>
      </c>
      <c r="S652">
        <f>'PARAMÈTRES'!$C$190</f>
        <v>750</v>
      </c>
      <c r="T652">
        <f>'PARAMÈTRES'!$C$190</f>
        <v>750</v>
      </c>
      <c r="U652">
        <f>'PARAMÈTRES'!$C$190</f>
        <v>750</v>
      </c>
      <c r="V652">
        <f>'PARAMÈTRES'!$C$190</f>
        <v>750</v>
      </c>
      <c r="W652">
        <f>'PARAMÈTRES'!$C$190</f>
        <v>750</v>
      </c>
      <c r="X652">
        <f>'PARAMÈTRES'!$C$190</f>
        <v>750</v>
      </c>
    </row>
    <row r="653">
      <c r="A653" t="inlineStr">
        <is>
          <t>dqe_5_6_m</t>
        </is>
      </c>
      <c r="B653" t="inlineStr">
        <is>
          <t>DQE_DEVIS!G50</t>
        </is>
      </c>
      <c r="D653">
        <f>D651*D652</f>
        <v>49925.53125</v>
      </c>
      <c r="E653">
        <f>E651*E652</f>
        <v>49925.53125</v>
      </c>
      <c r="F653">
        <f>F651*F652</f>
        <v>49925.53125</v>
      </c>
      <c r="G653">
        <f>G651*G652</f>
        <v>42771.09375</v>
      </c>
      <c r="H653">
        <f>H651*H652</f>
        <v>42771.09375</v>
      </c>
      <c r="I653">
        <f>I651*I652</f>
        <v>42771.09375</v>
      </c>
      <c r="J653">
        <f>J651*J652</f>
        <v>56457.84375</v>
      </c>
      <c r="K653">
        <f>K651*K652</f>
        <v>56457.84375</v>
      </c>
      <c r="L653">
        <f>L651*L652</f>
        <v>56457.84375</v>
      </c>
      <c r="M653">
        <f>M651*M652</f>
        <v>49303.40625</v>
      </c>
      <c r="N653">
        <f>N651*N652</f>
        <v>49303.40625</v>
      </c>
      <c r="O653">
        <f>O651*O652</f>
        <v>49303.40625</v>
      </c>
      <c r="P653">
        <f>P651*P652</f>
        <v>74810.53125</v>
      </c>
      <c r="Q653">
        <f>Q651*Q652</f>
        <v>74810.53125</v>
      </c>
      <c r="R653">
        <f>R651*R652</f>
        <v>74810.53125</v>
      </c>
      <c r="S653">
        <f>S651*S652</f>
        <v>89119.40625</v>
      </c>
      <c r="T653">
        <f>T651*T652</f>
        <v>89119.40625</v>
      </c>
      <c r="U653">
        <f>U651*U652</f>
        <v>89119.40625</v>
      </c>
      <c r="V653">
        <f>V651*V652</f>
        <v>102184.03125</v>
      </c>
      <c r="W653">
        <f>W651*W652</f>
        <v>102184.03125</v>
      </c>
      <c r="X653">
        <f>X651*X652</f>
        <v>102184.03125</v>
      </c>
    </row>
    <row r="654">
      <c r="A654" t="inlineStr">
        <is>
          <t>dqe_5_7_q</t>
        </is>
      </c>
      <c r="B654" t="inlineStr">
        <is>
          <t>DQE_DEVIS!E51</t>
        </is>
      </c>
      <c r="D654">
        <f>D540</f>
        <v>2113.2867</v>
      </c>
      <c r="E654">
        <f>E540</f>
        <v>2113.2867</v>
      </c>
      <c r="F654">
        <f>F540</f>
        <v>3522.56653967965</v>
      </c>
      <c r="G654">
        <f>G540</f>
        <v>2111.2459725</v>
      </c>
      <c r="H654">
        <f>H540</f>
        <v>2111.2459725</v>
      </c>
      <c r="I654">
        <f>I540</f>
        <v>3467.31080201947</v>
      </c>
      <c r="J654">
        <f>J540</f>
        <v>3156.2928075</v>
      </c>
      <c r="K654">
        <f>K540</f>
        <v>3156.2928075</v>
      </c>
      <c r="L654">
        <f>L540</f>
        <v>4770.97935701947</v>
      </c>
      <c r="M654">
        <f>M540</f>
        <v>2784.97758</v>
      </c>
      <c r="N654">
        <f>N540</f>
        <v>2784.97758</v>
      </c>
      <c r="O654">
        <f>O540</f>
        <v>4346.4491193593</v>
      </c>
      <c r="P654">
        <f>P540</f>
        <v>5527.58577</v>
      </c>
      <c r="Q654">
        <f>Q540</f>
        <v>5527.58577</v>
      </c>
      <c r="R654">
        <f>R540</f>
        <v>7704.2556693593</v>
      </c>
      <c r="S654">
        <f>S540</f>
        <v>8252.637225</v>
      </c>
      <c r="T654">
        <f>T540</f>
        <v>8252.637225</v>
      </c>
      <c r="U654">
        <f>U540</f>
        <v>10742.165624039</v>
      </c>
      <c r="V654">
        <f>V540</f>
        <v>10972.50588</v>
      </c>
      <c r="W654">
        <f>W540</f>
        <v>10972.50588</v>
      </c>
      <c r="X654">
        <f>X540</f>
        <v>14163.0844987186</v>
      </c>
    </row>
    <row r="655">
      <c r="A655" t="inlineStr">
        <is>
          <t>dqe_5_7_pu</t>
        </is>
      </c>
      <c r="B655" t="inlineStr">
        <is>
          <t>DQE_DEVIS!F51</t>
        </is>
      </c>
      <c r="D655">
        <f>'PARAMÈTRES'!$C$191</f>
        <v>725</v>
      </c>
      <c r="E655">
        <f>'PARAMÈTRES'!$C$191</f>
        <v>725</v>
      </c>
      <c r="F655">
        <f>'PARAMÈTRES'!$C$191</f>
        <v>725</v>
      </c>
      <c r="G655">
        <f>'PARAMÈTRES'!$C$191</f>
        <v>725</v>
      </c>
      <c r="H655">
        <f>'PARAMÈTRES'!$C$191</f>
        <v>725</v>
      </c>
      <c r="I655">
        <f>'PARAMÈTRES'!$C$191</f>
        <v>725</v>
      </c>
      <c r="J655">
        <f>'PARAMÈTRES'!$C$191</f>
        <v>725</v>
      </c>
      <c r="K655">
        <f>'PARAMÈTRES'!$C$191</f>
        <v>725</v>
      </c>
      <c r="L655">
        <f>'PARAMÈTRES'!$C$191</f>
        <v>725</v>
      </c>
      <c r="M655">
        <f>'PARAMÈTRES'!$C$191</f>
        <v>725</v>
      </c>
      <c r="N655">
        <f>'PARAMÈTRES'!$C$191</f>
        <v>725</v>
      </c>
      <c r="O655">
        <f>'PARAMÈTRES'!$C$191</f>
        <v>725</v>
      </c>
      <c r="P655">
        <f>'PARAMÈTRES'!$C$191</f>
        <v>725</v>
      </c>
      <c r="Q655">
        <f>'PARAMÈTRES'!$C$191</f>
        <v>725</v>
      </c>
      <c r="R655">
        <f>'PARAMÈTRES'!$C$191</f>
        <v>725</v>
      </c>
      <c r="S655">
        <f>'PARAMÈTRES'!$C$191</f>
        <v>725</v>
      </c>
      <c r="T655">
        <f>'PARAMÈTRES'!$C$191</f>
        <v>725</v>
      </c>
      <c r="U655">
        <f>'PARAMÈTRES'!$C$191</f>
        <v>725</v>
      </c>
      <c r="V655">
        <f>'PARAMÈTRES'!$C$191</f>
        <v>725</v>
      </c>
      <c r="W655">
        <f>'PARAMÈTRES'!$C$191</f>
        <v>725</v>
      </c>
      <c r="X655">
        <f>'PARAMÈTRES'!$C$191</f>
        <v>725</v>
      </c>
    </row>
    <row r="656">
      <c r="A656" t="inlineStr">
        <is>
          <t>dqe_5_7_m</t>
        </is>
      </c>
      <c r="B656" t="inlineStr">
        <is>
          <t>DQE_DEVIS!G51</t>
        </is>
      </c>
      <c r="D656">
        <f>D654*D655</f>
        <v>1532132.8575</v>
      </c>
      <c r="E656">
        <f>E654*E655</f>
        <v>1532132.8575</v>
      </c>
      <c r="F656">
        <f>F654*F655</f>
        <v>2553860.74126775</v>
      </c>
      <c r="G656">
        <f>G654*G655</f>
        <v>1530653.3300625</v>
      </c>
      <c r="H656">
        <f>H654*H655</f>
        <v>1530653.3300625</v>
      </c>
      <c r="I656">
        <f>I654*I655</f>
        <v>2513800.33146412</v>
      </c>
      <c r="J656">
        <f>J654*J655</f>
        <v>2288312.2854375</v>
      </c>
      <c r="K656">
        <f>K654*K655</f>
        <v>2288312.2854375</v>
      </c>
      <c r="L656">
        <f>L654*L655</f>
        <v>3458960.03383912</v>
      </c>
      <c r="M656">
        <f>M654*M655</f>
        <v>2019108.7455</v>
      </c>
      <c r="N656">
        <f>N654*N655</f>
        <v>2019108.7455</v>
      </c>
      <c r="O656">
        <f>O654*O655</f>
        <v>3151175.61153549</v>
      </c>
      <c r="P656">
        <f>P654*P655</f>
        <v>4007499.68325</v>
      </c>
      <c r="Q656">
        <f>Q654*Q655</f>
        <v>4007499.68325</v>
      </c>
      <c r="R656">
        <f>R654*R655</f>
        <v>5585585.36028549</v>
      </c>
      <c r="S656">
        <f>S654*S655</f>
        <v>5983161.988125</v>
      </c>
      <c r="T656">
        <f>T654*T655</f>
        <v>5983161.988125</v>
      </c>
      <c r="U656">
        <f>U654*U655</f>
        <v>7788070.07742824</v>
      </c>
      <c r="V656">
        <f>V654*V655</f>
        <v>7955066.763</v>
      </c>
      <c r="W656">
        <f>W654*W655</f>
        <v>7955066.763</v>
      </c>
      <c r="X656">
        <f>X654*X655</f>
        <v>10268236.261571</v>
      </c>
    </row>
    <row r="657">
      <c r="A657" t="inlineStr">
        <is>
          <t>dqe_5_8_q</t>
        </is>
      </c>
      <c r="B657" t="inlineStr">
        <is>
          <t>DQE_DEVIS!E52</t>
        </is>
      </c>
      <c r="D657">
        <f>D542</f>
        <v>357.29568</v>
      </c>
      <c r="E657">
        <f>E542</f>
        <v>357.29568</v>
      </c>
      <c r="F657">
        <f>F542</f>
        <v>357.29568</v>
      </c>
      <c r="G657">
        <f>G542</f>
        <v>333.42624</v>
      </c>
      <c r="H657">
        <f>H542</f>
        <v>333.42624</v>
      </c>
      <c r="I657">
        <f>I542</f>
        <v>333.42624</v>
      </c>
      <c r="J657">
        <f>J542</f>
        <v>387.8784</v>
      </c>
      <c r="K657">
        <f>K542</f>
        <v>387.8784</v>
      </c>
      <c r="L657">
        <f>L542</f>
        <v>387.8784</v>
      </c>
      <c r="M657">
        <f>M542</f>
        <v>364.00896</v>
      </c>
      <c r="N657">
        <f>N542</f>
        <v>364.00896</v>
      </c>
      <c r="O657">
        <f>O542</f>
        <v>364.00896</v>
      </c>
      <c r="P657">
        <f>P542</f>
        <v>527.36544</v>
      </c>
      <c r="Q657">
        <f>Q542</f>
        <v>527.36544</v>
      </c>
      <c r="R657">
        <f>R542</f>
        <v>527.36544</v>
      </c>
      <c r="S657">
        <f>S542</f>
        <v>557.94816</v>
      </c>
      <c r="T657">
        <f>T542</f>
        <v>557.94816</v>
      </c>
      <c r="U657">
        <f>U542</f>
        <v>557.94816</v>
      </c>
      <c r="V657">
        <f>V542</f>
        <v>619.1136</v>
      </c>
      <c r="W657">
        <f>W542</f>
        <v>619.1136</v>
      </c>
      <c r="X657">
        <f>X542</f>
        <v>619.1136</v>
      </c>
    </row>
    <row r="658">
      <c r="A658" t="inlineStr">
        <is>
          <t>dqe_5_8_pu</t>
        </is>
      </c>
      <c r="B658" t="inlineStr">
        <is>
          <t>DQE_DEVIS!F52</t>
        </is>
      </c>
      <c r="D658">
        <f>'PARAMÈTRES'!$C$192</f>
        <v>725</v>
      </c>
      <c r="E658">
        <f>'PARAMÈTRES'!$C$192</f>
        <v>725</v>
      </c>
      <c r="F658">
        <f>'PARAMÈTRES'!$C$192</f>
        <v>725</v>
      </c>
      <c r="G658">
        <f>'PARAMÈTRES'!$C$192</f>
        <v>725</v>
      </c>
      <c r="H658">
        <f>'PARAMÈTRES'!$C$192</f>
        <v>725</v>
      </c>
      <c r="I658">
        <f>'PARAMÈTRES'!$C$192</f>
        <v>725</v>
      </c>
      <c r="J658">
        <f>'PARAMÈTRES'!$C$192</f>
        <v>725</v>
      </c>
      <c r="K658">
        <f>'PARAMÈTRES'!$C$192</f>
        <v>725</v>
      </c>
      <c r="L658">
        <f>'PARAMÈTRES'!$C$192</f>
        <v>725</v>
      </c>
      <c r="M658">
        <f>'PARAMÈTRES'!$C$192</f>
        <v>725</v>
      </c>
      <c r="N658">
        <f>'PARAMÈTRES'!$C$192</f>
        <v>725</v>
      </c>
      <c r="O658">
        <f>'PARAMÈTRES'!$C$192</f>
        <v>725</v>
      </c>
      <c r="P658">
        <f>'PARAMÈTRES'!$C$192</f>
        <v>725</v>
      </c>
      <c r="Q658">
        <f>'PARAMÈTRES'!$C$192</f>
        <v>725</v>
      </c>
      <c r="R658">
        <f>'PARAMÈTRES'!$C$192</f>
        <v>725</v>
      </c>
      <c r="S658">
        <f>'PARAMÈTRES'!$C$192</f>
        <v>725</v>
      </c>
      <c r="T658">
        <f>'PARAMÈTRES'!$C$192</f>
        <v>725</v>
      </c>
      <c r="U658">
        <f>'PARAMÈTRES'!$C$192</f>
        <v>725</v>
      </c>
      <c r="V658">
        <f>'PARAMÈTRES'!$C$192</f>
        <v>725</v>
      </c>
      <c r="W658">
        <f>'PARAMÈTRES'!$C$192</f>
        <v>725</v>
      </c>
      <c r="X658">
        <f>'PARAMÈTRES'!$C$192</f>
        <v>725</v>
      </c>
    </row>
    <row r="659">
      <c r="A659" t="inlineStr">
        <is>
          <t>dqe_5_8_m</t>
        </is>
      </c>
      <c r="B659" t="inlineStr">
        <is>
          <t>DQE_DEVIS!G52</t>
        </is>
      </c>
      <c r="D659">
        <f>D657*D658</f>
        <v>259039.368</v>
      </c>
      <c r="E659">
        <f>E657*E658</f>
        <v>259039.368</v>
      </c>
      <c r="F659">
        <f>F657*F658</f>
        <v>259039.368</v>
      </c>
      <c r="G659">
        <f>G657*G658</f>
        <v>241734.024</v>
      </c>
      <c r="H659">
        <f>H657*H658</f>
        <v>241734.024</v>
      </c>
      <c r="I659">
        <f>I657*I658</f>
        <v>241734.024</v>
      </c>
      <c r="J659">
        <f>J657*J658</f>
        <v>281211.84</v>
      </c>
      <c r="K659">
        <f>K657*K658</f>
        <v>281211.84</v>
      </c>
      <c r="L659">
        <f>L657*L658</f>
        <v>281211.84</v>
      </c>
      <c r="M659">
        <f>M657*M658</f>
        <v>263906.496</v>
      </c>
      <c r="N659">
        <f>N657*N658</f>
        <v>263906.496</v>
      </c>
      <c r="O659">
        <f>O657*O658</f>
        <v>263906.496</v>
      </c>
      <c r="P659">
        <f>P657*P658</f>
        <v>382339.944</v>
      </c>
      <c r="Q659">
        <f>Q657*Q658</f>
        <v>382339.944</v>
      </c>
      <c r="R659">
        <f>R657*R658</f>
        <v>382339.944</v>
      </c>
      <c r="S659">
        <f>S657*S658</f>
        <v>404512.416</v>
      </c>
      <c r="T659">
        <f>T657*T658</f>
        <v>404512.416</v>
      </c>
      <c r="U659">
        <f>U657*U658</f>
        <v>404512.416</v>
      </c>
      <c r="V659">
        <f>V657*V658</f>
        <v>448857.36</v>
      </c>
      <c r="W659">
        <f>W657*W658</f>
        <v>448857.36</v>
      </c>
      <c r="X659">
        <f>X657*X658</f>
        <v>448857.36</v>
      </c>
    </row>
    <row r="660">
      <c r="A660" t="inlineStr">
        <is>
          <t>dqe_5_9_q</t>
        </is>
      </c>
      <c r="B660" t="inlineStr">
        <is>
          <t>DQE_DEVIS!E53</t>
        </is>
      </c>
      <c r="D660">
        <f>D544</f>
        <v>0</v>
      </c>
      <c r="E660">
        <f>E544</f>
        <v>0</v>
      </c>
      <c r="F660">
        <f>F544</f>
        <v>0</v>
      </c>
      <c r="G660">
        <f>G544</f>
        <v>0</v>
      </c>
      <c r="H660">
        <f>H544</f>
        <v>0</v>
      </c>
      <c r="I660">
        <f>I544</f>
        <v>0</v>
      </c>
      <c r="J660">
        <f>J544</f>
        <v>0</v>
      </c>
      <c r="K660">
        <f>K544</f>
        <v>0</v>
      </c>
      <c r="L660">
        <f>L544</f>
        <v>0</v>
      </c>
      <c r="M660">
        <f>M544</f>
        <v>0</v>
      </c>
      <c r="N660">
        <f>N544</f>
        <v>0</v>
      </c>
      <c r="O660">
        <f>O544</f>
        <v>0</v>
      </c>
      <c r="P660">
        <f>P544</f>
        <v>0</v>
      </c>
      <c r="Q660">
        <f>Q544</f>
        <v>0</v>
      </c>
      <c r="R660">
        <f>R544</f>
        <v>0</v>
      </c>
      <c r="S660">
        <f>S544</f>
        <v>0</v>
      </c>
      <c r="T660">
        <f>T544</f>
        <v>0</v>
      </c>
      <c r="U660">
        <f>U544</f>
        <v>0</v>
      </c>
      <c r="V660">
        <f>V544</f>
        <v>0</v>
      </c>
      <c r="W660">
        <f>W544</f>
        <v>0</v>
      </c>
      <c r="X660">
        <f>X544</f>
        <v>0</v>
      </c>
    </row>
    <row r="661">
      <c r="A661" t="inlineStr">
        <is>
          <t>dqe_5_9_pu</t>
        </is>
      </c>
      <c r="B661" t="inlineStr">
        <is>
          <t>DQE_DEVIS!F53</t>
        </is>
      </c>
      <c r="D661">
        <f>'PARAMÈTRES'!$C$193</f>
        <v>725</v>
      </c>
      <c r="E661">
        <f>'PARAMÈTRES'!$C$193</f>
        <v>725</v>
      </c>
      <c r="F661">
        <f>'PARAMÈTRES'!$C$193</f>
        <v>725</v>
      </c>
      <c r="G661">
        <f>'PARAMÈTRES'!$C$193</f>
        <v>725</v>
      </c>
      <c r="H661">
        <f>'PARAMÈTRES'!$C$193</f>
        <v>725</v>
      </c>
      <c r="I661">
        <f>'PARAMÈTRES'!$C$193</f>
        <v>725</v>
      </c>
      <c r="J661">
        <f>'PARAMÈTRES'!$C$193</f>
        <v>725</v>
      </c>
      <c r="K661">
        <f>'PARAMÈTRES'!$C$193</f>
        <v>725</v>
      </c>
      <c r="L661">
        <f>'PARAMÈTRES'!$C$193</f>
        <v>725</v>
      </c>
      <c r="M661">
        <f>'PARAMÈTRES'!$C$193</f>
        <v>725</v>
      </c>
      <c r="N661">
        <f>'PARAMÈTRES'!$C$193</f>
        <v>725</v>
      </c>
      <c r="O661">
        <f>'PARAMÈTRES'!$C$193</f>
        <v>725</v>
      </c>
      <c r="P661">
        <f>'PARAMÈTRES'!$C$193</f>
        <v>725</v>
      </c>
      <c r="Q661">
        <f>'PARAMÈTRES'!$C$193</f>
        <v>725</v>
      </c>
      <c r="R661">
        <f>'PARAMÈTRES'!$C$193</f>
        <v>725</v>
      </c>
      <c r="S661">
        <f>'PARAMÈTRES'!$C$193</f>
        <v>725</v>
      </c>
      <c r="T661">
        <f>'PARAMÈTRES'!$C$193</f>
        <v>725</v>
      </c>
      <c r="U661">
        <f>'PARAMÈTRES'!$C$193</f>
        <v>725</v>
      </c>
      <c r="V661">
        <f>'PARAMÈTRES'!$C$193</f>
        <v>725</v>
      </c>
      <c r="W661">
        <f>'PARAMÈTRES'!$C$193</f>
        <v>725</v>
      </c>
      <c r="X661">
        <f>'PARAMÈTRES'!$C$193</f>
        <v>725</v>
      </c>
    </row>
    <row r="662">
      <c r="A662" t="inlineStr">
        <is>
          <t>dqe_5_9_m</t>
        </is>
      </c>
      <c r="B662" t="inlineStr">
        <is>
          <t>DQE_DEVIS!G53</t>
        </is>
      </c>
      <c r="D662">
        <f>D660*D661</f>
        <v>0</v>
      </c>
      <c r="E662">
        <f>E660*E661</f>
        <v>0</v>
      </c>
      <c r="F662">
        <f>F660*F661</f>
        <v>0</v>
      </c>
      <c r="G662">
        <f>G660*G661</f>
        <v>0</v>
      </c>
      <c r="H662">
        <f>H660*H661</f>
        <v>0</v>
      </c>
      <c r="I662">
        <f>I660*I661</f>
        <v>0</v>
      </c>
      <c r="J662">
        <f>J660*J661</f>
        <v>0</v>
      </c>
      <c r="K662">
        <f>K660*K661</f>
        <v>0</v>
      </c>
      <c r="L662">
        <f>L660*L661</f>
        <v>0</v>
      </c>
      <c r="M662">
        <f>M660*M661</f>
        <v>0</v>
      </c>
      <c r="N662">
        <f>N660*N661</f>
        <v>0</v>
      </c>
      <c r="O662">
        <f>O660*O661</f>
        <v>0</v>
      </c>
      <c r="P662">
        <f>P660*P661</f>
        <v>0</v>
      </c>
      <c r="Q662">
        <f>Q660*Q661</f>
        <v>0</v>
      </c>
      <c r="R662">
        <f>R660*R661</f>
        <v>0</v>
      </c>
      <c r="S662">
        <f>S660*S661</f>
        <v>0</v>
      </c>
      <c r="T662">
        <f>T660*T661</f>
        <v>0</v>
      </c>
      <c r="U662">
        <f>U660*U661</f>
        <v>0</v>
      </c>
      <c r="V662">
        <f>V660*V661</f>
        <v>0</v>
      </c>
      <c r="W662">
        <f>W660*W661</f>
        <v>0</v>
      </c>
      <c r="X662">
        <f>X660*X661</f>
        <v>0</v>
      </c>
    </row>
    <row r="663">
      <c r="A663" t="inlineStr">
        <is>
          <t>dqe_5_10_q</t>
        </is>
      </c>
      <c r="B663" t="inlineStr">
        <is>
          <t>DQE_DEVIS!E54</t>
        </is>
      </c>
      <c r="D663">
        <f>D546</f>
        <v>0</v>
      </c>
      <c r="E663">
        <f>E546</f>
        <v>0</v>
      </c>
      <c r="F663">
        <f>F546</f>
        <v>0</v>
      </c>
      <c r="G663">
        <f>G546</f>
        <v>0</v>
      </c>
      <c r="H663">
        <f>H546</f>
        <v>0</v>
      </c>
      <c r="I663">
        <f>I546</f>
        <v>0</v>
      </c>
      <c r="J663">
        <f>J546</f>
        <v>0</v>
      </c>
      <c r="K663">
        <f>K546</f>
        <v>0</v>
      </c>
      <c r="L663">
        <f>L546</f>
        <v>0</v>
      </c>
      <c r="M663">
        <f>M546</f>
        <v>0</v>
      </c>
      <c r="N663">
        <f>N546</f>
        <v>0</v>
      </c>
      <c r="O663">
        <f>O546</f>
        <v>0</v>
      </c>
      <c r="P663">
        <f>P546</f>
        <v>0</v>
      </c>
      <c r="Q663">
        <f>Q546</f>
        <v>0</v>
      </c>
      <c r="R663">
        <f>R546</f>
        <v>0</v>
      </c>
      <c r="S663">
        <f>S546</f>
        <v>0</v>
      </c>
      <c r="T663">
        <f>T546</f>
        <v>0</v>
      </c>
      <c r="U663">
        <f>U546</f>
        <v>0</v>
      </c>
      <c r="V663">
        <f>V546</f>
        <v>0</v>
      </c>
      <c r="W663">
        <f>W546</f>
        <v>0</v>
      </c>
      <c r="X663">
        <f>X546</f>
        <v>0</v>
      </c>
    </row>
    <row r="664">
      <c r="A664" t="inlineStr">
        <is>
          <t>dqe_5_10_pu</t>
        </is>
      </c>
      <c r="B664" t="inlineStr">
        <is>
          <t>DQE_DEVIS!F54</t>
        </is>
      </c>
      <c r="D664">
        <f>'PARAMÈTRES'!$C$194</f>
        <v>725</v>
      </c>
      <c r="E664">
        <f>'PARAMÈTRES'!$C$194</f>
        <v>725</v>
      </c>
      <c r="F664">
        <f>'PARAMÈTRES'!$C$194</f>
        <v>725</v>
      </c>
      <c r="G664">
        <f>'PARAMÈTRES'!$C$194</f>
        <v>725</v>
      </c>
      <c r="H664">
        <f>'PARAMÈTRES'!$C$194</f>
        <v>725</v>
      </c>
      <c r="I664">
        <f>'PARAMÈTRES'!$C$194</f>
        <v>725</v>
      </c>
      <c r="J664">
        <f>'PARAMÈTRES'!$C$194</f>
        <v>725</v>
      </c>
      <c r="K664">
        <f>'PARAMÈTRES'!$C$194</f>
        <v>725</v>
      </c>
      <c r="L664">
        <f>'PARAMÈTRES'!$C$194</f>
        <v>725</v>
      </c>
      <c r="M664">
        <f>'PARAMÈTRES'!$C$194</f>
        <v>725</v>
      </c>
      <c r="N664">
        <f>'PARAMÈTRES'!$C$194</f>
        <v>725</v>
      </c>
      <c r="O664">
        <f>'PARAMÈTRES'!$C$194</f>
        <v>725</v>
      </c>
      <c r="P664">
        <f>'PARAMÈTRES'!$C$194</f>
        <v>725</v>
      </c>
      <c r="Q664">
        <f>'PARAMÈTRES'!$C$194</f>
        <v>725</v>
      </c>
      <c r="R664">
        <f>'PARAMÈTRES'!$C$194</f>
        <v>725</v>
      </c>
      <c r="S664">
        <f>'PARAMÈTRES'!$C$194</f>
        <v>725</v>
      </c>
      <c r="T664">
        <f>'PARAMÈTRES'!$C$194</f>
        <v>725</v>
      </c>
      <c r="U664">
        <f>'PARAMÈTRES'!$C$194</f>
        <v>725</v>
      </c>
      <c r="V664">
        <f>'PARAMÈTRES'!$C$194</f>
        <v>725</v>
      </c>
      <c r="W664">
        <f>'PARAMÈTRES'!$C$194</f>
        <v>725</v>
      </c>
      <c r="X664">
        <f>'PARAMÈTRES'!$C$194</f>
        <v>725</v>
      </c>
    </row>
    <row r="665">
      <c r="A665" t="inlineStr">
        <is>
          <t>dqe_5_10_m</t>
        </is>
      </c>
      <c r="B665" t="inlineStr">
        <is>
          <t>DQE_DEVIS!G54</t>
        </is>
      </c>
      <c r="D665">
        <f>D663*D664</f>
        <v>0</v>
      </c>
      <c r="E665">
        <f>E663*E664</f>
        <v>0</v>
      </c>
      <c r="F665">
        <f>F663*F664</f>
        <v>0</v>
      </c>
      <c r="G665">
        <f>G663*G664</f>
        <v>0</v>
      </c>
      <c r="H665">
        <f>H663*H664</f>
        <v>0</v>
      </c>
      <c r="I665">
        <f>I663*I664</f>
        <v>0</v>
      </c>
      <c r="J665">
        <f>J663*J664</f>
        <v>0</v>
      </c>
      <c r="K665">
        <f>K663*K664</f>
        <v>0</v>
      </c>
      <c r="L665">
        <f>L663*L664</f>
        <v>0</v>
      </c>
      <c r="M665">
        <f>M663*M664</f>
        <v>0</v>
      </c>
      <c r="N665">
        <f>N663*N664</f>
        <v>0</v>
      </c>
      <c r="O665">
        <f>O663*O664</f>
        <v>0</v>
      </c>
      <c r="P665">
        <f>P663*P664</f>
        <v>0</v>
      </c>
      <c r="Q665">
        <f>Q663*Q664</f>
        <v>0</v>
      </c>
      <c r="R665">
        <f>R663*R664</f>
        <v>0</v>
      </c>
      <c r="S665">
        <f>S663*S664</f>
        <v>0</v>
      </c>
      <c r="T665">
        <f>T663*T664</f>
        <v>0</v>
      </c>
      <c r="U665">
        <f>U663*U664</f>
        <v>0</v>
      </c>
      <c r="V665">
        <f>V663*V664</f>
        <v>0</v>
      </c>
      <c r="W665">
        <f>W663*W664</f>
        <v>0</v>
      </c>
      <c r="X665">
        <f>X663*X664</f>
        <v>0</v>
      </c>
    </row>
    <row r="666">
      <c r="A666" t="inlineStr">
        <is>
          <t>dqe_5_11_q</t>
        </is>
      </c>
      <c r="B666" t="inlineStr">
        <is>
          <t>DQE_DEVIS!E55</t>
        </is>
      </c>
      <c r="D666">
        <f>D549</f>
        <v>1050</v>
      </c>
      <c r="E666">
        <f>E549</f>
        <v>1050</v>
      </c>
      <c r="F666">
        <f>F549</f>
        <v>1050</v>
      </c>
      <c r="G666">
        <f>G549</f>
        <v>919</v>
      </c>
      <c r="H666">
        <f>H549</f>
        <v>919</v>
      </c>
      <c r="I666">
        <f>I549</f>
        <v>919</v>
      </c>
      <c r="J666">
        <f>J549</f>
        <v>1182</v>
      </c>
      <c r="K666">
        <f>K549</f>
        <v>1182</v>
      </c>
      <c r="L666">
        <f>L549</f>
        <v>1182</v>
      </c>
      <c r="M666">
        <f>M549</f>
        <v>1050</v>
      </c>
      <c r="N666">
        <f>N549</f>
        <v>1050</v>
      </c>
      <c r="O666">
        <f>O549</f>
        <v>1050</v>
      </c>
      <c r="P666">
        <f>P549</f>
        <v>1575</v>
      </c>
      <c r="Q666">
        <f>Q549</f>
        <v>1575</v>
      </c>
      <c r="R666">
        <f>R549</f>
        <v>1575</v>
      </c>
      <c r="S666">
        <f>S549</f>
        <v>1838</v>
      </c>
      <c r="T666">
        <f>T549</f>
        <v>1838</v>
      </c>
      <c r="U666">
        <f>U549</f>
        <v>1838</v>
      </c>
      <c r="V666">
        <f>V549</f>
        <v>2100</v>
      </c>
      <c r="W666">
        <f>W549</f>
        <v>2100</v>
      </c>
      <c r="X666">
        <f>X549</f>
        <v>2100</v>
      </c>
    </row>
    <row r="667">
      <c r="A667" t="inlineStr">
        <is>
          <t>dqe_5_11_pu</t>
        </is>
      </c>
      <c r="B667" t="inlineStr">
        <is>
          <t>DQE_DEVIS!F55</t>
        </is>
      </c>
      <c r="D667">
        <f>'PARAMÈTRES'!$C$195</f>
        <v>450</v>
      </c>
      <c r="E667">
        <f>'PARAMÈTRES'!$C$195</f>
        <v>450</v>
      </c>
      <c r="F667">
        <f>'PARAMÈTRES'!$C$195</f>
        <v>450</v>
      </c>
      <c r="G667">
        <f>'PARAMÈTRES'!$C$195</f>
        <v>450</v>
      </c>
      <c r="H667">
        <f>'PARAMÈTRES'!$C$195</f>
        <v>450</v>
      </c>
      <c r="I667">
        <f>'PARAMÈTRES'!$C$195</f>
        <v>450</v>
      </c>
      <c r="J667">
        <f>'PARAMÈTRES'!$C$195</f>
        <v>450</v>
      </c>
      <c r="K667">
        <f>'PARAMÈTRES'!$C$195</f>
        <v>450</v>
      </c>
      <c r="L667">
        <f>'PARAMÈTRES'!$C$195</f>
        <v>450</v>
      </c>
      <c r="M667">
        <f>'PARAMÈTRES'!$C$195</f>
        <v>450</v>
      </c>
      <c r="N667">
        <f>'PARAMÈTRES'!$C$195</f>
        <v>450</v>
      </c>
      <c r="O667">
        <f>'PARAMÈTRES'!$C$195</f>
        <v>450</v>
      </c>
      <c r="P667">
        <f>'PARAMÈTRES'!$C$195</f>
        <v>450</v>
      </c>
      <c r="Q667">
        <f>'PARAMÈTRES'!$C$195</f>
        <v>450</v>
      </c>
      <c r="R667">
        <f>'PARAMÈTRES'!$C$195</f>
        <v>450</v>
      </c>
      <c r="S667">
        <f>'PARAMÈTRES'!$C$195</f>
        <v>450</v>
      </c>
      <c r="T667">
        <f>'PARAMÈTRES'!$C$195</f>
        <v>450</v>
      </c>
      <c r="U667">
        <f>'PARAMÈTRES'!$C$195</f>
        <v>450</v>
      </c>
      <c r="V667">
        <f>'PARAMÈTRES'!$C$195</f>
        <v>450</v>
      </c>
      <c r="W667">
        <f>'PARAMÈTRES'!$C$195</f>
        <v>450</v>
      </c>
      <c r="X667">
        <f>'PARAMÈTRES'!$C$195</f>
        <v>450</v>
      </c>
    </row>
    <row r="668">
      <c r="A668" t="inlineStr">
        <is>
          <t>dqe_5_11_m</t>
        </is>
      </c>
      <c r="B668" t="inlineStr">
        <is>
          <t>DQE_DEVIS!G55</t>
        </is>
      </c>
      <c r="D668">
        <f>D666*D667</f>
        <v>472500</v>
      </c>
      <c r="E668">
        <f>E666*E667</f>
        <v>472500</v>
      </c>
      <c r="F668">
        <f>F666*F667</f>
        <v>472500</v>
      </c>
      <c r="G668">
        <f>G666*G667</f>
        <v>413550</v>
      </c>
      <c r="H668">
        <f>H666*H667</f>
        <v>413550</v>
      </c>
      <c r="I668">
        <f>I666*I667</f>
        <v>413550</v>
      </c>
      <c r="J668">
        <f>J666*J667</f>
        <v>531900</v>
      </c>
      <c r="K668">
        <f>K666*K667</f>
        <v>531900</v>
      </c>
      <c r="L668">
        <f>L666*L667</f>
        <v>531900</v>
      </c>
      <c r="M668">
        <f>M666*M667</f>
        <v>472500</v>
      </c>
      <c r="N668">
        <f>N666*N667</f>
        <v>472500</v>
      </c>
      <c r="O668">
        <f>O666*O667</f>
        <v>472500</v>
      </c>
      <c r="P668">
        <f>P666*P667</f>
        <v>708750</v>
      </c>
      <c r="Q668">
        <f>Q666*Q667</f>
        <v>708750</v>
      </c>
      <c r="R668">
        <f>R666*R667</f>
        <v>708750</v>
      </c>
      <c r="S668">
        <f>S666*S667</f>
        <v>827100</v>
      </c>
      <c r="T668">
        <f>T666*T667</f>
        <v>827100</v>
      </c>
      <c r="U668">
        <f>U666*U667</f>
        <v>827100</v>
      </c>
      <c r="V668">
        <f>V666*V667</f>
        <v>945000</v>
      </c>
      <c r="W668">
        <f>W666*W667</f>
        <v>945000</v>
      </c>
      <c r="X668">
        <f>X666*X667</f>
        <v>945000</v>
      </c>
    </row>
    <row r="669">
      <c r="A669" t="inlineStr">
        <is>
          <t>dqe_5_12_q</t>
        </is>
      </c>
      <c r="B669" t="inlineStr">
        <is>
          <t>DQE_DEVIS!E56</t>
        </is>
      </c>
      <c r="D669">
        <f>D550</f>
        <v>0</v>
      </c>
      <c r="E669">
        <f>E550</f>
        <v>0</v>
      </c>
      <c r="F669">
        <f>F550</f>
        <v>5880</v>
      </c>
      <c r="G669">
        <f>G550</f>
        <v>0</v>
      </c>
      <c r="H669">
        <f>H550</f>
        <v>0</v>
      </c>
      <c r="I669">
        <f>I550</f>
        <v>5224</v>
      </c>
      <c r="J669">
        <f>J550</f>
        <v>0</v>
      </c>
      <c r="K669">
        <f>K550</f>
        <v>0</v>
      </c>
      <c r="L669">
        <f>L550</f>
        <v>6799</v>
      </c>
      <c r="M669">
        <f>M550</f>
        <v>0</v>
      </c>
      <c r="N669">
        <f>N550</f>
        <v>0</v>
      </c>
      <c r="O669">
        <f>O550</f>
        <v>6195</v>
      </c>
      <c r="P669">
        <f>P550</f>
        <v>0</v>
      </c>
      <c r="Q669">
        <f>Q550</f>
        <v>0</v>
      </c>
      <c r="R669">
        <f>R550</f>
        <v>9345</v>
      </c>
      <c r="S669">
        <f>S550</f>
        <v>0</v>
      </c>
      <c r="T669">
        <f>T550</f>
        <v>0</v>
      </c>
      <c r="U669">
        <f>U550</f>
        <v>11445</v>
      </c>
      <c r="V669">
        <f>V550</f>
        <v>0</v>
      </c>
      <c r="W669">
        <f>W550</f>
        <v>0</v>
      </c>
      <c r="X669">
        <f>X550</f>
        <v>16555</v>
      </c>
    </row>
    <row r="670">
      <c r="A670" t="inlineStr">
        <is>
          <t>dqe_5_12_pu</t>
        </is>
      </c>
      <c r="B670" t="inlineStr">
        <is>
          <t>DQE_DEVIS!F56</t>
        </is>
      </c>
      <c r="D670">
        <f>'PARAMÈTRES'!$C$196</f>
        <v>375</v>
      </c>
      <c r="E670">
        <f>'PARAMÈTRES'!$C$196</f>
        <v>375</v>
      </c>
      <c r="F670">
        <f>'PARAMÈTRES'!$C$196</f>
        <v>375</v>
      </c>
      <c r="G670">
        <f>'PARAMÈTRES'!$C$196</f>
        <v>375</v>
      </c>
      <c r="H670">
        <f>'PARAMÈTRES'!$C$196</f>
        <v>375</v>
      </c>
      <c r="I670">
        <f>'PARAMÈTRES'!$C$196</f>
        <v>375</v>
      </c>
      <c r="J670">
        <f>'PARAMÈTRES'!$C$196</f>
        <v>375</v>
      </c>
      <c r="K670">
        <f>'PARAMÈTRES'!$C$196</f>
        <v>375</v>
      </c>
      <c r="L670">
        <f>'PARAMÈTRES'!$C$196</f>
        <v>375</v>
      </c>
      <c r="M670">
        <f>'PARAMÈTRES'!$C$196</f>
        <v>375</v>
      </c>
      <c r="N670">
        <f>'PARAMÈTRES'!$C$196</f>
        <v>375</v>
      </c>
      <c r="O670">
        <f>'PARAMÈTRES'!$C$196</f>
        <v>375</v>
      </c>
      <c r="P670">
        <f>'PARAMÈTRES'!$C$196</f>
        <v>375</v>
      </c>
      <c r="Q670">
        <f>'PARAMÈTRES'!$C$196</f>
        <v>375</v>
      </c>
      <c r="R670">
        <f>'PARAMÈTRES'!$C$196</f>
        <v>375</v>
      </c>
      <c r="S670">
        <f>'PARAMÈTRES'!$C$196</f>
        <v>375</v>
      </c>
      <c r="T670">
        <f>'PARAMÈTRES'!$C$196</f>
        <v>375</v>
      </c>
      <c r="U670">
        <f>'PARAMÈTRES'!$C$196</f>
        <v>375</v>
      </c>
      <c r="V670">
        <f>'PARAMÈTRES'!$C$196</f>
        <v>375</v>
      </c>
      <c r="W670">
        <f>'PARAMÈTRES'!$C$196</f>
        <v>375</v>
      </c>
      <c r="X670">
        <f>'PARAMÈTRES'!$C$196</f>
        <v>375</v>
      </c>
    </row>
    <row r="671">
      <c r="A671" t="inlineStr">
        <is>
          <t>dqe_5_12_m</t>
        </is>
      </c>
      <c r="B671" t="inlineStr">
        <is>
          <t>DQE_DEVIS!G56</t>
        </is>
      </c>
      <c r="D671">
        <f>D669*D670</f>
        <v>0</v>
      </c>
      <c r="E671">
        <f>E669*E670</f>
        <v>0</v>
      </c>
      <c r="F671">
        <f>F669*F670</f>
        <v>2205000</v>
      </c>
      <c r="G671">
        <f>G669*G670</f>
        <v>0</v>
      </c>
      <c r="H671">
        <f>H669*H670</f>
        <v>0</v>
      </c>
      <c r="I671">
        <f>I669*I670</f>
        <v>1959000</v>
      </c>
      <c r="J671">
        <f>J669*J670</f>
        <v>0</v>
      </c>
      <c r="K671">
        <f>K669*K670</f>
        <v>0</v>
      </c>
      <c r="L671">
        <f>L669*L670</f>
        <v>2549625</v>
      </c>
      <c r="M671">
        <f>M669*M670</f>
        <v>0</v>
      </c>
      <c r="N671">
        <f>N669*N670</f>
        <v>0</v>
      </c>
      <c r="O671">
        <f>O669*O670</f>
        <v>2323125</v>
      </c>
      <c r="P671">
        <f>P669*P670</f>
        <v>0</v>
      </c>
      <c r="Q671">
        <f>Q669*Q670</f>
        <v>0</v>
      </c>
      <c r="R671">
        <f>R669*R670</f>
        <v>3504375</v>
      </c>
      <c r="S671">
        <f>S669*S670</f>
        <v>0</v>
      </c>
      <c r="T671">
        <f>T669*T670</f>
        <v>0</v>
      </c>
      <c r="U671">
        <f>U669*U670</f>
        <v>4291875</v>
      </c>
      <c r="V671">
        <f>V669*V670</f>
        <v>0</v>
      </c>
      <c r="W671">
        <f>W669*W670</f>
        <v>0</v>
      </c>
      <c r="X671">
        <f>X669*X670</f>
        <v>6208125</v>
      </c>
    </row>
    <row r="672">
      <c r="A672" t="inlineStr">
        <is>
          <t>dqe_5_13_q</t>
        </is>
      </c>
      <c r="B672" t="inlineStr">
        <is>
          <t>DQE_DEVIS!E57</t>
        </is>
      </c>
      <c r="D672">
        <f>D551</f>
        <v>323.42475</v>
      </c>
      <c r="E672">
        <f>E551</f>
        <v>323.42475</v>
      </c>
      <c r="F672">
        <f>F551</f>
        <v>323.42475</v>
      </c>
      <c r="G672">
        <f>G551</f>
        <v>324.24975</v>
      </c>
      <c r="H672">
        <f>H551</f>
        <v>324.24975</v>
      </c>
      <c r="I672">
        <f>I551</f>
        <v>324.24975</v>
      </c>
      <c r="J672">
        <f>J551</f>
        <v>487.59975</v>
      </c>
      <c r="K672">
        <f>K551</f>
        <v>487.59975</v>
      </c>
      <c r="L672">
        <f>L551</f>
        <v>487.59975</v>
      </c>
      <c r="M672">
        <f>M551</f>
        <v>433.42475</v>
      </c>
      <c r="N672">
        <f>N551</f>
        <v>433.42475</v>
      </c>
      <c r="O672">
        <f>O551</f>
        <v>433.42475</v>
      </c>
      <c r="P672">
        <f>P551</f>
        <v>870.12475</v>
      </c>
      <c r="Q672">
        <f>Q551</f>
        <v>870.12475</v>
      </c>
      <c r="R672">
        <f>R551</f>
        <v>870.12475</v>
      </c>
      <c r="S672">
        <f>S551</f>
        <v>1308.47475</v>
      </c>
      <c r="T672">
        <f>T551</f>
        <v>1308.47475</v>
      </c>
      <c r="U672">
        <f>U551</f>
        <v>1308.47475</v>
      </c>
      <c r="V672">
        <f>V551</f>
        <v>1746.82475</v>
      </c>
      <c r="W672">
        <f>W551</f>
        <v>1746.82475</v>
      </c>
      <c r="X672">
        <f>X551</f>
        <v>1746.82475</v>
      </c>
    </row>
    <row r="673">
      <c r="A673" t="inlineStr">
        <is>
          <t>dqe_5_13_pu</t>
        </is>
      </c>
      <c r="B673" t="inlineStr">
        <is>
          <t>DQE_DEVIS!F57</t>
        </is>
      </c>
      <c r="D673">
        <f>'PARAMÈTRES'!$C$197</f>
        <v>400</v>
      </c>
      <c r="E673">
        <f>'PARAMÈTRES'!$C$197</f>
        <v>400</v>
      </c>
      <c r="F673">
        <f>'PARAMÈTRES'!$C$197</f>
        <v>400</v>
      </c>
      <c r="G673">
        <f>'PARAMÈTRES'!$C$197</f>
        <v>400</v>
      </c>
      <c r="H673">
        <f>'PARAMÈTRES'!$C$197</f>
        <v>400</v>
      </c>
      <c r="I673">
        <f>'PARAMÈTRES'!$C$197</f>
        <v>400</v>
      </c>
      <c r="J673">
        <f>'PARAMÈTRES'!$C$197</f>
        <v>400</v>
      </c>
      <c r="K673">
        <f>'PARAMÈTRES'!$C$197</f>
        <v>400</v>
      </c>
      <c r="L673">
        <f>'PARAMÈTRES'!$C$197</f>
        <v>400</v>
      </c>
      <c r="M673">
        <f>'PARAMÈTRES'!$C$197</f>
        <v>400</v>
      </c>
      <c r="N673">
        <f>'PARAMÈTRES'!$C$197</f>
        <v>400</v>
      </c>
      <c r="O673">
        <f>'PARAMÈTRES'!$C$197</f>
        <v>400</v>
      </c>
      <c r="P673">
        <f>'PARAMÈTRES'!$C$197</f>
        <v>400</v>
      </c>
      <c r="Q673">
        <f>'PARAMÈTRES'!$C$197</f>
        <v>400</v>
      </c>
      <c r="R673">
        <f>'PARAMÈTRES'!$C$197</f>
        <v>400</v>
      </c>
      <c r="S673">
        <f>'PARAMÈTRES'!$C$197</f>
        <v>400</v>
      </c>
      <c r="T673">
        <f>'PARAMÈTRES'!$C$197</f>
        <v>400</v>
      </c>
      <c r="U673">
        <f>'PARAMÈTRES'!$C$197</f>
        <v>400</v>
      </c>
      <c r="V673">
        <f>'PARAMÈTRES'!$C$197</f>
        <v>400</v>
      </c>
      <c r="W673">
        <f>'PARAMÈTRES'!$C$197</f>
        <v>400</v>
      </c>
      <c r="X673">
        <f>'PARAMÈTRES'!$C$197</f>
        <v>400</v>
      </c>
    </row>
    <row r="674">
      <c r="A674" t="inlineStr">
        <is>
          <t>dqe_5_13_m</t>
        </is>
      </c>
      <c r="B674" t="inlineStr">
        <is>
          <t>DQE_DEVIS!G57</t>
        </is>
      </c>
      <c r="D674">
        <f>D672*D673</f>
        <v>129369.9</v>
      </c>
      <c r="E674">
        <f>E672*E673</f>
        <v>129369.9</v>
      </c>
      <c r="F674">
        <f>F672*F673</f>
        <v>129369.9</v>
      </c>
      <c r="G674">
        <f>G672*G673</f>
        <v>129699.9</v>
      </c>
      <c r="H674">
        <f>H672*H673</f>
        <v>129699.9</v>
      </c>
      <c r="I674">
        <f>I672*I673</f>
        <v>129699.9</v>
      </c>
      <c r="J674">
        <f>J672*J673</f>
        <v>195039.9</v>
      </c>
      <c r="K674">
        <f>K672*K673</f>
        <v>195039.9</v>
      </c>
      <c r="L674">
        <f>L672*L673</f>
        <v>195039.9</v>
      </c>
      <c r="M674">
        <f>M672*M673</f>
        <v>173369.9</v>
      </c>
      <c r="N674">
        <f>N672*N673</f>
        <v>173369.9</v>
      </c>
      <c r="O674">
        <f>O672*O673</f>
        <v>173369.9</v>
      </c>
      <c r="P674">
        <f>P672*P673</f>
        <v>348049.9</v>
      </c>
      <c r="Q674">
        <f>Q672*Q673</f>
        <v>348049.9</v>
      </c>
      <c r="R674">
        <f>R672*R673</f>
        <v>348049.9</v>
      </c>
      <c r="S674">
        <f>S672*S673</f>
        <v>523389.9</v>
      </c>
      <c r="T674">
        <f>T672*T673</f>
        <v>523389.9</v>
      </c>
      <c r="U674">
        <f>U672*U673</f>
        <v>523389.9</v>
      </c>
      <c r="V674">
        <f>V672*V673</f>
        <v>698729.9</v>
      </c>
      <c r="W674">
        <f>W672*W673</f>
        <v>698729.9</v>
      </c>
      <c r="X674">
        <f>X672*X673</f>
        <v>698729.9</v>
      </c>
    </row>
    <row r="675">
      <c r="A675" t="inlineStr">
        <is>
          <t>dqe_5_14_q</t>
        </is>
      </c>
      <c r="B675" t="inlineStr">
        <is>
          <t>DQE_DEVIS!E58</t>
        </is>
      </c>
      <c r="D675">
        <f>D552</f>
        <v>76.48</v>
      </c>
      <c r="E675">
        <f>E552</f>
        <v>76.48</v>
      </c>
      <c r="F675">
        <f>F552</f>
        <v>261.84675289675</v>
      </c>
      <c r="G675">
        <f>G552</f>
        <v>69.92</v>
      </c>
      <c r="H675">
        <f>H552</f>
        <v>69.92</v>
      </c>
      <c r="I675">
        <f>I552</f>
        <v>247.337629345125</v>
      </c>
      <c r="J675">
        <f>J552</f>
        <v>84.64</v>
      </c>
      <c r="K675">
        <f>K552</f>
        <v>84.64</v>
      </c>
      <c r="L675">
        <f>L552</f>
        <v>296.857629345125</v>
      </c>
      <c r="M675">
        <f>M552</f>
        <v>78.08</v>
      </c>
      <c r="N675">
        <f>N552</f>
        <v>78.08</v>
      </c>
      <c r="O675">
        <f>O552</f>
        <v>282.3485057935</v>
      </c>
      <c r="P675">
        <f>P552</f>
        <v>114.24</v>
      </c>
      <c r="Q675">
        <f>Q552</f>
        <v>114.24</v>
      </c>
      <c r="R675">
        <f>R552</f>
        <v>398.9085057935</v>
      </c>
      <c r="S675">
        <f>S552</f>
        <v>126.4</v>
      </c>
      <c r="T675">
        <f>T552</f>
        <v>126.4</v>
      </c>
      <c r="U675">
        <f>U552</f>
        <v>453.970258690251</v>
      </c>
      <c r="V675">
        <f>V552</f>
        <v>142.72</v>
      </c>
      <c r="W675">
        <f>W552</f>
        <v>142.72</v>
      </c>
      <c r="X675">
        <f>X552</f>
        <v>557.592011587001</v>
      </c>
    </row>
    <row r="676">
      <c r="A676" t="inlineStr">
        <is>
          <t>dqe_5_14_pu</t>
        </is>
      </c>
      <c r="B676" t="inlineStr">
        <is>
          <t>DQE_DEVIS!F58</t>
        </is>
      </c>
      <c r="D676">
        <f>'PARAMÈTRES'!$C$198</f>
        <v>3500</v>
      </c>
      <c r="E676">
        <f>'PARAMÈTRES'!$C$198</f>
        <v>3500</v>
      </c>
      <c r="F676">
        <f>'PARAMÈTRES'!$C$198</f>
        <v>3500</v>
      </c>
      <c r="G676">
        <f>'PARAMÈTRES'!$C$198</f>
        <v>3500</v>
      </c>
      <c r="H676">
        <f>'PARAMÈTRES'!$C$198</f>
        <v>3500</v>
      </c>
      <c r="I676">
        <f>'PARAMÈTRES'!$C$198</f>
        <v>3500</v>
      </c>
      <c r="J676">
        <f>'PARAMÈTRES'!$C$198</f>
        <v>3500</v>
      </c>
      <c r="K676">
        <f>'PARAMÈTRES'!$C$198</f>
        <v>3500</v>
      </c>
      <c r="L676">
        <f>'PARAMÈTRES'!$C$198</f>
        <v>3500</v>
      </c>
      <c r="M676">
        <f>'PARAMÈTRES'!$C$198</f>
        <v>3500</v>
      </c>
      <c r="N676">
        <f>'PARAMÈTRES'!$C$198</f>
        <v>3500</v>
      </c>
      <c r="O676">
        <f>'PARAMÈTRES'!$C$198</f>
        <v>3500</v>
      </c>
      <c r="P676">
        <f>'PARAMÈTRES'!$C$198</f>
        <v>3500</v>
      </c>
      <c r="Q676">
        <f>'PARAMÈTRES'!$C$198</f>
        <v>3500</v>
      </c>
      <c r="R676">
        <f>'PARAMÈTRES'!$C$198</f>
        <v>3500</v>
      </c>
      <c r="S676">
        <f>'PARAMÈTRES'!$C$198</f>
        <v>3500</v>
      </c>
      <c r="T676">
        <f>'PARAMÈTRES'!$C$198</f>
        <v>3500</v>
      </c>
      <c r="U676">
        <f>'PARAMÈTRES'!$C$198</f>
        <v>3500</v>
      </c>
      <c r="V676">
        <f>'PARAMÈTRES'!$C$198</f>
        <v>3500</v>
      </c>
      <c r="W676">
        <f>'PARAMÈTRES'!$C$198</f>
        <v>3500</v>
      </c>
      <c r="X676">
        <f>'PARAMÈTRES'!$C$198</f>
        <v>3500</v>
      </c>
    </row>
    <row r="677">
      <c r="A677" t="inlineStr">
        <is>
          <t>dqe_5_14_m</t>
        </is>
      </c>
      <c r="B677" t="inlineStr">
        <is>
          <t>DQE_DEVIS!G58</t>
        </is>
      </c>
      <c r="D677">
        <f>D675*D676</f>
        <v>267680</v>
      </c>
      <c r="E677">
        <f>E675*E676</f>
        <v>267680</v>
      </c>
      <c r="F677">
        <f>F675*F676</f>
        <v>916463.635138626</v>
      </c>
      <c r="G677">
        <f>G675*G676</f>
        <v>244720</v>
      </c>
      <c r="H677">
        <f>H675*H676</f>
        <v>244720</v>
      </c>
      <c r="I677">
        <f>I675*I676</f>
        <v>865681.702707938</v>
      </c>
      <c r="J677">
        <f>J675*J676</f>
        <v>296240</v>
      </c>
      <c r="K677">
        <f>K675*K676</f>
        <v>296240</v>
      </c>
      <c r="L677">
        <f>L675*L676</f>
        <v>1039001.70270794</v>
      </c>
      <c r="M677">
        <f>M675*M676</f>
        <v>273280</v>
      </c>
      <c r="N677">
        <f>N675*N676</f>
        <v>273280</v>
      </c>
      <c r="O677">
        <f>O675*O676</f>
        <v>988219.770277251</v>
      </c>
      <c r="P677">
        <f>P675*P676</f>
        <v>399840</v>
      </c>
      <c r="Q677">
        <f>Q675*Q676</f>
        <v>399840</v>
      </c>
      <c r="R677">
        <f>R675*R676</f>
        <v>1396179.77027725</v>
      </c>
      <c r="S677">
        <f>S675*S676</f>
        <v>442400</v>
      </c>
      <c r="T677">
        <f>T675*T676</f>
        <v>442400</v>
      </c>
      <c r="U677">
        <f>U675*U676</f>
        <v>1588895.90541588</v>
      </c>
      <c r="V677">
        <f>V675*V676</f>
        <v>499520</v>
      </c>
      <c r="W677">
        <f>W675*W676</f>
        <v>499520</v>
      </c>
      <c r="X677">
        <f>X675*X676</f>
        <v>1951572.0405545</v>
      </c>
    </row>
    <row r="678">
      <c r="A678" t="inlineStr">
        <is>
          <t>dqe_5_15_q</t>
        </is>
      </c>
      <c r="B678" t="inlineStr">
        <is>
          <t>DQE_DEVIS!E59</t>
        </is>
      </c>
      <c r="D678">
        <f>D476</f>
        <v>79.1</v>
      </c>
      <c r="E678">
        <f>E476</f>
        <v>79.1</v>
      </c>
      <c r="F678">
        <f>F476</f>
        <v>79.1</v>
      </c>
      <c r="G678">
        <f>G476</f>
        <v>84.25</v>
      </c>
      <c r="H678">
        <f>H476</f>
        <v>84.25</v>
      </c>
      <c r="I678">
        <f>I476</f>
        <v>84.25</v>
      </c>
      <c r="J678">
        <f>J476</f>
        <v>133.95</v>
      </c>
      <c r="K678">
        <f>K476</f>
        <v>133.95</v>
      </c>
      <c r="L678">
        <f>L476</f>
        <v>133.95</v>
      </c>
      <c r="M678">
        <f>M476</f>
        <v>119.1</v>
      </c>
      <c r="N678">
        <f>N476</f>
        <v>119.1</v>
      </c>
      <c r="O678">
        <f>O476</f>
        <v>119.1</v>
      </c>
      <c r="P678">
        <f>P476</f>
        <v>258.5</v>
      </c>
      <c r="Q678">
        <f>Q476</f>
        <v>258.5</v>
      </c>
      <c r="R678">
        <f>R476</f>
        <v>258.5</v>
      </c>
      <c r="S678">
        <f>S476</f>
        <v>408.2</v>
      </c>
      <c r="T678">
        <f>T476</f>
        <v>408.2</v>
      </c>
      <c r="U678">
        <f>U476</f>
        <v>408.2</v>
      </c>
      <c r="V678">
        <f>V476</f>
        <v>557.9</v>
      </c>
      <c r="W678">
        <f>W476</f>
        <v>557.9</v>
      </c>
      <c r="X678">
        <f>X476</f>
        <v>557.9</v>
      </c>
    </row>
    <row r="679">
      <c r="A679" t="inlineStr">
        <is>
          <t>dqe_5_15_pu</t>
        </is>
      </c>
      <c r="B679" t="inlineStr">
        <is>
          <t>DQE_DEVIS!F59</t>
        </is>
      </c>
      <c r="D679">
        <f>'PARAMÈTRES'!$C$199</f>
        <v>1500</v>
      </c>
      <c r="E679">
        <f>'PARAMÈTRES'!$C$199</f>
        <v>1500</v>
      </c>
      <c r="F679">
        <f>'PARAMÈTRES'!$C$199</f>
        <v>1500</v>
      </c>
      <c r="G679">
        <f>'PARAMÈTRES'!$C$199</f>
        <v>1500</v>
      </c>
      <c r="H679">
        <f>'PARAMÈTRES'!$C$199</f>
        <v>1500</v>
      </c>
      <c r="I679">
        <f>'PARAMÈTRES'!$C$199</f>
        <v>1500</v>
      </c>
      <c r="J679">
        <f>'PARAMÈTRES'!$C$199</f>
        <v>1500</v>
      </c>
      <c r="K679">
        <f>'PARAMÈTRES'!$C$199</f>
        <v>1500</v>
      </c>
      <c r="L679">
        <f>'PARAMÈTRES'!$C$199</f>
        <v>1500</v>
      </c>
      <c r="M679">
        <f>'PARAMÈTRES'!$C$199</f>
        <v>1500</v>
      </c>
      <c r="N679">
        <f>'PARAMÈTRES'!$C$199</f>
        <v>1500</v>
      </c>
      <c r="O679">
        <f>'PARAMÈTRES'!$C$199</f>
        <v>1500</v>
      </c>
      <c r="P679">
        <f>'PARAMÈTRES'!$C$199</f>
        <v>1500</v>
      </c>
      <c r="Q679">
        <f>'PARAMÈTRES'!$C$199</f>
        <v>1500</v>
      </c>
      <c r="R679">
        <f>'PARAMÈTRES'!$C$199</f>
        <v>1500</v>
      </c>
      <c r="S679">
        <f>'PARAMÈTRES'!$C$199</f>
        <v>1500</v>
      </c>
      <c r="T679">
        <f>'PARAMÈTRES'!$C$199</f>
        <v>1500</v>
      </c>
      <c r="U679">
        <f>'PARAMÈTRES'!$C$199</f>
        <v>1500</v>
      </c>
      <c r="V679">
        <f>'PARAMÈTRES'!$C$199</f>
        <v>1500</v>
      </c>
      <c r="W679">
        <f>'PARAMÈTRES'!$C$199</f>
        <v>1500</v>
      </c>
      <c r="X679">
        <f>'PARAMÈTRES'!$C$199</f>
        <v>1500</v>
      </c>
    </row>
    <row r="680">
      <c r="A680" t="inlineStr">
        <is>
          <t>dqe_5_15_m</t>
        </is>
      </c>
      <c r="B680" t="inlineStr">
        <is>
          <t>DQE_DEVIS!G59</t>
        </is>
      </c>
      <c r="D680">
        <f>D678*D679</f>
        <v>118650</v>
      </c>
      <c r="E680">
        <f>E678*E679</f>
        <v>118650</v>
      </c>
      <c r="F680">
        <f>F678*F679</f>
        <v>118650</v>
      </c>
      <c r="G680">
        <f>G678*G679</f>
        <v>126375</v>
      </c>
      <c r="H680">
        <f>H678*H679</f>
        <v>126375</v>
      </c>
      <c r="I680">
        <f>I678*I679</f>
        <v>126375</v>
      </c>
      <c r="J680">
        <f>J678*J679</f>
        <v>200925</v>
      </c>
      <c r="K680">
        <f>K678*K679</f>
        <v>200925</v>
      </c>
      <c r="L680">
        <f>L678*L679</f>
        <v>200925</v>
      </c>
      <c r="M680">
        <f>M678*M679</f>
        <v>178650</v>
      </c>
      <c r="N680">
        <f>N678*N679</f>
        <v>178650</v>
      </c>
      <c r="O680">
        <f>O678*O679</f>
        <v>178650</v>
      </c>
      <c r="P680">
        <f>P678*P679</f>
        <v>387750</v>
      </c>
      <c r="Q680">
        <f>Q678*Q679</f>
        <v>387750</v>
      </c>
      <c r="R680">
        <f>R678*R679</f>
        <v>387750</v>
      </c>
      <c r="S680">
        <f>S678*S679</f>
        <v>612300</v>
      </c>
      <c r="T680">
        <f>T678*T679</f>
        <v>612300</v>
      </c>
      <c r="U680">
        <f>U678*U679</f>
        <v>612300</v>
      </c>
      <c r="V680">
        <f>V678*V679</f>
        <v>836850</v>
      </c>
      <c r="W680">
        <f>W678*W679</f>
        <v>836850</v>
      </c>
      <c r="X680">
        <f>X678*X679</f>
        <v>836850</v>
      </c>
    </row>
    <row r="681">
      <c r="A681" t="inlineStr">
        <is>
          <t>dqe_5_16_q</t>
        </is>
      </c>
      <c r="B681" t="inlineStr">
        <is>
          <t>DQE_DEVIS!E60</t>
        </is>
      </c>
      <c r="D681">
        <f>D477</f>
        <v>294.0225</v>
      </c>
      <c r="E681">
        <f>E477</f>
        <v>294.0225</v>
      </c>
      <c r="F681">
        <f>F477</f>
        <v>294.0225</v>
      </c>
      <c r="G681">
        <f>G477</f>
        <v>294.7725</v>
      </c>
      <c r="H681">
        <f>H477</f>
        <v>294.7725</v>
      </c>
      <c r="I681">
        <f>I477</f>
        <v>294.7725</v>
      </c>
      <c r="J681">
        <f>J477</f>
        <v>443.2725</v>
      </c>
      <c r="K681">
        <f>K477</f>
        <v>443.2725</v>
      </c>
      <c r="L681">
        <f>L477</f>
        <v>443.2725</v>
      </c>
      <c r="M681">
        <f>M477</f>
        <v>394.0225</v>
      </c>
      <c r="N681">
        <f>N477</f>
        <v>394.0225</v>
      </c>
      <c r="O681">
        <f>O477</f>
        <v>394.0225</v>
      </c>
      <c r="P681">
        <f>P477</f>
        <v>791.0225</v>
      </c>
      <c r="Q681">
        <f>Q477</f>
        <v>791.0225</v>
      </c>
      <c r="R681">
        <f>R477</f>
        <v>791.0225</v>
      </c>
      <c r="S681">
        <f>S477</f>
        <v>1189.5225</v>
      </c>
      <c r="T681">
        <f>T477</f>
        <v>1189.5225</v>
      </c>
      <c r="U681">
        <f>U477</f>
        <v>1189.5225</v>
      </c>
      <c r="V681">
        <f>V477</f>
        <v>1588.0225</v>
      </c>
      <c r="W681">
        <f>W477</f>
        <v>1588.0225</v>
      </c>
      <c r="X681">
        <f>X477</f>
        <v>1588.0225</v>
      </c>
    </row>
    <row r="682">
      <c r="A682" t="inlineStr">
        <is>
          <t>dqe_5_16_pu</t>
        </is>
      </c>
      <c r="B682" t="inlineStr">
        <is>
          <t>DQE_DEVIS!F60</t>
        </is>
      </c>
      <c r="D682">
        <f>'PARAMÈTRES'!$C$200</f>
        <v>250</v>
      </c>
      <c r="E682">
        <f>'PARAMÈTRES'!$C$200</f>
        <v>250</v>
      </c>
      <c r="F682">
        <f>'PARAMÈTRES'!$C$200</f>
        <v>250</v>
      </c>
      <c r="G682">
        <f>'PARAMÈTRES'!$C$200</f>
        <v>250</v>
      </c>
      <c r="H682">
        <f>'PARAMÈTRES'!$C$200</f>
        <v>250</v>
      </c>
      <c r="I682">
        <f>'PARAMÈTRES'!$C$200</f>
        <v>250</v>
      </c>
      <c r="J682">
        <f>'PARAMÈTRES'!$C$200</f>
        <v>250</v>
      </c>
      <c r="K682">
        <f>'PARAMÈTRES'!$C$200</f>
        <v>250</v>
      </c>
      <c r="L682">
        <f>'PARAMÈTRES'!$C$200</f>
        <v>250</v>
      </c>
      <c r="M682">
        <f>'PARAMÈTRES'!$C$200</f>
        <v>250</v>
      </c>
      <c r="N682">
        <f>'PARAMÈTRES'!$C$200</f>
        <v>250</v>
      </c>
      <c r="O682">
        <f>'PARAMÈTRES'!$C$200</f>
        <v>250</v>
      </c>
      <c r="P682">
        <f>'PARAMÈTRES'!$C$200</f>
        <v>250</v>
      </c>
      <c r="Q682">
        <f>'PARAMÈTRES'!$C$200</f>
        <v>250</v>
      </c>
      <c r="R682">
        <f>'PARAMÈTRES'!$C$200</f>
        <v>250</v>
      </c>
      <c r="S682">
        <f>'PARAMÈTRES'!$C$200</f>
        <v>250</v>
      </c>
      <c r="T682">
        <f>'PARAMÈTRES'!$C$200</f>
        <v>250</v>
      </c>
      <c r="U682">
        <f>'PARAMÈTRES'!$C$200</f>
        <v>250</v>
      </c>
      <c r="V682">
        <f>'PARAMÈTRES'!$C$200</f>
        <v>250</v>
      </c>
      <c r="W682">
        <f>'PARAMÈTRES'!$C$200</f>
        <v>250</v>
      </c>
      <c r="X682">
        <f>'PARAMÈTRES'!$C$200</f>
        <v>250</v>
      </c>
    </row>
    <row r="683">
      <c r="A683" t="inlineStr">
        <is>
          <t>dqe_5_16_m</t>
        </is>
      </c>
      <c r="B683" t="inlineStr">
        <is>
          <t>DQE_DEVIS!G60</t>
        </is>
      </c>
      <c r="D683">
        <f>D681*D682</f>
        <v>73505.625</v>
      </c>
      <c r="E683">
        <f>E681*E682</f>
        <v>73505.625</v>
      </c>
      <c r="F683">
        <f>F681*F682</f>
        <v>73505.625</v>
      </c>
      <c r="G683">
        <f>G681*G682</f>
        <v>73693.125</v>
      </c>
      <c r="H683">
        <f>H681*H682</f>
        <v>73693.125</v>
      </c>
      <c r="I683">
        <f>I681*I682</f>
        <v>73693.125</v>
      </c>
      <c r="J683">
        <f>J681*J682</f>
        <v>110818.125</v>
      </c>
      <c r="K683">
        <f>K681*K682</f>
        <v>110818.125</v>
      </c>
      <c r="L683">
        <f>L681*L682</f>
        <v>110818.125</v>
      </c>
      <c r="M683">
        <f>M681*M682</f>
        <v>98505.625</v>
      </c>
      <c r="N683">
        <f>N681*N682</f>
        <v>98505.625</v>
      </c>
      <c r="O683">
        <f>O681*O682</f>
        <v>98505.625</v>
      </c>
      <c r="P683">
        <f>P681*P682</f>
        <v>197755.625</v>
      </c>
      <c r="Q683">
        <f>Q681*Q682</f>
        <v>197755.625</v>
      </c>
      <c r="R683">
        <f>R681*R682</f>
        <v>197755.625</v>
      </c>
      <c r="S683">
        <f>S681*S682</f>
        <v>297380.625</v>
      </c>
      <c r="T683">
        <f>T681*T682</f>
        <v>297380.625</v>
      </c>
      <c r="U683">
        <f>U681*U682</f>
        <v>297380.625</v>
      </c>
      <c r="V683">
        <f>V681*V682</f>
        <v>397005.625</v>
      </c>
      <c r="W683">
        <f>W681*W682</f>
        <v>397005.625</v>
      </c>
      <c r="X683">
        <f>X681*X682</f>
        <v>397005.625</v>
      </c>
    </row>
    <row r="684">
      <c r="A684" t="inlineStr">
        <is>
          <t>dqe_5_17_q</t>
        </is>
      </c>
      <c r="B684" t="inlineStr">
        <is>
          <t>DQE_DEVIS!E61</t>
        </is>
      </c>
      <c r="D684">
        <f>1</f>
        <v>1</v>
      </c>
      <c r="E684">
        <f>1</f>
        <v>1</v>
      </c>
      <c r="F684">
        <f>1</f>
        <v>1</v>
      </c>
      <c r="G684">
        <f>1</f>
        <v>1</v>
      </c>
      <c r="H684">
        <f>1</f>
        <v>1</v>
      </c>
      <c r="I684">
        <f>1</f>
        <v>1</v>
      </c>
      <c r="J684">
        <f>1</f>
        <v>1</v>
      </c>
      <c r="K684">
        <f>1</f>
        <v>1</v>
      </c>
      <c r="L684">
        <f>1</f>
        <v>1</v>
      </c>
      <c r="M684">
        <f>1</f>
        <v>1</v>
      </c>
      <c r="N684">
        <f>1</f>
        <v>1</v>
      </c>
      <c r="O684">
        <f>1</f>
        <v>1</v>
      </c>
      <c r="P684">
        <f>1</f>
        <v>1</v>
      </c>
      <c r="Q684">
        <f>1</f>
        <v>1</v>
      </c>
      <c r="R684">
        <f>1</f>
        <v>1</v>
      </c>
      <c r="S684">
        <f>1</f>
        <v>1</v>
      </c>
      <c r="T684">
        <f>1</f>
        <v>1</v>
      </c>
      <c r="U684">
        <f>1</f>
        <v>1</v>
      </c>
      <c r="V684">
        <f>1</f>
        <v>1</v>
      </c>
      <c r="W684">
        <f>1</f>
        <v>1</v>
      </c>
      <c r="X684">
        <f>1</f>
        <v>1</v>
      </c>
    </row>
    <row r="685">
      <c r="A685" t="inlineStr">
        <is>
          <t>dqe_5_17_pu</t>
        </is>
      </c>
      <c r="B685" t="inlineStr">
        <is>
          <t>DQE_DEVIS!F61</t>
        </is>
      </c>
      <c r="D685">
        <f>'PARAMÈTRES'!$C$155*(D638+D641+D644+D647+D650+D653+D656+D659+D662+D665+D668+D671+D674+D677+D680+D683)</f>
        <v>3138154.8391</v>
      </c>
      <c r="E685">
        <f>'PARAMÈTRES'!$C$155*(E638+E641+E644+E647+E650+E653+E656+E659+E662+E665+E668+E671+E674+E677+E680+E683)</f>
        <v>3138154.8391</v>
      </c>
      <c r="F685">
        <f>'PARAMÈTRES'!$C$155*(F638+F641+F644+F647+F650+F653+F656+F659+F662+F665+F668+F671+F674+F677+F680+F683)</f>
        <v>5232638.20562226</v>
      </c>
      <c r="G685">
        <f>'PARAMÈTRES'!$C$155*(G638+G641+G644+G647+G650+G653+G656+G659+G662+G665+G668+G671+G674+G677+G680+G683)</f>
        <v>3044937.293125</v>
      </c>
      <c r="H685">
        <f>'PARAMÈTRES'!$C$155*(H638+H641+H644+H647+H650+H653+H656+H659+H662+H665+H668+H671+H674+H677+H680+H683)</f>
        <v>3044937.293125</v>
      </c>
      <c r="I685">
        <f>'PARAMÈTRES'!$C$155*(I638+I641+I644+I647+I650+I653+I656+I659+I662+I665+I668+I671+I674+I677+I680+I683)</f>
        <v>4981866.59640839</v>
      </c>
      <c r="J685">
        <f>'PARAMÈTRES'!$C$155*(J638+J641+J644+J647+J650+J653+J656+J659+J662+J665+J668+J671+J674+J677+J680+J683)</f>
        <v>4359735.620075</v>
      </c>
      <c r="K685">
        <f>'PARAMÈTRES'!$C$155*(K638+K641+K644+K647+K650+K653+K656+K659+K662+K665+K668+K671+K674+K677+K680+K683)</f>
        <v>4359735.620075</v>
      </c>
      <c r="L685">
        <f>'PARAMÈTRES'!$C$155*(L638+L641+L644+L647+L650+L653+L656+L659+L662+L665+L668+L671+L674+L677+L680+L683)</f>
        <v>6771219.26695839</v>
      </c>
      <c r="M685">
        <f>'PARAMÈTRES'!$C$155*(M638+M641+M644+M647+M650+M653+M656+M659+M662+M665+M668+M671+M674+M677+M680+M683)</f>
        <v>3881848.4691</v>
      </c>
      <c r="N685">
        <f>'PARAMÈTRES'!$C$155*(N638+N641+N644+N647+N650+N653+N656+N659+N662+N665+N668+N671+N674+N677+N680+N683)</f>
        <v>3881848.4691</v>
      </c>
      <c r="O685">
        <f>'PARAMÈTRES'!$C$155*(O638+O641+O644+O647+O650+O653+O656+O659+O662+O665+O668+O671+O674+O677+O680+O683)</f>
        <v>6143932.14874452</v>
      </c>
      <c r="P685">
        <f>'PARAMÈTRES'!$C$155*(P638+P641+P644+P647+P650+P653+P656+P659+P662+P665+P668+P671+P674+P677+P680+P683)</f>
        <v>7314925.8286</v>
      </c>
      <c r="Q685">
        <f>'PARAMÈTRES'!$C$155*(Q638+Q641+Q644+Q647+Q650+Q653+Q656+Q659+Q662+Q665+Q668+Q671+Q674+Q677+Q680+Q683)</f>
        <v>7314925.8286</v>
      </c>
      <c r="R685">
        <f>'PARAMÈTRES'!$C$155*(R638+R641+R644+R647+R650+R653+R656+R659+R662+R665+R668+R671+R674+R677+R680+R683)</f>
        <v>10588728.3670445</v>
      </c>
      <c r="S685">
        <f>'PARAMÈTRES'!$C$155*(S638+S641+S644+S647+S650+S653+S656+S659+S662+S665+S668+S671+S674+S677+S680+S683)</f>
        <v>10472261.38535</v>
      </c>
      <c r="T685">
        <f>'PARAMÈTRES'!$C$155*(T638+T641+T644+T647+T650+T653+T656+T659+T662+T665+T668+T671+T674+T677+T680+T683)</f>
        <v>10472261.38535</v>
      </c>
      <c r="U685">
        <f>'PARAMÈTRES'!$C$155*(U638+U641+U644+U647+U650+U653+U656+U659+U662+U665+U668+U671+U674+U677+U680+U683)</f>
        <v>14356175.6089168</v>
      </c>
      <c r="V685">
        <f>'PARAMÈTRES'!$C$155*(V638+V641+V644+V647+V650+V653+V656+V659+V662+V665+V668+V671+V674+V677+V680+V683)</f>
        <v>13653681.3149</v>
      </c>
      <c r="W685">
        <f>'PARAMÈTRES'!$C$155*(W638+W641+W644+W647+W650+W653+W656+W659+W662+W665+W668+W671+W674+W677+W680+W683)</f>
        <v>13653681.3149</v>
      </c>
      <c r="X685">
        <f>'PARAMÈTRES'!$C$155*(X638+X641+X644+X647+X650+X653+X656+X659+X662+X665+X668+X671+X674+X677+X680+X683)</f>
        <v>18933635.5103891</v>
      </c>
    </row>
    <row r="686">
      <c r="A686" t="inlineStr">
        <is>
          <t>dqe_5_17_m</t>
        </is>
      </c>
      <c r="B686" t="inlineStr">
        <is>
          <t>DQE_DEVIS!G61</t>
        </is>
      </c>
      <c r="D686">
        <f>D684*D685</f>
        <v>3138154.8391</v>
      </c>
      <c r="E686">
        <f>E684*E685</f>
        <v>3138154.8391</v>
      </c>
      <c r="F686">
        <f>F684*F685</f>
        <v>5232638.20562226</v>
      </c>
      <c r="G686">
        <f>G684*G685</f>
        <v>3044937.293125</v>
      </c>
      <c r="H686">
        <f>H684*H685</f>
        <v>3044937.293125</v>
      </c>
      <c r="I686">
        <f>I684*I685</f>
        <v>4981866.59640839</v>
      </c>
      <c r="J686">
        <f>J684*J685</f>
        <v>4359735.620075</v>
      </c>
      <c r="K686">
        <f>K684*K685</f>
        <v>4359735.620075</v>
      </c>
      <c r="L686">
        <f>L684*L685</f>
        <v>6771219.26695839</v>
      </c>
      <c r="M686">
        <f>M684*M685</f>
        <v>3881848.4691</v>
      </c>
      <c r="N686">
        <f>N684*N685</f>
        <v>3881848.4691</v>
      </c>
      <c r="O686">
        <f>O684*O685</f>
        <v>6143932.14874452</v>
      </c>
      <c r="P686">
        <f>P684*P685</f>
        <v>7314925.8286</v>
      </c>
      <c r="Q686">
        <f>Q684*Q685</f>
        <v>7314925.8286</v>
      </c>
      <c r="R686">
        <f>R684*R685</f>
        <v>10588728.3670445</v>
      </c>
      <c r="S686">
        <f>S684*S685</f>
        <v>10472261.38535</v>
      </c>
      <c r="T686">
        <f>T684*T685</f>
        <v>10472261.38535</v>
      </c>
      <c r="U686">
        <f>U684*U685</f>
        <v>14356175.6089168</v>
      </c>
      <c r="V686">
        <f>V684*V685</f>
        <v>13653681.3149</v>
      </c>
      <c r="W686">
        <f>W684*W685</f>
        <v>13653681.3149</v>
      </c>
      <c r="X686">
        <f>X684*X685</f>
        <v>18933635.5103891</v>
      </c>
    </row>
    <row r="687">
      <c r="A687" t="inlineStr">
        <is>
          <t>st5</t>
        </is>
      </c>
      <c r="B687" t="inlineStr">
        <is>
          <t>DQE_DEVIS!G62</t>
        </is>
      </c>
      <c r="D687">
        <f>D638+D641+D644+D647+D650+D653+D656+D659+D662+D665+D668+D671+D674+D677+D680+D683+D686</f>
        <v>10983541.93685</v>
      </c>
      <c r="E687">
        <f>E638+E641+E644+E647+E650+E653+E656+E659+E662+E665+E668+E671+E674+E677+E680+E683+E686</f>
        <v>10983541.93685</v>
      </c>
      <c r="F687">
        <f>F638+F641+F644+F647+F650+F653+F656+F659+F662+F665+F668+F671+F674+F677+F680+F683+F686</f>
        <v>18314233.7196779</v>
      </c>
      <c r="G687">
        <f>G638+G641+G644+G647+G650+G653+G656+G659+G662+G665+G668+G671+G674+G677+G680+G683+G686</f>
        <v>10657280.5259375</v>
      </c>
      <c r="H687">
        <f>H638+H641+H644+H647+H650+H653+H656+H659+H662+H665+H668+H671+H674+H677+H680+H683+H686</f>
        <v>10657280.5259375</v>
      </c>
      <c r="I687">
        <f>I638+I641+I644+I647+I650+I653+I656+I659+I662+I665+I668+I671+I674+I677+I680+I683+I686</f>
        <v>17436533.0874294</v>
      </c>
      <c r="J687">
        <f>J638+J641+J644+J647+J650+J653+J656+J659+J662+J665+J668+J671+J674+J677+J680+J683+J686</f>
        <v>15259074.6702625</v>
      </c>
      <c r="K687">
        <f>K638+K641+K644+K647+K650+K653+K656+K659+K662+K665+K668+K671+K674+K677+K680+K683+K686</f>
        <v>15259074.6702625</v>
      </c>
      <c r="L687">
        <f>L638+L641+L644+L647+L650+L653+L656+L659+L662+L665+L668+L671+L674+L677+L680+L683+L686</f>
        <v>23699267.4343544</v>
      </c>
      <c r="M687">
        <f>M638+M641+M644+M647+M650+M653+M656+M659+M662+M665+M668+M671+M674+M677+M680+M683+M686</f>
        <v>13586469.64185</v>
      </c>
      <c r="N687">
        <f>N638+N641+N644+N647+N650+N653+N656+N659+N662+N665+N668+N671+N674+N677+N680+N683+N686</f>
        <v>13586469.64185</v>
      </c>
      <c r="O687">
        <f>O638+O641+O644+O647+O650+O653+O656+O659+O662+O665+O668+O671+O674+O677+O680+O683+O686</f>
        <v>21503762.5206058</v>
      </c>
      <c r="P687">
        <f>P638+P641+P644+P647+P650+P653+P656+P659+P662+P665+P668+P671+P674+P677+P680+P683+P686</f>
        <v>25602240.4001</v>
      </c>
      <c r="Q687">
        <f>Q638+Q641+Q644+Q647+Q650+Q653+Q656+Q659+Q662+Q665+Q668+Q671+Q674+Q677+Q680+Q683+Q686</f>
        <v>25602240.4001</v>
      </c>
      <c r="R687">
        <f>R638+R641+R644+R647+R650+R653+R656+R659+R662+R665+R668+R671+R674+R677+R680+R683+R686</f>
        <v>37060549.2846558</v>
      </c>
      <c r="S687">
        <f>S638+S641+S644+S647+S650+S653+S656+S659+S662+S665+S668+S671+S674+S677+S680+S683+S686</f>
        <v>36652914.848725</v>
      </c>
      <c r="T687">
        <f>T638+T641+T644+T647+T650+T653+T656+T659+T662+T665+T668+T671+T674+T677+T680+T683+T686</f>
        <v>36652914.848725</v>
      </c>
      <c r="U687">
        <f>U638+U641+U644+U647+U650+U653+U656+U659+U662+U665+U668+U671+U674+U677+U680+U683+U686</f>
        <v>50246614.6312088</v>
      </c>
      <c r="V687">
        <f>V638+V641+V644+V647+V650+V653+V656+V659+V662+V665+V668+V671+V674+V677+V680+V683+V686</f>
        <v>47787884.60215</v>
      </c>
      <c r="W687">
        <f>W638+W641+W644+W647+W650+W653+W656+W659+W662+W665+W668+W671+W674+W677+W680+W683+W686</f>
        <v>47787884.60215</v>
      </c>
      <c r="X687">
        <f>X638+X641+X644+X647+X650+X653+X656+X659+X662+X665+X668+X671+X674+X677+X680+X683+X686</f>
        <v>66267724.2863617</v>
      </c>
    </row>
    <row r="688">
      <c r="A688" t="inlineStr">
        <is>
          <t>total_ht</t>
        </is>
      </c>
      <c r="B688" t="inlineStr">
        <is>
          <t>DQE_DEVIS!G64</t>
        </is>
      </c>
      <c r="D688">
        <f>D569+D603+D622+D635+D687</f>
        <v>42081885.2286782</v>
      </c>
      <c r="E688">
        <f>E569+E603+E622+E635+E687</f>
        <v>42081885.2286782</v>
      </c>
      <c r="F688">
        <f>F569+F603+F622+F635+F687</f>
        <v>43295694.5021728</v>
      </c>
      <c r="G688">
        <f>G569+G603+G622+G635+G687</f>
        <v>43222389.4544163</v>
      </c>
      <c r="H688">
        <f>H569+H603+H622+H635+H687</f>
        <v>43222389.4544163</v>
      </c>
      <c r="I688">
        <f>I569+I603+I622+I635+I687</f>
        <v>44778110.3535082</v>
      </c>
      <c r="J688">
        <f>J569+J603+J622+J635+J687</f>
        <v>56330712.7525805</v>
      </c>
      <c r="K688">
        <f>K569+K603+K622+K635+K687</f>
        <v>56330712.7525805</v>
      </c>
      <c r="L688">
        <f>L569+L603+L622+L635+L687</f>
        <v>57747781.3062724</v>
      </c>
      <c r="M688">
        <f>M569+M603+M622+M635+M687</f>
        <v>56397657.6646282</v>
      </c>
      <c r="N688">
        <f>N569+N603+N622+N635+N687</f>
        <v>56397657.6646282</v>
      </c>
      <c r="O688">
        <f>O569+O603+O622+O635+O687</f>
        <v>58171259.4413395</v>
      </c>
      <c r="P688">
        <f>P569+P603+P622+P635+P687</f>
        <v>94639718.8561113</v>
      </c>
      <c r="Q688">
        <f>Q569+Q603+Q622+Q635+Q687</f>
        <v>94639718.8561113</v>
      </c>
      <c r="R688">
        <f>R569+R603+R622+R635+R687</f>
        <v>96463136.647956</v>
      </c>
      <c r="S688">
        <f>S569+S603+S622+S635+S687</f>
        <v>146690703.962284</v>
      </c>
      <c r="T688">
        <f>T569+T603+T622+T635+T687</f>
        <v>146690703.962284</v>
      </c>
      <c r="U688">
        <f>U569+U603+U622+U635+U687</f>
        <v>148632621.860768</v>
      </c>
      <c r="V688">
        <f>V569+V603+V622+V635+V687</f>
        <v>197677966.910145</v>
      </c>
      <c r="W688">
        <f>W569+W603+W622+W635+W687</f>
        <v>197677966.910145</v>
      </c>
      <c r="X688">
        <f>X569+X603+X622+X635+X687</f>
        <v>199433474.63172</v>
      </c>
    </row>
    <row r="689">
      <c r="A689" t="inlineStr">
        <is>
          <t>tva</t>
        </is>
      </c>
      <c r="B689" t="inlineStr">
        <is>
          <t>DQE_DEVIS!G65</t>
        </is>
      </c>
      <c r="D689">
        <f>D688*0.18</f>
        <v>7574739.34116208</v>
      </c>
      <c r="E689">
        <f>E688*0.18</f>
        <v>7574739.34116208</v>
      </c>
      <c r="F689">
        <f>F688*0.18</f>
        <v>7793225.01039111</v>
      </c>
      <c r="G689">
        <f>G688*0.18</f>
        <v>7780030.10179494</v>
      </c>
      <c r="H689">
        <f>H688*0.18</f>
        <v>7780030.10179494</v>
      </c>
      <c r="I689">
        <f>I688*0.18</f>
        <v>8060059.86363147</v>
      </c>
      <c r="J689">
        <f>J688*0.18</f>
        <v>10139528.2954645</v>
      </c>
      <c r="K689">
        <f>K688*0.18</f>
        <v>10139528.2954645</v>
      </c>
      <c r="L689">
        <f>L688*0.18</f>
        <v>10394600.635129</v>
      </c>
      <c r="M689">
        <f>M688*0.18</f>
        <v>10151578.3796331</v>
      </c>
      <c r="N689">
        <f>N688*0.18</f>
        <v>10151578.3796331</v>
      </c>
      <c r="O689">
        <f>O688*0.18</f>
        <v>10470826.6994411</v>
      </c>
      <c r="P689">
        <f>P688*0.18</f>
        <v>17035149.3941</v>
      </c>
      <c r="Q689">
        <f>Q688*0.18</f>
        <v>17035149.3941</v>
      </c>
      <c r="R689">
        <f>R688*0.18</f>
        <v>17363364.5966321</v>
      </c>
      <c r="S689">
        <f>S688*0.18</f>
        <v>26404326.7132112</v>
      </c>
      <c r="T689">
        <f>T688*0.18</f>
        <v>26404326.7132112</v>
      </c>
      <c r="U689">
        <f>U688*0.18</f>
        <v>26753871.9349382</v>
      </c>
      <c r="V689">
        <f>V688*0.18</f>
        <v>35582034.0438261</v>
      </c>
      <c r="W689">
        <f>W688*0.18</f>
        <v>35582034.0438261</v>
      </c>
      <c r="X689">
        <f>X688*0.18</f>
        <v>35898025.4337095</v>
      </c>
    </row>
    <row r="690">
      <c r="A690" t="inlineStr">
        <is>
          <t>total_ttc</t>
        </is>
      </c>
      <c r="B690" t="inlineStr">
        <is>
          <t>DQE_DEVIS!G66</t>
        </is>
      </c>
      <c r="D690">
        <f>D688+D689</f>
        <v>49656624.5698403</v>
      </c>
      <c r="E690">
        <f>E688+E689</f>
        <v>49656624.5698403</v>
      </c>
      <c r="F690">
        <f>F688+F689</f>
        <v>51088919.5125639</v>
      </c>
      <c r="G690">
        <f>G688+G689</f>
        <v>51002419.5562112</v>
      </c>
      <c r="H690">
        <f>H688+H689</f>
        <v>51002419.5562112</v>
      </c>
      <c r="I690">
        <f>I688+I689</f>
        <v>52838170.2171397</v>
      </c>
      <c r="J690">
        <f>J688+J689</f>
        <v>66470241.048045</v>
      </c>
      <c r="K690">
        <f>K688+K689</f>
        <v>66470241.048045</v>
      </c>
      <c r="L690">
        <f>L688+L689</f>
        <v>68142381.9414014</v>
      </c>
      <c r="M690">
        <f>M688+M689</f>
        <v>66549236.0442612</v>
      </c>
      <c r="N690">
        <f>N688+N689</f>
        <v>66549236.0442612</v>
      </c>
      <c r="O690">
        <f>O688+O689</f>
        <v>68642086.1407807</v>
      </c>
      <c r="P690">
        <f>P688+P689</f>
        <v>111674868.250211</v>
      </c>
      <c r="Q690">
        <f>Q688+Q689</f>
        <v>111674868.250211</v>
      </c>
      <c r="R690">
        <f>R688+R689</f>
        <v>113826501.244588</v>
      </c>
      <c r="S690">
        <f>S688+S689</f>
        <v>173095030.675495</v>
      </c>
      <c r="T690">
        <f>T688+T689</f>
        <v>173095030.675495</v>
      </c>
      <c r="U690">
        <f>U688+U689</f>
        <v>175386493.795706</v>
      </c>
      <c r="V690">
        <f>V688+V689</f>
        <v>233260000.953971</v>
      </c>
      <c r="W690">
        <f>W688+W689</f>
        <v>233260000.953971</v>
      </c>
      <c r="X690">
        <f>X688+X689</f>
        <v>235331500.065429</v>
      </c>
    </row>
    <row r="691">
      <c r="A691" t="inlineStr">
        <is>
          <t>cout_m2</t>
        </is>
      </c>
      <c r="B691" t="inlineStr">
        <is>
          <t>DQE_DEVIS!G67</t>
        </is>
      </c>
      <c r="D691">
        <f>D688/D31</f>
        <v>140272.950762261</v>
      </c>
      <c r="E691">
        <f>E688/E31</f>
        <v>140272.950762261</v>
      </c>
      <c r="F691">
        <f>F688/F31</f>
        <v>144318.981673909</v>
      </c>
      <c r="G691">
        <f>G688/G31</f>
        <v>144074.631514721</v>
      </c>
      <c r="H691">
        <f>H688/H31</f>
        <v>144074.631514721</v>
      </c>
      <c r="I691">
        <f>I688/I31</f>
        <v>149260.367845027</v>
      </c>
      <c r="J691">
        <f>J688/J31</f>
        <v>125179.361672401</v>
      </c>
      <c r="K691">
        <f>K688/K31</f>
        <v>125179.361672401</v>
      </c>
      <c r="L691">
        <f>L688/L31</f>
        <v>128328.402902828</v>
      </c>
      <c r="M691">
        <f>M688/M31</f>
        <v>140994.14416157</v>
      </c>
      <c r="N691">
        <f>N688/N31</f>
        <v>140994.14416157</v>
      </c>
      <c r="O691">
        <f>O688/O31</f>
        <v>145428.148603349</v>
      </c>
      <c r="P691">
        <f>P688/P31</f>
        <v>118299.648570139</v>
      </c>
      <c r="Q691">
        <f>Q688/Q31</f>
        <v>118299.648570139</v>
      </c>
      <c r="R691">
        <f>R688/R31</f>
        <v>120578.920809945</v>
      </c>
      <c r="S691">
        <f>S688/S31</f>
        <v>122242.253301903</v>
      </c>
      <c r="T691">
        <f>T688/T31</f>
        <v>122242.253301903</v>
      </c>
      <c r="U691">
        <f>U688/U31</f>
        <v>123860.518217307</v>
      </c>
      <c r="V691">
        <f>V688/V31</f>
        <v>123548.729318841</v>
      </c>
      <c r="W691">
        <f>W688/W31</f>
        <v>123548.729318841</v>
      </c>
      <c r="X691">
        <f>X688/X31</f>
        <v>124645.921644825</v>
      </c>
    </row>
    <row r="692">
      <c r="A692" t="inlineStr">
        <is>
          <t>cout_fac_b</t>
        </is>
      </c>
      <c r="B692" t="inlineStr">
        <is>
          <t>DQE_DEVIS!G68</t>
        </is>
      </c>
      <c r="D692">
        <f>D300*'PARAMÈTRES'!$C$175+D306*'PARAMÈTRES'!$C$176+(D280+D286+D226+D232)*(1+'PARAMÈTRES'!$C$55)*('PARAMÈTRES'!$C$158+'PARAMÈTRES'!$C$159+D50)</f>
        <v>5896757.28483333</v>
      </c>
      <c r="E692">
        <f>E300*'PARAMÈTRES'!$C$175+E306*'PARAMÈTRES'!$C$176+(E280+E286+E226+E232)*(1+'PARAMÈTRES'!$C$55)*('PARAMÈTRES'!$C$158+'PARAMÈTRES'!$C$159+E50)</f>
        <v>5896757.28483333</v>
      </c>
      <c r="F692">
        <f>F300*'PARAMÈTRES'!$C$175+F306*'PARAMÈTRES'!$C$176+(F280+F286+F226+F232)*(1+'PARAMÈTRES'!$C$55)*('PARAMÈTRES'!$C$158+'PARAMÈTRES'!$C$159+F50)</f>
        <v>0</v>
      </c>
      <c r="G692">
        <f>G300*'PARAMÈTRES'!$C$175+G306*'PARAMÈTRES'!$C$176+(G280+G286+G226+G232)*(1+'PARAMÈTRES'!$C$55)*('PARAMÈTRES'!$C$158+'PARAMÈTRES'!$C$159+G50)</f>
        <v>5020447.044</v>
      </c>
      <c r="H692">
        <f>H300*'PARAMÈTRES'!$C$175+H306*'PARAMÈTRES'!$C$176+(H280+H286+H226+H232)*(1+'PARAMÈTRES'!$C$55)*('PARAMÈTRES'!$C$158+'PARAMÈTRES'!$C$159+H50)</f>
        <v>5020447.044</v>
      </c>
      <c r="I692">
        <f>I300*'PARAMÈTRES'!$C$175+I306*'PARAMÈTRES'!$C$176+(I280+I286+I226+I232)*(1+'PARAMÈTRES'!$C$55)*('PARAMÈTRES'!$C$158+'PARAMÈTRES'!$C$159+I50)</f>
        <v>0</v>
      </c>
      <c r="J692">
        <f>J300*'PARAMÈTRES'!$C$175+J306*'PARAMÈTRES'!$C$176+(J280+J286+J226+J232)*(1+'PARAMÈTRES'!$C$55)*('PARAMÈTRES'!$C$158+'PARAMÈTRES'!$C$159+J50)</f>
        <v>6758131.8615</v>
      </c>
      <c r="K692">
        <f>K300*'PARAMÈTRES'!$C$175+K306*'PARAMÈTRES'!$C$176+(K280+K286+K226+K232)*(1+'PARAMÈTRES'!$C$55)*('PARAMÈTRES'!$C$158+'PARAMÈTRES'!$C$159+K50)</f>
        <v>6758131.8615</v>
      </c>
      <c r="L692">
        <f>L300*'PARAMÈTRES'!$C$175+L306*'PARAMÈTRES'!$C$176+(L280+L286+L226+L232)*(1+'PARAMÈTRES'!$C$55)*('PARAMÈTRES'!$C$158+'PARAMÈTRES'!$C$159+L50)</f>
        <v>0</v>
      </c>
      <c r="M692">
        <f>M300*'PARAMÈTRES'!$C$175+M306*'PARAMÈTRES'!$C$176+(M280+M286+M226+M232)*(1+'PARAMÈTRES'!$C$55)*('PARAMÈTRES'!$C$158+'PARAMÈTRES'!$C$159+M50)</f>
        <v>5902975.48933333</v>
      </c>
      <c r="N692">
        <f>N300*'PARAMÈTRES'!$C$175+N306*'PARAMÈTRES'!$C$176+(N280+N286+N226+N232)*(1+'PARAMÈTRES'!$C$55)*('PARAMÈTRES'!$C$158+'PARAMÈTRES'!$C$159+N50)</f>
        <v>5902975.48933333</v>
      </c>
      <c r="O692">
        <f>O300*'PARAMÈTRES'!$C$175+O306*'PARAMÈTRES'!$C$176+(O280+O286+O226+O232)*(1+'PARAMÈTRES'!$C$55)*('PARAMÈTRES'!$C$158+'PARAMÈTRES'!$C$159+O50)</f>
        <v>0</v>
      </c>
      <c r="P692">
        <f>P300*'PARAMÈTRES'!$C$175+P306*'PARAMÈTRES'!$C$176+(P280+P286+P226+P232)*(1+'PARAMÈTRES'!$C$55)*('PARAMÈTRES'!$C$158+'PARAMÈTRES'!$C$159+P50)</f>
        <v>9270590.11683334</v>
      </c>
      <c r="Q692">
        <f>Q300*'PARAMÈTRES'!$C$175+Q306*'PARAMÈTRES'!$C$176+(Q280+Q286+Q226+Q232)*(1+'PARAMÈTRES'!$C$55)*('PARAMÈTRES'!$C$158+'PARAMÈTRES'!$C$159+Q50)</f>
        <v>9270590.11683334</v>
      </c>
      <c r="R692">
        <f>R300*'PARAMÈTRES'!$C$175+R306*'PARAMÈTRES'!$C$176+(R280+R286+R226+R232)*(1+'PARAMÈTRES'!$C$55)*('PARAMÈTRES'!$C$158+'PARAMÈTRES'!$C$159+R50)</f>
        <v>0</v>
      </c>
      <c r="S692">
        <f>S300*'PARAMÈTRES'!$C$175+S306*'PARAMÈTRES'!$C$176+(S280+S286+S226+S232)*(1+'PARAMÈTRES'!$C$55)*('PARAMÈTRES'!$C$158+'PARAMÈTRES'!$C$159+S50)</f>
        <v>11206035.7275</v>
      </c>
      <c r="T692">
        <f>T300*'PARAMÈTRES'!$C$175+T306*'PARAMÈTRES'!$C$176+(T280+T286+T226+T232)*(1+'PARAMÈTRES'!$C$55)*('PARAMÈTRES'!$C$158+'PARAMÈTRES'!$C$159+T50)</f>
        <v>11206035.7275</v>
      </c>
      <c r="U692">
        <f>U300*'PARAMÈTRES'!$C$175+U306*'PARAMÈTRES'!$C$176+(U280+U286+U226+U232)*(1+'PARAMÈTRES'!$C$55)*('PARAMÈTRES'!$C$158+'PARAMÈTRES'!$C$159+U50)</f>
        <v>0</v>
      </c>
      <c r="V692">
        <f>V300*'PARAMÈTRES'!$C$175+V306*'PARAMÈTRES'!$C$176+(V280+V286+V226+V232)*(1+'PARAMÈTRES'!$C$55)*('PARAMÈTRES'!$C$158+'PARAMÈTRES'!$C$159+V50)</f>
        <v>16079602.5346111</v>
      </c>
      <c r="W692">
        <f>W300*'PARAMÈTRES'!$C$175+W306*'PARAMÈTRES'!$C$176+(W280+W286+W226+W232)*(1+'PARAMÈTRES'!$C$55)*('PARAMÈTRES'!$C$158+'PARAMÈTRES'!$C$159+W50)</f>
        <v>16079602.5346111</v>
      </c>
      <c r="X692">
        <f>X300*'PARAMÈTRES'!$C$175+X306*'PARAMÈTRES'!$C$176+(X280+X286+X226+X232)*(1+'PARAMÈTRES'!$C$55)*('PARAMÈTRES'!$C$158+'PARAMÈTRES'!$C$159+X50)</f>
        <v>0</v>
      </c>
    </row>
    <row r="693">
      <c r="A693" t="inlineStr">
        <is>
          <t>cout_fac</t>
        </is>
      </c>
      <c r="B693" t="inlineStr">
        <is>
          <t>DQE_DEVIS!H69</t>
        </is>
      </c>
      <c r="D693">
        <f>D692+D553</f>
        <v>5896757.28483333</v>
      </c>
      <c r="E693">
        <f>E692+E553</f>
        <v>5896757.28483333</v>
      </c>
      <c r="F693">
        <f>F692+F553</f>
        <v>7329355.21891303</v>
      </c>
      <c r="G693">
        <f>G692+G553</f>
        <v>5020447.044</v>
      </c>
      <c r="H693">
        <f>H692+H553</f>
        <v>5020447.044</v>
      </c>
      <c r="I693">
        <f>I692+I553</f>
        <v>6780431.66561955</v>
      </c>
      <c r="J693">
        <f>J692+J553</f>
        <v>6758131.8615</v>
      </c>
      <c r="K693">
        <f>K692+K553</f>
        <v>6758131.8615</v>
      </c>
      <c r="L693">
        <f>L692+L553</f>
        <v>8434210.86821954</v>
      </c>
      <c r="M693">
        <f>M692+M553</f>
        <v>5902975.48933333</v>
      </c>
      <c r="N693">
        <f>N692+N553</f>
        <v>5902975.48933333</v>
      </c>
      <c r="O693">
        <f>O692+O553</f>
        <v>7916598.65092606</v>
      </c>
      <c r="P693">
        <f>P692+P553</f>
        <v>9270590.11683334</v>
      </c>
      <c r="Q693">
        <f>Q692+Q553</f>
        <v>9270590.11683334</v>
      </c>
      <c r="R693">
        <f>R692+R553</f>
        <v>11463851.6567261</v>
      </c>
      <c r="S693">
        <f>S692+S553</f>
        <v>11206035.7275</v>
      </c>
      <c r="T693">
        <f>T692+T553</f>
        <v>11206035.7275</v>
      </c>
      <c r="U693">
        <f>U692+U553</f>
        <v>13590952.8907391</v>
      </c>
      <c r="V693">
        <f>V692+V553</f>
        <v>16079602.5346111</v>
      </c>
      <c r="W693">
        <f>W692+W553</f>
        <v>16079602.5346111</v>
      </c>
      <c r="X693">
        <f>X692+X553</f>
        <v>18483818.1285521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Quantitatif charpente métallique</dc:title>
  <dcterms:created xmlns:dcterms="http://purl.org/dc/terms/" xmlns:xsi="http://www.w3.org/2001/XMLSchema-instance" xsi:type="dcterms:W3CDTF">2026-10-06T15:17:37Z</dcterms:created>
  <dcterms:modified xmlns:dcterms="http://purl.org/dc/terms/" xmlns:xsi="http://www.w3.org/2001/XMLSchema-instance" xsi:type="dcterms:W3CDTF">2026-10-06T15:17:37Z</dcterms:modified>
  <cp:lastModifiedBy/>
</cp:coreProperties>
</file>