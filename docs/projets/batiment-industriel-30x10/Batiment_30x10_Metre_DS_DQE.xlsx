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aramètres" sheetId="2" state="visible" r:id="rId2"/>
    <sheet xmlns:r="http://schemas.openxmlformats.org/officeDocument/2006/relationships" name="Prix" sheetId="3" state="visible" r:id="rId3"/>
    <sheet xmlns:r="http://schemas.openxmlformats.org/officeDocument/2006/relationships" name="Aciers" sheetId="4" state="visible" r:id="rId4"/>
    <sheet xmlns:r="http://schemas.openxmlformats.org/officeDocument/2006/relationships" name="Métré" sheetId="5" state="visible" r:id="rId5"/>
    <sheet xmlns:r="http://schemas.openxmlformats.org/officeDocument/2006/relationships" name="Sous-détails" sheetId="6" state="visible" r:id="rId6"/>
    <sheet xmlns:r="http://schemas.openxmlformats.org/officeDocument/2006/relationships" name="Déboursé sec" sheetId="7" state="visible" r:id="rId7"/>
    <sheet xmlns:r="http://schemas.openxmlformats.org/officeDocument/2006/relationships" name="DQE" sheetId="8" state="visible" r:id="rId8"/>
    <sheet xmlns:r="http://schemas.openxmlformats.org/officeDocument/2006/relationships" name="Matériaux et MO" sheetId="9" state="visible" r:id="rId9"/>
  </sheets>
  <definedNames>
    <definedName name="p_L">'Paramètres'!$C$6</definedName>
    <definedName name="p_B">'Paramètres'!$C$7</definedName>
    <definedName name="p_ESP">'Paramètres'!$C$8</definedName>
    <definedName name="p_PENTE">'Paramètres'!$C$9</definedName>
    <definedName name="p_H">'Paramètres'!$C$10</definedName>
    <definedName name="p_HFOND">'Paramètres'!$C$11</definedName>
    <definedName name="p_EP">'Paramètres'!$C$12</definedName>
    <definedName name="p_PL">'Paramètres'!$C$13</definedName>
    <definedName name="p_PH">'Paramètres'!$C$14</definedName>
    <definedName name="p_NPIL">'Paramètres'!$C$15</definedName>
    <definedName name="p_APO">'Paramètres'!$C$16</definedName>
    <definedName name="p_NPO">'Paramètres'!$C$17</definedName>
    <definedName name="p_BIPE">'Paramètres'!$C$18</definedName>
    <definedName name="p_BPIL">'Paramètres'!$C$19</definedName>
    <definedName name="p_BCH">'Paramètres'!$C$20</definedName>
    <definedName name="p_HCH">'Paramètres'!$C$21</definedName>
    <definedName name="p_ZCHI">'Paramètres'!$C$22</definedName>
    <definedName name="p_LINH">'Paramètres'!$C$23</definedName>
    <definedName name="p_FRL">'Paramètres'!$C$25</definedName>
    <definedName name="p_FRH">'Paramètres'!$C$26</definedName>
    <definedName name="p_PROP">'Paramètres'!$C$27</definedName>
    <definedName name="p_SFB">'Paramètres'!$C$28</definedName>
    <definedName name="p_SFH">'Paramètres'!$C$29</definedName>
    <definedName name="p_SIA">'Paramètres'!$C$30</definedName>
    <definedName name="p_SIH">'Paramètres'!$C$31</definedName>
    <definedName name="p_FPA">'Paramètres'!$C$32</definedName>
    <definedName name="p_ESI">'Paramètres'!$C$33</definedName>
    <definedName name="p_AFUT">'Paramètres'!$C$34</definedName>
    <definedName name="p_NTIG">'Paramètres'!$C$35</definedName>
    <definedName name="p_FOIS">'Paramètres'!$C$36</definedName>
    <definedName name="p_EPDAL">'Paramètres'!$C$38</definedName>
    <definedName name="p_EDAL">'Paramètres'!$C$39</definedName>
    <definedName name="p_NNAP">'Paramètres'!$C$40</definedName>
    <definedName name="p_RDAL">'Paramètres'!$C$41</definedName>
    <definedName name="p_NCHA">'Paramètres'!$C$42</definedName>
    <definedName name="p_EPLAT">'Paramètres'!$C$43</definedName>
    <definedName name="p_COUCHE">'Paramètres'!$C$44</definedName>
    <definedName name="p_KGIPE">'Paramètres'!$C$46</definedName>
    <definedName name="p_KGPLA">'Paramètres'!$C$47</definedName>
    <definedName name="p_KGCOR">'Paramètres'!$C$48</definedName>
    <definedName name="p_NPAL">'Paramètres'!$C$49</definedName>
    <definedName name="p_NPV">'Paramètres'!$C$50</definedName>
    <definedName name="p_GOUS">'Paramètres'!$C$51</definedName>
    <definedName name="p_KG6">'Paramètres'!$C$53</definedName>
    <definedName name="p_KG10">'Paramètres'!$C$54</definedName>
    <definedName name="p_KG12">'Paramètres'!$C$55</definedName>
    <definedName name="p_CHUTES">'Paramètres'!$C$56</definedName>
    <definedName name="p_RCH">'Paramètres'!$C$58</definedName>
    <definedName name="p_EPAN">'Paramètres'!$C$59</definedName>
    <definedName name="p_KGZ">'Paramètres'!$C$60</definedName>
    <definedName name="p_DEB">'Paramètres'!$C$61</definedName>
    <definedName name="p_PO">'Paramètres'!$C$63</definedName>
    <definedName name="p_FC">'Paramètres'!$C$64</definedName>
    <definedName name="p_FG">'Paramètres'!$C$65</definedName>
    <definedName name="p_ALEA">'Paramètres'!$C$66</definedName>
    <definedName name="p_BEN">'Paramètres'!$C$67</definedName>
    <definedName name="p_TVA">'Paramètres'!$C$68</definedName>
    <definedName name="p_K">'Paramètres'!$C$69</definedName>
    <definedName name="p_P">'Paramètres'!$C$71</definedName>
    <definedName name="p_FL">'Paramètres'!$C$72</definedName>
    <definedName name="p_RAMP">'Paramètres'!$C$73</definedName>
    <definedName name="p_LNET">'Paramètres'!$C$74</definedName>
    <definedName name="p_LCHI">'Paramètres'!$C$75</definedName>
    <definedName name="p_SINT">'Paramètres'!$C$76</definedName>
    <definedName name="p_HENT">'Paramètres'!$C$77</definedName>
    <definedName name="p_HPO">'Paramètres'!$C$78</definedName>
    <definedName name="p_LIPE">'Paramètres'!$C$79</definedName>
    <definedName name="p_NPAN">'Paramètres'!$C$80</definedName>
    <definedName name="p_LCOR">'Paramètres'!$C$81</definedName>
    <definedName name="p_HM">'Paramètres'!$C$82</definedName>
    <definedName name="p_PIGN">'Paramètres'!$C$83</definedName>
    <definedName name="p_NCOU">'Paramètres'!$C$84</definedName>
    <definedName name="p_VRIG">'Paramètres'!$C$85</definedName>
    <definedName name="p_VPUI">'Paramètres'!$C$86</definedName>
    <definedName name="p_VPROP">'Paramètres'!$C$87</definedName>
    <definedName name="p_VSI">'Paramètres'!$C$88</definedName>
    <definedName name="p_VSF">'Paramètres'!$C$89</definedName>
    <definedName name="p_VENT">'Paramètres'!$C$90</definedName>
    <definedName name="px_ciment">'Prix'!$D$6</definedName>
    <definedName name="px_sable">'Prix'!$D$7</definedName>
    <definedName name="px_gravier">'Prix'!$D$8</definedName>
    <definedName name="px_eau">'Prix'!$D$9</definedName>
    <definedName name="px_agglo">'Prix'!$D$10</definedName>
    <definedName name="px_ha6">'Prix'!$D$11</definedName>
    <definedName name="px_ha10">'Prix'!$D$12</definedName>
    <definedName name="px_ha12">'Prix'!$D$13</definedName>
    <definedName name="px_fil">'Prix'!$D$14</definedName>
    <definedName name="px_bois">'Prix'!$D$15</definedName>
    <definedName name="px_pointes">'Prix'!$D$16</definedName>
    <definedName name="px_huile">'Prix'!$D$17</definedName>
    <definedName name="px_hydro">'Prix'!$D$18</definedName>
    <definedName name="px_termite">'Prix'!$D$19</definedName>
    <definedName name="px_laterite">'Prix'!$D$20</definedName>
    <definedName name="px_polyane">'Prix'!$D$21</definedName>
    <definedName name="px_joint">'Prix'!$D$22</definedName>
    <definedName name="px_ipe">'Prix'!$D$23</definedName>
    <definedName name="px_corniere">'Prix'!$D$24</definedName>
    <definedName name="px_tole">'Prix'!$D$25</definedName>
    <definedName name="px_tige">'Prix'!$D$26</definedName>
    <definedName name="px_grout">'Prix'!$D$27</definedName>
    <definedName name="px_peint">'Prix'!$D$28</definedName>
    <definedName name="px_acier_ch">'Prix'!$D$29</definedName>
    <definedName name="px_bac">'Prix'!$D$30</definedName>
    <definedName name="px_zpanne">'Prix'!$D$31</definedName>
    <definedName name="px_faitiere">'Prix'!$D$32</definedName>
    <definedName name="px_ff_install">'Prix'!$D$33</definedName>
    <definedName name="px_ff_implant">'Prix'!$D$34</definedName>
    <definedName name="px_ff_essais">'Prix'!$D$35</definedName>
    <definedName name="px_ff_portail">'Prix'!$D$36</definedName>
    <definedName name="px_mo_macon">'Prix'!$D$38</definedName>
    <definedName name="px_mo_ferr">'Prix'!$D$39</definedName>
    <definedName name="px_mo_coff">'Prix'!$D$40</definedName>
    <definedName name="px_mo_soud">'Prix'!$D$41</definedName>
    <definedName name="px_mo_tech">'Prix'!$D$42</definedName>
    <definedName name="px_mo_man">'Prix'!$D$43</definedName>
    <definedName name="px_mt_bet">'Prix'!$D$45</definedName>
    <definedName name="px_mt_vib">'Prix'!$D$46</definedName>
    <definedName name="px_mt_dame">'Prix'!$D$47</definedName>
    <definedName name="px_mt_plaque">'Prix'!$D$48</definedName>
    <definedName name="px_mt_cam">'Prix'!$D$49</definedName>
    <definedName name="px_mt_scie">'Prix'!$D$50</definedName>
    <definedName name="px_mt_niveau">'Prix'!$D$51</definedName>
    <definedName name="px_mt_branch">'Prix'!$D$52</definedName>
    <definedName name="px_mt_ch">'Prix'!$D$53</definedName>
    <definedName name="px_mt_echaf">'Prix'!$D$54</definedName>
    <definedName name="px_mt_portail">'Prix'!$D$55</definedName>
    <definedName name="q_0_1">'Métré'!$F$6</definedName>
    <definedName name="q_0_2">'Métré'!$F$7</definedName>
    <definedName name="q_0_3">'Métré'!$F$8</definedName>
    <definedName name="q_1_1">'Métré'!$F$10</definedName>
    <definedName name="q_1_2">'Métré'!$F$11</definedName>
    <definedName name="q_1_3">'Métré'!$F$12</definedName>
    <definedName name="q_1_4">'Métré'!$F$13</definedName>
    <definedName name="q_1_5">'Métré'!$F$14</definedName>
    <definedName name="q_2_1">'Métré'!$F$16</definedName>
    <definedName name="q_2_2">'Métré'!$F$17</definedName>
    <definedName name="q_2_3">'Métré'!$F$18</definedName>
    <definedName name="q_2_4">'Métré'!$F$19</definedName>
    <definedName name="q_2_5">'Métré'!$F$20</definedName>
    <definedName name="q_2_6">'Métré'!$F$21</definedName>
    <definedName name="q_2_7">'Métré'!$F$22</definedName>
    <definedName name="q_2_8">'Métré'!$F$23</definedName>
    <definedName name="q_2_9">'Métré'!$F$24</definedName>
    <definedName name="q_2_10">'Métré'!$F$25</definedName>
    <definedName name="q_2_11">'Métré'!$F$26</definedName>
    <definedName name="q_2_12">'Métré'!$F$27</definedName>
    <definedName name="q_3_1">'Métré'!$F$29</definedName>
    <definedName name="q_3_2">'Métré'!$F$30</definedName>
    <definedName name="q_3_3">'Métré'!$F$31</definedName>
    <definedName name="q_3_4">'Métré'!$F$32</definedName>
    <definedName name="q_3_5">'Métré'!$F$33</definedName>
    <definedName name="q_3_6">'Métré'!$F$34</definedName>
    <definedName name="q_3_7">'Métré'!$F$35</definedName>
    <definedName name="q_3_8">'Métré'!$F$36</definedName>
    <definedName name="q_3_9">'Métré'!$F$37</definedName>
    <definedName name="q_4_1">'Métré'!$F$39</definedName>
    <definedName name="q_4_2">'Métré'!$F$40</definedName>
    <definedName name="q_4_3">'Métré'!$F$41</definedName>
    <definedName name="q_4_4">'Métré'!$F$42</definedName>
    <definedName name="q_5_1">'Métré'!$F$44</definedName>
    <definedName name="q_5_2">'Métré'!$F$45</definedName>
    <definedName name="q_5_3">'Métré'!$F$46</definedName>
    <definedName name="q_5_4">'Métré'!$F$47</definedName>
    <definedName name="q_5_5">'Métré'!$F$48</definedName>
    <definedName name="q_5_6">'Métré'!$F$49</definedName>
    <definedName name="q_5_7">'Métré'!$F$50</definedName>
    <definedName name="q_5_8">'Métré'!$F$51</definedName>
    <definedName name="q_6_1">'Métré'!$F$53</definedName>
    <definedName name="q_7_1">'Métré'!$F$55</definedName>
    <definedName name="q_7_2">'Métré'!$F$56</definedName>
    <definedName name="q_7_3">'Métré'!$F$57</definedName>
    <definedName name="q_7_4">'Métré'!$F$58</definedName>
    <definedName name="q_8_1">'Métré'!$F$60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0#"/>
    <numFmt numFmtId="165" formatCode="0.0%"/>
    <numFmt numFmtId="166" formatCode="0.0000"/>
    <numFmt numFmtId="167" formatCode="#,##0;(#,##0);&quot;-&quot;"/>
    <numFmt numFmtId="168" formatCode="#,##0.00;(#,##0.00);&quot;-&quot;"/>
    <numFmt numFmtId="169" formatCode="0.000"/>
    <numFmt numFmtId="170" formatCode="#,##0.000;(#,##0.000);&quot;-&quot;"/>
  </numFmts>
  <fonts count="9">
    <font>
      <name val="Calibri"/>
      <family val="2"/>
      <color theme="1"/>
      <sz val="11"/>
      <scheme val="minor"/>
    </font>
    <font>
      <name val="Arial"/>
      <b val="1"/>
      <color rgb="001F3A5F"/>
      <sz val="12"/>
    </font>
    <font>
      <name val="Arial"/>
      <i val="1"/>
      <color rgb="001F3A5F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i val="1"/>
      <sz val="9"/>
    </font>
    <font>
      <name val="Arial"/>
      <i val="1"/>
      <sz val="8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A5F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4" borderId="1" pivotButton="0" quotePrefix="0" xfId="0"/>
    <xf numFmtId="0" fontId="4" fillId="0" borderId="1" pivotButton="0" quotePrefix="0" xfId="0"/>
    <xf numFmtId="164" fontId="5" fillId="2" borderId="1" pivotButton="0" quotePrefix="0" xfId="0"/>
    <xf numFmtId="0" fontId="4" fillId="0" borderId="1" applyAlignment="1" pivotButton="0" quotePrefix="0" xfId="0">
      <alignment horizontal="center"/>
    </xf>
    <xf numFmtId="164" fontId="4" fillId="0" borderId="1" pivotButton="0" quotePrefix="0" xfId="0"/>
    <xf numFmtId="165" fontId="5" fillId="2" borderId="1" pivotButton="0" quotePrefix="0" xfId="0"/>
    <xf numFmtId="166" fontId="4" fillId="0" borderId="1" pivotButton="0" quotePrefix="0" xfId="0"/>
    <xf numFmtId="167" fontId="5" fillId="2" borderId="1" pivotButton="0" quotePrefix="0" xfId="0"/>
    <xf numFmtId="0" fontId="7" fillId="0" borderId="0" pivotButton="0" quotePrefix="0" xfId="0"/>
    <xf numFmtId="168" fontId="4" fillId="0" borderId="1" pivotButton="0" quotePrefix="0" xfId="0"/>
    <xf numFmtId="169" fontId="4" fillId="0" borderId="1" pivotButton="0" quotePrefix="0" xfId="0"/>
    <xf numFmtId="0" fontId="6" fillId="3" borderId="1" applyAlignment="1" pivotButton="0" quotePrefix="0" xfId="0">
      <alignment horizontal="center" wrapText="1"/>
    </xf>
    <xf numFmtId="2" fontId="4" fillId="0" borderId="1" pivotButton="0" quotePrefix="0" xfId="0"/>
    <xf numFmtId="3" fontId="4" fillId="0" borderId="1" pivotButton="0" quotePrefix="0" xfId="0"/>
    <xf numFmtId="0" fontId="4" fillId="5" borderId="1" pivotButton="0" quotePrefix="0" xfId="0"/>
    <xf numFmtId="0" fontId="3" fillId="5" borderId="1" pivotButton="0" quotePrefix="0" xfId="0"/>
    <xf numFmtId="168" fontId="3" fillId="5" borderId="1" pivotButton="0" quotePrefix="0" xfId="0"/>
    <xf numFmtId="2" fontId="3" fillId="5" borderId="1" pivotButton="0" quotePrefix="0" xfId="0"/>
    <xf numFmtId="3" fontId="3" fillId="5" borderId="1" pivotButton="0" quotePrefix="0" xfId="0"/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170" fontId="5" fillId="2" borderId="1" pivotButton="0" quotePrefix="0" xfId="0"/>
    <xf numFmtId="167" fontId="4" fillId="0" borderId="1" pivotButton="0" quotePrefix="0" xfId="0"/>
    <xf numFmtId="165" fontId="4" fillId="0" borderId="1" pivotButton="0" quotePrefix="0" xfId="0"/>
    <xf numFmtId="0" fontId="4" fillId="6" borderId="1" pivotButton="0" quotePrefix="0" xfId="0"/>
    <xf numFmtId="0" fontId="3" fillId="6" borderId="1" pivotButton="0" quotePrefix="0" xfId="0"/>
    <xf numFmtId="167" fontId="3" fillId="6" borderId="1" pivotButton="0" quotePrefix="0" xfId="0"/>
    <xf numFmtId="167" fontId="3" fillId="5" borderId="1" pivotButton="0" quotePrefix="0" xfId="0"/>
    <xf numFmtId="0" fontId="3" fillId="0" borderId="1" pivotButton="0" quotePrefix="0" xfId="0"/>
    <xf numFmtId="165" fontId="3" fillId="0" borderId="1" pivotButton="0" quotePrefix="0" xfId="0"/>
    <xf numFmtId="9" fontId="4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1333500" cy="904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0</row>
      <rowOff>0</rowOff>
    </from>
    <ext cx="1047750" cy="71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5" customWidth="1" min="3" max="3"/>
    <col width="22" customWidth="1" min="4" max="4"/>
  </cols>
  <sheetData>
    <row r="1">
      <c r="A1" s="1" t="inlineStr">
        <is>
          <t>ASSEYA SILVER CONSTRUCTION - Construction métallique et bâtiment - Bouaké - Tél : 07 08 39 02 66 / 05 05 10 76 82 - Email : asseyasilver@gmail.com</t>
        </is>
      </c>
    </row>
    <row r="2">
      <c r="A2" s="2" t="inlineStr">
        <is>
          <t>Notice du classeur - Bâtiment industriel 30,00 x 10,00 m - 04/10/2026 - établi par Moulo Jean Claude, Technicien Génie Civil BTP - BAEL 91 mod. 99 / EC2</t>
        </is>
      </c>
    </row>
    <row r="4">
      <c r="B4" s="3" t="inlineStr">
        <is>
          <t>ENTREPRISE</t>
        </is>
      </c>
      <c r="C4" s="4" t="inlineStr"/>
    </row>
    <row r="5">
      <c r="B5" s="5" t="inlineStr">
        <is>
          <t>Raison sociale</t>
        </is>
      </c>
      <c r="C5" s="4" t="inlineStr">
        <is>
          <t>ASSEYA SILVER CONSTRUCTION (ASC) - Construction métallique et bâtiment</t>
        </is>
      </c>
    </row>
    <row r="6">
      <c r="B6" s="5" t="inlineStr">
        <is>
          <t>Siège</t>
        </is>
      </c>
      <c r="C6" s="4" t="inlineStr">
        <is>
          <t>Bouaké</t>
        </is>
      </c>
    </row>
    <row r="7">
      <c r="B7" s="5" t="inlineStr">
        <is>
          <t>Téléphone</t>
        </is>
      </c>
      <c r="C7" s="4" t="inlineStr">
        <is>
          <t>07 08 39 02 66 / 05 05 10 76 82</t>
        </is>
      </c>
    </row>
    <row r="8">
      <c r="B8" s="5" t="inlineStr">
        <is>
          <t>Email</t>
        </is>
      </c>
      <c r="C8" s="4" t="inlineStr">
        <is>
          <t>asseyasilver@gmail.com</t>
        </is>
      </c>
    </row>
    <row r="9">
      <c r="B9" s="3" t="inlineStr">
        <is>
          <t>N° CC / RCCM</t>
        </is>
      </c>
      <c r="C9" s="4" t="inlineStr">
        <is>
          <t>2245191 D / CI-BKE-01-2022-B13-00153</t>
        </is>
      </c>
    </row>
    <row r="10">
      <c r="B10" s="5" t="inlineStr">
        <is>
          <t>Banque</t>
        </is>
      </c>
      <c r="C10" s="4" t="inlineStr">
        <is>
          <t>Bank of Africa - compte n° 004619070000</t>
        </is>
      </c>
    </row>
    <row r="11">
      <c r="B11" s="5" t="inlineStr">
        <is>
          <t>Régime fiscal</t>
        </is>
      </c>
      <c r="C11" s="4" t="inlineStr">
        <is>
          <t>TEE - Bouaké 1</t>
        </is>
      </c>
    </row>
    <row r="12">
      <c r="B12" s="5" t="inlineStr"/>
      <c r="C12" s="4" t="inlineStr"/>
    </row>
    <row r="13">
      <c r="B13" s="3" t="inlineStr">
        <is>
          <t>Objet</t>
        </is>
      </c>
      <c r="C13" s="4" t="inlineStr">
        <is>
          <t>Métré, déboursé sec et devis quantitatif et estimatif (DQE) d'un bâtiment industriel 30 x 10 m, murs en agglos 15 pleins, piliers IPE 220 tous les 5 m encadrés de 2 poteaux BA, contreventements en cornières 50x50x5, entrée 6 m, toiture 2 versants à 20 %, dallage BA 20 cm double nappe HA10, semelles isolées 80 x 80 x 30 en HA12 avec tiges d'ancrage.</t>
        </is>
      </c>
    </row>
    <row r="14">
      <c r="B14" s="3" t="inlineStr">
        <is>
          <t>Auteur</t>
        </is>
      </c>
      <c r="C14" s="4" t="inlineStr">
        <is>
          <t>Moulo Jean Claude - Technicien Génie Civil BTP - Abidjan</t>
        </is>
      </c>
    </row>
    <row r="15">
      <c r="B15" s="3" t="inlineStr">
        <is>
          <t>Date</t>
        </is>
      </c>
      <c r="C15" s="4" t="inlineStr">
        <is>
          <t>04/10/2026 - prix du marché d'Abidjan à confirmer par cotations fournisseurs</t>
        </is>
      </c>
    </row>
    <row r="16">
      <c r="B16" s="5" t="inlineStr"/>
      <c r="C16" s="4" t="inlineStr"/>
    </row>
    <row r="17">
      <c r="B17" s="3" t="inlineStr">
        <is>
          <t>COMMENT MODIFIER</t>
        </is>
      </c>
      <c r="C17" s="4" t="inlineStr"/>
    </row>
    <row r="18">
      <c r="B18" s="6" t="inlineStr">
        <is>
          <t>Cellules bleues sur fond jaune</t>
        </is>
      </c>
      <c r="C18" s="4" t="inlineStr">
        <is>
          <t>Données modifiables : dimensions, épaisseurs, prix unitaires, rendements, coefficients. Tout le reste se recalcule automatiquement.</t>
        </is>
      </c>
    </row>
    <row r="19">
      <c r="B19" s="5" t="inlineStr">
        <is>
          <t>Texte noir</t>
        </is>
      </c>
      <c r="C19" s="4" t="inlineStr">
        <is>
          <t>Formules - ne pas écraser.</t>
        </is>
      </c>
    </row>
    <row r="20">
      <c r="B20" s="5" t="inlineStr">
        <is>
          <t>Sol de bonne portance</t>
        </is>
      </c>
      <c r="C20" s="4" t="inlineStr">
        <is>
          <t>Feuille « Paramètres » : mettre p_EPLAT = 0,20 (une seule couche de latérite) au lieu de 0,40.</t>
        </is>
      </c>
    </row>
    <row r="21">
      <c r="B21" s="5" t="inlineStr">
        <is>
          <t>Changer un prix</t>
        </is>
      </c>
      <c r="C21" s="4" t="inlineStr">
        <is>
          <t>Feuille « Prix » colonne D : la modification se répercute sur tous les sous-détails, le DS et le DQE.</t>
        </is>
      </c>
    </row>
    <row r="22">
      <c r="B22" s="5" t="inlineStr">
        <is>
          <t>Changer un rendement</t>
        </is>
      </c>
      <c r="C22" s="4" t="inlineStr">
        <is>
          <t>Feuille « Sous-détails » colonne F (quantité par unité d'ouvrage).</t>
        </is>
      </c>
    </row>
    <row r="23">
      <c r="B23" s="5" t="inlineStr"/>
      <c r="C23" s="4" t="inlineStr"/>
    </row>
    <row r="24">
      <c r="B24" s="3" t="inlineStr">
        <is>
          <t>FEUILLES</t>
        </is>
      </c>
      <c r="C24" s="4" t="inlineStr"/>
    </row>
    <row r="25">
      <c r="B25" s="5" t="inlineStr">
        <is>
          <t>Paramètres</t>
        </is>
      </c>
      <c r="C25" s="4" t="inlineStr">
        <is>
          <t>Dimensions, hypothèses, coefficients K et TVA, grandeurs calculées (noms p_...).</t>
        </is>
      </c>
    </row>
    <row r="26">
      <c r="B26" s="5" t="inlineStr">
        <is>
          <t>Prix</t>
        </is>
      </c>
      <c r="C26" s="4" t="inlineStr">
        <is>
          <t>Prix de base : matériaux, main-d'œuvre (h.j), matériel (noms px_...).</t>
        </is>
      </c>
    </row>
    <row r="27">
      <c r="B27" s="5" t="inlineStr">
        <is>
          <t>Aciers</t>
        </is>
      </c>
      <c r="C27" s="4" t="inlineStr">
        <is>
          <t>Nomenclature des aciers HA6 / HA10 / HA12 par lot, nombre de barres de 12 m.</t>
        </is>
      </c>
    </row>
    <row r="28">
      <c r="B28" s="5" t="inlineStr">
        <is>
          <t>Métré</t>
        </is>
      </c>
      <c r="C28" s="4" t="inlineStr">
        <is>
          <t>Avant-métré : formule de chaque quantité (noms q_...).</t>
        </is>
      </c>
    </row>
    <row r="29">
      <c r="B29" s="5" t="inlineStr">
        <is>
          <t>Sous-détails</t>
        </is>
      </c>
      <c r="C29" s="4" t="inlineStr">
        <is>
          <t>Décomposition matériaux / main-d'œuvre / matériel de chaque prix unitaire.</t>
        </is>
      </c>
    </row>
    <row r="30">
      <c r="B30" s="5" t="inlineStr">
        <is>
          <t>Déboursé sec</t>
        </is>
      </c>
      <c r="C30" s="4" t="inlineStr">
        <is>
          <t>Déboursé sec par article et par lot, répartition par nature.</t>
        </is>
      </c>
    </row>
    <row r="31">
      <c r="B31" s="3" t="inlineStr">
        <is>
          <t>DQE</t>
        </is>
      </c>
      <c r="C31" s="4" t="inlineStr">
        <is>
          <t>Devis quantitatif et estimatif : PU = DS x K arrondi à 5 FCFA, récapitulatif HT / TVA 18 % / TTC.</t>
        </is>
      </c>
    </row>
    <row r="32">
      <c r="B32" s="5" t="inlineStr">
        <is>
          <t>Matériaux et MO</t>
        </is>
      </c>
      <c r="C32" s="4" t="inlineStr">
        <is>
          <t>Liste de commande des matériaux et besoins en main-d'œuvre et matériel.</t>
        </is>
      </c>
    </row>
    <row r="33">
      <c r="B33" s="5" t="inlineStr"/>
      <c r="C33" s="4" t="inlineStr"/>
    </row>
    <row r="34">
      <c r="B34" s="3" t="inlineStr">
        <is>
          <t>HYPOTHÈSES CLÉS</t>
        </is>
      </c>
      <c r="C34" s="4" t="inlineStr"/>
    </row>
    <row r="35">
      <c r="B35" s="5" t="inlineStr">
        <is>
          <t>Piliers</t>
        </is>
      </c>
      <c r="C35" s="4" t="inlineStr">
        <is>
          <t>17 piliers en IPE 220 (S235) de ±0,00 à +6,00 sur platine 15 mm et 4 tiges d'ancrage M20 ; 2 poteaux BA 15x15 (4 HA10, cadres HA6 e = 15) de part et d'autre de chaque IPE.</t>
        </is>
      </c>
    </row>
    <row r="36">
      <c r="B36" s="5" t="inlineStr">
        <is>
          <t>Contreventements</t>
        </is>
      </c>
      <c r="C36" s="4" t="inlineStr">
        <is>
          <t>Cornières 50x50x5 : 4 palées verticales en croix (travées d'extrémité des long pans) et poutre au vent dans 2 travées de toiture.</t>
        </is>
      </c>
    </row>
    <row r="37">
      <c r="B37" s="5" t="inlineStr">
        <is>
          <t>Semelles isolées</t>
        </is>
      </c>
      <c r="C37" s="4" t="inlineStr">
        <is>
          <t>80 x 80 x 30 cm, fond de fouille à -1,20 m, nappe HA12 e = 15 cm dans les 2 sens, fût BA 40 x 40 (4 HA12) jusqu'à ±0,00 recevant les 4 tiges d'ancrage M20 de la platine de l'IPE.</t>
        </is>
      </c>
    </row>
    <row r="38">
      <c r="B38" s="5" t="inlineStr">
        <is>
          <t>Dallage</t>
        </is>
      </c>
      <c r="C38" s="4" t="inlineStr">
        <is>
          <t>20 cm, béton dosé à 350 kg/m³, double nappe HA10 e = 20 cm, chaises HA10, polyane, joints sciés maille 5 m.</t>
        </is>
      </c>
    </row>
    <row r="39">
      <c r="B39" s="5" t="inlineStr">
        <is>
          <t>Forme</t>
        </is>
      </c>
      <c r="C39" s="4" t="inlineStr">
        <is>
          <t>Purge et rechargement en latérite par couches de 20 cm compactées à 95 % OPM : 40 cm si mauvaise portance (valeur par défaut), 20 cm sinon.</t>
        </is>
      </c>
    </row>
    <row r="40">
      <c r="B40" s="5" t="inlineStr">
        <is>
          <t>Options</t>
        </is>
      </c>
      <c r="C40" s="4" t="inlineStr">
        <is>
          <t>Lots 6 à 8 (enduits, fermes + pannes Z 120x2 + tôles bacs 5 ondes, portail) chiffrés séparément.</t>
        </is>
      </c>
    </row>
  </sheetData>
  <pageMargins left="0.75" right="0.75" top="1" bottom="1" header="0.5" footer="0.5"/>
  <pageSetup orientation="landscape" paperSize="9" fitToHeight="0" fitToWidth="1"/>
  <headerFooter>
    <oddHeader>&amp;LASSEYA SILVER CONSTRUCTION - établi par Moulo Jean Claude&amp;RNotice du classeur</oddHeader>
    <oddFooter>&amp;LASSEYA SILVER CONSTRUCTION - N° CC 2245191 D - RCCM CI-BKE-01-2022-B13-00153&amp;RPage &amp;P /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9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3" customWidth="1" min="3" max="3"/>
    <col width="8" customWidth="1" min="4" max="4"/>
    <col width="55" customWidth="1" min="5" max="5"/>
  </cols>
  <sheetData>
    <row r="1">
      <c r="A1" s="1" t="inlineStr">
        <is>
          <t>ASSEYA SILVER CONSTRUCTION - Construction métallique et bâtiment - Bouaké - Tél : 07 08 39 02 66 / 05 05 10 76 82 - Email : asseyasilver@gmail.com</t>
        </is>
      </c>
    </row>
    <row r="2">
      <c r="A2" s="2" t="inlineStr">
        <is>
          <t>Paramètres et hypothèses - Bâtiment industriel 30,00 x 10,00 m - 04/10/2026 - établi par Moulo Jean Claude, Technicien Génie Civil BTP - BAEL 91 mod. 99 / EC2</t>
        </is>
      </c>
    </row>
    <row r="4" ht="30" customHeight="1">
      <c r="A4" s="7" t="inlineStr">
        <is>
          <t>Nom</t>
        </is>
      </c>
      <c r="B4" s="7" t="inlineStr">
        <is>
          <t>Désignation</t>
        </is>
      </c>
      <c r="C4" s="7" t="inlineStr">
        <is>
          <t>Valeur</t>
        </is>
      </c>
      <c r="D4" s="7" t="inlineStr">
        <is>
          <t>Unité</t>
        </is>
      </c>
      <c r="E4" s="7" t="inlineStr">
        <is>
          <t>Commentaire / source</t>
        </is>
      </c>
    </row>
    <row r="5">
      <c r="A5" s="8" t="inlineStr">
        <is>
          <t>GÉOMÉTRIE</t>
        </is>
      </c>
      <c r="B5" s="9" t="n"/>
      <c r="C5" s="9" t="n"/>
      <c r="D5" s="9" t="n"/>
      <c r="E5" s="9" t="n"/>
    </row>
    <row r="6">
      <c r="A6" s="10" t="inlineStr">
        <is>
          <t>p_L</t>
        </is>
      </c>
      <c r="B6" s="10" t="inlineStr">
        <is>
          <t>Longueur du bâtiment entre axes</t>
        </is>
      </c>
      <c r="C6" s="11" t="n">
        <v>30</v>
      </c>
      <c r="D6" s="12" t="inlineStr">
        <is>
          <t>m</t>
        </is>
      </c>
      <c r="E6" s="10" t="inlineStr">
        <is>
          <t>Donnée du maître d'ouvrage</t>
        </is>
      </c>
    </row>
    <row r="7">
      <c r="A7" s="10" t="inlineStr">
        <is>
          <t>p_B</t>
        </is>
      </c>
      <c r="B7" s="10" t="inlineStr">
        <is>
          <t>Largeur du bâtiment entre axes</t>
        </is>
      </c>
      <c r="C7" s="11" t="n">
        <v>10</v>
      </c>
      <c r="D7" s="12" t="inlineStr">
        <is>
          <t>m</t>
        </is>
      </c>
      <c r="E7" s="10" t="inlineStr">
        <is>
          <t>Donnée du maître d'ouvrage</t>
        </is>
      </c>
    </row>
    <row r="8">
      <c r="A8" s="10" t="inlineStr">
        <is>
          <t>p_ESP</t>
        </is>
      </c>
      <c r="B8" s="10" t="inlineStr">
        <is>
          <t>Espacement des piliers</t>
        </is>
      </c>
      <c r="C8" s="11" t="n">
        <v>5</v>
      </c>
      <c r="D8" s="12" t="inlineStr">
        <is>
          <t>m</t>
        </is>
      </c>
      <c r="E8" s="10" t="inlineStr">
        <is>
          <t>Donnée du maître d'ouvrage</t>
        </is>
      </c>
    </row>
    <row r="9">
      <c r="A9" s="10" t="inlineStr">
        <is>
          <t>p_PENTE</t>
        </is>
      </c>
      <c r="B9" s="10" t="inlineStr">
        <is>
          <t>Pente de la toiture (2 versants)</t>
        </is>
      </c>
      <c r="C9" s="11" t="n">
        <v>0.2</v>
      </c>
      <c r="D9" s="12" t="inlineStr">
        <is>
          <t>-</t>
        </is>
      </c>
      <c r="E9" s="10" t="inlineStr">
        <is>
          <t>Donnée : 20 %</t>
        </is>
      </c>
    </row>
    <row r="10">
      <c r="A10" s="10" t="inlineStr">
        <is>
          <t>p_H</t>
        </is>
      </c>
      <c r="B10" s="10" t="inlineStr">
        <is>
          <t>Hauteur élévation (TN → dessus chaînage haut)</t>
        </is>
      </c>
      <c r="C10" s="11" t="n">
        <v>6</v>
      </c>
      <c r="D10" s="12" t="inlineStr">
        <is>
          <t>m</t>
        </is>
      </c>
      <c r="E10" s="10" t="inlineStr">
        <is>
          <t>Donnée : 6 m</t>
        </is>
      </c>
    </row>
    <row r="11">
      <c r="A11" s="10" t="inlineStr">
        <is>
          <t>p_HFOND</t>
        </is>
      </c>
      <c r="B11" s="10" t="inlineStr">
        <is>
          <t>Hauteur maçonnerie agglos en fondation</t>
        </is>
      </c>
      <c r="C11" s="11" t="n">
        <v>1</v>
      </c>
      <c r="D11" s="12" t="inlineStr">
        <is>
          <t>m</t>
        </is>
      </c>
      <c r="E11" s="10" t="inlineStr">
        <is>
          <t>Donnée : 1 m</t>
        </is>
      </c>
    </row>
    <row r="12">
      <c r="A12" s="10" t="inlineStr">
        <is>
          <t>p_EP</t>
        </is>
      </c>
      <c r="B12" s="10" t="inlineStr">
        <is>
          <t>Épaisseur des murs (agglos 15 pleins)</t>
        </is>
      </c>
      <c r="C12" s="11" t="n">
        <v>0.15</v>
      </c>
      <c r="D12" s="12" t="inlineStr">
        <is>
          <t>m</t>
        </is>
      </c>
      <c r="E12" s="10" t="inlineStr">
        <is>
          <t>Donnée</t>
        </is>
      </c>
    </row>
    <row r="13">
      <c r="A13" s="10" t="inlineStr">
        <is>
          <t>p_PL</t>
        </is>
      </c>
      <c r="B13" s="10" t="inlineStr">
        <is>
          <t>Largeur de l'entrée</t>
        </is>
      </c>
      <c r="C13" s="11" t="n">
        <v>6</v>
      </c>
      <c r="D13" s="12" t="inlineStr">
        <is>
          <t>m</t>
        </is>
      </c>
      <c r="E13" s="10" t="inlineStr">
        <is>
          <t>Donnée : 6 m</t>
        </is>
      </c>
    </row>
    <row r="14">
      <c r="A14" s="10" t="inlineStr">
        <is>
          <t>p_PH</t>
        </is>
      </c>
      <c r="B14" s="10" t="inlineStr">
        <is>
          <t>Hauteur du portail</t>
        </is>
      </c>
      <c r="C14" s="11" t="n">
        <v>4.5</v>
      </c>
      <c r="D14" s="12" t="inlineStr">
        <is>
          <t>m</t>
        </is>
      </c>
      <c r="E14" s="10" t="inlineStr">
        <is>
          <t>Hypothèse</t>
        </is>
      </c>
    </row>
    <row r="15">
      <c r="A15" s="10" t="inlineStr">
        <is>
          <t>p_NPIL</t>
        </is>
      </c>
      <c r="B15" s="10" t="inlineStr">
        <is>
          <t>Nombre de piliers IPE 220</t>
        </is>
      </c>
      <c r="C15" s="13">
        <f>2*(p_L/p_ESP+1)+3</f>
        <v>17.0</v>
      </c>
      <c r="D15" s="12" t="inlineStr">
        <is>
          <t>u</t>
        </is>
      </c>
      <c r="E15" s="10" t="inlineStr">
        <is>
          <t>7 par long pan + 1 pignon Ouest + 2 encadrement entrée</t>
        </is>
      </c>
    </row>
    <row r="16">
      <c r="A16" s="10" t="inlineStr">
        <is>
          <t>p_APO</t>
        </is>
      </c>
      <c r="B16" s="10" t="inlineStr">
        <is>
          <t>Poteaux BA de part et d'autre des IPE : côté</t>
        </is>
      </c>
      <c r="C16" s="11" t="n">
        <v>0.15</v>
      </c>
      <c r="D16" s="12" t="inlineStr">
        <is>
          <t>m</t>
        </is>
      </c>
      <c r="E16" s="10" t="inlineStr">
        <is>
          <t>2 poteaux 15x15 par pilier</t>
        </is>
      </c>
    </row>
    <row r="17">
      <c r="A17" s="10" t="inlineStr">
        <is>
          <t>p_NPO</t>
        </is>
      </c>
      <c r="B17" s="10" t="inlineStr">
        <is>
          <t>Nombre de poteaux BA par pilier</t>
        </is>
      </c>
      <c r="C17" s="11" t="n">
        <v>2</v>
      </c>
      <c r="D17" s="12" t="inlineStr">
        <is>
          <t>u</t>
        </is>
      </c>
      <c r="E17" s="10" t="inlineStr">
        <is>
          <t>Donnée : deux poteaux autour de chaque pilier</t>
        </is>
      </c>
    </row>
    <row r="18">
      <c r="A18" s="10" t="inlineStr">
        <is>
          <t>p_BIPE</t>
        </is>
      </c>
      <c r="B18" s="10" t="inlineStr">
        <is>
          <t>Largeur d'aile IPE 220</t>
        </is>
      </c>
      <c r="C18" s="11" t="n">
        <v>0.11</v>
      </c>
      <c r="D18" s="12" t="inlineStr">
        <is>
          <t>m</t>
        </is>
      </c>
      <c r="E18" s="10" t="inlineStr">
        <is>
          <t>IPE 220 : h = 220 mm, b = 110 mm</t>
        </is>
      </c>
    </row>
    <row r="19">
      <c r="A19" s="10" t="inlineStr">
        <is>
          <t>p_BPIL</t>
        </is>
      </c>
      <c r="B19" s="10" t="inlineStr">
        <is>
          <t>Emprise d'un pilier dans le mur (poteau + IPE + poteau)</t>
        </is>
      </c>
      <c r="C19" s="13">
        <f>p_NPO*p_APO+p_BIPE</f>
        <v>0.41</v>
      </c>
      <c r="D19" s="12" t="inlineStr">
        <is>
          <t>m</t>
        </is>
      </c>
      <c r="E19" s="10" t="inlineStr"/>
    </row>
    <row r="20">
      <c r="A20" s="10" t="inlineStr">
        <is>
          <t>p_BCH</t>
        </is>
      </c>
      <c r="B20" s="10" t="inlineStr">
        <is>
          <t>Chaînages : largeur</t>
        </is>
      </c>
      <c r="C20" s="11" t="n">
        <v>0.15</v>
      </c>
      <c r="D20" s="12" t="inlineStr">
        <is>
          <t>m</t>
        </is>
      </c>
      <c r="E20" s="10" t="inlineStr"/>
    </row>
    <row r="21">
      <c r="A21" s="10" t="inlineStr">
        <is>
          <t>p_HCH</t>
        </is>
      </c>
      <c r="B21" s="10" t="inlineStr">
        <is>
          <t>Chaînages : hauteur</t>
        </is>
      </c>
      <c r="C21" s="11" t="n">
        <v>0.2</v>
      </c>
      <c r="D21" s="12" t="inlineStr">
        <is>
          <t>m</t>
        </is>
      </c>
      <c r="E21" s="10" t="inlineStr">
        <is>
          <t>Chaînages bas, intermédiaire et haut 15x20</t>
        </is>
      </c>
    </row>
    <row r="22">
      <c r="A22" s="10" t="inlineStr">
        <is>
          <t>p_ZCHI</t>
        </is>
      </c>
      <c r="B22" s="10" t="inlineStr">
        <is>
          <t>Niveau du chaînage intermédiaire</t>
        </is>
      </c>
      <c r="C22" s="11" t="n">
        <v>3</v>
      </c>
      <c r="D22" s="12" t="inlineStr">
        <is>
          <t>m</t>
        </is>
      </c>
      <c r="E22" s="10" t="inlineStr">
        <is>
          <t>Hypothèse : mi-hauteur</t>
        </is>
      </c>
    </row>
    <row r="23">
      <c r="A23" s="10" t="inlineStr">
        <is>
          <t>p_LINH</t>
        </is>
      </c>
      <c r="B23" s="10" t="inlineStr">
        <is>
          <t>Hauteur du linteau d'entrée</t>
        </is>
      </c>
      <c r="C23" s="11" t="n">
        <v>0.4</v>
      </c>
      <c r="D23" s="12" t="inlineStr">
        <is>
          <t>m</t>
        </is>
      </c>
      <c r="E23" s="10" t="inlineStr">
        <is>
          <t>Linteau 15x40</t>
        </is>
      </c>
    </row>
    <row r="24">
      <c r="A24" s="8" t="inlineStr">
        <is>
          <t>FONDATIONS</t>
        </is>
      </c>
      <c r="B24" s="9" t="n"/>
      <c r="C24" s="9" t="n"/>
      <c r="D24" s="9" t="n"/>
      <c r="E24" s="9" t="n"/>
    </row>
    <row r="25">
      <c r="A25" s="10" t="inlineStr">
        <is>
          <t>p_FRL</t>
        </is>
      </c>
      <c r="B25" s="10" t="inlineStr">
        <is>
          <t>Largeur des fouilles en rigole</t>
        </is>
      </c>
      <c r="C25" s="11" t="n">
        <v>0.6</v>
      </c>
      <c r="D25" s="12" t="inlineStr">
        <is>
          <t>m</t>
        </is>
      </c>
      <c r="E25" s="10" t="inlineStr"/>
    </row>
    <row r="26">
      <c r="A26" s="10" t="inlineStr">
        <is>
          <t>p_FRH</t>
        </is>
      </c>
      <c r="B26" s="10" t="inlineStr">
        <is>
          <t>Profondeur des fouilles (rigoles et puits)</t>
        </is>
      </c>
      <c r="C26" s="11" t="n">
        <v>1.2</v>
      </c>
      <c r="D26" s="12" t="inlineStr">
        <is>
          <t>m</t>
        </is>
      </c>
      <c r="E26" s="10" t="inlineStr">
        <is>
          <t>Donnée : 120 cm</t>
        </is>
      </c>
    </row>
    <row r="27">
      <c r="A27" s="10" t="inlineStr">
        <is>
          <t>p_PROP</t>
        </is>
      </c>
      <c r="B27" s="10" t="inlineStr">
        <is>
          <t>Épaisseur béton de propreté</t>
        </is>
      </c>
      <c r="C27" s="11" t="n">
        <v>0.05</v>
      </c>
      <c r="D27" s="12" t="inlineStr">
        <is>
          <t>m</t>
        </is>
      </c>
      <c r="E27" s="10" t="inlineStr"/>
    </row>
    <row r="28">
      <c r="A28" s="10" t="inlineStr">
        <is>
          <t>p_SFB</t>
        </is>
      </c>
      <c r="B28" s="10" t="inlineStr">
        <is>
          <t>Semelle filante : largeur</t>
        </is>
      </c>
      <c r="C28" s="11" t="n">
        <v>0.4</v>
      </c>
      <c r="D28" s="12" t="inlineStr">
        <is>
          <t>m</t>
        </is>
      </c>
      <c r="E28" s="10" t="inlineStr"/>
    </row>
    <row r="29">
      <c r="A29" s="10" t="inlineStr">
        <is>
          <t>p_SFH</t>
        </is>
      </c>
      <c r="B29" s="10" t="inlineStr">
        <is>
          <t>Semelle filante : hauteur</t>
        </is>
      </c>
      <c r="C29" s="11" t="n">
        <v>0.15</v>
      </c>
      <c r="D29" s="12" t="inlineStr">
        <is>
          <t>m</t>
        </is>
      </c>
      <c r="E29" s="10" t="inlineStr"/>
    </row>
    <row r="30">
      <c r="A30" s="10" t="inlineStr">
        <is>
          <t>p_SIA</t>
        </is>
      </c>
      <c r="B30" s="10" t="inlineStr">
        <is>
          <t>Semelle isolée : côté</t>
        </is>
      </c>
      <c r="C30" s="11" t="n">
        <v>0.8</v>
      </c>
      <c r="D30" s="12" t="inlineStr">
        <is>
          <t>m</t>
        </is>
      </c>
      <c r="E30" s="10" t="inlineStr">
        <is>
          <t>Donnée : 80 x 80 cm</t>
        </is>
      </c>
    </row>
    <row r="31">
      <c r="A31" s="10" t="inlineStr">
        <is>
          <t>p_SIH</t>
        </is>
      </c>
      <c r="B31" s="10" t="inlineStr">
        <is>
          <t>Semelle isolée : hauteur</t>
        </is>
      </c>
      <c r="C31" s="11" t="n">
        <v>0.3</v>
      </c>
      <c r="D31" s="12" t="inlineStr">
        <is>
          <t>m</t>
        </is>
      </c>
      <c r="E31" s="10" t="inlineStr">
        <is>
          <t>Hypothèse (≥ (A-a)/4 = 0,16 m)</t>
        </is>
      </c>
    </row>
    <row r="32">
      <c r="A32" s="10" t="inlineStr">
        <is>
          <t>p_FPA</t>
        </is>
      </c>
      <c r="B32" s="10" t="inlineStr">
        <is>
          <t>Fouille en puits : côté</t>
        </is>
      </c>
      <c r="C32" s="13">
        <f>p_SIA+0.20</f>
        <v>1.0</v>
      </c>
      <c r="D32" s="12" t="inlineStr">
        <is>
          <t>m</t>
        </is>
      </c>
      <c r="E32" s="10" t="inlineStr">
        <is>
          <t>10 cm de jeu de chaque côté</t>
        </is>
      </c>
    </row>
    <row r="33">
      <c r="A33" s="10" t="inlineStr">
        <is>
          <t>p_ESI</t>
        </is>
      </c>
      <c r="B33" s="10" t="inlineStr">
        <is>
          <t>Semelle isolée : espacement des HA12</t>
        </is>
      </c>
      <c r="C33" s="11" t="n">
        <v>0.15</v>
      </c>
      <c r="D33" s="12" t="inlineStr">
        <is>
          <t>m</t>
        </is>
      </c>
      <c r="E33" s="10" t="inlineStr"/>
    </row>
    <row r="34">
      <c r="A34" s="10" t="inlineStr">
        <is>
          <t>p_AFUT</t>
        </is>
      </c>
      <c r="B34" s="10" t="inlineStr">
        <is>
          <t>Fût BA sous platine : côté</t>
        </is>
      </c>
      <c r="C34" s="11" t="n">
        <v>0.4</v>
      </c>
      <c r="D34" s="12" t="inlineStr">
        <is>
          <t>m</t>
        </is>
      </c>
      <c r="E34" s="10" t="inlineStr">
        <is>
          <t>Fût 40x40 de -0,85 à ±0,00, 4 HA12</t>
        </is>
      </c>
    </row>
    <row r="35">
      <c r="A35" s="10" t="inlineStr">
        <is>
          <t>p_NTIG</t>
        </is>
      </c>
      <c r="B35" s="10" t="inlineStr">
        <is>
          <t>Tiges d'ancrage M20 par pilier</t>
        </is>
      </c>
      <c r="C35" s="11" t="n">
        <v>4</v>
      </c>
      <c r="D35" s="12" t="inlineStr">
        <is>
          <t>u</t>
        </is>
      </c>
      <c r="E35" s="10" t="inlineStr">
        <is>
          <t>L = 600 mm coudées, écrous + rondelles</t>
        </is>
      </c>
    </row>
    <row r="36">
      <c r="A36" s="10" t="inlineStr">
        <is>
          <t>p_FOIS</t>
        </is>
      </c>
      <c r="B36" s="10" t="inlineStr">
        <is>
          <t>Coefficient de foisonnement des terres</t>
        </is>
      </c>
      <c r="C36" s="11" t="n">
        <v>1.25</v>
      </c>
      <c r="D36" s="12" t="inlineStr">
        <is>
          <t>-</t>
        </is>
      </c>
      <c r="E36" s="10" t="inlineStr"/>
    </row>
    <row r="37">
      <c r="A37" s="8" t="inlineStr">
        <is>
          <t>DALLAGE</t>
        </is>
      </c>
      <c r="B37" s="9" t="n"/>
      <c r="C37" s="9" t="n"/>
      <c r="D37" s="9" t="n"/>
      <c r="E37" s="9" t="n"/>
    </row>
    <row r="38">
      <c r="A38" s="10" t="inlineStr">
        <is>
          <t>p_EPDAL</t>
        </is>
      </c>
      <c r="B38" s="10" t="inlineStr">
        <is>
          <t>Épaisseur du dallage</t>
        </is>
      </c>
      <c r="C38" s="11" t="n">
        <v>0.2</v>
      </c>
      <c r="D38" s="12" t="inlineStr">
        <is>
          <t>m</t>
        </is>
      </c>
      <c r="E38" s="10" t="inlineStr">
        <is>
          <t>Donnée : 20 cm</t>
        </is>
      </c>
    </row>
    <row r="39">
      <c r="A39" s="10" t="inlineStr">
        <is>
          <t>p_EDAL</t>
        </is>
      </c>
      <c r="B39" s="10" t="inlineStr">
        <is>
          <t>Maille des armatures du dallage</t>
        </is>
      </c>
      <c r="C39" s="11" t="n">
        <v>0.2</v>
      </c>
      <c r="D39" s="12" t="inlineStr">
        <is>
          <t>m</t>
        </is>
      </c>
      <c r="E39" s="10" t="inlineStr">
        <is>
          <t>HA10 e = 20 cm dans les 2 sens</t>
        </is>
      </c>
    </row>
    <row r="40">
      <c r="A40" s="10" t="inlineStr">
        <is>
          <t>p_NNAP</t>
        </is>
      </c>
      <c r="B40" s="10" t="inlineStr">
        <is>
          <t>Nombre de nappes</t>
        </is>
      </c>
      <c r="C40" s="11" t="n">
        <v>2</v>
      </c>
      <c r="D40" s="12" t="inlineStr">
        <is>
          <t>u</t>
        </is>
      </c>
      <c r="E40" s="10" t="inlineStr">
        <is>
          <t>Donnée : double nappe HA10</t>
        </is>
      </c>
    </row>
    <row r="41">
      <c r="A41" s="10" t="inlineStr">
        <is>
          <t>p_RDAL</t>
        </is>
      </c>
      <c r="B41" s="10" t="inlineStr">
        <is>
          <t>Majoration recouvrements dallage</t>
        </is>
      </c>
      <c r="C41" s="11" t="n">
        <v>1.1</v>
      </c>
      <c r="D41" s="12" t="inlineStr">
        <is>
          <t>-</t>
        </is>
      </c>
      <c r="E41" s="10" t="inlineStr"/>
    </row>
    <row r="42">
      <c r="A42" s="10" t="inlineStr">
        <is>
          <t>p_NCHA</t>
        </is>
      </c>
      <c r="B42" s="10" t="inlineStr">
        <is>
          <t>Chaises (distanciers) HA10 par m²</t>
        </is>
      </c>
      <c r="C42" s="11" t="n">
        <v>1</v>
      </c>
      <c r="D42" s="12" t="inlineStr">
        <is>
          <t>u/m²</t>
        </is>
      </c>
      <c r="E42" s="10" t="inlineStr">
        <is>
          <t>L = 0,80 m par chaise</t>
        </is>
      </c>
    </row>
    <row r="43">
      <c r="A43" s="10" t="inlineStr">
        <is>
          <t>p_EPLAT</t>
        </is>
      </c>
      <c r="B43" s="10" t="inlineStr">
        <is>
          <t>Épaisseur de latérite (purge + rechargement)</t>
        </is>
      </c>
      <c r="C43" s="11" t="n">
        <v>0.4</v>
      </c>
      <c r="D43" s="12" t="inlineStr">
        <is>
          <t>m</t>
        </is>
      </c>
      <c r="E43" s="10" t="inlineStr">
        <is>
          <t>Mettre 0,20 si le sol a une bonne portance ; 0,40 sinon</t>
        </is>
      </c>
    </row>
    <row r="44">
      <c r="A44" s="10" t="inlineStr">
        <is>
          <t>p_COUCHE</t>
        </is>
      </c>
      <c r="B44" s="10" t="inlineStr">
        <is>
          <t>Épaisseur d'une couche compactée</t>
        </is>
      </c>
      <c r="C44" s="11" t="n">
        <v>0.2</v>
      </c>
      <c r="D44" s="12" t="inlineStr">
        <is>
          <t>m</t>
        </is>
      </c>
      <c r="E44" s="10" t="inlineStr">
        <is>
          <t>Compactage à 95 % OPM</t>
        </is>
      </c>
    </row>
    <row r="45">
      <c r="A45" s="8" t="inlineStr">
        <is>
          <t>STRUCTURE MÉTALLIQUE</t>
        </is>
      </c>
      <c r="B45" s="9" t="n"/>
      <c r="C45" s="9" t="n"/>
      <c r="D45" s="9" t="n"/>
      <c r="E45" s="9" t="n"/>
    </row>
    <row r="46">
      <c r="A46" s="10" t="inlineStr">
        <is>
          <t>p_KGIPE</t>
        </is>
      </c>
      <c r="B46" s="10" t="inlineStr">
        <is>
          <t>Poids IPE 220</t>
        </is>
      </c>
      <c r="C46" s="11" t="n">
        <v>26.2</v>
      </c>
      <c r="D46" s="12" t="inlineStr">
        <is>
          <t>kg/m</t>
        </is>
      </c>
      <c r="E46" s="10" t="inlineStr">
        <is>
          <t>Catalogue profilés</t>
        </is>
      </c>
    </row>
    <row r="47">
      <c r="A47" s="10" t="inlineStr">
        <is>
          <t>p_KGPLA</t>
        </is>
      </c>
      <c r="B47" s="10" t="inlineStr">
        <is>
          <t>Platines (pied 320x220x15 + tête) et raidisseurs par pilier</t>
        </is>
      </c>
      <c r="C47" s="11" t="n">
        <v>15</v>
      </c>
      <c r="D47" s="12" t="inlineStr">
        <is>
          <t>kg/u</t>
        </is>
      </c>
      <c r="E47" s="10" t="inlineStr">
        <is>
          <t>Estimation</t>
        </is>
      </c>
    </row>
    <row r="48">
      <c r="A48" s="10" t="inlineStr">
        <is>
          <t>p_KGCOR</t>
        </is>
      </c>
      <c r="B48" s="10" t="inlineStr">
        <is>
          <t>Poids cornière 50x50x5</t>
        </is>
      </c>
      <c r="C48" s="11" t="n">
        <v>3.77</v>
      </c>
      <c r="D48" s="12" t="inlineStr">
        <is>
          <t>kg/m</t>
        </is>
      </c>
      <c r="E48" s="10" t="inlineStr">
        <is>
          <t>Catalogue profilés</t>
        </is>
      </c>
    </row>
    <row r="49">
      <c r="A49" s="10" t="inlineStr">
        <is>
          <t>p_NPAL</t>
        </is>
      </c>
      <c r="B49" s="10" t="inlineStr">
        <is>
          <t>Palées verticales (croix de St-André) en long pan</t>
        </is>
      </c>
      <c r="C49" s="11" t="n">
        <v>4</v>
      </c>
      <c r="D49" s="12" t="inlineStr">
        <is>
          <t>u</t>
        </is>
      </c>
      <c r="E49" s="10" t="inlineStr">
        <is>
          <t>2 par long pan, travées d'extrémité</t>
        </is>
      </c>
    </row>
    <row r="50">
      <c r="A50" s="10" t="inlineStr">
        <is>
          <t>p_NPV</t>
        </is>
      </c>
      <c r="B50" s="10" t="inlineStr">
        <is>
          <t>Travées de poutre au vent en toiture</t>
        </is>
      </c>
      <c r="C50" s="11" t="n">
        <v>2</v>
      </c>
      <c r="D50" s="12" t="inlineStr">
        <is>
          <t>u</t>
        </is>
      </c>
      <c r="E50" s="10" t="inlineStr">
        <is>
          <t>Travées d'extrémité, 2 versants</t>
        </is>
      </c>
    </row>
    <row r="51">
      <c r="A51" s="10" t="inlineStr">
        <is>
          <t>p_GOUS</t>
        </is>
      </c>
      <c r="B51" s="10" t="inlineStr">
        <is>
          <t>Majoration goussets et boulonnerie</t>
        </is>
      </c>
      <c r="C51" s="11" t="n">
        <v>1.1</v>
      </c>
      <c r="D51" s="12" t="inlineStr">
        <is>
          <t>-</t>
        </is>
      </c>
      <c r="E51" s="10" t="inlineStr">
        <is>
          <t>10 %</t>
        </is>
      </c>
    </row>
    <row r="52">
      <c r="A52" s="8" t="inlineStr">
        <is>
          <t>ACIERS</t>
        </is>
      </c>
      <c r="B52" s="9" t="n"/>
      <c r="C52" s="9" t="n"/>
      <c r="D52" s="9" t="n"/>
      <c r="E52" s="9" t="n"/>
    </row>
    <row r="53">
      <c r="A53" s="10" t="inlineStr">
        <is>
          <t>p_KG6</t>
        </is>
      </c>
      <c r="B53" s="10" t="inlineStr">
        <is>
          <t>Poids HA6</t>
        </is>
      </c>
      <c r="C53" s="11" t="n">
        <v>0.222</v>
      </c>
      <c r="D53" s="12" t="inlineStr">
        <is>
          <t>kg/m</t>
        </is>
      </c>
      <c r="E53" s="10" t="inlineStr"/>
    </row>
    <row r="54">
      <c r="A54" s="10" t="inlineStr">
        <is>
          <t>p_KG10</t>
        </is>
      </c>
      <c r="B54" s="10" t="inlineStr">
        <is>
          <t>Poids HA10</t>
        </is>
      </c>
      <c r="C54" s="11" t="n">
        <v>0.617</v>
      </c>
      <c r="D54" s="12" t="inlineStr">
        <is>
          <t>kg/m</t>
        </is>
      </c>
      <c r="E54" s="10" t="inlineStr"/>
    </row>
    <row r="55">
      <c r="A55" s="10" t="inlineStr">
        <is>
          <t>p_KG12</t>
        </is>
      </c>
      <c r="B55" s="10" t="inlineStr">
        <is>
          <t>Poids HA12</t>
        </is>
      </c>
      <c r="C55" s="11" t="n">
        <v>0.888</v>
      </c>
      <c r="D55" s="12" t="inlineStr">
        <is>
          <t>kg/m</t>
        </is>
      </c>
      <c r="E55" s="10" t="inlineStr"/>
    </row>
    <row r="56">
      <c r="A56" s="10" t="inlineStr">
        <is>
          <t>p_CHUTES</t>
        </is>
      </c>
      <c r="B56" s="10" t="inlineStr">
        <is>
          <t>Majoration pour chutes</t>
        </is>
      </c>
      <c r="C56" s="11" t="n">
        <v>1.05</v>
      </c>
      <c r="D56" s="12" t="inlineStr">
        <is>
          <t>-</t>
        </is>
      </c>
      <c r="E56" s="10" t="inlineStr">
        <is>
          <t>5 %</t>
        </is>
      </c>
    </row>
    <row r="57">
      <c r="A57" s="8" t="inlineStr">
        <is>
          <t>OPTIONS</t>
        </is>
      </c>
      <c r="B57" s="9" t="n"/>
      <c r="C57" s="9" t="n"/>
      <c r="D57" s="9" t="n"/>
      <c r="E57" s="9" t="n"/>
    </row>
    <row r="58">
      <c r="A58" s="10" t="inlineStr">
        <is>
          <t>p_RCH</t>
        </is>
      </c>
      <c r="B58" s="10" t="inlineStr">
        <is>
          <t>Ratio fermes / traverses de toiture</t>
        </is>
      </c>
      <c r="C58" s="11" t="n">
        <v>8</v>
      </c>
      <c r="D58" s="12" t="inlineStr">
        <is>
          <t>kg/m²</t>
        </is>
      </c>
      <c r="E58" s="10" t="inlineStr">
        <is>
          <t>Hors piliers IPE, pannes et contreventements - à confirmer par note de calcul</t>
        </is>
      </c>
    </row>
    <row r="59">
      <c r="A59" s="10" t="inlineStr">
        <is>
          <t>p_EPAN</t>
        </is>
      </c>
      <c r="B59" s="10" t="inlineStr">
        <is>
          <t>Entraxe maximal des pannes</t>
        </is>
      </c>
      <c r="C59" s="11" t="n">
        <v>1.2</v>
      </c>
      <c r="D59" s="12" t="inlineStr">
        <is>
          <t>m</t>
        </is>
      </c>
      <c r="E59" s="10" t="inlineStr">
        <is>
          <t>Pour bac 5 ondes - vérifier la fiche du fabricant</t>
        </is>
      </c>
    </row>
    <row r="60">
      <c r="A60" s="10" t="inlineStr">
        <is>
          <t>p_KGZ</t>
        </is>
      </c>
      <c r="B60" s="10" t="inlineStr">
        <is>
          <t>Poids panne Z 120 x 2 mm</t>
        </is>
      </c>
      <c r="C60" s="11" t="n">
        <v>3.9</v>
      </c>
      <c r="D60" s="12" t="inlineStr">
        <is>
          <t>kg/m</t>
        </is>
      </c>
      <c r="E60" s="10" t="inlineStr">
        <is>
          <t>Z 120 x 50 x 2 (développé ≈ 250 mm)</t>
        </is>
      </c>
    </row>
    <row r="61">
      <c r="A61" s="10" t="inlineStr">
        <is>
          <t>p_DEB</t>
        </is>
      </c>
      <c r="B61" s="10" t="inlineStr">
        <is>
          <t>Débord de toiture</t>
        </is>
      </c>
      <c r="C61" s="11" t="n">
        <v>0.5</v>
      </c>
      <c r="D61" s="12" t="inlineStr">
        <is>
          <t>m</t>
        </is>
      </c>
      <c r="E61" s="10" t="inlineStr"/>
    </row>
    <row r="62">
      <c r="A62" s="8" t="inlineStr">
        <is>
          <t>COEFFICIENTS</t>
        </is>
      </c>
      <c r="B62" s="9" t="n"/>
      <c r="C62" s="9" t="n"/>
      <c r="D62" s="9" t="n"/>
      <c r="E62" s="9" t="n"/>
    </row>
    <row r="63">
      <c r="A63" s="10" t="inlineStr">
        <is>
          <t>p_PO</t>
        </is>
      </c>
      <c r="B63" s="10" t="inlineStr">
        <is>
          <t>Petit outillage (% de la main-d'œuvre)</t>
        </is>
      </c>
      <c r="C63" s="14" t="n">
        <v>0.03</v>
      </c>
      <c r="D63" s="12" t="inlineStr">
        <is>
          <t>%</t>
        </is>
      </c>
      <c r="E63" s="10" t="inlineStr"/>
    </row>
    <row r="64">
      <c r="A64" s="10" t="inlineStr">
        <is>
          <t>p_FC</t>
        </is>
      </c>
      <c r="B64" s="10" t="inlineStr">
        <is>
          <t>Frais de chantier</t>
        </is>
      </c>
      <c r="C64" s="14" t="n">
        <v>0.05</v>
      </c>
      <c r="D64" s="12" t="inlineStr">
        <is>
          <t>%</t>
        </is>
      </c>
      <c r="E64" s="10" t="inlineStr"/>
    </row>
    <row r="65">
      <c r="A65" s="10" t="inlineStr">
        <is>
          <t>p_FG</t>
        </is>
      </c>
      <c r="B65" s="10" t="inlineStr">
        <is>
          <t>Frais généraux</t>
        </is>
      </c>
      <c r="C65" s="14" t="n">
        <v>0.08</v>
      </c>
      <c r="D65" s="12" t="inlineStr">
        <is>
          <t>%</t>
        </is>
      </c>
      <c r="E65" s="10" t="inlineStr"/>
    </row>
    <row r="66">
      <c r="A66" s="10" t="inlineStr">
        <is>
          <t>p_ALEA</t>
        </is>
      </c>
      <c r="B66" s="10" t="inlineStr">
        <is>
          <t>Aléas</t>
        </is>
      </c>
      <c r="C66" s="14" t="n">
        <v>0.02</v>
      </c>
      <c r="D66" s="12" t="inlineStr">
        <is>
          <t>%</t>
        </is>
      </c>
      <c r="E66" s="10" t="inlineStr"/>
    </row>
    <row r="67">
      <c r="A67" s="10" t="inlineStr">
        <is>
          <t>p_BEN</t>
        </is>
      </c>
      <c r="B67" s="10" t="inlineStr">
        <is>
          <t>Bénéfice</t>
        </is>
      </c>
      <c r="C67" s="14" t="n">
        <v>0.1</v>
      </c>
      <c r="D67" s="12" t="inlineStr">
        <is>
          <t>%</t>
        </is>
      </c>
      <c r="E67" s="10" t="inlineStr"/>
    </row>
    <row r="68">
      <c r="A68" s="10" t="inlineStr">
        <is>
          <t>p_TVA</t>
        </is>
      </c>
      <c r="B68" s="10" t="inlineStr">
        <is>
          <t>TVA (Côte d'Ivoire)</t>
        </is>
      </c>
      <c r="C68" s="14" t="n">
        <v>0.18</v>
      </c>
      <c r="D68" s="12" t="inlineStr">
        <is>
          <t>%</t>
        </is>
      </c>
      <c r="E68" s="10" t="inlineStr"/>
    </row>
    <row r="69">
      <c r="A69" s="10" t="inlineStr">
        <is>
          <t>p_K</t>
        </is>
      </c>
      <c r="B69" s="10" t="inlineStr">
        <is>
          <t>Coefficient de vente K</t>
        </is>
      </c>
      <c r="C69" s="15">
        <f>(1+p_FC)/(1-(p_FG+p_ALEA+p_BEN))</f>
        <v>1.3125</v>
      </c>
      <c r="D69" s="12" t="inlineStr">
        <is>
          <t>-</t>
        </is>
      </c>
      <c r="E69" s="10" t="inlineStr">
        <is>
          <t>PV = DS x K</t>
        </is>
      </c>
    </row>
    <row r="70">
      <c r="A70" s="8" t="inlineStr">
        <is>
          <t>CALCULÉ</t>
        </is>
      </c>
      <c r="B70" s="9" t="n"/>
      <c r="C70" s="9" t="n"/>
      <c r="D70" s="9" t="n"/>
      <c r="E70" s="9" t="n"/>
    </row>
    <row r="71">
      <c r="A71" s="10" t="inlineStr">
        <is>
          <t>p_P</t>
        </is>
      </c>
      <c r="B71" s="10" t="inlineStr">
        <is>
          <t>Périmètre à l'axe des murs</t>
        </is>
      </c>
      <c r="C71" s="13">
        <f>2*(p_L+p_B)</f>
        <v>80.0</v>
      </c>
      <c r="D71" s="12" t="inlineStr">
        <is>
          <t>m</t>
        </is>
      </c>
      <c r="E71" s="10" t="inlineStr"/>
    </row>
    <row r="72">
      <c r="A72" s="10" t="inlineStr">
        <is>
          <t>p_FL</t>
        </is>
      </c>
      <c r="B72" s="10" t="inlineStr">
        <is>
          <t>Flèche de toiture</t>
        </is>
      </c>
      <c r="C72" s="13">
        <f>p_B/2*p_PENTE</f>
        <v>1.0</v>
      </c>
      <c r="D72" s="12" t="inlineStr">
        <is>
          <t>m</t>
        </is>
      </c>
      <c r="E72" s="10" t="inlineStr"/>
    </row>
    <row r="73">
      <c r="A73" s="10" t="inlineStr">
        <is>
          <t>p_RAMP</t>
        </is>
      </c>
      <c r="B73" s="10" t="inlineStr">
        <is>
          <t>Longueur d'un rampant</t>
        </is>
      </c>
      <c r="C73" s="13">
        <f>SQRT(p_B/2*p_B/2+p_FL*p_FL)</f>
        <v>5.0990195135927845</v>
      </c>
      <c r="D73" s="12" t="inlineStr">
        <is>
          <t>m</t>
        </is>
      </c>
      <c r="E73" s="10" t="inlineStr"/>
    </row>
    <row r="74">
      <c r="A74" s="10" t="inlineStr">
        <is>
          <t>p_LNET</t>
        </is>
      </c>
      <c r="B74" s="10" t="inlineStr">
        <is>
          <t>Longueur nette de murs (hors piliers)</t>
        </is>
      </c>
      <c r="C74" s="13">
        <f>p_P-p_NPIL*p_BPIL</f>
        <v>73.03</v>
      </c>
      <c r="D74" s="12" t="inlineStr">
        <is>
          <t>m</t>
        </is>
      </c>
      <c r="E74" s="10" t="inlineStr"/>
    </row>
    <row r="75">
      <c r="A75" s="10" t="inlineStr">
        <is>
          <t>p_LCHI</t>
        </is>
      </c>
      <c r="B75" s="10" t="inlineStr">
        <is>
          <t>Longueur nette hors piliers et entrée</t>
        </is>
      </c>
      <c r="C75" s="13">
        <f>p_LNET-p_PL</f>
        <v>67.03</v>
      </c>
      <c r="D75" s="12" t="inlineStr">
        <is>
          <t>m</t>
        </is>
      </c>
      <c r="E75" s="10" t="inlineStr"/>
    </row>
    <row r="76">
      <c r="A76" s="10" t="inlineStr">
        <is>
          <t>p_SINT</t>
        </is>
      </c>
      <c r="B76" s="10" t="inlineStr">
        <is>
          <t>Surface intérieure (dallage)</t>
        </is>
      </c>
      <c r="C76" s="13">
        <f>(p_L-p_EP)*(p_B-p_EP)</f>
        <v>294.0225</v>
      </c>
      <c r="D76" s="12" t="inlineStr">
        <is>
          <t>m²</t>
        </is>
      </c>
      <c r="E76" s="10" t="inlineStr"/>
    </row>
    <row r="77">
      <c r="A77" s="10" t="inlineStr">
        <is>
          <t>p_HENT</t>
        </is>
      </c>
      <c r="B77" s="10" t="inlineStr">
        <is>
          <t>Hauteur dessus semelle → TN (fût)</t>
        </is>
      </c>
      <c r="C77" s="13">
        <f>p_FRH-p_PROP-p_SIH</f>
        <v>0.8499999999999999</v>
      </c>
      <c r="D77" s="12" t="inlineStr">
        <is>
          <t>m</t>
        </is>
      </c>
      <c r="E77" s="10" t="inlineStr"/>
    </row>
    <row r="78">
      <c r="A78" s="10" t="inlineStr">
        <is>
          <t>p_HPO</t>
        </is>
      </c>
      <c r="B78" s="10" t="inlineStr">
        <is>
          <t>Hauteur totale des poteaux BA</t>
        </is>
      </c>
      <c r="C78" s="13">
        <f>p_H+p_HENT</f>
        <v>6.85</v>
      </c>
      <c r="D78" s="12" t="inlineStr">
        <is>
          <t>m</t>
        </is>
      </c>
      <c r="E78" s="10" t="inlineStr"/>
    </row>
    <row r="79">
      <c r="A79" s="10" t="inlineStr">
        <is>
          <t>p_LIPE</t>
        </is>
      </c>
      <c r="B79" s="10" t="inlineStr">
        <is>
          <t>Longueur totale d'IPE 220</t>
        </is>
      </c>
      <c r="C79" s="13">
        <f>p_NPIL*p_H+p_FL</f>
        <v>103.0</v>
      </c>
      <c r="D79" s="12" t="inlineStr">
        <is>
          <t>m</t>
        </is>
      </c>
      <c r="E79" s="10" t="inlineStr">
        <is>
          <t>Platine à ±0,00, tête à +6,00 (+1,00 pilier de pignon)</t>
        </is>
      </c>
    </row>
    <row r="80">
      <c r="A80" s="10" t="inlineStr">
        <is>
          <t>p_NPAN</t>
        </is>
      </c>
      <c r="B80" s="10" t="inlineStr">
        <is>
          <t>Nombre de lignes de pannes (2 versants)</t>
        </is>
      </c>
      <c r="C80" s="13">
        <f>2*(ROUNDUP(p_RAMP/p_EPAN,0)+1)</f>
        <v>12.0</v>
      </c>
      <c r="D80" s="12" t="inlineStr">
        <is>
          <t>u</t>
        </is>
      </c>
      <c r="E80" s="10" t="inlineStr"/>
    </row>
    <row r="81">
      <c r="A81" s="10" t="inlineStr">
        <is>
          <t>p_LCOR</t>
        </is>
      </c>
      <c r="B81" s="10" t="inlineStr">
        <is>
          <t>Longueur totale de cornières</t>
        </is>
      </c>
      <c r="C81" s="13">
        <f>p_NPAL*2*SQRT(p_ESP*p_ESP+p_H*p_H)+p_NPV*2*2*SQRT(p_ESP*p_ESP+p_RAMP*p_RAMP)</f>
        <v>119.61342483559604</v>
      </c>
      <c r="D81" s="12" t="inlineStr">
        <is>
          <t>m</t>
        </is>
      </c>
      <c r="E81" s="10" t="inlineStr"/>
    </row>
    <row r="82">
      <c r="A82" s="10" t="inlineStr">
        <is>
          <t>p_HM</t>
        </is>
      </c>
      <c r="B82" s="10" t="inlineStr">
        <is>
          <t>Hauteur nette d'agglos en élévation</t>
        </is>
      </c>
      <c r="C82" s="13">
        <f>p_H-3*p_HCH</f>
        <v>5.4</v>
      </c>
      <c r="D82" s="12" t="inlineStr">
        <is>
          <t>m</t>
        </is>
      </c>
      <c r="E82" s="10" t="inlineStr"/>
    </row>
    <row r="83">
      <c r="A83" s="10" t="inlineStr">
        <is>
          <t>p_PIGN</t>
        </is>
      </c>
      <c r="B83" s="10" t="inlineStr">
        <is>
          <t>Agglos net par pignon triangulaire</t>
        </is>
      </c>
      <c r="C83" s="13">
        <f>0.5*p_B*p_FL-2*p_RAMP*p_BCH-p_BPIL*0.5</f>
        <v>3.265294145922165</v>
      </c>
      <c r="D83" s="12" t="inlineStr">
        <is>
          <t>m²</t>
        </is>
      </c>
      <c r="E83" s="10" t="inlineStr"/>
    </row>
    <row r="84">
      <c r="A84" s="10" t="inlineStr">
        <is>
          <t>p_NCOU</t>
        </is>
      </c>
      <c r="B84" s="10" t="inlineStr">
        <is>
          <t>Nombre de couches de latérite</t>
        </is>
      </c>
      <c r="C84" s="13">
        <f>p_EPLAT/p_COUCHE</f>
        <v>2.0</v>
      </c>
      <c r="D84" s="12" t="inlineStr">
        <is>
          <t>u</t>
        </is>
      </c>
      <c r="E84" s="10" t="inlineStr"/>
    </row>
    <row r="85">
      <c r="A85" s="10" t="inlineStr">
        <is>
          <t>p_VRIG</t>
        </is>
      </c>
      <c r="B85" s="10" t="inlineStr">
        <is>
          <t>Volume fouilles en rigole</t>
        </is>
      </c>
      <c r="C85" s="13">
        <f>p_P*p_FRL*p_FRH</f>
        <v>57.599999999999994</v>
      </c>
      <c r="D85" s="12" t="inlineStr">
        <is>
          <t>m³</t>
        </is>
      </c>
      <c r="E85" s="10" t="inlineStr"/>
    </row>
    <row r="86">
      <c r="A86" s="10" t="inlineStr">
        <is>
          <t>p_VPUI</t>
        </is>
      </c>
      <c r="B86" s="10" t="inlineStr">
        <is>
          <t>Volume fouilles en puits (complément)</t>
        </is>
      </c>
      <c r="C86" s="13">
        <f>p_NPIL*(p_FPA*p_FPA-p_FRL*p_FPA)*p_FRH</f>
        <v>8.16</v>
      </c>
      <c r="D86" s="12" t="inlineStr">
        <is>
          <t>m³</t>
        </is>
      </c>
      <c r="E86" s="10" t="inlineStr"/>
    </row>
    <row r="87">
      <c r="A87" s="10" t="inlineStr">
        <is>
          <t>p_VPROP</t>
        </is>
      </c>
      <c r="B87" s="10" t="inlineStr">
        <is>
          <t>Volume béton de propreté</t>
        </is>
      </c>
      <c r="C87" s="13">
        <f>(p_P-p_NPIL*p_FPA)*p_FRL*p_PROP+p_NPIL*p_FPA*p_FPA*p_PROP</f>
        <v>2.74</v>
      </c>
      <c r="D87" s="12" t="inlineStr">
        <is>
          <t>m³</t>
        </is>
      </c>
      <c r="E87" s="10" t="inlineStr"/>
    </row>
    <row r="88">
      <c r="A88" s="10" t="inlineStr">
        <is>
          <t>p_VSI</t>
        </is>
      </c>
      <c r="B88" s="10" t="inlineStr">
        <is>
          <t>Volume semelles isolées</t>
        </is>
      </c>
      <c r="C88" s="13">
        <f>p_NPIL*p_SIA*p_SIA*p_SIH</f>
        <v>3.2640000000000007</v>
      </c>
      <c r="D88" s="12" t="inlineStr">
        <is>
          <t>m³</t>
        </is>
      </c>
      <c r="E88" s="10" t="inlineStr"/>
    </row>
    <row r="89">
      <c r="A89" s="10" t="inlineStr">
        <is>
          <t>p_VSF</t>
        </is>
      </c>
      <c r="B89" s="10" t="inlineStr">
        <is>
          <t>Volume semelle filante</t>
        </is>
      </c>
      <c r="C89" s="13">
        <f>(p_P-p_NPIL*p_SIA)*p_SFB*p_SFH</f>
        <v>3.984</v>
      </c>
      <c r="D89" s="12" t="inlineStr">
        <is>
          <t>m³</t>
        </is>
      </c>
      <c r="E89" s="10" t="inlineStr"/>
    </row>
    <row r="90">
      <c r="A90" s="10" t="inlineStr">
        <is>
          <t>p_VENT</t>
        </is>
      </c>
      <c r="B90" s="10" t="inlineStr">
        <is>
          <t>Volume des ouvrages enterrés</t>
        </is>
      </c>
      <c r="C90" s="13">
        <f>p_VPROP+p_VSI+p_VSF+p_LNET*p_HFOND*p_EP+p_NPIL*(p_AFUT*p_AFUT+p_NPO*p_APO*p_APO)*p_HENT</f>
        <v>23.904750000000003</v>
      </c>
      <c r="D90" s="12" t="inlineStr">
        <is>
          <t>m³</t>
        </is>
      </c>
      <c r="E90" s="10" t="inlineStr"/>
    </row>
  </sheetData>
  <pageMargins left="0.75" right="0.75" top="1" bottom="1" header="0.5" footer="0.5"/>
  <pageSetup orientation="landscape" paperSize="9" fitToHeight="0" fitToWidth="1"/>
  <headerFooter>
    <oddHeader>&amp;LASSEYA SILVER CONSTRUCTION - établi par Moulo Jean Claude&amp;RParamètres et hypothèses</oddHeader>
    <oddFooter>&amp;LASSEYA SILVER CONSTRUCTION - N° CC 2245191 D - RCCM CI-BKE-01-2022-B13-00153&amp;RPage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9" customWidth="1" min="3" max="3"/>
    <col width="16" customWidth="1" min="4" max="4"/>
    <col width="14" customWidth="1" min="5" max="5"/>
  </cols>
  <sheetData>
    <row r="1">
      <c r="A1" s="1" t="inlineStr">
        <is>
          <t>ASSEYA SILVER CONSTRUCTION - Construction métallique et bâtiment - Bouaké - Tél : 07 08 39 02 66 / 05 05 10 76 82 - Email : asseyasilver@gmail.com</t>
        </is>
      </c>
    </row>
    <row r="2">
      <c r="A2" s="2" t="inlineStr">
        <is>
          <t>Prix de base - Bâtiment industriel 30,00 x 10,00 m - 04/10/2026 - établi par Moulo Jean Claude, Technicien Génie Civil BTP - BAEL 91 mod. 99 / EC2</t>
        </is>
      </c>
    </row>
    <row r="4" ht="30" customHeight="1">
      <c r="A4" s="7" t="inlineStr">
        <is>
          <t>Code</t>
        </is>
      </c>
      <c r="B4" s="7" t="inlineStr">
        <is>
          <t>Désignation</t>
        </is>
      </c>
      <c r="C4" s="7" t="inlineStr">
        <is>
          <t>Unité</t>
        </is>
      </c>
      <c r="D4" s="7" t="inlineStr">
        <is>
          <t>Prix unitaire (FCFA)</t>
        </is>
      </c>
      <c r="E4" s="7" t="inlineStr">
        <is>
          <t>Catégorie</t>
        </is>
      </c>
    </row>
    <row r="5">
      <c r="A5" s="8" t="inlineStr">
        <is>
          <t>MATÉRIAUX</t>
        </is>
      </c>
      <c r="B5" s="9" t="n"/>
      <c r="C5" s="9" t="n"/>
      <c r="D5" s="9" t="n"/>
      <c r="E5" s="9" t="n"/>
    </row>
    <row r="6">
      <c r="A6" s="10" t="inlineStr">
        <is>
          <t>ciment</t>
        </is>
      </c>
      <c r="B6" s="10" t="inlineStr">
        <is>
          <t>Ciment CPJ 42,5 (sac 50 kg)</t>
        </is>
      </c>
      <c r="C6" s="12" t="inlineStr">
        <is>
          <t>sac</t>
        </is>
      </c>
      <c r="D6" s="16" t="n">
        <v>5800</v>
      </c>
      <c r="E6" s="10" t="inlineStr">
        <is>
          <t>Matériaux</t>
        </is>
      </c>
    </row>
    <row r="7">
      <c r="A7" s="10" t="inlineStr">
        <is>
          <t>sable</t>
        </is>
      </c>
      <c r="B7" s="10" t="inlineStr">
        <is>
          <t>Sable lavé</t>
        </is>
      </c>
      <c r="C7" s="12" t="inlineStr">
        <is>
          <t>m³</t>
        </is>
      </c>
      <c r="D7" s="16" t="n">
        <v>12000</v>
      </c>
      <c r="E7" s="10" t="inlineStr">
        <is>
          <t>Matériaux</t>
        </is>
      </c>
    </row>
    <row r="8">
      <c r="A8" s="10" t="inlineStr">
        <is>
          <t>gravier</t>
        </is>
      </c>
      <c r="B8" s="10" t="inlineStr">
        <is>
          <t>Gravier concassé 5/15 - 15/25</t>
        </is>
      </c>
      <c r="C8" s="12" t="inlineStr">
        <is>
          <t>m³</t>
        </is>
      </c>
      <c r="D8" s="16" t="n">
        <v>25000</v>
      </c>
      <c r="E8" s="10" t="inlineStr">
        <is>
          <t>Matériaux</t>
        </is>
      </c>
    </row>
    <row r="9">
      <c r="A9" s="10" t="inlineStr">
        <is>
          <t>eau</t>
        </is>
      </c>
      <c r="B9" s="10" t="inlineStr">
        <is>
          <t>Eau</t>
        </is>
      </c>
      <c r="C9" s="12" t="inlineStr">
        <is>
          <t>m³</t>
        </is>
      </c>
      <c r="D9" s="16" t="n">
        <v>1000</v>
      </c>
      <c r="E9" s="10" t="inlineStr">
        <is>
          <t>Matériaux</t>
        </is>
      </c>
    </row>
    <row r="10">
      <c r="A10" s="10" t="inlineStr">
        <is>
          <t>agglo</t>
        </is>
      </c>
      <c r="B10" s="10" t="inlineStr">
        <is>
          <t>Agglo 15 plein 40x20x15 rendu chantier</t>
        </is>
      </c>
      <c r="C10" s="12" t="inlineStr">
        <is>
          <t>u</t>
        </is>
      </c>
      <c r="D10" s="16" t="n">
        <v>500</v>
      </c>
      <c r="E10" s="10" t="inlineStr">
        <is>
          <t>Matériaux</t>
        </is>
      </c>
    </row>
    <row r="11">
      <c r="A11" s="10" t="inlineStr">
        <is>
          <t>ha6</t>
        </is>
      </c>
      <c r="B11" s="10" t="inlineStr">
        <is>
          <t>Acier HA6 FeE500 (barre 12 m = 2,66 kg à 2 300)</t>
        </is>
      </c>
      <c r="C11" s="12" t="inlineStr">
        <is>
          <t>kg</t>
        </is>
      </c>
      <c r="D11" s="16" t="n">
        <v>865</v>
      </c>
      <c r="E11" s="10" t="inlineStr">
        <is>
          <t>Matériaux</t>
        </is>
      </c>
    </row>
    <row r="12">
      <c r="A12" s="10" t="inlineStr">
        <is>
          <t>ha10</t>
        </is>
      </c>
      <c r="B12" s="10" t="inlineStr">
        <is>
          <t>Acier HA10 FeE500 (barre 12 m = 7,40 kg à 6 000)</t>
        </is>
      </c>
      <c r="C12" s="12" t="inlineStr">
        <is>
          <t>kg</t>
        </is>
      </c>
      <c r="D12" s="16" t="n">
        <v>810</v>
      </c>
      <c r="E12" s="10" t="inlineStr">
        <is>
          <t>Matériaux</t>
        </is>
      </c>
    </row>
    <row r="13">
      <c r="A13" s="10" t="inlineStr">
        <is>
          <t>ha12</t>
        </is>
      </c>
      <c r="B13" s="10" t="inlineStr">
        <is>
          <t>Acier HA12 FeE500 (barre 12 m = 10,66 kg à 8 500)</t>
        </is>
      </c>
      <c r="C13" s="12" t="inlineStr">
        <is>
          <t>kg</t>
        </is>
      </c>
      <c r="D13" s="16" t="n">
        <v>800</v>
      </c>
      <c r="E13" s="10" t="inlineStr">
        <is>
          <t>Matériaux</t>
        </is>
      </c>
    </row>
    <row r="14">
      <c r="A14" s="10" t="inlineStr">
        <is>
          <t>fil</t>
        </is>
      </c>
      <c r="B14" s="10" t="inlineStr">
        <is>
          <t>Fil recuit</t>
        </is>
      </c>
      <c r="C14" s="12" t="inlineStr">
        <is>
          <t>kg</t>
        </is>
      </c>
      <c r="D14" s="16" t="n">
        <v>1500</v>
      </c>
      <c r="E14" s="10" t="inlineStr">
        <is>
          <t>Matériaux</t>
        </is>
      </c>
    </row>
    <row r="15">
      <c r="A15" s="10" t="inlineStr">
        <is>
          <t>bois</t>
        </is>
      </c>
      <c r="B15" s="10" t="inlineStr">
        <is>
          <t>Bois de coffrage (amorti 3 emplois)</t>
        </is>
      </c>
      <c r="C15" s="12" t="inlineStr">
        <is>
          <t>m²</t>
        </is>
      </c>
      <c r="D15" s="16" t="n">
        <v>1800</v>
      </c>
      <c r="E15" s="10" t="inlineStr">
        <is>
          <t>Matériaux</t>
        </is>
      </c>
    </row>
    <row r="16">
      <c r="A16" s="10" t="inlineStr">
        <is>
          <t>pointes</t>
        </is>
      </c>
      <c r="B16" s="10" t="inlineStr">
        <is>
          <t>Pointes</t>
        </is>
      </c>
      <c r="C16" s="12" t="inlineStr">
        <is>
          <t>kg</t>
        </is>
      </c>
      <c r="D16" s="16" t="n">
        <v>1500</v>
      </c>
      <c r="E16" s="10" t="inlineStr">
        <is>
          <t>Matériaux</t>
        </is>
      </c>
    </row>
    <row r="17">
      <c r="A17" s="10" t="inlineStr">
        <is>
          <t>huile</t>
        </is>
      </c>
      <c r="B17" s="10" t="inlineStr">
        <is>
          <t>Huile de décoffrage</t>
        </is>
      </c>
      <c r="C17" s="12" t="inlineStr">
        <is>
          <t>L</t>
        </is>
      </c>
      <c r="D17" s="16" t="n">
        <v>1000</v>
      </c>
      <c r="E17" s="10" t="inlineStr">
        <is>
          <t>Matériaux</t>
        </is>
      </c>
    </row>
    <row r="18">
      <c r="A18" s="10" t="inlineStr">
        <is>
          <t>hydro</t>
        </is>
      </c>
      <c r="B18" s="10" t="inlineStr">
        <is>
          <t>Hydrofuge de masse</t>
        </is>
      </c>
      <c r="C18" s="12" t="inlineStr">
        <is>
          <t>L</t>
        </is>
      </c>
      <c r="D18" s="16" t="n">
        <v>2000</v>
      </c>
      <c r="E18" s="10" t="inlineStr">
        <is>
          <t>Matériaux</t>
        </is>
      </c>
    </row>
    <row r="19">
      <c r="A19" s="10" t="inlineStr">
        <is>
          <t>termite</t>
        </is>
      </c>
      <c r="B19" s="10" t="inlineStr">
        <is>
          <t>Produit anti-termites (dilué)</t>
        </is>
      </c>
      <c r="C19" s="12" t="inlineStr">
        <is>
          <t>m²</t>
        </is>
      </c>
      <c r="D19" s="16" t="n">
        <v>1200</v>
      </c>
      <c r="E19" s="10" t="inlineStr">
        <is>
          <t>Matériaux</t>
        </is>
      </c>
    </row>
    <row r="20">
      <c r="A20" s="10" t="inlineStr">
        <is>
          <t>laterite</t>
        </is>
      </c>
      <c r="B20" s="10" t="inlineStr">
        <is>
          <t>Latérite d'emprunt rendue chantier</t>
        </is>
      </c>
      <c r="C20" s="12" t="inlineStr">
        <is>
          <t>m³</t>
        </is>
      </c>
      <c r="D20" s="16" t="n">
        <v>6000</v>
      </c>
      <c r="E20" s="10" t="inlineStr">
        <is>
          <t>Matériaux</t>
        </is>
      </c>
    </row>
    <row r="21">
      <c r="A21" s="10" t="inlineStr">
        <is>
          <t>polyane</t>
        </is>
      </c>
      <c r="B21" s="10" t="inlineStr">
        <is>
          <t>Film polyane 150 µ</t>
        </is>
      </c>
      <c r="C21" s="12" t="inlineStr">
        <is>
          <t>m²</t>
        </is>
      </c>
      <c r="D21" s="16" t="n">
        <v>400</v>
      </c>
      <c r="E21" s="10" t="inlineStr">
        <is>
          <t>Matériaux</t>
        </is>
      </c>
    </row>
    <row r="22">
      <c r="A22" s="10" t="inlineStr">
        <is>
          <t>joint</t>
        </is>
      </c>
      <c r="B22" s="10" t="inlineStr">
        <is>
          <t>Fond de joint + mastic / joint périphérique</t>
        </is>
      </c>
      <c r="C22" s="12" t="inlineStr">
        <is>
          <t>ml</t>
        </is>
      </c>
      <c r="D22" s="16" t="n">
        <v>800</v>
      </c>
      <c r="E22" s="10" t="inlineStr">
        <is>
          <t>Matériaux</t>
        </is>
      </c>
    </row>
    <row r="23">
      <c r="A23" s="10" t="inlineStr">
        <is>
          <t>ipe</t>
        </is>
      </c>
      <c r="B23" s="10" t="inlineStr">
        <is>
          <t>Profilé IPE 220 (S235)</t>
        </is>
      </c>
      <c r="C23" s="12" t="inlineStr">
        <is>
          <t>kg</t>
        </is>
      </c>
      <c r="D23" s="16" t="n">
        <v>950</v>
      </c>
      <c r="E23" s="10" t="inlineStr">
        <is>
          <t>Matériaux</t>
        </is>
      </c>
    </row>
    <row r="24">
      <c r="A24" s="10" t="inlineStr">
        <is>
          <t>corniere</t>
        </is>
      </c>
      <c r="B24" s="10" t="inlineStr">
        <is>
          <t>Cornière 50x50x5 (S235)</t>
        </is>
      </c>
      <c r="C24" s="12" t="inlineStr">
        <is>
          <t>kg</t>
        </is>
      </c>
      <c r="D24" s="16" t="n">
        <v>900</v>
      </c>
      <c r="E24" s="10" t="inlineStr">
        <is>
          <t>Matériaux</t>
        </is>
      </c>
    </row>
    <row r="25">
      <c r="A25" s="10" t="inlineStr">
        <is>
          <t>tole</t>
        </is>
      </c>
      <c r="B25" s="10" t="inlineStr">
        <is>
          <t>Tôle pour platines et goussets ép. 15 mm</t>
        </is>
      </c>
      <c r="C25" s="12" t="inlineStr">
        <is>
          <t>kg</t>
        </is>
      </c>
      <c r="D25" s="16" t="n">
        <v>900</v>
      </c>
      <c r="E25" s="10" t="inlineStr">
        <is>
          <t>Matériaux</t>
        </is>
      </c>
    </row>
    <row r="26">
      <c r="A26" s="10" t="inlineStr">
        <is>
          <t>tige</t>
        </is>
      </c>
      <c r="B26" s="10" t="inlineStr">
        <is>
          <t>Tige d'ancrage M20 L = 600 coudée + 2 écrous + rondelle</t>
        </is>
      </c>
      <c r="C26" s="12" t="inlineStr">
        <is>
          <t>u</t>
        </is>
      </c>
      <c r="D26" s="16" t="n">
        <v>6000</v>
      </c>
      <c r="E26" s="10" t="inlineStr">
        <is>
          <t>Matériaux</t>
        </is>
      </c>
    </row>
    <row r="27">
      <c r="A27" s="10" t="inlineStr">
        <is>
          <t>grout</t>
        </is>
      </c>
      <c r="B27" s="10" t="inlineStr">
        <is>
          <t>Mortier de calage sans retrait (sac 25 kg)</t>
        </is>
      </c>
      <c r="C27" s="12" t="inlineStr">
        <is>
          <t>sac</t>
        </is>
      </c>
      <c r="D27" s="16" t="n">
        <v>9000</v>
      </c>
      <c r="E27" s="10" t="inlineStr">
        <is>
          <t>Matériaux</t>
        </is>
      </c>
    </row>
    <row r="28">
      <c r="A28" s="10" t="inlineStr">
        <is>
          <t>peint</t>
        </is>
      </c>
      <c r="B28" s="10" t="inlineStr">
        <is>
          <t>Peinture antirouille + finition (2 couches)</t>
        </is>
      </c>
      <c r="C28" s="12" t="inlineStr">
        <is>
          <t>kg</t>
        </is>
      </c>
      <c r="D28" s="16" t="n">
        <v>100</v>
      </c>
      <c r="E28" s="10" t="inlineStr">
        <is>
          <t>Matériaux</t>
        </is>
      </c>
    </row>
    <row r="29">
      <c r="A29" s="10" t="inlineStr">
        <is>
          <t>acier_ch</t>
        </is>
      </c>
      <c r="B29" s="10" t="inlineStr">
        <is>
          <t>Profilés charpente de toiture + peinture</t>
        </is>
      </c>
      <c r="C29" s="12" t="inlineStr">
        <is>
          <t>kg</t>
        </is>
      </c>
      <c r="D29" s="16" t="n">
        <v>950</v>
      </c>
      <c r="E29" s="10" t="inlineStr">
        <is>
          <t>Matériaux</t>
        </is>
      </c>
    </row>
    <row r="30">
      <c r="A30" s="10" t="inlineStr">
        <is>
          <t>bac</t>
        </is>
      </c>
      <c r="B30" s="10" t="inlineStr">
        <is>
          <t>Tôle bac 5 ondes (alu 6/10 ou acier prélaqué) + fixations</t>
        </is>
      </c>
      <c r="C30" s="12" t="inlineStr">
        <is>
          <t>m²</t>
        </is>
      </c>
      <c r="D30" s="16" t="n">
        <v>4500</v>
      </c>
      <c r="E30" s="10" t="inlineStr">
        <is>
          <t>Matériaux</t>
        </is>
      </c>
    </row>
    <row r="31">
      <c r="A31" s="10" t="inlineStr">
        <is>
          <t>zpanne</t>
        </is>
      </c>
      <c r="B31" s="10" t="inlineStr">
        <is>
          <t>Panne Z 120 x 2 galvanisée + échantignoles + boulons</t>
        </is>
      </c>
      <c r="C31" s="12" t="inlineStr">
        <is>
          <t>kg</t>
        </is>
      </c>
      <c r="D31" s="16" t="n">
        <v>1000</v>
      </c>
      <c r="E31" s="10" t="inlineStr">
        <is>
          <t>Matériaux</t>
        </is>
      </c>
    </row>
    <row r="32">
      <c r="A32" s="10" t="inlineStr">
        <is>
          <t>faitiere</t>
        </is>
      </c>
      <c r="B32" s="10" t="inlineStr">
        <is>
          <t>Faîtière aluminium</t>
        </is>
      </c>
      <c r="C32" s="12" t="inlineStr">
        <is>
          <t>ml</t>
        </is>
      </c>
      <c r="D32" s="16" t="n">
        <v>3500</v>
      </c>
      <c r="E32" s="10" t="inlineStr">
        <is>
          <t>Matériaux</t>
        </is>
      </c>
    </row>
    <row r="33">
      <c r="A33" s="10" t="inlineStr">
        <is>
          <t>ff_install</t>
        </is>
      </c>
      <c r="B33" s="10" t="inlineStr">
        <is>
          <t>Magasin, clôture provisoire, panneau de chantier</t>
        </is>
      </c>
      <c r="C33" s="12" t="inlineStr">
        <is>
          <t>ft</t>
        </is>
      </c>
      <c r="D33" s="16" t="n">
        <v>300000</v>
      </c>
      <c r="E33" s="10" t="inlineStr">
        <is>
          <t>Matériaux</t>
        </is>
      </c>
    </row>
    <row r="34">
      <c r="A34" s="10" t="inlineStr">
        <is>
          <t>ff_implant</t>
        </is>
      </c>
      <c r="B34" s="10" t="inlineStr">
        <is>
          <t>Bois de chaises, cordeau, peinture</t>
        </is>
      </c>
      <c r="C34" s="12" t="inlineStr">
        <is>
          <t>ft</t>
        </is>
      </c>
      <c r="D34" s="16" t="n">
        <v>40000</v>
      </c>
      <c r="E34" s="10" t="inlineStr">
        <is>
          <t>Matériaux</t>
        </is>
      </c>
    </row>
    <row r="35">
      <c r="A35" s="10" t="inlineStr">
        <is>
          <t>ff_essais</t>
        </is>
      </c>
      <c r="B35" s="10" t="inlineStr">
        <is>
          <t>Essais labo (Proctor, densités in situ, écrasement béton)</t>
        </is>
      </c>
      <c r="C35" s="12" t="inlineStr">
        <is>
          <t>ft</t>
        </is>
      </c>
      <c r="D35" s="16" t="n">
        <v>250000</v>
      </c>
      <c r="E35" s="10" t="inlineStr">
        <is>
          <t>Matériaux</t>
        </is>
      </c>
    </row>
    <row r="36">
      <c r="A36" s="10" t="inlineStr">
        <is>
          <t>ff_portail</t>
        </is>
      </c>
      <c r="B36" s="10" t="inlineStr">
        <is>
          <t>Portail : tubes, tôle 15/10, rail, roulettes, peinture</t>
        </is>
      </c>
      <c r="C36" s="12" t="inlineStr">
        <is>
          <t>ft</t>
        </is>
      </c>
      <c r="D36" s="16" t="n">
        <v>1600000</v>
      </c>
      <c r="E36" s="10" t="inlineStr">
        <is>
          <t>Matériaux</t>
        </is>
      </c>
    </row>
    <row r="37">
      <c r="A37" s="8" t="inlineStr">
        <is>
          <t>MAIN-D'ŒUVRE</t>
        </is>
      </c>
      <c r="B37" s="9" t="n"/>
      <c r="C37" s="9" t="n"/>
      <c r="D37" s="9" t="n"/>
      <c r="E37" s="9" t="n"/>
    </row>
    <row r="38">
      <c r="A38" s="10" t="inlineStr">
        <is>
          <t>mo_macon</t>
        </is>
      </c>
      <c r="B38" s="10" t="inlineStr">
        <is>
          <t>Maçon</t>
        </is>
      </c>
      <c r="C38" s="12" t="inlineStr">
        <is>
          <t>h.j</t>
        </is>
      </c>
      <c r="D38" s="16" t="n">
        <v>10000</v>
      </c>
      <c r="E38" s="10" t="inlineStr">
        <is>
          <t>Main-d'œuvre</t>
        </is>
      </c>
    </row>
    <row r="39">
      <c r="A39" s="10" t="inlineStr">
        <is>
          <t>mo_ferr</t>
        </is>
      </c>
      <c r="B39" s="10" t="inlineStr">
        <is>
          <t>Ferrailleur</t>
        </is>
      </c>
      <c r="C39" s="12" t="inlineStr">
        <is>
          <t>h.j</t>
        </is>
      </c>
      <c r="D39" s="16" t="n">
        <v>10000</v>
      </c>
      <c r="E39" s="10" t="inlineStr">
        <is>
          <t>Main-d'œuvre</t>
        </is>
      </c>
    </row>
    <row r="40">
      <c r="A40" s="10" t="inlineStr">
        <is>
          <t>mo_coff</t>
        </is>
      </c>
      <c r="B40" s="10" t="inlineStr">
        <is>
          <t>Coffreur</t>
        </is>
      </c>
      <c r="C40" s="12" t="inlineStr">
        <is>
          <t>h.j</t>
        </is>
      </c>
      <c r="D40" s="16" t="n">
        <v>10000</v>
      </c>
      <c r="E40" s="10" t="inlineStr">
        <is>
          <t>Main-d'œuvre</t>
        </is>
      </c>
    </row>
    <row r="41">
      <c r="A41" s="10" t="inlineStr">
        <is>
          <t>mo_soud</t>
        </is>
      </c>
      <c r="B41" s="10" t="inlineStr">
        <is>
          <t>Soudeur / couvreur</t>
        </is>
      </c>
      <c r="C41" s="12" t="inlineStr">
        <is>
          <t>h.j</t>
        </is>
      </c>
      <c r="D41" s="16" t="n">
        <v>15000</v>
      </c>
      <c r="E41" s="10" t="inlineStr">
        <is>
          <t>Main-d'œuvre</t>
        </is>
      </c>
    </row>
    <row r="42">
      <c r="A42" s="10" t="inlineStr">
        <is>
          <t>mo_tech</t>
        </is>
      </c>
      <c r="B42" s="10" t="inlineStr">
        <is>
          <t>Technicien</t>
        </is>
      </c>
      <c r="C42" s="12" t="inlineStr">
        <is>
          <t>h.j</t>
        </is>
      </c>
      <c r="D42" s="16" t="n">
        <v>15000</v>
      </c>
      <c r="E42" s="10" t="inlineStr">
        <is>
          <t>Main-d'œuvre</t>
        </is>
      </c>
    </row>
    <row r="43">
      <c r="A43" s="10" t="inlineStr">
        <is>
          <t>mo_man</t>
        </is>
      </c>
      <c r="B43" s="10" t="inlineStr">
        <is>
          <t>Manœuvre</t>
        </is>
      </c>
      <c r="C43" s="12" t="inlineStr">
        <is>
          <t>h.j</t>
        </is>
      </c>
      <c r="D43" s="16" t="n">
        <v>5000</v>
      </c>
      <c r="E43" s="10" t="inlineStr">
        <is>
          <t>Main-d'œuvre</t>
        </is>
      </c>
    </row>
    <row r="44">
      <c r="A44" s="8" t="inlineStr">
        <is>
          <t>MATÉRIEL</t>
        </is>
      </c>
      <c r="B44" s="9" t="n"/>
      <c r="C44" s="9" t="n"/>
      <c r="D44" s="9" t="n"/>
      <c r="E44" s="9" t="n"/>
    </row>
    <row r="45">
      <c r="A45" s="10" t="inlineStr">
        <is>
          <t>mt_bet</t>
        </is>
      </c>
      <c r="B45" s="10" t="inlineStr">
        <is>
          <t>Bétonnière 350 L (location)</t>
        </is>
      </c>
      <c r="C45" s="12" t="inlineStr">
        <is>
          <t>j</t>
        </is>
      </c>
      <c r="D45" s="16" t="n">
        <v>25000</v>
      </c>
      <c r="E45" s="10" t="inlineStr">
        <is>
          <t>Matériel</t>
        </is>
      </c>
    </row>
    <row r="46">
      <c r="A46" s="10" t="inlineStr">
        <is>
          <t>mt_vib</t>
        </is>
      </c>
      <c r="B46" s="10" t="inlineStr">
        <is>
          <t>Vibreur (location)</t>
        </is>
      </c>
      <c r="C46" s="12" t="inlineStr">
        <is>
          <t>j</t>
        </is>
      </c>
      <c r="D46" s="16" t="n">
        <v>15000</v>
      </c>
      <c r="E46" s="10" t="inlineStr">
        <is>
          <t>Matériel</t>
        </is>
      </c>
    </row>
    <row r="47">
      <c r="A47" s="10" t="inlineStr">
        <is>
          <t>mt_dame</t>
        </is>
      </c>
      <c r="B47" s="10" t="inlineStr">
        <is>
          <t>Dame sauteuse (location)</t>
        </is>
      </c>
      <c r="C47" s="12" t="inlineStr">
        <is>
          <t>j</t>
        </is>
      </c>
      <c r="D47" s="16" t="n">
        <v>20000</v>
      </c>
      <c r="E47" s="10" t="inlineStr">
        <is>
          <t>Matériel</t>
        </is>
      </c>
    </row>
    <row r="48">
      <c r="A48" s="10" t="inlineStr">
        <is>
          <t>mt_plaque</t>
        </is>
      </c>
      <c r="B48" s="10" t="inlineStr">
        <is>
          <t>Compacteur à plaque vibrante / rouleau 1 t (location)</t>
        </is>
      </c>
      <c r="C48" s="12" t="inlineStr">
        <is>
          <t>j</t>
        </is>
      </c>
      <c r="D48" s="16" t="n">
        <v>60000</v>
      </c>
      <c r="E48" s="10" t="inlineStr">
        <is>
          <t>Matériel</t>
        </is>
      </c>
    </row>
    <row r="49">
      <c r="A49" s="10" t="inlineStr">
        <is>
          <t>mt_cam</t>
        </is>
      </c>
      <c r="B49" s="10" t="inlineStr">
        <is>
          <t>Camion benne 10 m³</t>
        </is>
      </c>
      <c r="C49" s="12" t="inlineStr">
        <is>
          <t>voyage</t>
        </is>
      </c>
      <c r="D49" s="16" t="n">
        <v>25000</v>
      </c>
      <c r="E49" s="10" t="inlineStr">
        <is>
          <t>Matériel</t>
        </is>
      </c>
    </row>
    <row r="50">
      <c r="A50" s="10" t="inlineStr">
        <is>
          <t>mt_scie</t>
        </is>
      </c>
      <c r="B50" s="10" t="inlineStr">
        <is>
          <t>Scie à sol (location)</t>
        </is>
      </c>
      <c r="C50" s="12" t="inlineStr">
        <is>
          <t>j</t>
        </is>
      </c>
      <c r="D50" s="16" t="n">
        <v>30000</v>
      </c>
      <c r="E50" s="10" t="inlineStr">
        <is>
          <t>Matériel</t>
        </is>
      </c>
    </row>
    <row r="51">
      <c r="A51" s="10" t="inlineStr">
        <is>
          <t>mt_niveau</t>
        </is>
      </c>
      <c r="B51" s="10" t="inlineStr">
        <is>
          <t>Niveau / théodolite (location)</t>
        </is>
      </c>
      <c r="C51" s="12" t="inlineStr">
        <is>
          <t>j</t>
        </is>
      </c>
      <c r="D51" s="16" t="n">
        <v>15000</v>
      </c>
      <c r="E51" s="10" t="inlineStr">
        <is>
          <t>Matériel</t>
        </is>
      </c>
    </row>
    <row r="52">
      <c r="A52" s="10" t="inlineStr">
        <is>
          <t>mt_branch</t>
        </is>
      </c>
      <c r="B52" s="10" t="inlineStr">
        <is>
          <t>Branchements provisoires eau et électricité</t>
        </is>
      </c>
      <c r="C52" s="12" t="inlineStr">
        <is>
          <t>ft</t>
        </is>
      </c>
      <c r="D52" s="16" t="n">
        <v>100000</v>
      </c>
      <c r="E52" s="10" t="inlineStr">
        <is>
          <t>Matériel</t>
        </is>
      </c>
    </row>
    <row r="53">
      <c r="A53" s="10" t="inlineStr">
        <is>
          <t>mt_ch</t>
        </is>
      </c>
      <c r="B53" s="10" t="inlineStr">
        <is>
          <t>Poste à souder, meuleuse, levage (charpente)</t>
        </is>
      </c>
      <c r="C53" s="12" t="inlineStr">
        <is>
          <t>kg</t>
        </is>
      </c>
      <c r="D53" s="16" t="n">
        <v>100</v>
      </c>
      <c r="E53" s="10" t="inlineStr">
        <is>
          <t>Matériel</t>
        </is>
      </c>
    </row>
    <row r="54">
      <c r="A54" s="10" t="inlineStr">
        <is>
          <t>mt_echaf</t>
        </is>
      </c>
      <c r="B54" s="10" t="inlineStr">
        <is>
          <t>Échafaudage (location)</t>
        </is>
      </c>
      <c r="C54" s="12" t="inlineStr">
        <is>
          <t>m²</t>
        </is>
      </c>
      <c r="D54" s="16" t="n">
        <v>150</v>
      </c>
      <c r="E54" s="10" t="inlineStr">
        <is>
          <t>Matériel</t>
        </is>
      </c>
    </row>
    <row r="55">
      <c r="A55" s="10" t="inlineStr">
        <is>
          <t>mt_portail</t>
        </is>
      </c>
      <c r="B55" s="10" t="inlineStr">
        <is>
          <t>Poste à souder, meuleuse (portail)</t>
        </is>
      </c>
      <c r="C55" s="12" t="inlineStr">
        <is>
          <t>ft</t>
        </is>
      </c>
      <c r="D55" s="16" t="n">
        <v>150000</v>
      </c>
      <c r="E55" s="10" t="inlineStr">
        <is>
          <t>Matériel</t>
        </is>
      </c>
    </row>
    <row r="57">
      <c r="B57" s="17" t="inlineStr">
        <is>
          <t>Source : estimation du marché d'Abidjan, octobre 2026 - à actualiser avec les cotations des fournisseurs.</t>
        </is>
      </c>
    </row>
  </sheetData>
  <pageMargins left="0.75" right="0.75" top="1" bottom="1" header="0.5" footer="0.5"/>
  <pageSetup orientation="landscape" paperSize="9" fitToHeight="0" fitToWidth="1"/>
  <headerFooter>
    <oddHeader>&amp;LASSEYA SILVER CONSTRUCTION - établi par Moulo Jean Claude&amp;RPrix de base</oddHeader>
    <oddFooter>&amp;LASSEYA SILVER CONSTRUCTION - N° CC 2245191 D - RCCM CI-BKE-01-2022-B13-00153&amp;RPage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75" customWidth="1" min="2" max="2"/>
    <col width="9" customWidth="1" min="3" max="3"/>
    <col width="14" customWidth="1" min="4" max="4"/>
    <col width="10" customWidth="1" min="5" max="5"/>
    <col width="14" customWidth="1" min="6" max="6"/>
    <col width="14" customWidth="1" min="7" max="7"/>
  </cols>
  <sheetData>
    <row r="1">
      <c r="A1" s="1" t="inlineStr">
        <is>
          <t>ASSEYA SILVER CONSTRUCTION - Construction métallique et bâtiment - Bouaké - Tél : 07 08 39 02 66 / 05 05 10 76 82 - Email : asseyasilver@gmail.com</t>
        </is>
      </c>
    </row>
    <row r="2">
      <c r="A2" s="2" t="inlineStr">
        <is>
          <t>Nomenclature des aciers - Bâtiment industriel 30,00 x 10,00 m - 04/10/2026 - établi par Moulo Jean Claude, Technicien Génie Civil BTP - BAEL 91 mod. 99 / EC2</t>
        </is>
      </c>
    </row>
    <row r="4" ht="30" customHeight="1">
      <c r="A4" s="7" t="inlineStr">
        <is>
          <t>Lot</t>
        </is>
      </c>
      <c r="B4" s="7" t="inlineStr">
        <is>
          <t>Élément</t>
        </is>
      </c>
      <c r="C4" s="7" t="inlineStr">
        <is>
          <t>Nuance</t>
        </is>
      </c>
      <c r="D4" s="7" t="inlineStr">
        <is>
          <t>Longueur (m)</t>
        </is>
      </c>
      <c r="E4" s="7" t="inlineStr">
        <is>
          <t>kg/m</t>
        </is>
      </c>
      <c r="F4" s="7" t="inlineStr">
        <is>
          <t>Poids (kg)</t>
        </is>
      </c>
    </row>
    <row r="5">
      <c r="A5" s="12" t="n">
        <v>2</v>
      </c>
      <c r="B5" s="10" t="inlineStr">
        <is>
          <t>Semelles isolées 80x80 : 2 sens x n HA12 e=15 (L = A - 0,10 + 2 retours 0,20)</t>
        </is>
      </c>
      <c r="C5" s="12" t="inlineStr">
        <is>
          <t>HA12</t>
        </is>
      </c>
      <c r="D5" s="18">
        <f>p_NPIL*2*(ROUNDUP((p_SIA-0.10)/p_ESI,0)+1)*(p_SIA-0.10+2*0.20)</f>
        <v>224.4</v>
      </c>
      <c r="E5" s="19">
        <f>p_KG12</f>
        <v>0.888</v>
      </c>
      <c r="F5" s="18">
        <f>D5*E5</f>
        <v>199.2672</v>
      </c>
    </row>
    <row r="6">
      <c r="A6" s="12" t="n">
        <v>2</v>
      </c>
      <c r="B6" s="10" t="inlineStr">
        <is>
          <t>Fûts 40x40 sous platines : 4 HA12 en L (hauteur + retour 0,40)</t>
        </is>
      </c>
      <c r="C6" s="12" t="inlineStr">
        <is>
          <t>HA12</t>
        </is>
      </c>
      <c r="D6" s="18">
        <f>p_NPIL*4*(p_HENT+0.40)</f>
        <v>85.0</v>
      </c>
      <c r="E6" s="19">
        <f>p_KG12</f>
        <v>0.888</v>
      </c>
      <c r="F6" s="18">
        <f>D6*E6</f>
        <v>75.48</v>
      </c>
    </row>
    <row r="7">
      <c r="A7" s="12" t="n">
        <v>2</v>
      </c>
      <c r="B7" s="10" t="inlineStr">
        <is>
          <t>Fûts 40x40 : cadres HA6 e=15 (L = 1,40 m)</t>
        </is>
      </c>
      <c r="C7" s="12" t="inlineStr">
        <is>
          <t>HA6</t>
        </is>
      </c>
      <c r="D7" s="18">
        <f>p_NPIL*(ROUNDUP(p_HENT/0.15,0)+1)*1.40</f>
        <v>166.6</v>
      </c>
      <c r="E7" s="19">
        <f>p_KG6</f>
        <v>0.222</v>
      </c>
      <c r="F7" s="18">
        <f>D7*E7</f>
        <v>36.9852</v>
      </c>
    </row>
    <row r="8">
      <c r="A8" s="12" t="n">
        <v>2</v>
      </c>
      <c r="B8" s="10" t="inlineStr">
        <is>
          <t>Semelle filante : 4 HA10 filants (x1,05 recouvrements)</t>
        </is>
      </c>
      <c r="C8" s="12" t="inlineStr">
        <is>
          <t>HA10</t>
        </is>
      </c>
      <c r="D8" s="18">
        <f>4*p_P*1.05</f>
        <v>336.0</v>
      </c>
      <c r="E8" s="19">
        <f>p_KG10</f>
        <v>0.617</v>
      </c>
      <c r="F8" s="18">
        <f>D8*E8</f>
        <v>207.312</v>
      </c>
    </row>
    <row r="9">
      <c r="A9" s="12" t="n">
        <v>2</v>
      </c>
      <c r="B9" s="10" t="inlineStr">
        <is>
          <t>Semelle filante : répartiteurs HA6 e=20</t>
        </is>
      </c>
      <c r="C9" s="12" t="inlineStr">
        <is>
          <t>HA6</t>
        </is>
      </c>
      <c r="D9" s="18">
        <f>p_P/0.20*(p_SFB+0.05)</f>
        <v>180.0</v>
      </c>
      <c r="E9" s="19">
        <f>p_KG6</f>
        <v>0.222</v>
      </c>
      <c r="F9" s="18">
        <f>D9*E9</f>
        <v>39.96</v>
      </c>
    </row>
    <row r="10">
      <c r="A10" s="12" t="n">
        <v>2</v>
      </c>
      <c r="B10" s="10" t="inlineStr">
        <is>
          <t>Chaînage bas : 4 HA10 (x1,10 recouvrements et angles)</t>
        </is>
      </c>
      <c r="C10" s="12" t="inlineStr">
        <is>
          <t>HA10</t>
        </is>
      </c>
      <c r="D10" s="18">
        <f>4*p_P*1.10</f>
        <v>352.0</v>
      </c>
      <c r="E10" s="19">
        <f>p_KG10</f>
        <v>0.617</v>
      </c>
      <c r="F10" s="18">
        <f>D10*E10</f>
        <v>217.184</v>
      </c>
    </row>
    <row r="11">
      <c r="A11" s="12" t="n">
        <v>2</v>
      </c>
      <c r="B11" s="10" t="inlineStr">
        <is>
          <t>Chaînage bas : cadres HA6 15x20 e=20 (L = 0,60 m)</t>
        </is>
      </c>
      <c r="C11" s="12" t="inlineStr">
        <is>
          <t>HA6</t>
        </is>
      </c>
      <c r="D11" s="18">
        <f>p_P/0.20*0.60</f>
        <v>240.0</v>
      </c>
      <c r="E11" s="19">
        <f>p_KG6</f>
        <v>0.222</v>
      </c>
      <c r="F11" s="18">
        <f>D11*E11</f>
        <v>53.28</v>
      </c>
    </row>
    <row r="12">
      <c r="A12" s="12" t="n">
        <v>3</v>
      </c>
      <c r="B12" s="10" t="inlineStr">
        <is>
          <t>Poteaux BA 15x15 (2 par pilier) : 4 HA10 (retour 0,30 en semelle + ancrage 0,40)</t>
        </is>
      </c>
      <c r="C12" s="12" t="inlineStr">
        <is>
          <t>HA10</t>
        </is>
      </c>
      <c r="D12" s="18">
        <f>p_NPIL*p_NPO*4*(p_HPO+0.70)+p_NPO*4*p_FL</f>
        <v>1034.8</v>
      </c>
      <c r="E12" s="19">
        <f>p_KG10</f>
        <v>0.617</v>
      </c>
      <c r="F12" s="18">
        <f>D12*E12</f>
        <v>638.4716</v>
      </c>
    </row>
    <row r="13">
      <c r="A13" s="12" t="n">
        <v>3</v>
      </c>
      <c r="B13" s="10" t="inlineStr">
        <is>
          <t>Poteaux BA 15x15 : cadres HA6 e=15 (L = 0,50 m)</t>
        </is>
      </c>
      <c r="C13" s="12" t="inlineStr">
        <is>
          <t>HA6</t>
        </is>
      </c>
      <c r="D13" s="18">
        <f>p_NPIL*p_NPO*(ROUNDUP(p_HPO/0.15,0)+1)*0.50</f>
        <v>799.0</v>
      </c>
      <c r="E13" s="19">
        <f>p_KG6</f>
        <v>0.222</v>
      </c>
      <c r="F13" s="18">
        <f>D13*E13</f>
        <v>177.37800000000001</v>
      </c>
    </row>
    <row r="14">
      <c r="A14" s="12" t="n">
        <v>3</v>
      </c>
      <c r="B14" s="10" t="inlineStr">
        <is>
          <t>Chaînage intermédiaire : 4 HA10 (interrompu à l'entrée)</t>
        </is>
      </c>
      <c r="C14" s="12" t="inlineStr">
        <is>
          <t>HA10</t>
        </is>
      </c>
      <c r="D14" s="18">
        <f>4*(p_P-p_PL)*1.10</f>
        <v>325.6</v>
      </c>
      <c r="E14" s="19">
        <f>p_KG10</f>
        <v>0.617</v>
      </c>
      <c r="F14" s="18">
        <f>D14*E14</f>
        <v>200.89520000000002</v>
      </c>
    </row>
    <row r="15">
      <c r="A15" s="12" t="n">
        <v>3</v>
      </c>
      <c r="B15" s="10" t="inlineStr">
        <is>
          <t>Chaînage intermédiaire : cadres HA6 e=20</t>
        </is>
      </c>
      <c r="C15" s="12" t="inlineStr">
        <is>
          <t>HA6</t>
        </is>
      </c>
      <c r="D15" s="18">
        <f>(p_P-p_PL)/0.20*0.60</f>
        <v>222.0</v>
      </c>
      <c r="E15" s="19">
        <f>p_KG6</f>
        <v>0.222</v>
      </c>
      <c r="F15" s="18">
        <f>D15*E15</f>
        <v>49.284</v>
      </c>
    </row>
    <row r="16">
      <c r="A16" s="12" t="n">
        <v>3</v>
      </c>
      <c r="B16" s="10" t="inlineStr">
        <is>
          <t>Chaînage haut : 4 HA10</t>
        </is>
      </c>
      <c r="C16" s="12" t="inlineStr">
        <is>
          <t>HA10</t>
        </is>
      </c>
      <c r="D16" s="18">
        <f>4*p_P*1.10</f>
        <v>352.0</v>
      </c>
      <c r="E16" s="19">
        <f>p_KG10</f>
        <v>0.617</v>
      </c>
      <c r="F16" s="18">
        <f>D16*E16</f>
        <v>217.184</v>
      </c>
    </row>
    <row r="17">
      <c r="A17" s="12" t="n">
        <v>3</v>
      </c>
      <c r="B17" s="10" t="inlineStr">
        <is>
          <t>Chaînage haut : cadres HA6 e=20</t>
        </is>
      </c>
      <c r="C17" s="12" t="inlineStr">
        <is>
          <t>HA6</t>
        </is>
      </c>
      <c r="D17" s="18">
        <f>p_P/0.20*0.60</f>
        <v>240.0</v>
      </c>
      <c r="E17" s="19">
        <f>p_KG6</f>
        <v>0.222</v>
      </c>
      <c r="F17" s="18">
        <f>D17*E17</f>
        <v>53.28</v>
      </c>
    </row>
    <row r="18">
      <c r="A18" s="12" t="n">
        <v>3</v>
      </c>
      <c r="B18" s="10" t="inlineStr">
        <is>
          <t>Linteau 15x40 : 2 lits 3 HA10 + 2 HA10 haut</t>
        </is>
      </c>
      <c r="C18" s="12" t="inlineStr">
        <is>
          <t>HA10</t>
        </is>
      </c>
      <c r="D18" s="18">
        <f>8*(p_PL+0.80)</f>
        <v>54.4</v>
      </c>
      <c r="E18" s="19">
        <f>p_KG10</f>
        <v>0.617</v>
      </c>
      <c r="F18" s="18">
        <f>D18*E18</f>
        <v>33.5648</v>
      </c>
    </row>
    <row r="19">
      <c r="A19" s="12" t="n">
        <v>3</v>
      </c>
      <c r="B19" s="10" t="inlineStr">
        <is>
          <t>Linteau : cadres HA6 15x40 e=15 (L = 1,00 m)</t>
        </is>
      </c>
      <c r="C19" s="12" t="inlineStr">
        <is>
          <t>HA6</t>
        </is>
      </c>
      <c r="D19" s="18">
        <f>ROUNDUP((p_PL+0.80)/0.15,0)*1.00</f>
        <v>46.0</v>
      </c>
      <c r="E19" s="19">
        <f>p_KG6</f>
        <v>0.222</v>
      </c>
      <c r="F19" s="18">
        <f>D19*E19</f>
        <v>10.212</v>
      </c>
    </row>
    <row r="20">
      <c r="A20" s="12" t="n">
        <v>3</v>
      </c>
      <c r="B20" s="10" t="inlineStr">
        <is>
          <t>Chaînages rampants 15x15 : 4 HA10</t>
        </is>
      </c>
      <c r="C20" s="12" t="inlineStr">
        <is>
          <t>HA10</t>
        </is>
      </c>
      <c r="D20" s="18">
        <f>16*p_RAMP*1.10</f>
        <v>89.74274343923301</v>
      </c>
      <c r="E20" s="19">
        <f>p_KG10</f>
        <v>0.617</v>
      </c>
      <c r="F20" s="18">
        <f>D20*E20</f>
        <v>55.37127270200676</v>
      </c>
    </row>
    <row r="21">
      <c r="A21" s="12" t="n">
        <v>3</v>
      </c>
      <c r="B21" s="10" t="inlineStr">
        <is>
          <t>Chaînages rampants : cadres HA6 e=20 (L = 0,50 m)</t>
        </is>
      </c>
      <c r="C21" s="12" t="inlineStr">
        <is>
          <t>HA6</t>
        </is>
      </c>
      <c r="D21" s="18">
        <f>4*p_RAMP/0.20*0.50</f>
        <v>50.99019513592784</v>
      </c>
      <c r="E21" s="19">
        <f>p_KG6</f>
        <v>0.222</v>
      </c>
      <c r="F21" s="18">
        <f>D21*E21</f>
        <v>11.319823320175981</v>
      </c>
    </row>
    <row r="22">
      <c r="A22" s="12" t="n">
        <v>5</v>
      </c>
      <c r="B22" s="10" t="inlineStr">
        <is>
          <t>Dallage : double nappe HA10 e=20 dans les 2 sens</t>
        </is>
      </c>
      <c r="C22" s="12" t="inlineStr">
        <is>
          <t>HA10</t>
        </is>
      </c>
      <c r="D22" s="18">
        <f>p_SINT*p_NNAP*2/p_EDAL*p_RDAL</f>
        <v>6468.494999999999</v>
      </c>
      <c r="E22" s="19">
        <f>p_KG10</f>
        <v>0.617</v>
      </c>
      <c r="F22" s="18">
        <f>D22*E22</f>
        <v>3991.061414999999</v>
      </c>
    </row>
    <row r="23">
      <c r="A23" s="12" t="n">
        <v>5</v>
      </c>
      <c r="B23" s="10" t="inlineStr">
        <is>
          <t>Dallage : chaises HA10 (L = 0,80 m)</t>
        </is>
      </c>
      <c r="C23" s="12" t="inlineStr">
        <is>
          <t>HA10</t>
        </is>
      </c>
      <c r="D23" s="18">
        <f>p_SINT*p_NCHA*0.80</f>
        <v>235.218</v>
      </c>
      <c r="E23" s="19">
        <f>p_KG10</f>
        <v>0.617</v>
      </c>
      <c r="F23" s="18">
        <f>D23*E23</f>
        <v>145.129506</v>
      </c>
    </row>
    <row r="25">
      <c r="A25" s="20" t="inlineStr">
        <is>
          <t>Lot</t>
        </is>
      </c>
      <c r="B25" s="20" t="inlineStr">
        <is>
          <t>Récapitulatif</t>
        </is>
      </c>
      <c r="C25" s="20" t="inlineStr">
        <is>
          <t>Nuance</t>
        </is>
      </c>
      <c r="D25" s="20" t="inlineStr">
        <is>
          <t>Poids net (kg)</t>
        </is>
      </c>
      <c r="E25" s="20" t="inlineStr">
        <is>
          <t>Chutes</t>
        </is>
      </c>
      <c r="F25" s="20" t="inlineStr">
        <is>
          <t>Poids à commander (kg)</t>
        </is>
      </c>
      <c r="G25" s="20" t="inlineStr">
        <is>
          <t>Barres de 12 m</t>
        </is>
      </c>
    </row>
    <row r="26">
      <c r="A26" s="12" t="n">
        <v>2</v>
      </c>
      <c r="B26" s="10" t="inlineStr">
        <is>
          <t>Lot 2</t>
        </is>
      </c>
      <c r="C26" s="10" t="inlineStr">
        <is>
          <t>HA12</t>
        </is>
      </c>
      <c r="D26" s="18">
        <f>SUMIFS('Aciers'!$F$5:$F$23,'Aciers'!$A$5:$A$23,A26,'Aciers'!$C$5:$C$23,C26)</f>
        <v>274.7472</v>
      </c>
      <c r="E26" s="21">
        <f>p_CHUTES</f>
        <v>1.05</v>
      </c>
      <c r="F26" s="18">
        <f>D26*E26</f>
        <v>288.48456000000004</v>
      </c>
      <c r="G26" s="22">
        <f>ROUNDUP(F26/(12*p_KG12),0)</f>
        <v>28.0</v>
      </c>
    </row>
    <row r="27">
      <c r="A27" s="12" t="n">
        <v>2</v>
      </c>
      <c r="B27" s="10" t="inlineStr">
        <is>
          <t>Lot 2</t>
        </is>
      </c>
      <c r="C27" s="10" t="inlineStr">
        <is>
          <t>HA10</t>
        </is>
      </c>
      <c r="D27" s="18">
        <f>SUMIFS('Aciers'!$F$5:$F$23,'Aciers'!$A$5:$A$23,A27,'Aciers'!$C$5:$C$23,C27)</f>
        <v>424.496</v>
      </c>
      <c r="E27" s="21">
        <f>p_CHUTES</f>
        <v>1.05</v>
      </c>
      <c r="F27" s="18">
        <f>D27*E27</f>
        <v>445.7208</v>
      </c>
      <c r="G27" s="22">
        <f>ROUNDUP(F27/(12*p_KG10),0)</f>
        <v>61.0</v>
      </c>
    </row>
    <row r="28">
      <c r="A28" s="12" t="n">
        <v>2</v>
      </c>
      <c r="B28" s="10" t="inlineStr">
        <is>
          <t>Lot 2</t>
        </is>
      </c>
      <c r="C28" s="10" t="inlineStr">
        <is>
          <t>HA6</t>
        </is>
      </c>
      <c r="D28" s="18">
        <f>SUMIFS('Aciers'!$F$5:$F$23,'Aciers'!$A$5:$A$23,A28,'Aciers'!$C$5:$C$23,C28)</f>
        <v>130.2252</v>
      </c>
      <c r="E28" s="21">
        <f>p_CHUTES</f>
        <v>1.05</v>
      </c>
      <c r="F28" s="18">
        <f>D28*E28</f>
        <v>136.73646</v>
      </c>
      <c r="G28" s="22">
        <f>ROUNDUP(F28/(12*p_KG6),0)</f>
        <v>52.0</v>
      </c>
    </row>
    <row r="29">
      <c r="A29" s="12" t="n">
        <v>3</v>
      </c>
      <c r="B29" s="10" t="inlineStr">
        <is>
          <t>Lot 3</t>
        </is>
      </c>
      <c r="C29" s="10" t="inlineStr">
        <is>
          <t>HA10</t>
        </is>
      </c>
      <c r="D29" s="18">
        <f>SUMIFS('Aciers'!$F$5:$F$23,'Aciers'!$A$5:$A$23,A29,'Aciers'!$C$5:$C$23,C29)</f>
        <v>1145.4868727020068</v>
      </c>
      <c r="E29" s="21">
        <f>p_CHUTES</f>
        <v>1.05</v>
      </c>
      <c r="F29" s="18">
        <f>D29*E29</f>
        <v>1202.7612163371073</v>
      </c>
      <c r="G29" s="22">
        <f>ROUNDUP(F29/(12*p_KG10),0)</f>
        <v>163.0</v>
      </c>
    </row>
    <row r="30">
      <c r="A30" s="12" t="n">
        <v>3</v>
      </c>
      <c r="B30" s="10" t="inlineStr">
        <is>
          <t>Lot 3</t>
        </is>
      </c>
      <c r="C30" s="10" t="inlineStr">
        <is>
          <t>HA6</t>
        </is>
      </c>
      <c r="D30" s="18">
        <f>SUMIFS('Aciers'!$F$5:$F$23,'Aciers'!$A$5:$A$23,A30,'Aciers'!$C$5:$C$23,C30)</f>
        <v>301.473823320176</v>
      </c>
      <c r="E30" s="21">
        <f>p_CHUTES</f>
        <v>1.05</v>
      </c>
      <c r="F30" s="18">
        <f>D30*E30</f>
        <v>316.5475144861848</v>
      </c>
      <c r="G30" s="22">
        <f>ROUNDUP(F30/(12*p_KG6),0)</f>
        <v>119.0</v>
      </c>
    </row>
    <row r="31">
      <c r="A31" s="12" t="n">
        <v>5</v>
      </c>
      <c r="B31" s="10" t="inlineStr">
        <is>
          <t>Lot 5</t>
        </is>
      </c>
      <c r="C31" s="10" t="inlineStr">
        <is>
          <t>HA10</t>
        </is>
      </c>
      <c r="D31" s="18">
        <f>SUMIFS('Aciers'!$F$5:$F$23,'Aciers'!$A$5:$A$23,A31,'Aciers'!$C$5:$C$23,C31)</f>
        <v>4136.190920999999</v>
      </c>
      <c r="E31" s="21">
        <f>p_CHUTES</f>
        <v>1.05</v>
      </c>
      <c r="F31" s="18">
        <f>D31*E31</f>
        <v>4343.000467049999</v>
      </c>
      <c r="G31" s="22">
        <f>ROUNDUP(F31/(12*p_KG10),0)</f>
        <v>587.0</v>
      </c>
    </row>
    <row r="32">
      <c r="A32" s="23" t="n"/>
      <c r="B32" s="24" t="inlineStr">
        <is>
          <t>TOTAL HA12</t>
        </is>
      </c>
      <c r="C32" s="24" t="inlineStr">
        <is>
          <t>HA12</t>
        </is>
      </c>
      <c r="D32" s="25">
        <f>SUMIFS('Aciers'!$F$5:$F$23,'Aciers'!$C$5:$C$23,C32)</f>
        <v>274.7472</v>
      </c>
      <c r="E32" s="26">
        <f>p_CHUTES</f>
        <v>1.05</v>
      </c>
      <c r="F32" s="25">
        <f>D32*E32</f>
        <v>288.48456000000004</v>
      </c>
      <c r="G32" s="27">
        <f>ROUNDUP(F32/(12*p_KG12),0)</f>
        <v>28.0</v>
      </c>
    </row>
    <row r="33">
      <c r="A33" s="23" t="n"/>
      <c r="B33" s="24" t="inlineStr">
        <is>
          <t>TOTAL HA10</t>
        </is>
      </c>
      <c r="C33" s="24" t="inlineStr">
        <is>
          <t>HA10</t>
        </is>
      </c>
      <c r="D33" s="25">
        <f>SUMIFS('Aciers'!$F$5:$F$23,'Aciers'!$C$5:$C$23,C33)</f>
        <v>5706.173793702006</v>
      </c>
      <c r="E33" s="26">
        <f>p_CHUTES</f>
        <v>1.05</v>
      </c>
      <c r="F33" s="25">
        <f>D33*E33</f>
        <v>5991.482483387107</v>
      </c>
      <c r="G33" s="27">
        <f>ROUNDUP(F33/(12*p_KG10),0)</f>
        <v>810.0</v>
      </c>
    </row>
    <row r="34">
      <c r="A34" s="23" t="n"/>
      <c r="B34" s="24" t="inlineStr">
        <is>
          <t>TOTAL HA6</t>
        </is>
      </c>
      <c r="C34" s="24" t="inlineStr">
        <is>
          <t>HA6</t>
        </is>
      </c>
      <c r="D34" s="25">
        <f>SUMIFS('Aciers'!$F$5:$F$23,'Aciers'!$C$5:$C$23,C34)</f>
        <v>431.699023320176</v>
      </c>
      <c r="E34" s="26">
        <f>p_CHUTES</f>
        <v>1.05</v>
      </c>
      <c r="F34" s="25">
        <f>D34*E34</f>
        <v>453.28397448618483</v>
      </c>
      <c r="G34" s="27">
        <f>ROUNDUP(F34/(12*p_KG6),0)</f>
        <v>171.0</v>
      </c>
    </row>
  </sheetData>
  <pageMargins left="0.75" right="0.75" top="1" bottom="1" header="0.5" footer="0.5"/>
  <pageSetup orientation="landscape" paperSize="9" fitToHeight="0" fitToWidth="1"/>
  <headerFooter>
    <oddHeader>&amp;LASSEYA SILVER CONSTRUCTION - établi par Moulo Jean Claude&amp;RNomenclature des aciers</oddHeader>
    <oddFooter>&amp;LASSEYA SILVER CONSTRUCTION - N° CC 2245191 D - RCCM CI-BKE-01-2022-B13-00153&amp;RPage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70" customWidth="1" min="3" max="3"/>
    <col width="6" customWidth="1" min="4" max="4"/>
    <col width="70" customWidth="1" min="5" max="5"/>
    <col width="14" customWidth="1" min="6" max="6"/>
  </cols>
  <sheetData>
    <row r="1">
      <c r="A1" s="1" t="inlineStr">
        <is>
          <t>ASSEYA SILVER CONSTRUCTION - Construction métallique et bâtiment - Bouaké - Tél : 07 08 39 02 66 / 05 05 10 76 82 - Email : asseyasilver@gmail.com</t>
        </is>
      </c>
    </row>
    <row r="2">
      <c r="A2" s="2" t="inlineStr">
        <is>
          <t>Avant-métré - Bâtiment industriel 30,00 x 10,00 m - 04/10/2026 - établi par Moulo Jean Claude, Technicien Génie Civil BTP - BAEL 91 mod. 99 / EC2</t>
        </is>
      </c>
    </row>
    <row r="4" ht="30" customHeight="1">
      <c r="A4" s="7" t="inlineStr">
        <is>
          <t>N°</t>
        </is>
      </c>
      <c r="B4" s="7" t="inlineStr">
        <is>
          <t>Lot</t>
        </is>
      </c>
      <c r="C4" s="7" t="inlineStr">
        <is>
          <t>Désignation</t>
        </is>
      </c>
      <c r="D4" s="7" t="inlineStr">
        <is>
          <t>U</t>
        </is>
      </c>
      <c r="E4" s="7" t="inlineStr">
        <is>
          <t>Formule (noms de la feuille Paramètres)</t>
        </is>
      </c>
      <c r="F4" s="7" t="inlineStr">
        <is>
          <t>Quantité</t>
        </is>
      </c>
    </row>
    <row r="5">
      <c r="A5" s="8" t="inlineStr">
        <is>
          <t>LOT 0</t>
        </is>
      </c>
      <c r="B5" s="9" t="n"/>
      <c r="C5" s="8" t="inlineStr">
        <is>
          <t>INSTALLATION DE CHANTIER ET TRAVAUX PRÉPARATOIRES</t>
        </is>
      </c>
      <c r="D5" s="9" t="n"/>
      <c r="E5" s="9" t="n"/>
      <c r="F5" s="9" t="n"/>
    </row>
    <row r="6">
      <c r="A6" s="12" t="inlineStr">
        <is>
          <t>0.1</t>
        </is>
      </c>
      <c r="B6" s="12" t="n">
        <v>0</v>
      </c>
      <c r="C6" s="28" t="inlineStr">
        <is>
          <t>Installation et repli de chantier (magasin, clôture provisoire, eau, électricité, panneau)</t>
        </is>
      </c>
      <c r="D6" s="12" t="inlineStr">
        <is>
          <t>ft</t>
        </is>
      </c>
      <c r="E6" s="28" t="inlineStr">
        <is>
          <t>1</t>
        </is>
      </c>
      <c r="F6" s="18">
        <f>1</f>
        <v>1.0</v>
      </c>
    </row>
    <row r="7">
      <c r="A7" s="12" t="inlineStr">
        <is>
          <t>0.2</t>
        </is>
      </c>
      <c r="B7" s="12" t="n">
        <v>0</v>
      </c>
      <c r="C7" s="28" t="inlineStr">
        <is>
          <t>Débroussaillage et décapage de la terre végétale ép. 10 cm</t>
        </is>
      </c>
      <c r="D7" s="12" t="inlineStr">
        <is>
          <t>m²</t>
        </is>
      </c>
      <c r="E7" s="28" t="inlineStr">
        <is>
          <t>(p_L+4)*(p_B+4)</t>
        </is>
      </c>
      <c r="F7" s="18">
        <f>(p_L+4)*(p_B+4)</f>
        <v>476.0</v>
      </c>
    </row>
    <row r="8">
      <c r="A8" s="12" t="inlineStr">
        <is>
          <t>0.3</t>
        </is>
      </c>
      <c r="B8" s="12" t="n">
        <v>0</v>
      </c>
      <c r="C8" s="28" t="inlineStr">
        <is>
          <t>Implantation du bâtiment (chaises, cordeaux, axes et niveaux)</t>
        </is>
      </c>
      <c r="D8" s="12" t="inlineStr">
        <is>
          <t>ft</t>
        </is>
      </c>
      <c r="E8" s="28" t="inlineStr">
        <is>
          <t>1</t>
        </is>
      </c>
      <c r="F8" s="18">
        <f>1</f>
        <v>1.0</v>
      </c>
    </row>
    <row r="9">
      <c r="A9" s="8" t="inlineStr">
        <is>
          <t>LOT 1</t>
        </is>
      </c>
      <c r="B9" s="9" t="n"/>
      <c r="C9" s="8" t="inlineStr">
        <is>
          <t>TERRASSEMENTS</t>
        </is>
      </c>
      <c r="D9" s="9" t="n"/>
      <c r="E9" s="9" t="n"/>
      <c r="F9" s="9" t="n"/>
    </row>
    <row r="10">
      <c r="A10" s="12" t="inlineStr">
        <is>
          <t>1.1</t>
        </is>
      </c>
      <c r="B10" s="12" t="n">
        <v>1</v>
      </c>
      <c r="C10" s="28" t="inlineStr">
        <is>
          <t>Fouilles en rigole 0,60 x 1,20 m en terrain latéritique</t>
        </is>
      </c>
      <c r="D10" s="12" t="inlineStr">
        <is>
          <t>m³</t>
        </is>
      </c>
      <c r="E10" s="28" t="inlineStr">
        <is>
          <t>p_VRIG</t>
        </is>
      </c>
      <c r="F10" s="18">
        <f>p_VRIG</f>
        <v>57.599999999999994</v>
      </c>
    </row>
    <row r="11">
      <c r="A11" s="12" t="inlineStr">
        <is>
          <t>1.2</t>
        </is>
      </c>
      <c r="B11" s="12" t="n">
        <v>1</v>
      </c>
      <c r="C11" s="28" t="inlineStr">
        <is>
          <t>Fouilles en puits 1,00 x 1,00 x 1,20 m pour semelles isolées 80x80 (complément)</t>
        </is>
      </c>
      <c r="D11" s="12" t="inlineStr">
        <is>
          <t>m³</t>
        </is>
      </c>
      <c r="E11" s="28" t="inlineStr">
        <is>
          <t>p_VPUI</t>
        </is>
      </c>
      <c r="F11" s="18">
        <f>p_VPUI</f>
        <v>8.16</v>
      </c>
    </row>
    <row r="12">
      <c r="A12" s="12" t="inlineStr">
        <is>
          <t>1.3</t>
        </is>
      </c>
      <c r="B12" s="12" t="n">
        <v>1</v>
      </c>
      <c r="C12" s="28" t="inlineStr">
        <is>
          <t>Remblai des fouilles avec les terres extraites, compacté par couches de 20 cm</t>
        </is>
      </c>
      <c r="D12" s="12" t="inlineStr">
        <is>
          <t>m³</t>
        </is>
      </c>
      <c r="E12" s="28" t="inlineStr">
        <is>
          <t>p_VRIG+p_VPUI-p_VENT</t>
        </is>
      </c>
      <c r="F12" s="18">
        <f>p_VRIG+p_VPUI-p_VENT</f>
        <v>41.855249999999984</v>
      </c>
    </row>
    <row r="13">
      <c r="A13" s="12" t="inlineStr">
        <is>
          <t>1.4</t>
        </is>
      </c>
      <c r="B13" s="12" t="n">
        <v>1</v>
      </c>
      <c r="C13" s="28" t="inlineStr">
        <is>
          <t>Évacuation des terres excédentaires des fouilles</t>
        </is>
      </c>
      <c r="D13" s="12" t="inlineStr">
        <is>
          <t>m³</t>
        </is>
      </c>
      <c r="E13" s="28" t="inlineStr">
        <is>
          <t>p_VENT*p_FOIS</t>
        </is>
      </c>
      <c r="F13" s="18">
        <f>p_VENT*p_FOIS</f>
        <v>29.880937500000005</v>
      </c>
    </row>
    <row r="14">
      <c r="A14" s="12" t="inlineStr">
        <is>
          <t>1.5</t>
        </is>
      </c>
      <c r="B14" s="12" t="n">
        <v>1</v>
      </c>
      <c r="C14" s="28" t="inlineStr">
        <is>
          <t>Traitement anti-termites des fonds de fouilles</t>
        </is>
      </c>
      <c r="D14" s="12" t="inlineStr">
        <is>
          <t>m²</t>
        </is>
      </c>
      <c r="E14" s="28" t="inlineStr">
        <is>
          <t>p_P*p_FRL+p_NPIL*(p_FPA*p_FPA-p_FRL*p_FPA)</t>
        </is>
      </c>
      <c r="F14" s="18">
        <f>p_P*p_FRL+p_NPIL*(p_FPA*p_FPA-p_FRL*p_FPA)</f>
        <v>54.8</v>
      </c>
    </row>
    <row r="15">
      <c r="A15" s="8" t="inlineStr">
        <is>
          <t>LOT 2</t>
        </is>
      </c>
      <c r="B15" s="9" t="n"/>
      <c r="C15" s="8" t="inlineStr">
        <is>
          <t>FONDATIONS</t>
        </is>
      </c>
      <c r="D15" s="9" t="n"/>
      <c r="E15" s="9" t="n"/>
      <c r="F15" s="9" t="n"/>
    </row>
    <row r="16">
      <c r="A16" s="12" t="inlineStr">
        <is>
          <t>2.1</t>
        </is>
      </c>
      <c r="B16" s="12" t="n">
        <v>2</v>
      </c>
      <c r="C16" s="28" t="inlineStr">
        <is>
          <t>Béton de propreté dosé à 150 kg/m³, ép. 5 cm</t>
        </is>
      </c>
      <c r="D16" s="12" t="inlineStr">
        <is>
          <t>m³</t>
        </is>
      </c>
      <c r="E16" s="28" t="inlineStr">
        <is>
          <t>p_VPROP</t>
        </is>
      </c>
      <c r="F16" s="18">
        <f>p_VPROP</f>
        <v>2.74</v>
      </c>
    </row>
    <row r="17">
      <c r="A17" s="12" t="inlineStr">
        <is>
          <t>2.2</t>
        </is>
      </c>
      <c r="B17" s="12" t="n">
        <v>2</v>
      </c>
      <c r="C17" s="28" t="inlineStr">
        <is>
          <t>Béton armé dosé à 350 kg/m³ pour semelles isolées 0,80 x 0,80 x 0,30</t>
        </is>
      </c>
      <c r="D17" s="12" t="inlineStr">
        <is>
          <t>m³</t>
        </is>
      </c>
      <c r="E17" s="28" t="inlineStr">
        <is>
          <t>p_VSI</t>
        </is>
      </c>
      <c r="F17" s="18">
        <f>p_VSI</f>
        <v>3.2640000000000007</v>
      </c>
    </row>
    <row r="18">
      <c r="A18" s="12" t="inlineStr">
        <is>
          <t>2.3</t>
        </is>
      </c>
      <c r="B18" s="12" t="n">
        <v>2</v>
      </c>
      <c r="C18" s="28" t="inlineStr">
        <is>
          <t>Béton armé dosé à 350 kg/m³ pour fûts 40 x 40 sous platines des IPE (de -0,85 à ±0,00)</t>
        </is>
      </c>
      <c r="D18" s="12" t="inlineStr">
        <is>
          <t>m³</t>
        </is>
      </c>
      <c r="E18" s="28" t="inlineStr">
        <is>
          <t>p_NPIL*p_AFUT*p_AFUT*p_HENT</t>
        </is>
      </c>
      <c r="F18" s="18">
        <f>p_NPIL*p_AFUT*p_AFUT*p_HENT</f>
        <v>2.3120000000000003</v>
      </c>
    </row>
    <row r="19">
      <c r="A19" s="12" t="inlineStr">
        <is>
          <t>2.4</t>
        </is>
      </c>
      <c r="B19" s="12" t="n">
        <v>2</v>
      </c>
      <c r="C19" s="28" t="inlineStr">
        <is>
          <t>Fourniture et scellement des tiges d'ancrage M20 des IPE (gabarit de pose, 4 par pilier)</t>
        </is>
      </c>
      <c r="D19" s="12" t="inlineStr">
        <is>
          <t>u</t>
        </is>
      </c>
      <c r="E19" s="28" t="inlineStr">
        <is>
          <t>p_NPIL*p_NTIG</t>
        </is>
      </c>
      <c r="F19" s="18">
        <f>p_NPIL*p_NTIG</f>
        <v>68.0</v>
      </c>
    </row>
    <row r="20">
      <c r="A20" s="12" t="inlineStr">
        <is>
          <t>2.5</t>
        </is>
      </c>
      <c r="B20" s="12" t="n">
        <v>2</v>
      </c>
      <c r="C20" s="28" t="inlineStr">
        <is>
          <t>Béton armé dosé à 350 kg/m³ pour semelle filante 0,40 x 0,15</t>
        </is>
      </c>
      <c r="D20" s="12" t="inlineStr">
        <is>
          <t>m³</t>
        </is>
      </c>
      <c r="E20" s="28" t="inlineStr">
        <is>
          <t>p_VSF</t>
        </is>
      </c>
      <c r="F20" s="18">
        <f>p_VSF</f>
        <v>3.984</v>
      </c>
    </row>
    <row r="21">
      <c r="A21" s="12" t="inlineStr">
        <is>
          <t>2.6</t>
        </is>
      </c>
      <c r="B21" s="12" t="n">
        <v>2</v>
      </c>
      <c r="C21" s="28" t="inlineStr">
        <is>
          <t>Maçonnerie d'agglos 15 pleins en fondation h = 1,00 m, mortier dosé à 300 kg/m³</t>
        </is>
      </c>
      <c r="D21" s="12" t="inlineStr">
        <is>
          <t>m²</t>
        </is>
      </c>
      <c r="E21" s="28" t="inlineStr">
        <is>
          <t>p_LNET*p_HFOND</t>
        </is>
      </c>
      <c r="F21" s="18">
        <f>p_LNET*p_HFOND</f>
        <v>73.03</v>
      </c>
    </row>
    <row r="22">
      <c r="A22" s="12" t="inlineStr">
        <is>
          <t>2.7</t>
        </is>
      </c>
      <c r="B22" s="12" t="n">
        <v>2</v>
      </c>
      <c r="C22" s="28" t="inlineStr">
        <is>
          <t>Béton armé dosé à 350 kg/m³ pour chaînage bas 15 x 20</t>
        </is>
      </c>
      <c r="D22" s="12" t="inlineStr">
        <is>
          <t>m³</t>
        </is>
      </c>
      <c r="E22" s="28" t="inlineStr">
        <is>
          <t>p_LNET*p_BCH*p_HCH</t>
        </is>
      </c>
      <c r="F22" s="18">
        <f>p_LNET*p_BCH*p_HCH</f>
        <v>2.1909</v>
      </c>
    </row>
    <row r="23">
      <c r="A23" s="12" t="inlineStr">
        <is>
          <t>2.8</t>
        </is>
      </c>
      <c r="B23" s="12" t="n">
        <v>2</v>
      </c>
      <c r="C23" s="28" t="inlineStr">
        <is>
          <t>Chape d'arase étanche (mortier dosé à 400 kg/m³ + hydrofuge) ép. 3 cm</t>
        </is>
      </c>
      <c r="D23" s="12" t="inlineStr">
        <is>
          <t>m²</t>
        </is>
      </c>
      <c r="E23" s="28" t="inlineStr">
        <is>
          <t>p_LNET*p_EP</t>
        </is>
      </c>
      <c r="F23" s="18">
        <f>p_LNET*p_EP</f>
        <v>10.9545</v>
      </c>
    </row>
    <row r="24">
      <c r="A24" s="12" t="inlineStr">
        <is>
          <t>2.9</t>
        </is>
      </c>
      <c r="B24" s="12" t="n">
        <v>2</v>
      </c>
      <c r="C24" s="28" t="inlineStr">
        <is>
          <t>Coffrage en bois ordinaire (semelles isolées, fûts, chaînage bas)</t>
        </is>
      </c>
      <c r="D24" s="12" t="inlineStr">
        <is>
          <t>m²</t>
        </is>
      </c>
      <c r="E24" s="28" t="inlineStr">
        <is>
          <t>p_NPIL*4*(p_SIA*p_SIH+p_AFUT*p_HENT)+2*p_HCH*p_LNET</t>
        </is>
      </c>
      <c r="F24" s="18">
        <f>p_NPIL*4*(p_SIA*p_SIH+p_AFUT*p_HENT)+2*p_HCH*p_LNET</f>
        <v>68.652</v>
      </c>
    </row>
    <row r="25">
      <c r="A25" s="12" t="inlineStr">
        <is>
          <t>2.10</t>
        </is>
      </c>
      <c r="B25" s="12" t="n">
        <v>2</v>
      </c>
      <c r="C25" s="28" t="inlineStr">
        <is>
          <t>Armatures HA12 FeE500 - semelles isolées 80x80 et fûts</t>
        </is>
      </c>
      <c r="D25" s="12" t="inlineStr">
        <is>
          <t>kg</t>
        </is>
      </c>
      <c r="E25" s="28" t="inlineStr">
        <is>
          <t>Nomenclature des aciers - lot 2 - HA12 (y compris chutes)</t>
        </is>
      </c>
      <c r="F25" s="18">
        <f>'Aciers'!$F$26</f>
        <v>288.48456000000004</v>
      </c>
    </row>
    <row r="26">
      <c r="A26" s="12" t="inlineStr">
        <is>
          <t>2.11</t>
        </is>
      </c>
      <c r="B26" s="12" t="n">
        <v>2</v>
      </c>
      <c r="C26" s="28" t="inlineStr">
        <is>
          <t>Armatures HA10 FeE500 - fondations</t>
        </is>
      </c>
      <c r="D26" s="12" t="inlineStr">
        <is>
          <t>kg</t>
        </is>
      </c>
      <c r="E26" s="28" t="inlineStr">
        <is>
          <t>Nomenclature des aciers - lot 2 - HA10 (y compris chutes)</t>
        </is>
      </c>
      <c r="F26" s="18">
        <f>'Aciers'!$F$27</f>
        <v>445.7208</v>
      </c>
    </row>
    <row r="27">
      <c r="A27" s="12" t="inlineStr">
        <is>
          <t>2.12</t>
        </is>
      </c>
      <c r="B27" s="12" t="n">
        <v>2</v>
      </c>
      <c r="C27" s="28" t="inlineStr">
        <is>
          <t>Armatures HA6 FeE500 - fondations</t>
        </is>
      </c>
      <c r="D27" s="12" t="inlineStr">
        <is>
          <t>kg</t>
        </is>
      </c>
      <c r="E27" s="28" t="inlineStr">
        <is>
          <t>Nomenclature des aciers - lot 2 - HA6 (y compris chutes)</t>
        </is>
      </c>
      <c r="F27" s="18">
        <f>'Aciers'!$F$28</f>
        <v>136.73646</v>
      </c>
    </row>
    <row r="28">
      <c r="A28" s="8" t="inlineStr">
        <is>
          <t>LOT 3</t>
        </is>
      </c>
      <c r="B28" s="9" t="n"/>
      <c r="C28" s="8" t="inlineStr">
        <is>
          <t>ÉLÉVATION (MAÇONNERIE ET BÉTON ARMÉ)</t>
        </is>
      </c>
      <c r="D28" s="9" t="n"/>
      <c r="E28" s="9" t="n"/>
      <c r="F28" s="9" t="n"/>
    </row>
    <row r="29">
      <c r="A29" s="12" t="inlineStr">
        <is>
          <t>3.1</t>
        </is>
      </c>
      <c r="B29" s="12" t="n">
        <v>3</v>
      </c>
      <c r="C29" s="28" t="inlineStr">
        <is>
          <t>Maçonnerie d'agglos 15 pleins en élévation, mortier dosé à 300 kg/m³ (y compris pignons)</t>
        </is>
      </c>
      <c r="D29" s="12" t="inlineStr">
        <is>
          <t>m²</t>
        </is>
      </c>
      <c r="E29" s="28" t="inlineStr">
        <is>
          <t>p_LCHI*p_HM+p_PL*((p_H-p_HCH)-(p_PH+p_LINH))+2*p_PIGN</t>
        </is>
      </c>
      <c r="F29" s="18">
        <f>p_LCHI*p_HM+p_PL*((p_H-p_HCH)-(p_PH+p_LINH))+2*p_PIGN</f>
        <v>373.89258829184433</v>
      </c>
    </row>
    <row r="30">
      <c r="A30" s="12" t="inlineStr">
        <is>
          <t>3.2</t>
        </is>
      </c>
      <c r="B30" s="12" t="n">
        <v>3</v>
      </c>
      <c r="C30" s="28" t="inlineStr">
        <is>
          <t>Béton armé dosé à 350 kg/m³ pour poteaux 15 x 15 (2 par pilier IPE), de -0,85 à +6,00</t>
        </is>
      </c>
      <c r="D30" s="12" t="inlineStr">
        <is>
          <t>m³</t>
        </is>
      </c>
      <c r="E30" s="28" t="inlineStr">
        <is>
          <t>p_NPIL*p_NPO*p_APO*p_APO*p_HPO+p_NPO*p_APO*p_APO*p_FL</t>
        </is>
      </c>
      <c r="F30" s="18">
        <f>p_NPIL*p_NPO*p_APO*p_APO*p_HPO+p_NPO*p_APO*p_APO*p_FL</f>
        <v>5.285249999999999</v>
      </c>
    </row>
    <row r="31">
      <c r="A31" s="12" t="inlineStr">
        <is>
          <t>3.3</t>
        </is>
      </c>
      <c r="B31" s="12" t="n">
        <v>3</v>
      </c>
      <c r="C31" s="28" t="inlineStr">
        <is>
          <t>Béton armé dosé à 350 kg/m³ pour chaînage intermédiaire 15 x 20 à +3,00</t>
        </is>
      </c>
      <c r="D31" s="12" t="inlineStr">
        <is>
          <t>m³</t>
        </is>
      </c>
      <c r="E31" s="28" t="inlineStr">
        <is>
          <t>p_LCHI*p_BCH*p_HCH</t>
        </is>
      </c>
      <c r="F31" s="18">
        <f>p_LCHI*p_BCH*p_HCH</f>
        <v>2.0109</v>
      </c>
    </row>
    <row r="32">
      <c r="A32" s="12" t="inlineStr">
        <is>
          <t>3.4</t>
        </is>
      </c>
      <c r="B32" s="12" t="n">
        <v>3</v>
      </c>
      <c r="C32" s="28" t="inlineStr">
        <is>
          <t>Béton armé dosé à 350 kg/m³ pour chaînage haut 15 x 20</t>
        </is>
      </c>
      <c r="D32" s="12" t="inlineStr">
        <is>
          <t>m³</t>
        </is>
      </c>
      <c r="E32" s="28" t="inlineStr">
        <is>
          <t>p_LNET*p_BCH*p_HCH</t>
        </is>
      </c>
      <c r="F32" s="18">
        <f>p_LNET*p_BCH*p_HCH</f>
        <v>2.1909</v>
      </c>
    </row>
    <row r="33">
      <c r="A33" s="12" t="inlineStr">
        <is>
          <t>3.5</t>
        </is>
      </c>
      <c r="B33" s="12" t="n">
        <v>3</v>
      </c>
      <c r="C33" s="28" t="inlineStr">
        <is>
          <t>Béton armé dosé à 350 kg/m³ pour linteau de l'entrée 15 x 40</t>
        </is>
      </c>
      <c r="D33" s="12" t="inlineStr">
        <is>
          <t>m³</t>
        </is>
      </c>
      <c r="E33" s="28" t="inlineStr">
        <is>
          <t>p_PL*p_BCH*p_LINH</t>
        </is>
      </c>
      <c r="F33" s="18">
        <f>p_PL*p_BCH*p_LINH</f>
        <v>0.36</v>
      </c>
    </row>
    <row r="34">
      <c r="A34" s="12" t="inlineStr">
        <is>
          <t>3.6</t>
        </is>
      </c>
      <c r="B34" s="12" t="n">
        <v>3</v>
      </c>
      <c r="C34" s="28" t="inlineStr">
        <is>
          <t>Béton armé dosé à 350 kg/m³ pour chaînages rampants 15 x 15 (pente 20 %)</t>
        </is>
      </c>
      <c r="D34" s="12" t="inlineStr">
        <is>
          <t>m³</t>
        </is>
      </c>
      <c r="E34" s="28" t="inlineStr">
        <is>
          <t>4*(p_RAMP-0.20)*0.15*0.15</t>
        </is>
      </c>
      <c r="F34" s="18">
        <f>4*(p_RAMP-0.20)*0.15*0.15</f>
        <v>0.44091175622335055</v>
      </c>
    </row>
    <row r="35">
      <c r="A35" s="12" t="inlineStr">
        <is>
          <t>3.7</t>
        </is>
      </c>
      <c r="B35" s="12" t="n">
        <v>3</v>
      </c>
      <c r="C35" s="28" t="inlineStr">
        <is>
          <t>Coffrage en bois ordinaire (poteaux, chaînages, linteau, rampants)</t>
        </is>
      </c>
      <c r="D35" s="12" t="inlineStr">
        <is>
          <t>m²</t>
        </is>
      </c>
      <c r="E35" s="28" t="inlineStr">
        <is>
          <t>3*p_APO*p_NPO*(p_NPIL*p_HPO+p_FL)+2*p_HCH*(p_LCHI+p_LNET)+(2*p_LINH+p_BCH)*p_PL+2*0.15*4*(p_RAMP-0.20)</t>
        </is>
      </c>
      <c r="F35" s="18">
        <f>3*p_APO*p_NPO*(p_NPIL*p_HPO+p_FL)+2*p_HCH*(p_LCHI+p_LNET)+(2*p_LINH+p_BCH)*p_PL+2*0.15*4*(p_RAMP-0.20)</f>
        <v>173.30782341631132</v>
      </c>
    </row>
    <row r="36">
      <c r="A36" s="12" t="inlineStr">
        <is>
          <t>3.8</t>
        </is>
      </c>
      <c r="B36" s="12" t="n">
        <v>3</v>
      </c>
      <c r="C36" s="28" t="inlineStr">
        <is>
          <t>Armatures HA10 FeE500 - élévation</t>
        </is>
      </c>
      <c r="D36" s="12" t="inlineStr">
        <is>
          <t>kg</t>
        </is>
      </c>
      <c r="E36" s="28" t="inlineStr">
        <is>
          <t>Nomenclature des aciers - lot 3 - HA10 (y compris chutes)</t>
        </is>
      </c>
      <c r="F36" s="18">
        <f>'Aciers'!$F$29</f>
        <v>1202.7612163371073</v>
      </c>
    </row>
    <row r="37">
      <c r="A37" s="12" t="inlineStr">
        <is>
          <t>3.9</t>
        </is>
      </c>
      <c r="B37" s="12" t="n">
        <v>3</v>
      </c>
      <c r="C37" s="28" t="inlineStr">
        <is>
          <t>Armatures HA6 FeE500 - élévation</t>
        </is>
      </c>
      <c r="D37" s="12" t="inlineStr">
        <is>
          <t>kg</t>
        </is>
      </c>
      <c r="E37" s="28" t="inlineStr">
        <is>
          <t>Nomenclature des aciers - lot 3 - HA6 (y compris chutes)</t>
        </is>
      </c>
      <c r="F37" s="18">
        <f>'Aciers'!$F$30</f>
        <v>316.5475144861848</v>
      </c>
    </row>
    <row r="38">
      <c r="A38" s="8" t="inlineStr">
        <is>
          <t>LOT 4</t>
        </is>
      </c>
      <c r="B38" s="9" t="n"/>
      <c r="C38" s="8" t="inlineStr">
        <is>
          <t>STRUCTURE MÉTALLIQUE : PILIERS IPE 220 ET CONTREVENTEMENTS</t>
        </is>
      </c>
      <c r="D38" s="9" t="n"/>
      <c r="E38" s="9" t="n"/>
      <c r="F38" s="9" t="n"/>
    </row>
    <row r="39">
      <c r="A39" s="12" t="inlineStr">
        <is>
          <t>4.1</t>
        </is>
      </c>
      <c r="B39" s="12" t="n">
        <v>4</v>
      </c>
      <c r="C39" s="28" t="inlineStr">
        <is>
          <t>Piliers en IPE 220 (S235) de ±0,00 à +6,00, fournis, fabriqués, peints et posés</t>
        </is>
      </c>
      <c r="D39" s="12" t="inlineStr">
        <is>
          <t>kg</t>
        </is>
      </c>
      <c r="E39" s="28" t="inlineStr">
        <is>
          <t>p_LIPE*p_KGIPE</t>
        </is>
      </c>
      <c r="F39" s="18">
        <f>p_LIPE*p_KGIPE</f>
        <v>2698.6</v>
      </c>
    </row>
    <row r="40">
      <c r="A40" s="12" t="inlineStr">
        <is>
          <t>4.2</t>
        </is>
      </c>
      <c r="B40" s="12" t="n">
        <v>4</v>
      </c>
      <c r="C40" s="28" t="inlineStr">
        <is>
          <t>Platines de pied et de tête 15 mm + raidisseurs, soudées</t>
        </is>
      </c>
      <c r="D40" s="12" t="inlineStr">
        <is>
          <t>kg</t>
        </is>
      </c>
      <c r="E40" s="28" t="inlineStr">
        <is>
          <t>p_NPIL*p_KGPLA</t>
        </is>
      </c>
      <c r="F40" s="18">
        <f>p_NPIL*p_KGPLA</f>
        <v>255.0</v>
      </c>
    </row>
    <row r="41">
      <c r="A41" s="12" t="inlineStr">
        <is>
          <t>4.3</t>
        </is>
      </c>
      <c r="B41" s="12" t="n">
        <v>4</v>
      </c>
      <c r="C41" s="28" t="inlineStr">
        <is>
          <t>Calage et scellement des platines au mortier sans retrait</t>
        </is>
      </c>
      <c r="D41" s="12" t="inlineStr">
        <is>
          <t>u</t>
        </is>
      </c>
      <c r="E41" s="28" t="inlineStr">
        <is>
          <t>p_NPIL</t>
        </is>
      </c>
      <c r="F41" s="18">
        <f>p_NPIL</f>
        <v>17.0</v>
      </c>
    </row>
    <row r="42">
      <c r="A42" s="12" t="inlineStr">
        <is>
          <t>4.4</t>
        </is>
      </c>
      <c r="B42" s="12" t="n">
        <v>4</v>
      </c>
      <c r="C42" s="28" t="inlineStr">
        <is>
          <t>Contreventements en cornières 50x50x5 : palées verticales en long pan et poutre au vent en toiture (goussets et boulons compris)</t>
        </is>
      </c>
      <c r="D42" s="12" t="inlineStr">
        <is>
          <t>kg</t>
        </is>
      </c>
      <c r="E42" s="28" t="inlineStr">
        <is>
          <t>p_LCOR*p_KGCOR*p_GOUS</t>
        </is>
      </c>
      <c r="F42" s="18">
        <f>p_LCOR*p_KGCOR*p_GOUS</f>
        <v>496.0368727932168</v>
      </c>
    </row>
    <row r="43">
      <c r="A43" s="8" t="inlineStr">
        <is>
          <t>LOT 5</t>
        </is>
      </c>
      <c r="B43" s="9" t="n"/>
      <c r="C43" s="8" t="inlineStr">
        <is>
          <t>FORME EN LATÉRITE ET DALLAGE BA 20 cm</t>
        </is>
      </c>
      <c r="D43" s="9" t="n"/>
      <c r="E43" s="9" t="n"/>
      <c r="F43" s="9" t="n"/>
    </row>
    <row r="44">
      <c r="A44" s="12" t="inlineStr">
        <is>
          <t>5.1</t>
        </is>
      </c>
      <c r="B44" s="12" t="n">
        <v>5</v>
      </c>
      <c r="C44" s="28" t="inlineStr">
        <is>
          <t>Décaissement / purge intérieure du sol de mauvaise portance (ép. = épaisseur de latérite) et évacuation</t>
        </is>
      </c>
      <c r="D44" s="12" t="inlineStr">
        <is>
          <t>m³</t>
        </is>
      </c>
      <c r="E44" s="28" t="inlineStr">
        <is>
          <t>p_SINT*p_EPLAT</t>
        </is>
      </c>
      <c r="F44" s="18">
        <f>p_SINT*p_EPLAT</f>
        <v>117.609</v>
      </c>
    </row>
    <row r="45">
      <c r="A45" s="12" t="inlineStr">
        <is>
          <t>5.2</t>
        </is>
      </c>
      <c r="B45" s="12" t="n">
        <v>5</v>
      </c>
      <c r="C45" s="28" t="inlineStr">
        <is>
          <t>Rechargement en latérite d'emprunt à l'intérieur, mis en œuvre par couches de 20 cm, arrosé et compacté à 95 % OPM</t>
        </is>
      </c>
      <c r="D45" s="12" t="inlineStr">
        <is>
          <t>m³</t>
        </is>
      </c>
      <c r="E45" s="28" t="inlineStr">
        <is>
          <t>p_SINT*p_EPLAT</t>
        </is>
      </c>
      <c r="F45" s="18">
        <f>p_SINT*p_EPLAT</f>
        <v>117.609</v>
      </c>
    </row>
    <row r="46">
      <c r="A46" s="12" t="inlineStr">
        <is>
          <t>5.3</t>
        </is>
      </c>
      <c r="B46" s="12" t="n">
        <v>5</v>
      </c>
      <c r="C46" s="28" t="inlineStr">
        <is>
          <t>Essais de contrôle (Proctor modifié, densités in situ par couche, éprouvettes béton)</t>
        </is>
      </c>
      <c r="D46" s="12" t="inlineStr">
        <is>
          <t>ft</t>
        </is>
      </c>
      <c r="E46" s="28" t="inlineStr">
        <is>
          <t>1</t>
        </is>
      </c>
      <c r="F46" s="18">
        <f>1</f>
        <v>1.0</v>
      </c>
    </row>
    <row r="47">
      <c r="A47" s="12" t="inlineStr">
        <is>
          <t>5.4</t>
        </is>
      </c>
      <c r="B47" s="12" t="n">
        <v>5</v>
      </c>
      <c r="C47" s="28" t="inlineStr">
        <is>
          <t>Traitement anti-termites sous dallage</t>
        </is>
      </c>
      <c r="D47" s="12" t="inlineStr">
        <is>
          <t>m²</t>
        </is>
      </c>
      <c r="E47" s="28" t="inlineStr">
        <is>
          <t>p_SINT</t>
        </is>
      </c>
      <c r="F47" s="18">
        <f>p_SINT</f>
        <v>294.0225</v>
      </c>
    </row>
    <row r="48">
      <c r="A48" s="12" t="inlineStr">
        <is>
          <t>5.5</t>
        </is>
      </c>
      <c r="B48" s="12" t="n">
        <v>5</v>
      </c>
      <c r="C48" s="28" t="inlineStr">
        <is>
          <t>Film polyane 150 µ sous dallage (recouvrements 10 %)</t>
        </is>
      </c>
      <c r="D48" s="12" t="inlineStr">
        <is>
          <t>m²</t>
        </is>
      </c>
      <c r="E48" s="28" t="inlineStr">
        <is>
          <t>p_SINT*1.10</t>
        </is>
      </c>
      <c r="F48" s="18">
        <f>p_SINT*1.10</f>
        <v>323.42475</v>
      </c>
    </row>
    <row r="49">
      <c r="A49" s="12" t="inlineStr">
        <is>
          <t>5.6</t>
        </is>
      </c>
      <c r="B49" s="12" t="n">
        <v>5</v>
      </c>
      <c r="C49" s="28" t="inlineStr">
        <is>
          <t>Armatures HA10 FeE500 - dallage double nappe e = 20 cm + chaises</t>
        </is>
      </c>
      <c r="D49" s="12" t="inlineStr">
        <is>
          <t>kg</t>
        </is>
      </c>
      <c r="E49" s="28" t="inlineStr">
        <is>
          <t>Nomenclature des aciers - lot 5 - HA10 (y compris chutes)</t>
        </is>
      </c>
      <c r="F49" s="18">
        <f>'Aciers'!$F$31</f>
        <v>4343.000467049999</v>
      </c>
    </row>
    <row r="50">
      <c r="A50" s="12" t="inlineStr">
        <is>
          <t>5.7</t>
        </is>
      </c>
      <c r="B50" s="12" t="n">
        <v>5</v>
      </c>
      <c r="C50" s="28" t="inlineStr">
        <is>
          <t>Béton armé dosé à 350 kg/m³ pour dallage ép. 20 cm, vibré et surfacé</t>
        </is>
      </c>
      <c r="D50" s="12" t="inlineStr">
        <is>
          <t>m³</t>
        </is>
      </c>
      <c r="E50" s="28" t="inlineStr">
        <is>
          <t>p_SINT*p_EPDAL</t>
        </is>
      </c>
      <c r="F50" s="18">
        <f>p_SINT*p_EPDAL</f>
        <v>58.8045</v>
      </c>
    </row>
    <row r="51">
      <c r="A51" s="12" t="inlineStr">
        <is>
          <t>5.8</t>
        </is>
      </c>
      <c r="B51" s="12" t="n">
        <v>5</v>
      </c>
      <c r="C51" s="28" t="inlineStr">
        <is>
          <t>Joints de retrait sciés (maille 5 m) et joint périphérique</t>
        </is>
      </c>
      <c r="D51" s="12" t="inlineStr">
        <is>
          <t>ml</t>
        </is>
      </c>
      <c r="E51" s="28" t="inlineStr">
        <is>
          <t>(p_L/p_ESP-1)*(p_B-p_EP)+(ROUNDUP(p_B/p_ESP,0)-1)*(p_L-p_EP)+2*(p_L+p_B-2*p_EP)</t>
        </is>
      </c>
      <c r="F51" s="18">
        <f>(p_L/p_ESP-1)*(p_B-p_EP)+(ROUNDUP(p_B/p_ESP,0)-1)*(p_L-p_EP)+2*(p_L+p_B-2*p_EP)</f>
        <v>158.5</v>
      </c>
    </row>
    <row r="52">
      <c r="A52" s="8" t="inlineStr">
        <is>
          <t>LOT 6</t>
        </is>
      </c>
      <c r="B52" s="9" t="n"/>
      <c r="C52" s="8" t="inlineStr">
        <is>
          <t>ENDUITS (OPTION)</t>
        </is>
      </c>
      <c r="D52" s="9" t="n"/>
      <c r="E52" s="9" t="n"/>
      <c r="F52" s="9" t="n"/>
    </row>
    <row r="53">
      <c r="A53" s="12" t="inlineStr">
        <is>
          <t>6.1</t>
        </is>
      </c>
      <c r="B53" s="12" t="n">
        <v>6</v>
      </c>
      <c r="C53" s="28" t="inlineStr">
        <is>
          <t>Enduit au mortier dosé à 300 kg/m³ ép. 2 cm, intérieur et extérieur</t>
        </is>
      </c>
      <c r="D53" s="12" t="inlineStr">
        <is>
          <t>m²</t>
        </is>
      </c>
      <c r="E53" s="28" t="inlineStr">
        <is>
          <t>2*(p_L+p_B+2*p_EP)*(p_H+0.20)+p_B*p_FL-p_PL*p_PH+2*(p_L+p_B-2*p_EP)*(p_H-p_EPDAL)+p_B*p_FL-p_PL*p_PH</t>
        </is>
      </c>
      <c r="F53" s="18">
        <f>2*(p_L+p_B+2*p_EP)*(p_H+0.20)+p_B*p_FL-p_PL*p_PH+2*(p_L+p_B-2*p_EP)*(p_H-p_EPDAL)+p_B*p_FL-p_PL*p_PH</f>
        <v>926.24</v>
      </c>
    </row>
    <row r="54">
      <c r="A54" s="8" t="inlineStr">
        <is>
          <t>LOT 7</t>
        </is>
      </c>
      <c r="B54" s="9" t="n"/>
      <c r="C54" s="8" t="inlineStr">
        <is>
          <t>CHARPENTE DE TOITURE ET COUVERTURE - PENTE 20 % (OPTION)</t>
        </is>
      </c>
      <c r="D54" s="9" t="n"/>
      <c r="E54" s="9" t="n"/>
      <c r="F54" s="9" t="n"/>
    </row>
    <row r="55">
      <c r="A55" s="12" t="inlineStr">
        <is>
          <t>7.1</t>
        </is>
      </c>
      <c r="B55" s="12" t="n">
        <v>7</v>
      </c>
      <c r="C55" s="28" t="inlineStr">
        <is>
          <t>Fermes / traverses de toiture sur têtes d'IPE 220 (hors pannes) - ratio à confirmer par note de calcul</t>
        </is>
      </c>
      <c r="D55" s="12" t="inlineStr">
        <is>
          <t>kg</t>
        </is>
      </c>
      <c r="E55" s="28" t="inlineStr">
        <is>
          <t>p_RCH*(p_L+1)*(p_B+1)</t>
        </is>
      </c>
      <c r="F55" s="18">
        <f>p_RCH*(p_L+1)*(p_B+1)</f>
        <v>2728.0</v>
      </c>
    </row>
    <row r="56">
      <c r="A56" s="12" t="inlineStr">
        <is>
          <t>7.2</t>
        </is>
      </c>
      <c r="B56" s="12" t="n">
        <v>7</v>
      </c>
      <c r="C56" s="28" t="inlineStr">
        <is>
          <t>Pannes en Z 120 x 2 mm, entraxe ≤ 1,20 m, y compris échantignoles et boulonnerie</t>
        </is>
      </c>
      <c r="D56" s="12" t="inlineStr">
        <is>
          <t>kg</t>
        </is>
      </c>
      <c r="E56" s="28" t="inlineStr">
        <is>
          <t>p_NPAN*(p_L+1)*1.05*p_KGZ</t>
        </is>
      </c>
      <c r="F56" s="18">
        <f>p_NPAN*(p_L+1)*1.05*p_KGZ</f>
        <v>1523.3400000000001</v>
      </c>
    </row>
    <row r="57">
      <c r="A57" s="12" t="inlineStr">
        <is>
          <t>7.3</t>
        </is>
      </c>
      <c r="B57" s="12" t="n">
        <v>7</v>
      </c>
      <c r="C57" s="28" t="inlineStr">
        <is>
          <t>Couverture en tôles bacs 5 ondulations sur pannes Z, pente 20 %, débords 0,50 m</t>
        </is>
      </c>
      <c r="D57" s="12" t="inlineStr">
        <is>
          <t>m²</t>
        </is>
      </c>
      <c r="E57" s="28" t="inlineStr">
        <is>
          <t>2*(p_RAMP+p_DEB)*(p_L+1)</t>
        </is>
      </c>
      <c r="F57" s="18">
        <f>2*(p_RAMP+p_DEB)*(p_L+1)</f>
        <v>347.1392098427526</v>
      </c>
    </row>
    <row r="58">
      <c r="A58" s="12" t="inlineStr">
        <is>
          <t>7.4</t>
        </is>
      </c>
      <c r="B58" s="12" t="n">
        <v>7</v>
      </c>
      <c r="C58" s="28" t="inlineStr">
        <is>
          <t>Faîtière</t>
        </is>
      </c>
      <c r="D58" s="12" t="inlineStr">
        <is>
          <t>ml</t>
        </is>
      </c>
      <c r="E58" s="28" t="inlineStr">
        <is>
          <t>p_L+1</t>
        </is>
      </c>
      <c r="F58" s="18">
        <f>p_L+1</f>
        <v>31.0</v>
      </c>
    </row>
    <row r="59">
      <c r="A59" s="8" t="inlineStr">
        <is>
          <t>LOT 8</t>
        </is>
      </c>
      <c r="B59" s="9" t="n"/>
      <c r="C59" s="8" t="inlineStr">
        <is>
          <t>MENUISERIE MÉTALLIQUE (OPTION)</t>
        </is>
      </c>
      <c r="D59" s="9" t="n"/>
      <c r="E59" s="9" t="n"/>
      <c r="F59" s="9" t="n"/>
    </row>
    <row r="60">
      <c r="A60" s="12" t="inlineStr">
        <is>
          <t>8.1</t>
        </is>
      </c>
      <c r="B60" s="12" t="n">
        <v>8</v>
      </c>
      <c r="C60" s="28" t="inlineStr">
        <is>
          <t>Portail métallique coulissant 6,00 x 4,50 m</t>
        </is>
      </c>
      <c r="D60" s="12" t="inlineStr">
        <is>
          <t>u</t>
        </is>
      </c>
      <c r="E60" s="28" t="inlineStr">
        <is>
          <t>1</t>
        </is>
      </c>
      <c r="F60" s="18">
        <f>1</f>
        <v>1.0</v>
      </c>
    </row>
  </sheetData>
  <pageMargins left="0.75" right="0.75" top="1" bottom="1" header="0.5" footer="0.5"/>
  <pageSetup orientation="landscape" paperSize="9" fitToHeight="0" fitToWidth="1"/>
  <headerFooter>
    <oddHeader>&amp;LASSEYA SILVER CONSTRUCTION - établi par Moulo Jean Claude&amp;RAvant-métré</oddHeader>
    <oddFooter>&amp;LASSEYA SILVER CONSTRUCTION - N° CC 2245191 D - RCCM CI-BKE-01-2022-B13-00153&amp;RPage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4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2" customWidth="1" min="3" max="3"/>
    <col width="12" customWidth="1" min="4" max="4"/>
    <col width="7" customWidth="1" min="5" max="5"/>
    <col width="11" customWidth="1" min="6" max="6"/>
    <col width="12" customWidth="1" min="7" max="7"/>
    <col width="13" customWidth="1" min="8" max="8"/>
    <col width="12" customWidth="1" min="9" max="9"/>
    <col width="13" customWidth="1" min="10" max="10"/>
    <col width="8" customWidth="1" min="11" max="11"/>
  </cols>
  <sheetData>
    <row r="1">
      <c r="A1" s="1" t="inlineStr">
        <is>
          <t>ASSEYA SILVER CONSTRUCTION - Construction métallique et bâtiment - Bouaké - Tél : 07 08 39 02 66 / 05 05 10 76 82 - Email : asseyasilver@gmail.com</t>
        </is>
      </c>
    </row>
    <row r="2">
      <c r="A2" s="2" t="inlineStr">
        <is>
          <t>Sous-détails de prix (déboursé sec unitaire) - Bâtiment industriel 30,00 x 10,00 m - 04/10/2026 - établi par Moulo Jean Claude, Technicien Génie Civil BTP - BAEL 91 mod. 99 / EC2</t>
        </is>
      </c>
    </row>
    <row r="4" ht="30" customHeight="1">
      <c r="A4" s="7" t="inlineStr">
        <is>
          <t>N°</t>
        </is>
      </c>
      <c r="B4" s="7" t="inlineStr">
        <is>
          <t>Nature</t>
        </is>
      </c>
      <c r="C4" s="7" t="inlineStr">
        <is>
          <t>Composante</t>
        </is>
      </c>
      <c r="D4" s="7" t="inlineStr">
        <is>
          <t>Code prix</t>
        </is>
      </c>
      <c r="E4" s="7" t="inlineStr">
        <is>
          <t>U</t>
        </is>
      </c>
      <c r="F4" s="7" t="inlineStr">
        <is>
          <t>Qté / unité</t>
        </is>
      </c>
      <c r="G4" s="7" t="inlineStr">
        <is>
          <t>P.U. (FCFA)</t>
        </is>
      </c>
      <c r="H4" s="7" t="inlineStr">
        <is>
          <t>Montant / unité</t>
        </is>
      </c>
      <c r="I4" s="7" t="inlineStr">
        <is>
          <t>Qté ouvrage</t>
        </is>
      </c>
      <c r="J4" s="7" t="inlineStr">
        <is>
          <t>Qté totale</t>
        </is>
      </c>
      <c r="K4" s="7" t="inlineStr">
        <is>
          <t>Option</t>
        </is>
      </c>
    </row>
    <row r="5">
      <c r="A5" s="8" t="n"/>
      <c r="B5" s="8" t="inlineStr">
        <is>
          <t>Article 0.1 - Installation et repli de chantier (magasin, clôture provisoire, eau, électricité, panneau) (unité : ft)</t>
        </is>
      </c>
      <c r="C5" s="29" t="n"/>
      <c r="D5" s="29" t="n"/>
      <c r="E5" s="29" t="n"/>
      <c r="F5" s="29" t="n"/>
      <c r="G5" s="29" t="n"/>
      <c r="H5" s="29" t="n"/>
      <c r="I5" s="29" t="n"/>
      <c r="J5" s="29" t="n"/>
      <c r="K5" s="30" t="n"/>
    </row>
    <row r="6">
      <c r="A6" s="12" t="inlineStr">
        <is>
          <t>Art. 0.1</t>
        </is>
      </c>
      <c r="B6" s="10" t="inlineStr">
        <is>
          <t>Matériaux</t>
        </is>
      </c>
      <c r="C6" s="10" t="inlineStr">
        <is>
          <t>Magasin, clôture provisoire, panneau de chantier</t>
        </is>
      </c>
      <c r="D6" s="10" t="inlineStr">
        <is>
          <t>ff_install</t>
        </is>
      </c>
      <c r="E6" s="12" t="inlineStr">
        <is>
          <t>ft</t>
        </is>
      </c>
      <c r="F6" s="31">
        <f>1</f>
        <v>1.0</v>
      </c>
      <c r="G6" s="32">
        <f>px_ff_install</f>
        <v>300000.0</v>
      </c>
      <c r="H6" s="32">
        <f>F6*G6</f>
        <v>300000.0</v>
      </c>
      <c r="I6" s="18">
        <f>q_0_1</f>
        <v>1.0</v>
      </c>
      <c r="J6" s="18">
        <f>F6*I6</f>
        <v>1.0</v>
      </c>
      <c r="K6" s="12" t="inlineStr">
        <is>
          <t>NON</t>
        </is>
      </c>
    </row>
    <row r="7">
      <c r="A7" s="12" t="inlineStr">
        <is>
          <t>Art. 0.1</t>
        </is>
      </c>
      <c r="B7" s="10" t="inlineStr">
        <is>
          <t>Main-d'œuvre</t>
        </is>
      </c>
      <c r="C7" s="10" t="inlineStr">
        <is>
          <t>Manœuvres (montage / repli)</t>
        </is>
      </c>
      <c r="D7" s="10" t="inlineStr">
        <is>
          <t>mo_man</t>
        </is>
      </c>
      <c r="E7" s="12" t="inlineStr">
        <is>
          <t>h.j</t>
        </is>
      </c>
      <c r="F7" s="31">
        <f>20</f>
        <v>20.0</v>
      </c>
      <c r="G7" s="32">
        <f>px_mo_man</f>
        <v>5000.0</v>
      </c>
      <c r="H7" s="32">
        <f>F7*G7</f>
        <v>100000.0</v>
      </c>
      <c r="I7" s="18">
        <f>q_0_1</f>
        <v>1.0</v>
      </c>
      <c r="J7" s="18">
        <f>F7*I7</f>
        <v>20.0</v>
      </c>
      <c r="K7" s="12" t="inlineStr">
        <is>
          <t>NON</t>
        </is>
      </c>
    </row>
    <row r="8">
      <c r="A8" s="12" t="inlineStr">
        <is>
          <t>Art. 0.1</t>
        </is>
      </c>
      <c r="B8" s="10" t="inlineStr">
        <is>
          <t>Matériel</t>
        </is>
      </c>
      <c r="C8" s="10" t="inlineStr">
        <is>
          <t>Branchements provisoires eau et électricité</t>
        </is>
      </c>
      <c r="D8" s="10" t="inlineStr">
        <is>
          <t>mt_branch</t>
        </is>
      </c>
      <c r="E8" s="12" t="inlineStr">
        <is>
          <t>ft</t>
        </is>
      </c>
      <c r="F8" s="31">
        <f>1</f>
        <v>1.0</v>
      </c>
      <c r="G8" s="32">
        <f>px_mt_branch</f>
        <v>100000.0</v>
      </c>
      <c r="H8" s="32">
        <f>F8*G8</f>
        <v>100000.0</v>
      </c>
      <c r="I8" s="18">
        <f>q_0_1</f>
        <v>1.0</v>
      </c>
      <c r="J8" s="18">
        <f>F8*I8</f>
        <v>1.0</v>
      </c>
      <c r="K8" s="12" t="inlineStr">
        <is>
          <t>NON</t>
        </is>
      </c>
    </row>
    <row r="9">
      <c r="A9" s="12" t="inlineStr">
        <is>
          <t>Art. 0.1</t>
        </is>
      </c>
      <c r="B9" s="10" t="inlineStr">
        <is>
          <t>Matériel</t>
        </is>
      </c>
      <c r="C9" s="10" t="inlineStr">
        <is>
          <t>Petit outillage (% de la main-d'œuvre)</t>
        </is>
      </c>
      <c r="D9" s="10" t="n"/>
      <c r="E9" s="12" t="inlineStr">
        <is>
          <t>%</t>
        </is>
      </c>
      <c r="F9" s="33">
        <f>p_PO</f>
        <v>0.03</v>
      </c>
      <c r="G9" s="32">
        <f>SUMIFS(H6:H8,B6:B8,"Main-d'œuvre")</f>
        <v>100000.0</v>
      </c>
      <c r="H9" s="32">
        <f>F9*G9</f>
        <v>3000.0</v>
      </c>
      <c r="I9" s="10" t="n"/>
      <c r="J9" s="10" t="n"/>
      <c r="K9" s="10" t="n"/>
    </row>
    <row r="10">
      <c r="A10" s="34" t="n"/>
      <c r="B10" s="34" t="n"/>
      <c r="C10" s="35" t="inlineStr">
        <is>
          <t>DÉBOURSÉ SEC UNITAIRE / ft</t>
        </is>
      </c>
      <c r="D10" s="34" t="n"/>
      <c r="E10" s="34" t="n"/>
      <c r="F10" s="34" t="n"/>
      <c r="G10" s="34" t="n"/>
      <c r="H10" s="36">
        <f>SUM(H6:H9)</f>
        <v>503000.0</v>
      </c>
      <c r="I10" s="34" t="n"/>
      <c r="J10" s="34" t="n"/>
      <c r="K10" s="34" t="n"/>
    </row>
    <row r="12">
      <c r="A12" s="8" t="n"/>
      <c r="B12" s="8" t="inlineStr">
        <is>
          <t>Article 0.2 - Débroussaillage et décapage de la terre végétale ép. 10 cm (unité : m²)</t>
        </is>
      </c>
      <c r="C12" s="29" t="n"/>
      <c r="D12" s="29" t="n"/>
      <c r="E12" s="29" t="n"/>
      <c r="F12" s="29" t="n"/>
      <c r="G12" s="29" t="n"/>
      <c r="H12" s="29" t="n"/>
      <c r="I12" s="29" t="n"/>
      <c r="J12" s="29" t="n"/>
      <c r="K12" s="30" t="n"/>
    </row>
    <row r="13">
      <c r="A13" s="12" t="inlineStr">
        <is>
          <t>Art. 0.2</t>
        </is>
      </c>
      <c r="B13" s="10" t="inlineStr">
        <is>
          <t>Main-d'œuvre</t>
        </is>
      </c>
      <c r="C13" s="10" t="inlineStr">
        <is>
          <t>Manœuvre (60 m²/j)</t>
        </is>
      </c>
      <c r="D13" s="10" t="inlineStr">
        <is>
          <t>mo_man</t>
        </is>
      </c>
      <c r="E13" s="12" t="inlineStr">
        <is>
          <t>h.j</t>
        </is>
      </c>
      <c r="F13" s="31">
        <f>1/60</f>
        <v>0.016666666666666666</v>
      </c>
      <c r="G13" s="32">
        <f>px_mo_man</f>
        <v>5000.0</v>
      </c>
      <c r="H13" s="32">
        <f>F13*G13</f>
        <v>83.33333333333333</v>
      </c>
      <c r="I13" s="18">
        <f>q_0_2</f>
        <v>476.0</v>
      </c>
      <c r="J13" s="18">
        <f>F13*I13</f>
        <v>7.933333333333334</v>
      </c>
      <c r="K13" s="12" t="inlineStr">
        <is>
          <t>NON</t>
        </is>
      </c>
    </row>
    <row r="14">
      <c r="A14" s="12" t="inlineStr">
        <is>
          <t>Art. 0.2</t>
        </is>
      </c>
      <c r="B14" s="10" t="inlineStr">
        <is>
          <t>Matériel</t>
        </is>
      </c>
      <c r="C14" s="10" t="inlineStr">
        <is>
          <t>Petit outillage (% de la main-d'œuvre)</t>
        </is>
      </c>
      <c r="D14" s="10" t="n"/>
      <c r="E14" s="12" t="inlineStr">
        <is>
          <t>%</t>
        </is>
      </c>
      <c r="F14" s="33">
        <f>p_PO</f>
        <v>0.03</v>
      </c>
      <c r="G14" s="32">
        <f>SUMIFS(H13:H13,B13:B13,"Main-d'œuvre")</f>
        <v>83.33333333333333</v>
      </c>
      <c r="H14" s="32">
        <f>F14*G14</f>
        <v>2.4999999999999996</v>
      </c>
      <c r="I14" s="10" t="n"/>
      <c r="J14" s="10" t="n"/>
      <c r="K14" s="10" t="n"/>
    </row>
    <row r="15">
      <c r="A15" s="34" t="n"/>
      <c r="B15" s="34" t="n"/>
      <c r="C15" s="35" t="inlineStr">
        <is>
          <t>DÉBOURSÉ SEC UNITAIRE / m²</t>
        </is>
      </c>
      <c r="D15" s="34" t="n"/>
      <c r="E15" s="34" t="n"/>
      <c r="F15" s="34" t="n"/>
      <c r="G15" s="34" t="n"/>
      <c r="H15" s="36">
        <f>SUM(H13:H14)</f>
        <v>85.83333333333333</v>
      </c>
      <c r="I15" s="34" t="n"/>
      <c r="J15" s="34" t="n"/>
      <c r="K15" s="34" t="n"/>
    </row>
    <row r="17">
      <c r="A17" s="8" t="n"/>
      <c r="B17" s="8" t="inlineStr">
        <is>
          <t>Article 0.3 - Implantation du bâtiment (chaises, cordeaux, axes et niveaux) (unité : ft)</t>
        </is>
      </c>
      <c r="C17" s="29" t="n"/>
      <c r="D17" s="29" t="n"/>
      <c r="E17" s="29" t="n"/>
      <c r="F17" s="29" t="n"/>
      <c r="G17" s="29" t="n"/>
      <c r="H17" s="29" t="n"/>
      <c r="I17" s="29" t="n"/>
      <c r="J17" s="29" t="n"/>
      <c r="K17" s="30" t="n"/>
    </row>
    <row r="18">
      <c r="A18" s="12" t="inlineStr">
        <is>
          <t>Art. 0.3</t>
        </is>
      </c>
      <c r="B18" s="10" t="inlineStr">
        <is>
          <t>Matériaux</t>
        </is>
      </c>
      <c r="C18" s="10" t="inlineStr">
        <is>
          <t>Bois de chaises, cordeau, peinture</t>
        </is>
      </c>
      <c r="D18" s="10" t="inlineStr">
        <is>
          <t>ff_implant</t>
        </is>
      </c>
      <c r="E18" s="12" t="inlineStr">
        <is>
          <t>ft</t>
        </is>
      </c>
      <c r="F18" s="31">
        <f>1</f>
        <v>1.0</v>
      </c>
      <c r="G18" s="32">
        <f>px_ff_implant</f>
        <v>40000.0</v>
      </c>
      <c r="H18" s="32">
        <f>F18*G18</f>
        <v>40000.0</v>
      </c>
      <c r="I18" s="18">
        <f>q_0_3</f>
        <v>1.0</v>
      </c>
      <c r="J18" s="18">
        <f>F18*I18</f>
        <v>1.0</v>
      </c>
      <c r="K18" s="12" t="inlineStr">
        <is>
          <t>NON</t>
        </is>
      </c>
    </row>
    <row r="19">
      <c r="A19" s="12" t="inlineStr">
        <is>
          <t>Art. 0.3</t>
        </is>
      </c>
      <c r="B19" s="10" t="inlineStr">
        <is>
          <t>Main-d'œuvre</t>
        </is>
      </c>
      <c r="C19" s="10" t="inlineStr">
        <is>
          <t>Technicien</t>
        </is>
      </c>
      <c r="D19" s="10" t="inlineStr">
        <is>
          <t>mo_tech</t>
        </is>
      </c>
      <c r="E19" s="12" t="inlineStr">
        <is>
          <t>h.j</t>
        </is>
      </c>
      <c r="F19" s="31">
        <f>2</f>
        <v>2.0</v>
      </c>
      <c r="G19" s="32">
        <f>px_mo_tech</f>
        <v>15000.0</v>
      </c>
      <c r="H19" s="32">
        <f>F19*G19</f>
        <v>30000.0</v>
      </c>
      <c r="I19" s="18">
        <f>q_0_3</f>
        <v>1.0</v>
      </c>
      <c r="J19" s="18">
        <f>F19*I19</f>
        <v>2.0</v>
      </c>
      <c r="K19" s="12" t="inlineStr">
        <is>
          <t>NON</t>
        </is>
      </c>
    </row>
    <row r="20">
      <c r="A20" s="12" t="inlineStr">
        <is>
          <t>Art. 0.3</t>
        </is>
      </c>
      <c r="B20" s="10" t="inlineStr">
        <is>
          <t>Main-d'œuvre</t>
        </is>
      </c>
      <c r="C20" s="10" t="inlineStr">
        <is>
          <t>Manœuvre</t>
        </is>
      </c>
      <c r="D20" s="10" t="inlineStr">
        <is>
          <t>mo_man</t>
        </is>
      </c>
      <c r="E20" s="12" t="inlineStr">
        <is>
          <t>h.j</t>
        </is>
      </c>
      <c r="F20" s="31">
        <f>4</f>
        <v>4.0</v>
      </c>
      <c r="G20" s="32">
        <f>px_mo_man</f>
        <v>5000.0</v>
      </c>
      <c r="H20" s="32">
        <f>F20*G20</f>
        <v>20000.0</v>
      </c>
      <c r="I20" s="18">
        <f>q_0_3</f>
        <v>1.0</v>
      </c>
      <c r="J20" s="18">
        <f>F20*I20</f>
        <v>4.0</v>
      </c>
      <c r="K20" s="12" t="inlineStr">
        <is>
          <t>NON</t>
        </is>
      </c>
    </row>
    <row r="21">
      <c r="A21" s="12" t="inlineStr">
        <is>
          <t>Art. 0.3</t>
        </is>
      </c>
      <c r="B21" s="10" t="inlineStr">
        <is>
          <t>Matériel</t>
        </is>
      </c>
      <c r="C21" s="10" t="inlineStr">
        <is>
          <t>Niveau / théodolite (location)</t>
        </is>
      </c>
      <c r="D21" s="10" t="inlineStr">
        <is>
          <t>mt_niveau</t>
        </is>
      </c>
      <c r="E21" s="12" t="inlineStr">
        <is>
          <t>j</t>
        </is>
      </c>
      <c r="F21" s="31">
        <f>2</f>
        <v>2.0</v>
      </c>
      <c r="G21" s="32">
        <f>px_mt_niveau</f>
        <v>15000.0</v>
      </c>
      <c r="H21" s="32">
        <f>F21*G21</f>
        <v>30000.0</v>
      </c>
      <c r="I21" s="18">
        <f>q_0_3</f>
        <v>1.0</v>
      </c>
      <c r="J21" s="18">
        <f>F21*I21</f>
        <v>2.0</v>
      </c>
      <c r="K21" s="12" t="inlineStr">
        <is>
          <t>NON</t>
        </is>
      </c>
    </row>
    <row r="22">
      <c r="A22" s="12" t="inlineStr">
        <is>
          <t>Art. 0.3</t>
        </is>
      </c>
      <c r="B22" s="10" t="inlineStr">
        <is>
          <t>Matériel</t>
        </is>
      </c>
      <c r="C22" s="10" t="inlineStr">
        <is>
          <t>Petit outillage (% de la main-d'œuvre)</t>
        </is>
      </c>
      <c r="D22" s="10" t="n"/>
      <c r="E22" s="12" t="inlineStr">
        <is>
          <t>%</t>
        </is>
      </c>
      <c r="F22" s="33">
        <f>p_PO</f>
        <v>0.03</v>
      </c>
      <c r="G22" s="32">
        <f>SUMIFS(H18:H21,B18:B21,"Main-d'œuvre")</f>
        <v>50000.0</v>
      </c>
      <c r="H22" s="32">
        <f>F22*G22</f>
        <v>1500.0</v>
      </c>
      <c r="I22" s="10" t="n"/>
      <c r="J22" s="10" t="n"/>
      <c r="K22" s="10" t="n"/>
    </row>
    <row r="23">
      <c r="A23" s="34" t="n"/>
      <c r="B23" s="34" t="n"/>
      <c r="C23" s="35" t="inlineStr">
        <is>
          <t>DÉBOURSÉ SEC UNITAIRE / ft</t>
        </is>
      </c>
      <c r="D23" s="34" t="n"/>
      <c r="E23" s="34" t="n"/>
      <c r="F23" s="34" t="n"/>
      <c r="G23" s="34" t="n"/>
      <c r="H23" s="36">
        <f>SUM(H18:H22)</f>
        <v>121500.0</v>
      </c>
      <c r="I23" s="34" t="n"/>
      <c r="J23" s="34" t="n"/>
      <c r="K23" s="34" t="n"/>
    </row>
    <row r="25">
      <c r="A25" s="8" t="n"/>
      <c r="B25" s="8" t="inlineStr">
        <is>
          <t>Article 1.1 - Fouilles en rigole 0,60 x 1,20 m en terrain latéritique (unité : m³)</t>
        </is>
      </c>
      <c r="C25" s="29" t="n"/>
      <c r="D25" s="29" t="n"/>
      <c r="E25" s="29" t="n"/>
      <c r="F25" s="29" t="n"/>
      <c r="G25" s="29" t="n"/>
      <c r="H25" s="29" t="n"/>
      <c r="I25" s="29" t="n"/>
      <c r="J25" s="29" t="n"/>
      <c r="K25" s="30" t="n"/>
    </row>
    <row r="26">
      <c r="A26" s="12" t="inlineStr">
        <is>
          <t>Art. 1.1</t>
        </is>
      </c>
      <c r="B26" s="10" t="inlineStr">
        <is>
          <t>Main-d'œuvre</t>
        </is>
      </c>
      <c r="C26" s="10" t="inlineStr">
        <is>
          <t>Manœuvre (1,5 m³/j en latérite compacte)</t>
        </is>
      </c>
      <c r="D26" s="10" t="inlineStr">
        <is>
          <t>mo_man</t>
        </is>
      </c>
      <c r="E26" s="12" t="inlineStr">
        <is>
          <t>h.j</t>
        </is>
      </c>
      <c r="F26" s="31">
        <f>1/1.5</f>
        <v>0.6666666666666666</v>
      </c>
      <c r="G26" s="32">
        <f>px_mo_man</f>
        <v>5000.0</v>
      </c>
      <c r="H26" s="32">
        <f>F26*G26</f>
        <v>3333.333333333333</v>
      </c>
      <c r="I26" s="18">
        <f>q_1_1</f>
        <v>57.599999999999994</v>
      </c>
      <c r="J26" s="18">
        <f>F26*I26</f>
        <v>38.39999999999999</v>
      </c>
      <c r="K26" s="12" t="inlineStr">
        <is>
          <t>NON</t>
        </is>
      </c>
    </row>
    <row r="27">
      <c r="A27" s="12" t="inlineStr">
        <is>
          <t>Art. 1.1</t>
        </is>
      </c>
      <c r="B27" s="10" t="inlineStr">
        <is>
          <t>Matériel</t>
        </is>
      </c>
      <c r="C27" s="10" t="inlineStr">
        <is>
          <t>Petit outillage (% de la main-d'œuvre)</t>
        </is>
      </c>
      <c r="D27" s="10" t="n"/>
      <c r="E27" s="12" t="inlineStr">
        <is>
          <t>%</t>
        </is>
      </c>
      <c r="F27" s="33">
        <f>p_PO</f>
        <v>0.03</v>
      </c>
      <c r="G27" s="32">
        <f>SUMIFS(H26:H26,B26:B26,"Main-d'œuvre")</f>
        <v>3333.333333333333</v>
      </c>
      <c r="H27" s="32">
        <f>F27*G27</f>
        <v>99.99999999999999</v>
      </c>
      <c r="I27" s="10" t="n"/>
      <c r="J27" s="10" t="n"/>
      <c r="K27" s="10" t="n"/>
    </row>
    <row r="28">
      <c r="A28" s="34" t="n"/>
      <c r="B28" s="34" t="n"/>
      <c r="C28" s="35" t="inlineStr">
        <is>
          <t>DÉBOURSÉ SEC UNITAIRE / m³</t>
        </is>
      </c>
      <c r="D28" s="34" t="n"/>
      <c r="E28" s="34" t="n"/>
      <c r="F28" s="34" t="n"/>
      <c r="G28" s="34" t="n"/>
      <c r="H28" s="36">
        <f>SUM(H26:H27)</f>
        <v>3433.333333333333</v>
      </c>
      <c r="I28" s="34" t="n"/>
      <c r="J28" s="34" t="n"/>
      <c r="K28" s="34" t="n"/>
    </row>
    <row r="30">
      <c r="A30" s="8" t="n"/>
      <c r="B30" s="8" t="inlineStr">
        <is>
          <t>Article 1.2 - Fouilles en puits 1,00 x 1,00 x 1,20 m pour semelles isolées 80x80 (complément) (unité : m³)</t>
        </is>
      </c>
      <c r="C30" s="29" t="n"/>
      <c r="D30" s="29" t="n"/>
      <c r="E30" s="29" t="n"/>
      <c r="F30" s="29" t="n"/>
      <c r="G30" s="29" t="n"/>
      <c r="H30" s="29" t="n"/>
      <c r="I30" s="29" t="n"/>
      <c r="J30" s="29" t="n"/>
      <c r="K30" s="30" t="n"/>
    </row>
    <row r="31">
      <c r="A31" s="12" t="inlineStr">
        <is>
          <t>Art. 1.2</t>
        </is>
      </c>
      <c r="B31" s="10" t="inlineStr">
        <is>
          <t>Main-d'œuvre</t>
        </is>
      </c>
      <c r="C31" s="10" t="inlineStr">
        <is>
          <t>Manœuvre (1,5 m³/j)</t>
        </is>
      </c>
      <c r="D31" s="10" t="inlineStr">
        <is>
          <t>mo_man</t>
        </is>
      </c>
      <c r="E31" s="12" t="inlineStr">
        <is>
          <t>h.j</t>
        </is>
      </c>
      <c r="F31" s="31">
        <f>1/1.5</f>
        <v>0.6666666666666666</v>
      </c>
      <c r="G31" s="32">
        <f>px_mo_man</f>
        <v>5000.0</v>
      </c>
      <c r="H31" s="32">
        <f>F31*G31</f>
        <v>3333.333333333333</v>
      </c>
      <c r="I31" s="18">
        <f>q_1_2</f>
        <v>8.16</v>
      </c>
      <c r="J31" s="18">
        <f>F31*I31</f>
        <v>5.4399999999999995</v>
      </c>
      <c r="K31" s="12" t="inlineStr">
        <is>
          <t>NON</t>
        </is>
      </c>
    </row>
    <row r="32">
      <c r="A32" s="12" t="inlineStr">
        <is>
          <t>Art. 1.2</t>
        </is>
      </c>
      <c r="B32" s="10" t="inlineStr">
        <is>
          <t>Matériel</t>
        </is>
      </c>
      <c r="C32" s="10" t="inlineStr">
        <is>
          <t>Petit outillage (% de la main-d'œuvre)</t>
        </is>
      </c>
      <c r="D32" s="10" t="n"/>
      <c r="E32" s="12" t="inlineStr">
        <is>
          <t>%</t>
        </is>
      </c>
      <c r="F32" s="33">
        <f>p_PO</f>
        <v>0.03</v>
      </c>
      <c r="G32" s="32">
        <f>SUMIFS(H31:H31,B31:B31,"Main-d'œuvre")</f>
        <v>3333.333333333333</v>
      </c>
      <c r="H32" s="32">
        <f>F32*G32</f>
        <v>99.99999999999999</v>
      </c>
      <c r="I32" s="10" t="n"/>
      <c r="J32" s="10" t="n"/>
      <c r="K32" s="10" t="n"/>
    </row>
    <row r="33">
      <c r="A33" s="34" t="n"/>
      <c r="B33" s="34" t="n"/>
      <c r="C33" s="35" t="inlineStr">
        <is>
          <t>DÉBOURSÉ SEC UNITAIRE / m³</t>
        </is>
      </c>
      <c r="D33" s="34" t="n"/>
      <c r="E33" s="34" t="n"/>
      <c r="F33" s="34" t="n"/>
      <c r="G33" s="34" t="n"/>
      <c r="H33" s="36">
        <f>SUM(H31:H32)</f>
        <v>3433.333333333333</v>
      </c>
      <c r="I33" s="34" t="n"/>
      <c r="J33" s="34" t="n"/>
      <c r="K33" s="34" t="n"/>
    </row>
    <row r="35">
      <c r="A35" s="8" t="n"/>
      <c r="B35" s="8" t="inlineStr">
        <is>
          <t>Article 1.3 - Remblai des fouilles avec les terres extraites, compacté par couches de 20 cm (unité : m³)</t>
        </is>
      </c>
      <c r="C35" s="29" t="n"/>
      <c r="D35" s="29" t="n"/>
      <c r="E35" s="29" t="n"/>
      <c r="F35" s="29" t="n"/>
      <c r="G35" s="29" t="n"/>
      <c r="H35" s="29" t="n"/>
      <c r="I35" s="29" t="n"/>
      <c r="J35" s="29" t="n"/>
      <c r="K35" s="30" t="n"/>
    </row>
    <row r="36">
      <c r="A36" s="12" t="inlineStr">
        <is>
          <t>Art. 1.3</t>
        </is>
      </c>
      <c r="B36" s="10" t="inlineStr">
        <is>
          <t>Main-d'œuvre</t>
        </is>
      </c>
      <c r="C36" s="10" t="inlineStr">
        <is>
          <t>Manœuvre (4 m³/j)</t>
        </is>
      </c>
      <c r="D36" s="10" t="inlineStr">
        <is>
          <t>mo_man</t>
        </is>
      </c>
      <c r="E36" s="12" t="inlineStr">
        <is>
          <t>h.j</t>
        </is>
      </c>
      <c r="F36" s="31">
        <f>1/4</f>
        <v>0.25</v>
      </c>
      <c r="G36" s="32">
        <f>px_mo_man</f>
        <v>5000.0</v>
      </c>
      <c r="H36" s="32">
        <f>F36*G36</f>
        <v>1250.0</v>
      </c>
      <c r="I36" s="18">
        <f>q_1_3</f>
        <v>41.855249999999984</v>
      </c>
      <c r="J36" s="18">
        <f>F36*I36</f>
        <v>10.463812499999996</v>
      </c>
      <c r="K36" s="12" t="inlineStr">
        <is>
          <t>NON</t>
        </is>
      </c>
    </row>
    <row r="37">
      <c r="A37" s="12" t="inlineStr">
        <is>
          <t>Art. 1.3</t>
        </is>
      </c>
      <c r="B37" s="10" t="inlineStr">
        <is>
          <t>Matériel</t>
        </is>
      </c>
      <c r="C37" s="10" t="inlineStr">
        <is>
          <t>Dame sauteuse (20 m³/j)</t>
        </is>
      </c>
      <c r="D37" s="10" t="inlineStr">
        <is>
          <t>mt_dame</t>
        </is>
      </c>
      <c r="E37" s="12" t="inlineStr">
        <is>
          <t>j</t>
        </is>
      </c>
      <c r="F37" s="31">
        <f>1/20</f>
        <v>0.05</v>
      </c>
      <c r="G37" s="32">
        <f>px_mt_dame</f>
        <v>20000.0</v>
      </c>
      <c r="H37" s="32">
        <f>F37*G37</f>
        <v>1000.0</v>
      </c>
      <c r="I37" s="18">
        <f>q_1_3</f>
        <v>41.855249999999984</v>
      </c>
      <c r="J37" s="18">
        <f>F37*I37</f>
        <v>2.092762499999999</v>
      </c>
      <c r="K37" s="12" t="inlineStr">
        <is>
          <t>NON</t>
        </is>
      </c>
    </row>
    <row r="38">
      <c r="A38" s="12" t="inlineStr">
        <is>
          <t>Art. 1.3</t>
        </is>
      </c>
      <c r="B38" s="10" t="inlineStr">
        <is>
          <t>Matériel</t>
        </is>
      </c>
      <c r="C38" s="10" t="inlineStr">
        <is>
          <t>Petit outillage (% de la main-d'œuvre)</t>
        </is>
      </c>
      <c r="D38" s="10" t="n"/>
      <c r="E38" s="12" t="inlineStr">
        <is>
          <t>%</t>
        </is>
      </c>
      <c r="F38" s="33">
        <f>p_PO</f>
        <v>0.03</v>
      </c>
      <c r="G38" s="32">
        <f>SUMIFS(H36:H37,B36:B37,"Main-d'œuvre")</f>
        <v>1250.0</v>
      </c>
      <c r="H38" s="32">
        <f>F38*G38</f>
        <v>37.5</v>
      </c>
      <c r="I38" s="10" t="n"/>
      <c r="J38" s="10" t="n"/>
      <c r="K38" s="10" t="n"/>
    </row>
    <row r="39">
      <c r="A39" s="34" t="n"/>
      <c r="B39" s="34" t="n"/>
      <c r="C39" s="35" t="inlineStr">
        <is>
          <t>DÉBOURSÉ SEC UNITAIRE / m³</t>
        </is>
      </c>
      <c r="D39" s="34" t="n"/>
      <c r="E39" s="34" t="n"/>
      <c r="F39" s="34" t="n"/>
      <c r="G39" s="34" t="n"/>
      <c r="H39" s="36">
        <f>SUM(H36:H38)</f>
        <v>2287.5</v>
      </c>
      <c r="I39" s="34" t="n"/>
      <c r="J39" s="34" t="n"/>
      <c r="K39" s="34" t="n"/>
    </row>
    <row r="41">
      <c r="A41" s="8" t="n"/>
      <c r="B41" s="8" t="inlineStr">
        <is>
          <t>Article 1.4 - Évacuation des terres excédentaires des fouilles (unité : m³)</t>
        </is>
      </c>
      <c r="C41" s="29" t="n"/>
      <c r="D41" s="29" t="n"/>
      <c r="E41" s="29" t="n"/>
      <c r="F41" s="29" t="n"/>
      <c r="G41" s="29" t="n"/>
      <c r="H41" s="29" t="n"/>
      <c r="I41" s="29" t="n"/>
      <c r="J41" s="29" t="n"/>
      <c r="K41" s="30" t="n"/>
    </row>
    <row r="42">
      <c r="A42" s="12" t="inlineStr">
        <is>
          <t>Art. 1.4</t>
        </is>
      </c>
      <c r="B42" s="10" t="inlineStr">
        <is>
          <t>Main-d'œuvre</t>
        </is>
      </c>
      <c r="C42" s="10" t="inlineStr">
        <is>
          <t>Manœuvre - chargement (5 m³/j)</t>
        </is>
      </c>
      <c r="D42" s="10" t="inlineStr">
        <is>
          <t>mo_man</t>
        </is>
      </c>
      <c r="E42" s="12" t="inlineStr">
        <is>
          <t>h.j</t>
        </is>
      </c>
      <c r="F42" s="31">
        <f>1/5</f>
        <v>0.2</v>
      </c>
      <c r="G42" s="32">
        <f>px_mo_man</f>
        <v>5000.0</v>
      </c>
      <c r="H42" s="32">
        <f>F42*G42</f>
        <v>1000.0</v>
      </c>
      <c r="I42" s="18">
        <f>q_1_4</f>
        <v>29.880937500000005</v>
      </c>
      <c r="J42" s="18">
        <f>F42*I42</f>
        <v>5.976187500000002</v>
      </c>
      <c r="K42" s="12" t="inlineStr">
        <is>
          <t>NON</t>
        </is>
      </c>
    </row>
    <row r="43">
      <c r="A43" s="12" t="inlineStr">
        <is>
          <t>Art. 1.4</t>
        </is>
      </c>
      <c r="B43" s="10" t="inlineStr">
        <is>
          <t>Matériel</t>
        </is>
      </c>
      <c r="C43" s="10" t="inlineStr">
        <is>
          <t>Camion benne 10 m³ (voyage)</t>
        </is>
      </c>
      <c r="D43" s="10" t="inlineStr">
        <is>
          <t>mt_cam</t>
        </is>
      </c>
      <c r="E43" s="12" t="inlineStr">
        <is>
          <t>voyage</t>
        </is>
      </c>
      <c r="F43" s="31">
        <f>1/10</f>
        <v>0.1</v>
      </c>
      <c r="G43" s="32">
        <f>px_mt_cam</f>
        <v>25000.0</v>
      </c>
      <c r="H43" s="32">
        <f>F43*G43</f>
        <v>2500.0</v>
      </c>
      <c r="I43" s="18">
        <f>q_1_4</f>
        <v>29.880937500000005</v>
      </c>
      <c r="J43" s="18">
        <f>F43*I43</f>
        <v>2.988093750000001</v>
      </c>
      <c r="K43" s="12" t="inlineStr">
        <is>
          <t>NON</t>
        </is>
      </c>
    </row>
    <row r="44">
      <c r="A44" s="12" t="inlineStr">
        <is>
          <t>Art. 1.4</t>
        </is>
      </c>
      <c r="B44" s="10" t="inlineStr">
        <is>
          <t>Matériel</t>
        </is>
      </c>
      <c r="C44" s="10" t="inlineStr">
        <is>
          <t>Petit outillage (% de la main-d'œuvre)</t>
        </is>
      </c>
      <c r="D44" s="10" t="n"/>
      <c r="E44" s="12" t="inlineStr">
        <is>
          <t>%</t>
        </is>
      </c>
      <c r="F44" s="33">
        <f>p_PO</f>
        <v>0.03</v>
      </c>
      <c r="G44" s="32">
        <f>SUMIFS(H42:H43,B42:B43,"Main-d'œuvre")</f>
        <v>1000.0</v>
      </c>
      <c r="H44" s="32">
        <f>F44*G44</f>
        <v>30.0</v>
      </c>
      <c r="I44" s="10" t="n"/>
      <c r="J44" s="10" t="n"/>
      <c r="K44" s="10" t="n"/>
    </row>
    <row r="45">
      <c r="A45" s="34" t="n"/>
      <c r="B45" s="34" t="n"/>
      <c r="C45" s="35" t="inlineStr">
        <is>
          <t>DÉBOURSÉ SEC UNITAIRE / m³</t>
        </is>
      </c>
      <c r="D45" s="34" t="n"/>
      <c r="E45" s="34" t="n"/>
      <c r="F45" s="34" t="n"/>
      <c r="G45" s="34" t="n"/>
      <c r="H45" s="36">
        <f>SUM(H42:H44)</f>
        <v>3530.0</v>
      </c>
      <c r="I45" s="34" t="n"/>
      <c r="J45" s="34" t="n"/>
      <c r="K45" s="34" t="n"/>
    </row>
    <row r="47">
      <c r="A47" s="8" t="n"/>
      <c r="B47" s="8" t="inlineStr">
        <is>
          <t>Article 1.5 - Traitement anti-termites des fonds de fouilles (unité : m²)</t>
        </is>
      </c>
      <c r="C47" s="29" t="n"/>
      <c r="D47" s="29" t="n"/>
      <c r="E47" s="29" t="n"/>
      <c r="F47" s="29" t="n"/>
      <c r="G47" s="29" t="n"/>
      <c r="H47" s="29" t="n"/>
      <c r="I47" s="29" t="n"/>
      <c r="J47" s="29" t="n"/>
      <c r="K47" s="30" t="n"/>
    </row>
    <row r="48">
      <c r="A48" s="12" t="inlineStr">
        <is>
          <t>Art. 1.5</t>
        </is>
      </c>
      <c r="B48" s="10" t="inlineStr">
        <is>
          <t>Matériaux</t>
        </is>
      </c>
      <c r="C48" s="10" t="inlineStr">
        <is>
          <t>Produit anti-termites (dilué)</t>
        </is>
      </c>
      <c r="D48" s="10" t="inlineStr">
        <is>
          <t>termite</t>
        </is>
      </c>
      <c r="E48" s="12" t="inlineStr">
        <is>
          <t>m²</t>
        </is>
      </c>
      <c r="F48" s="31">
        <f>1</f>
        <v>1.0</v>
      </c>
      <c r="G48" s="32">
        <f>px_termite</f>
        <v>1200.0</v>
      </c>
      <c r="H48" s="32">
        <f>F48*G48</f>
        <v>1200.0</v>
      </c>
      <c r="I48" s="18">
        <f>q_1_5</f>
        <v>54.8</v>
      </c>
      <c r="J48" s="18">
        <f>F48*I48</f>
        <v>54.8</v>
      </c>
      <c r="K48" s="12" t="inlineStr">
        <is>
          <t>NON</t>
        </is>
      </c>
    </row>
    <row r="49">
      <c r="A49" s="12" t="inlineStr">
        <is>
          <t>Art. 1.5</t>
        </is>
      </c>
      <c r="B49" s="10" t="inlineStr">
        <is>
          <t>Main-d'œuvre</t>
        </is>
      </c>
      <c r="C49" s="10" t="inlineStr">
        <is>
          <t>Manœuvre (25 m²/j)</t>
        </is>
      </c>
      <c r="D49" s="10" t="inlineStr">
        <is>
          <t>mo_man</t>
        </is>
      </c>
      <c r="E49" s="12" t="inlineStr">
        <is>
          <t>h.j</t>
        </is>
      </c>
      <c r="F49" s="31">
        <f>1/25</f>
        <v>0.04</v>
      </c>
      <c r="G49" s="32">
        <f>px_mo_man</f>
        <v>5000.0</v>
      </c>
      <c r="H49" s="32">
        <f>F49*G49</f>
        <v>200.0</v>
      </c>
      <c r="I49" s="18">
        <f>q_1_5</f>
        <v>54.8</v>
      </c>
      <c r="J49" s="18">
        <f>F49*I49</f>
        <v>2.1919999999999997</v>
      </c>
      <c r="K49" s="12" t="inlineStr">
        <is>
          <t>NON</t>
        </is>
      </c>
    </row>
    <row r="50">
      <c r="A50" s="12" t="inlineStr">
        <is>
          <t>Art. 1.5</t>
        </is>
      </c>
      <c r="B50" s="10" t="inlineStr">
        <is>
          <t>Matériel</t>
        </is>
      </c>
      <c r="C50" s="10" t="inlineStr">
        <is>
          <t>Petit outillage (% de la main-d'œuvre)</t>
        </is>
      </c>
      <c r="D50" s="10" t="n"/>
      <c r="E50" s="12" t="inlineStr">
        <is>
          <t>%</t>
        </is>
      </c>
      <c r="F50" s="33">
        <f>p_PO</f>
        <v>0.03</v>
      </c>
      <c r="G50" s="32">
        <f>SUMIFS(H48:H49,B48:B49,"Main-d'œuvre")</f>
        <v>200.0</v>
      </c>
      <c r="H50" s="32">
        <f>F50*G50</f>
        <v>6.0</v>
      </c>
      <c r="I50" s="10" t="n"/>
      <c r="J50" s="10" t="n"/>
      <c r="K50" s="10" t="n"/>
    </row>
    <row r="51">
      <c r="A51" s="34" t="n"/>
      <c r="B51" s="34" t="n"/>
      <c r="C51" s="35" t="inlineStr">
        <is>
          <t>DÉBOURSÉ SEC UNITAIRE / m²</t>
        </is>
      </c>
      <c r="D51" s="34" t="n"/>
      <c r="E51" s="34" t="n"/>
      <c r="F51" s="34" t="n"/>
      <c r="G51" s="34" t="n"/>
      <c r="H51" s="36">
        <f>SUM(H48:H50)</f>
        <v>1406.0</v>
      </c>
      <c r="I51" s="34" t="n"/>
      <c r="J51" s="34" t="n"/>
      <c r="K51" s="34" t="n"/>
    </row>
    <row r="53">
      <c r="A53" s="8" t="n"/>
      <c r="B53" s="8" t="inlineStr">
        <is>
          <t>Article 2.1 - Béton de propreté dosé à 150 kg/m³, ép. 5 cm (unité : m³)</t>
        </is>
      </c>
      <c r="C53" s="29" t="n"/>
      <c r="D53" s="29" t="n"/>
      <c r="E53" s="29" t="n"/>
      <c r="F53" s="29" t="n"/>
      <c r="G53" s="29" t="n"/>
      <c r="H53" s="29" t="n"/>
      <c r="I53" s="29" t="n"/>
      <c r="J53" s="29" t="n"/>
      <c r="K53" s="30" t="n"/>
    </row>
    <row r="54">
      <c r="A54" s="12" t="inlineStr">
        <is>
          <t>Art. 2.1</t>
        </is>
      </c>
      <c r="B54" s="10" t="inlineStr">
        <is>
          <t>Matériaux</t>
        </is>
      </c>
      <c r="C54" s="10" t="inlineStr">
        <is>
          <t>Ciment CPJ 42,5 (sac 50 kg)</t>
        </is>
      </c>
      <c r="D54" s="10" t="inlineStr">
        <is>
          <t>ciment</t>
        </is>
      </c>
      <c r="E54" s="12" t="inlineStr">
        <is>
          <t>sac</t>
        </is>
      </c>
      <c r="F54" s="31">
        <f>150/50</f>
        <v>3.0</v>
      </c>
      <c r="G54" s="32">
        <f>px_ciment</f>
        <v>5800.0</v>
      </c>
      <c r="H54" s="32">
        <f>F54*G54</f>
        <v>17400.0</v>
      </c>
      <c r="I54" s="18">
        <f>q_2_1</f>
        <v>2.74</v>
      </c>
      <c r="J54" s="18">
        <f>F54*I54</f>
        <v>8.22</v>
      </c>
      <c r="K54" s="12" t="inlineStr">
        <is>
          <t>NON</t>
        </is>
      </c>
    </row>
    <row r="55">
      <c r="A55" s="12" t="inlineStr">
        <is>
          <t>Art. 2.1</t>
        </is>
      </c>
      <c r="B55" s="10" t="inlineStr">
        <is>
          <t>Matériaux</t>
        </is>
      </c>
      <c r="C55" s="10" t="inlineStr">
        <is>
          <t>Sable lavé</t>
        </is>
      </c>
      <c r="D55" s="10" t="inlineStr">
        <is>
          <t>sable</t>
        </is>
      </c>
      <c r="E55" s="12" t="inlineStr">
        <is>
          <t>m³</t>
        </is>
      </c>
      <c r="F55" s="31">
        <f>0.45</f>
        <v>0.45</v>
      </c>
      <c r="G55" s="32">
        <f>px_sable</f>
        <v>12000.0</v>
      </c>
      <c r="H55" s="32">
        <f>F55*G55</f>
        <v>5400.0</v>
      </c>
      <c r="I55" s="18">
        <f>q_2_1</f>
        <v>2.74</v>
      </c>
      <c r="J55" s="18">
        <f>F55*I55</f>
        <v>1.233</v>
      </c>
      <c r="K55" s="12" t="inlineStr">
        <is>
          <t>NON</t>
        </is>
      </c>
    </row>
    <row r="56">
      <c r="A56" s="12" t="inlineStr">
        <is>
          <t>Art. 2.1</t>
        </is>
      </c>
      <c r="B56" s="10" t="inlineStr">
        <is>
          <t>Matériaux</t>
        </is>
      </c>
      <c r="C56" s="10" t="inlineStr">
        <is>
          <t>Gravier concassé 5/15 - 15/25</t>
        </is>
      </c>
      <c r="D56" s="10" t="inlineStr">
        <is>
          <t>gravier</t>
        </is>
      </c>
      <c r="E56" s="12" t="inlineStr">
        <is>
          <t>m³</t>
        </is>
      </c>
      <c r="F56" s="31">
        <f>0.85</f>
        <v>0.85</v>
      </c>
      <c r="G56" s="32">
        <f>px_gravier</f>
        <v>25000.0</v>
      </c>
      <c r="H56" s="32">
        <f>F56*G56</f>
        <v>21250.0</v>
      </c>
      <c r="I56" s="18">
        <f>q_2_1</f>
        <v>2.74</v>
      </c>
      <c r="J56" s="18">
        <f>F56*I56</f>
        <v>2.329</v>
      </c>
      <c r="K56" s="12" t="inlineStr">
        <is>
          <t>NON</t>
        </is>
      </c>
    </row>
    <row r="57">
      <c r="A57" s="12" t="inlineStr">
        <is>
          <t>Art. 2.1</t>
        </is>
      </c>
      <c r="B57" s="10" t="inlineStr">
        <is>
          <t>Matériaux</t>
        </is>
      </c>
      <c r="C57" s="10" t="inlineStr">
        <is>
          <t>Eau</t>
        </is>
      </c>
      <c r="D57" s="10" t="inlineStr">
        <is>
          <t>eau</t>
        </is>
      </c>
      <c r="E57" s="12" t="inlineStr">
        <is>
          <t>m³</t>
        </is>
      </c>
      <c r="F57" s="31">
        <f>0.20</f>
        <v>0.2</v>
      </c>
      <c r="G57" s="32">
        <f>px_eau</f>
        <v>1000.0</v>
      </c>
      <c r="H57" s="32">
        <f>F57*G57</f>
        <v>200.0</v>
      </c>
      <c r="I57" s="18">
        <f>q_2_1</f>
        <v>2.74</v>
      </c>
      <c r="J57" s="18">
        <f>F57*I57</f>
        <v>0.548</v>
      </c>
      <c r="K57" s="12" t="inlineStr">
        <is>
          <t>NON</t>
        </is>
      </c>
    </row>
    <row r="58">
      <c r="A58" s="12" t="inlineStr">
        <is>
          <t>Art. 2.1</t>
        </is>
      </c>
      <c r="B58" s="10" t="inlineStr">
        <is>
          <t>Main-d'œuvre</t>
        </is>
      </c>
      <c r="C58" s="10" t="inlineStr">
        <is>
          <t>Maçon (équipe 1 maçon + 6 manœuvres : 8 m³/j)</t>
        </is>
      </c>
      <c r="D58" s="10" t="inlineStr">
        <is>
          <t>mo_macon</t>
        </is>
      </c>
      <c r="E58" s="12" t="inlineStr">
        <is>
          <t>h.j</t>
        </is>
      </c>
      <c r="F58" s="31">
        <f>1/8</f>
        <v>0.125</v>
      </c>
      <c r="G58" s="32">
        <f>px_mo_macon</f>
        <v>10000.0</v>
      </c>
      <c r="H58" s="32">
        <f>F58*G58</f>
        <v>1250.0</v>
      </c>
      <c r="I58" s="18">
        <f>q_2_1</f>
        <v>2.74</v>
      </c>
      <c r="J58" s="18">
        <f>F58*I58</f>
        <v>0.3425</v>
      </c>
      <c r="K58" s="12" t="inlineStr">
        <is>
          <t>NON</t>
        </is>
      </c>
    </row>
    <row r="59">
      <c r="A59" s="12" t="inlineStr">
        <is>
          <t>Art. 2.1</t>
        </is>
      </c>
      <c r="B59" s="10" t="inlineStr">
        <is>
          <t>Main-d'œuvre</t>
        </is>
      </c>
      <c r="C59" s="10" t="inlineStr">
        <is>
          <t>Manœuvres (6 par équipe)</t>
        </is>
      </c>
      <c r="D59" s="10" t="inlineStr">
        <is>
          <t>mo_man</t>
        </is>
      </c>
      <c r="E59" s="12" t="inlineStr">
        <is>
          <t>h.j</t>
        </is>
      </c>
      <c r="F59" s="31">
        <f>6/8</f>
        <v>0.75</v>
      </c>
      <c r="G59" s="32">
        <f>px_mo_man</f>
        <v>5000.0</v>
      </c>
      <c r="H59" s="32">
        <f>F59*G59</f>
        <v>3750.0</v>
      </c>
      <c r="I59" s="18">
        <f>q_2_1</f>
        <v>2.74</v>
      </c>
      <c r="J59" s="18">
        <f>F59*I59</f>
        <v>2.055</v>
      </c>
      <c r="K59" s="12" t="inlineStr">
        <is>
          <t>NON</t>
        </is>
      </c>
    </row>
    <row r="60">
      <c r="A60" s="12" t="inlineStr">
        <is>
          <t>Art. 2.1</t>
        </is>
      </c>
      <c r="B60" s="10" t="inlineStr">
        <is>
          <t>Matériel</t>
        </is>
      </c>
      <c r="C60" s="10" t="inlineStr">
        <is>
          <t>Bétonnière 350 L (location)</t>
        </is>
      </c>
      <c r="D60" s="10" t="inlineStr">
        <is>
          <t>mt_bet</t>
        </is>
      </c>
      <c r="E60" s="12" t="inlineStr">
        <is>
          <t>j</t>
        </is>
      </c>
      <c r="F60" s="31">
        <f>1/8</f>
        <v>0.125</v>
      </c>
      <c r="G60" s="32">
        <f>px_mt_bet</f>
        <v>25000.0</v>
      </c>
      <c r="H60" s="32">
        <f>F60*G60</f>
        <v>3125.0</v>
      </c>
      <c r="I60" s="18">
        <f>q_2_1</f>
        <v>2.74</v>
      </c>
      <c r="J60" s="18">
        <f>F60*I60</f>
        <v>0.3425</v>
      </c>
      <c r="K60" s="12" t="inlineStr">
        <is>
          <t>NON</t>
        </is>
      </c>
    </row>
    <row r="61">
      <c r="A61" s="12" t="inlineStr">
        <is>
          <t>Art. 2.1</t>
        </is>
      </c>
      <c r="B61" s="10" t="inlineStr">
        <is>
          <t>Matériel</t>
        </is>
      </c>
      <c r="C61" s="10" t="inlineStr">
        <is>
          <t>Vibreur (location)</t>
        </is>
      </c>
      <c r="D61" s="10" t="inlineStr">
        <is>
          <t>mt_vib</t>
        </is>
      </c>
      <c r="E61" s="12" t="inlineStr">
        <is>
          <t>j</t>
        </is>
      </c>
      <c r="F61" s="31">
        <f>1/8</f>
        <v>0.125</v>
      </c>
      <c r="G61" s="32">
        <f>px_mt_vib</f>
        <v>15000.0</v>
      </c>
      <c r="H61" s="32">
        <f>F61*G61</f>
        <v>1875.0</v>
      </c>
      <c r="I61" s="18">
        <f>q_2_1</f>
        <v>2.74</v>
      </c>
      <c r="J61" s="18">
        <f>F61*I61</f>
        <v>0.3425</v>
      </c>
      <c r="K61" s="12" t="inlineStr">
        <is>
          <t>NON</t>
        </is>
      </c>
    </row>
    <row r="62">
      <c r="A62" s="12" t="inlineStr">
        <is>
          <t>Art. 2.1</t>
        </is>
      </c>
      <c r="B62" s="10" t="inlineStr">
        <is>
          <t>Matériel</t>
        </is>
      </c>
      <c r="C62" s="10" t="inlineStr">
        <is>
          <t>Petit outillage (% de la main-d'œuvre)</t>
        </is>
      </c>
      <c r="D62" s="10" t="n"/>
      <c r="E62" s="12" t="inlineStr">
        <is>
          <t>%</t>
        </is>
      </c>
      <c r="F62" s="33">
        <f>p_PO</f>
        <v>0.03</v>
      </c>
      <c r="G62" s="32">
        <f>SUMIFS(H54:H61,B54:B61,"Main-d'œuvre")</f>
        <v>5000.0</v>
      </c>
      <c r="H62" s="32">
        <f>F62*G62</f>
        <v>150.0</v>
      </c>
      <c r="I62" s="10" t="n"/>
      <c r="J62" s="10" t="n"/>
      <c r="K62" s="10" t="n"/>
    </row>
    <row r="63">
      <c r="A63" s="34" t="n"/>
      <c r="B63" s="34" t="n"/>
      <c r="C63" s="35" t="inlineStr">
        <is>
          <t>DÉBOURSÉ SEC UNITAIRE / m³</t>
        </is>
      </c>
      <c r="D63" s="34" t="n"/>
      <c r="E63" s="34" t="n"/>
      <c r="F63" s="34" t="n"/>
      <c r="G63" s="34" t="n"/>
      <c r="H63" s="36">
        <f>SUM(H54:H62)</f>
        <v>54400.0</v>
      </c>
      <c r="I63" s="34" t="n"/>
      <c r="J63" s="34" t="n"/>
      <c r="K63" s="34" t="n"/>
    </row>
    <row r="65">
      <c r="A65" s="8" t="n"/>
      <c r="B65" s="8" t="inlineStr">
        <is>
          <t>Article 2.2 - Béton armé dosé à 350 kg/m³ pour semelles isolées 0,80 x 0,80 x 0,30 (unité : m³)</t>
        </is>
      </c>
      <c r="C65" s="29" t="n"/>
      <c r="D65" s="29" t="n"/>
      <c r="E65" s="29" t="n"/>
      <c r="F65" s="29" t="n"/>
      <c r="G65" s="29" t="n"/>
      <c r="H65" s="29" t="n"/>
      <c r="I65" s="29" t="n"/>
      <c r="J65" s="29" t="n"/>
      <c r="K65" s="30" t="n"/>
    </row>
    <row r="66">
      <c r="A66" s="12" t="inlineStr">
        <is>
          <t>Art. 2.2</t>
        </is>
      </c>
      <c r="B66" s="10" t="inlineStr">
        <is>
          <t>Matériaux</t>
        </is>
      </c>
      <c r="C66" s="10" t="inlineStr">
        <is>
          <t>Ciment CPJ 42,5 (sac 50 kg)</t>
        </is>
      </c>
      <c r="D66" s="10" t="inlineStr">
        <is>
          <t>ciment</t>
        </is>
      </c>
      <c r="E66" s="12" t="inlineStr">
        <is>
          <t>sac</t>
        </is>
      </c>
      <c r="F66" s="31">
        <f>350/50</f>
        <v>7.0</v>
      </c>
      <c r="G66" s="32">
        <f>px_ciment</f>
        <v>5800.0</v>
      </c>
      <c r="H66" s="32">
        <f>F66*G66</f>
        <v>40600.0</v>
      </c>
      <c r="I66" s="18">
        <f>q_2_2</f>
        <v>3.2640000000000007</v>
      </c>
      <c r="J66" s="18">
        <f>F66*I66</f>
        <v>22.848000000000006</v>
      </c>
      <c r="K66" s="12" t="inlineStr">
        <is>
          <t>NON</t>
        </is>
      </c>
    </row>
    <row r="67">
      <c r="A67" s="12" t="inlineStr">
        <is>
          <t>Art. 2.2</t>
        </is>
      </c>
      <c r="B67" s="10" t="inlineStr">
        <is>
          <t>Matériaux</t>
        </is>
      </c>
      <c r="C67" s="10" t="inlineStr">
        <is>
          <t>Sable lavé</t>
        </is>
      </c>
      <c r="D67" s="10" t="inlineStr">
        <is>
          <t>sable</t>
        </is>
      </c>
      <c r="E67" s="12" t="inlineStr">
        <is>
          <t>m³</t>
        </is>
      </c>
      <c r="F67" s="31">
        <f>0.45</f>
        <v>0.45</v>
      </c>
      <c r="G67" s="32">
        <f>px_sable</f>
        <v>12000.0</v>
      </c>
      <c r="H67" s="32">
        <f>F67*G67</f>
        <v>5400.0</v>
      </c>
      <c r="I67" s="18">
        <f>q_2_2</f>
        <v>3.2640000000000007</v>
      </c>
      <c r="J67" s="18">
        <f>F67*I67</f>
        <v>1.4688000000000003</v>
      </c>
      <c r="K67" s="12" t="inlineStr">
        <is>
          <t>NON</t>
        </is>
      </c>
    </row>
    <row r="68">
      <c r="A68" s="12" t="inlineStr">
        <is>
          <t>Art. 2.2</t>
        </is>
      </c>
      <c r="B68" s="10" t="inlineStr">
        <is>
          <t>Matériaux</t>
        </is>
      </c>
      <c r="C68" s="10" t="inlineStr">
        <is>
          <t>Gravier concassé 5/15 - 15/25</t>
        </is>
      </c>
      <c r="D68" s="10" t="inlineStr">
        <is>
          <t>gravier</t>
        </is>
      </c>
      <c r="E68" s="12" t="inlineStr">
        <is>
          <t>m³</t>
        </is>
      </c>
      <c r="F68" s="31">
        <f>0.85</f>
        <v>0.85</v>
      </c>
      <c r="G68" s="32">
        <f>px_gravier</f>
        <v>25000.0</v>
      </c>
      <c r="H68" s="32">
        <f>F68*G68</f>
        <v>21250.0</v>
      </c>
      <c r="I68" s="18">
        <f>q_2_2</f>
        <v>3.2640000000000007</v>
      </c>
      <c r="J68" s="18">
        <f>F68*I68</f>
        <v>2.7744000000000004</v>
      </c>
      <c r="K68" s="12" t="inlineStr">
        <is>
          <t>NON</t>
        </is>
      </c>
    </row>
    <row r="69">
      <c r="A69" s="12" t="inlineStr">
        <is>
          <t>Art. 2.2</t>
        </is>
      </c>
      <c r="B69" s="10" t="inlineStr">
        <is>
          <t>Matériaux</t>
        </is>
      </c>
      <c r="C69" s="10" t="inlineStr">
        <is>
          <t>Eau</t>
        </is>
      </c>
      <c r="D69" s="10" t="inlineStr">
        <is>
          <t>eau</t>
        </is>
      </c>
      <c r="E69" s="12" t="inlineStr">
        <is>
          <t>m³</t>
        </is>
      </c>
      <c r="F69" s="31">
        <f>0.20</f>
        <v>0.2</v>
      </c>
      <c r="G69" s="32">
        <f>px_eau</f>
        <v>1000.0</v>
      </c>
      <c r="H69" s="32">
        <f>F69*G69</f>
        <v>200.0</v>
      </c>
      <c r="I69" s="18">
        <f>q_2_2</f>
        <v>3.2640000000000007</v>
      </c>
      <c r="J69" s="18">
        <f>F69*I69</f>
        <v>0.6528000000000002</v>
      </c>
      <c r="K69" s="12" t="inlineStr">
        <is>
          <t>NON</t>
        </is>
      </c>
    </row>
    <row r="70">
      <c r="A70" s="12" t="inlineStr">
        <is>
          <t>Art. 2.2</t>
        </is>
      </c>
      <c r="B70" s="10" t="inlineStr">
        <is>
          <t>Main-d'œuvre</t>
        </is>
      </c>
      <c r="C70" s="10" t="inlineStr">
        <is>
          <t>Maçon (équipe 1 maçon + 6 manœuvres : 5 m³/j)</t>
        </is>
      </c>
      <c r="D70" s="10" t="inlineStr">
        <is>
          <t>mo_macon</t>
        </is>
      </c>
      <c r="E70" s="12" t="inlineStr">
        <is>
          <t>h.j</t>
        </is>
      </c>
      <c r="F70" s="31">
        <f>1/5</f>
        <v>0.2</v>
      </c>
      <c r="G70" s="32">
        <f>px_mo_macon</f>
        <v>10000.0</v>
      </c>
      <c r="H70" s="32">
        <f>F70*G70</f>
        <v>2000.0</v>
      </c>
      <c r="I70" s="18">
        <f>q_2_2</f>
        <v>3.2640000000000007</v>
      </c>
      <c r="J70" s="18">
        <f>F70*I70</f>
        <v>0.6528000000000002</v>
      </c>
      <c r="K70" s="12" t="inlineStr">
        <is>
          <t>NON</t>
        </is>
      </c>
    </row>
    <row r="71">
      <c r="A71" s="12" t="inlineStr">
        <is>
          <t>Art. 2.2</t>
        </is>
      </c>
      <c r="B71" s="10" t="inlineStr">
        <is>
          <t>Main-d'œuvre</t>
        </is>
      </c>
      <c r="C71" s="10" t="inlineStr">
        <is>
          <t>Manœuvres (6 par équipe)</t>
        </is>
      </c>
      <c r="D71" s="10" t="inlineStr">
        <is>
          <t>mo_man</t>
        </is>
      </c>
      <c r="E71" s="12" t="inlineStr">
        <is>
          <t>h.j</t>
        </is>
      </c>
      <c r="F71" s="31">
        <f>6/5</f>
        <v>1.2</v>
      </c>
      <c r="G71" s="32">
        <f>px_mo_man</f>
        <v>5000.0</v>
      </c>
      <c r="H71" s="32">
        <f>F71*G71</f>
        <v>6000.0</v>
      </c>
      <c r="I71" s="18">
        <f>q_2_2</f>
        <v>3.2640000000000007</v>
      </c>
      <c r="J71" s="18">
        <f>F71*I71</f>
        <v>3.9168000000000007</v>
      </c>
      <c r="K71" s="12" t="inlineStr">
        <is>
          <t>NON</t>
        </is>
      </c>
    </row>
    <row r="72">
      <c r="A72" s="12" t="inlineStr">
        <is>
          <t>Art. 2.2</t>
        </is>
      </c>
      <c r="B72" s="10" t="inlineStr">
        <is>
          <t>Matériel</t>
        </is>
      </c>
      <c r="C72" s="10" t="inlineStr">
        <is>
          <t>Bétonnière 350 L (location)</t>
        </is>
      </c>
      <c r="D72" s="10" t="inlineStr">
        <is>
          <t>mt_bet</t>
        </is>
      </c>
      <c r="E72" s="12" t="inlineStr">
        <is>
          <t>j</t>
        </is>
      </c>
      <c r="F72" s="31">
        <f>1/5</f>
        <v>0.2</v>
      </c>
      <c r="G72" s="32">
        <f>px_mt_bet</f>
        <v>25000.0</v>
      </c>
      <c r="H72" s="32">
        <f>F72*G72</f>
        <v>5000.0</v>
      </c>
      <c r="I72" s="18">
        <f>q_2_2</f>
        <v>3.2640000000000007</v>
      </c>
      <c r="J72" s="18">
        <f>F72*I72</f>
        <v>0.6528000000000002</v>
      </c>
      <c r="K72" s="12" t="inlineStr">
        <is>
          <t>NON</t>
        </is>
      </c>
    </row>
    <row r="73">
      <c r="A73" s="12" t="inlineStr">
        <is>
          <t>Art. 2.2</t>
        </is>
      </c>
      <c r="B73" s="10" t="inlineStr">
        <is>
          <t>Matériel</t>
        </is>
      </c>
      <c r="C73" s="10" t="inlineStr">
        <is>
          <t>Vibreur (location)</t>
        </is>
      </c>
      <c r="D73" s="10" t="inlineStr">
        <is>
          <t>mt_vib</t>
        </is>
      </c>
      <c r="E73" s="12" t="inlineStr">
        <is>
          <t>j</t>
        </is>
      </c>
      <c r="F73" s="31">
        <f>1/5</f>
        <v>0.2</v>
      </c>
      <c r="G73" s="32">
        <f>px_mt_vib</f>
        <v>15000.0</v>
      </c>
      <c r="H73" s="32">
        <f>F73*G73</f>
        <v>3000.0</v>
      </c>
      <c r="I73" s="18">
        <f>q_2_2</f>
        <v>3.2640000000000007</v>
      </c>
      <c r="J73" s="18">
        <f>F73*I73</f>
        <v>0.6528000000000002</v>
      </c>
      <c r="K73" s="12" t="inlineStr">
        <is>
          <t>NON</t>
        </is>
      </c>
    </row>
    <row r="74">
      <c r="A74" s="12" t="inlineStr">
        <is>
          <t>Art. 2.2</t>
        </is>
      </c>
      <c r="B74" s="10" t="inlineStr">
        <is>
          <t>Matériel</t>
        </is>
      </c>
      <c r="C74" s="10" t="inlineStr">
        <is>
          <t>Petit outillage (% de la main-d'œuvre)</t>
        </is>
      </c>
      <c r="D74" s="10" t="n"/>
      <c r="E74" s="12" t="inlineStr">
        <is>
          <t>%</t>
        </is>
      </c>
      <c r="F74" s="33">
        <f>p_PO</f>
        <v>0.03</v>
      </c>
      <c r="G74" s="32">
        <f>SUMIFS(H66:H73,B66:B73,"Main-d'œuvre")</f>
        <v>8000.0</v>
      </c>
      <c r="H74" s="32">
        <f>F74*G74</f>
        <v>240.0</v>
      </c>
      <c r="I74" s="10" t="n"/>
      <c r="J74" s="10" t="n"/>
      <c r="K74" s="10" t="n"/>
    </row>
    <row r="75">
      <c r="A75" s="34" t="n"/>
      <c r="B75" s="34" t="n"/>
      <c r="C75" s="35" t="inlineStr">
        <is>
          <t>DÉBOURSÉ SEC UNITAIRE / m³</t>
        </is>
      </c>
      <c r="D75" s="34" t="n"/>
      <c r="E75" s="34" t="n"/>
      <c r="F75" s="34" t="n"/>
      <c r="G75" s="34" t="n"/>
      <c r="H75" s="36">
        <f>SUM(H66:H74)</f>
        <v>83690.0</v>
      </c>
      <c r="I75" s="34" t="n"/>
      <c r="J75" s="34" t="n"/>
      <c r="K75" s="34" t="n"/>
    </row>
    <row r="77">
      <c r="A77" s="8" t="n"/>
      <c r="B77" s="8" t="inlineStr">
        <is>
          <t>Article 2.3 - Béton armé dosé à 350 kg/m³ pour fûts 40 x 40 sous platines des IPE (de -0,85 à ±0,00) (unité : m³)</t>
        </is>
      </c>
      <c r="C77" s="29" t="n"/>
      <c r="D77" s="29" t="n"/>
      <c r="E77" s="29" t="n"/>
      <c r="F77" s="29" t="n"/>
      <c r="G77" s="29" t="n"/>
      <c r="H77" s="29" t="n"/>
      <c r="I77" s="29" t="n"/>
      <c r="J77" s="29" t="n"/>
      <c r="K77" s="30" t="n"/>
    </row>
    <row r="78">
      <c r="A78" s="12" t="inlineStr">
        <is>
          <t>Art. 2.3</t>
        </is>
      </c>
      <c r="B78" s="10" t="inlineStr">
        <is>
          <t>Matériaux</t>
        </is>
      </c>
      <c r="C78" s="10" t="inlineStr">
        <is>
          <t>Ciment CPJ 42,5 (sac 50 kg)</t>
        </is>
      </c>
      <c r="D78" s="10" t="inlineStr">
        <is>
          <t>ciment</t>
        </is>
      </c>
      <c r="E78" s="12" t="inlineStr">
        <is>
          <t>sac</t>
        </is>
      </c>
      <c r="F78" s="31">
        <f>350/50</f>
        <v>7.0</v>
      </c>
      <c r="G78" s="32">
        <f>px_ciment</f>
        <v>5800.0</v>
      </c>
      <c r="H78" s="32">
        <f>F78*G78</f>
        <v>40600.0</v>
      </c>
      <c r="I78" s="18">
        <f>q_2_3</f>
        <v>2.3120000000000003</v>
      </c>
      <c r="J78" s="18">
        <f>F78*I78</f>
        <v>16.184</v>
      </c>
      <c r="K78" s="12" t="inlineStr">
        <is>
          <t>NON</t>
        </is>
      </c>
    </row>
    <row r="79">
      <c r="A79" s="12" t="inlineStr">
        <is>
          <t>Art. 2.3</t>
        </is>
      </c>
      <c r="B79" s="10" t="inlineStr">
        <is>
          <t>Matériaux</t>
        </is>
      </c>
      <c r="C79" s="10" t="inlineStr">
        <is>
          <t>Sable lavé</t>
        </is>
      </c>
      <c r="D79" s="10" t="inlineStr">
        <is>
          <t>sable</t>
        </is>
      </c>
      <c r="E79" s="12" t="inlineStr">
        <is>
          <t>m³</t>
        </is>
      </c>
      <c r="F79" s="31">
        <f>0.45</f>
        <v>0.45</v>
      </c>
      <c r="G79" s="32">
        <f>px_sable</f>
        <v>12000.0</v>
      </c>
      <c r="H79" s="32">
        <f>F79*G79</f>
        <v>5400.0</v>
      </c>
      <c r="I79" s="18">
        <f>q_2_3</f>
        <v>2.3120000000000003</v>
      </c>
      <c r="J79" s="18">
        <f>F79*I79</f>
        <v>1.0404000000000002</v>
      </c>
      <c r="K79" s="12" t="inlineStr">
        <is>
          <t>NON</t>
        </is>
      </c>
    </row>
    <row r="80">
      <c r="A80" s="12" t="inlineStr">
        <is>
          <t>Art. 2.3</t>
        </is>
      </c>
      <c r="B80" s="10" t="inlineStr">
        <is>
          <t>Matériaux</t>
        </is>
      </c>
      <c r="C80" s="10" t="inlineStr">
        <is>
          <t>Gravier concassé 5/15 - 15/25</t>
        </is>
      </c>
      <c r="D80" s="10" t="inlineStr">
        <is>
          <t>gravier</t>
        </is>
      </c>
      <c r="E80" s="12" t="inlineStr">
        <is>
          <t>m³</t>
        </is>
      </c>
      <c r="F80" s="31">
        <f>0.85</f>
        <v>0.85</v>
      </c>
      <c r="G80" s="32">
        <f>px_gravier</f>
        <v>25000.0</v>
      </c>
      <c r="H80" s="32">
        <f>F80*G80</f>
        <v>21250.0</v>
      </c>
      <c r="I80" s="18">
        <f>q_2_3</f>
        <v>2.3120000000000003</v>
      </c>
      <c r="J80" s="18">
        <f>F80*I80</f>
        <v>1.9652000000000003</v>
      </c>
      <c r="K80" s="12" t="inlineStr">
        <is>
          <t>NON</t>
        </is>
      </c>
    </row>
    <row r="81">
      <c r="A81" s="12" t="inlineStr">
        <is>
          <t>Art. 2.3</t>
        </is>
      </c>
      <c r="B81" s="10" t="inlineStr">
        <is>
          <t>Matériaux</t>
        </is>
      </c>
      <c r="C81" s="10" t="inlineStr">
        <is>
          <t>Eau</t>
        </is>
      </c>
      <c r="D81" s="10" t="inlineStr">
        <is>
          <t>eau</t>
        </is>
      </c>
      <c r="E81" s="12" t="inlineStr">
        <is>
          <t>m³</t>
        </is>
      </c>
      <c r="F81" s="31">
        <f>0.20</f>
        <v>0.2</v>
      </c>
      <c r="G81" s="32">
        <f>px_eau</f>
        <v>1000.0</v>
      </c>
      <c r="H81" s="32">
        <f>F81*G81</f>
        <v>200.0</v>
      </c>
      <c r="I81" s="18">
        <f>q_2_3</f>
        <v>2.3120000000000003</v>
      </c>
      <c r="J81" s="18">
        <f>F81*I81</f>
        <v>0.4624000000000001</v>
      </c>
      <c r="K81" s="12" t="inlineStr">
        <is>
          <t>NON</t>
        </is>
      </c>
    </row>
    <row r="82">
      <c r="A82" s="12" t="inlineStr">
        <is>
          <t>Art. 2.3</t>
        </is>
      </c>
      <c r="B82" s="10" t="inlineStr">
        <is>
          <t>Main-d'œuvre</t>
        </is>
      </c>
      <c r="C82" s="10" t="inlineStr">
        <is>
          <t>Maçon (équipe 1 maçon + 6 manœuvres : 4 m³/j)</t>
        </is>
      </c>
      <c r="D82" s="10" t="inlineStr">
        <is>
          <t>mo_macon</t>
        </is>
      </c>
      <c r="E82" s="12" t="inlineStr">
        <is>
          <t>h.j</t>
        </is>
      </c>
      <c r="F82" s="31">
        <f>1/4</f>
        <v>0.25</v>
      </c>
      <c r="G82" s="32">
        <f>px_mo_macon</f>
        <v>10000.0</v>
      </c>
      <c r="H82" s="32">
        <f>F82*G82</f>
        <v>2500.0</v>
      </c>
      <c r="I82" s="18">
        <f>q_2_3</f>
        <v>2.3120000000000003</v>
      </c>
      <c r="J82" s="18">
        <f>F82*I82</f>
        <v>0.5780000000000001</v>
      </c>
      <c r="K82" s="12" t="inlineStr">
        <is>
          <t>NON</t>
        </is>
      </c>
    </row>
    <row r="83">
      <c r="A83" s="12" t="inlineStr">
        <is>
          <t>Art. 2.3</t>
        </is>
      </c>
      <c r="B83" s="10" t="inlineStr">
        <is>
          <t>Main-d'œuvre</t>
        </is>
      </c>
      <c r="C83" s="10" t="inlineStr">
        <is>
          <t>Manœuvres (6 par équipe)</t>
        </is>
      </c>
      <c r="D83" s="10" t="inlineStr">
        <is>
          <t>mo_man</t>
        </is>
      </c>
      <c r="E83" s="12" t="inlineStr">
        <is>
          <t>h.j</t>
        </is>
      </c>
      <c r="F83" s="31">
        <f>6/4</f>
        <v>1.5</v>
      </c>
      <c r="G83" s="32">
        <f>px_mo_man</f>
        <v>5000.0</v>
      </c>
      <c r="H83" s="32">
        <f>F83*G83</f>
        <v>7500.0</v>
      </c>
      <c r="I83" s="18">
        <f>q_2_3</f>
        <v>2.3120000000000003</v>
      </c>
      <c r="J83" s="18">
        <f>F83*I83</f>
        <v>3.4680000000000004</v>
      </c>
      <c r="K83" s="12" t="inlineStr">
        <is>
          <t>NON</t>
        </is>
      </c>
    </row>
    <row r="84">
      <c r="A84" s="12" t="inlineStr">
        <is>
          <t>Art. 2.3</t>
        </is>
      </c>
      <c r="B84" s="10" t="inlineStr">
        <is>
          <t>Matériel</t>
        </is>
      </c>
      <c r="C84" s="10" t="inlineStr">
        <is>
          <t>Bétonnière 350 L (location)</t>
        </is>
      </c>
      <c r="D84" s="10" t="inlineStr">
        <is>
          <t>mt_bet</t>
        </is>
      </c>
      <c r="E84" s="12" t="inlineStr">
        <is>
          <t>j</t>
        </is>
      </c>
      <c r="F84" s="31">
        <f>1/4</f>
        <v>0.25</v>
      </c>
      <c r="G84" s="32">
        <f>px_mt_bet</f>
        <v>25000.0</v>
      </c>
      <c r="H84" s="32">
        <f>F84*G84</f>
        <v>6250.0</v>
      </c>
      <c r="I84" s="18">
        <f>q_2_3</f>
        <v>2.3120000000000003</v>
      </c>
      <c r="J84" s="18">
        <f>F84*I84</f>
        <v>0.5780000000000001</v>
      </c>
      <c r="K84" s="12" t="inlineStr">
        <is>
          <t>NON</t>
        </is>
      </c>
    </row>
    <row r="85">
      <c r="A85" s="12" t="inlineStr">
        <is>
          <t>Art. 2.3</t>
        </is>
      </c>
      <c r="B85" s="10" t="inlineStr">
        <is>
          <t>Matériel</t>
        </is>
      </c>
      <c r="C85" s="10" t="inlineStr">
        <is>
          <t>Vibreur (location)</t>
        </is>
      </c>
      <c r="D85" s="10" t="inlineStr">
        <is>
          <t>mt_vib</t>
        </is>
      </c>
      <c r="E85" s="12" t="inlineStr">
        <is>
          <t>j</t>
        </is>
      </c>
      <c r="F85" s="31">
        <f>1/4</f>
        <v>0.25</v>
      </c>
      <c r="G85" s="32">
        <f>px_mt_vib</f>
        <v>15000.0</v>
      </c>
      <c r="H85" s="32">
        <f>F85*G85</f>
        <v>3750.0</v>
      </c>
      <c r="I85" s="18">
        <f>q_2_3</f>
        <v>2.3120000000000003</v>
      </c>
      <c r="J85" s="18">
        <f>F85*I85</f>
        <v>0.5780000000000001</v>
      </c>
      <c r="K85" s="12" t="inlineStr">
        <is>
          <t>NON</t>
        </is>
      </c>
    </row>
    <row r="86">
      <c r="A86" s="12" t="inlineStr">
        <is>
          <t>Art. 2.3</t>
        </is>
      </c>
      <c r="B86" s="10" t="inlineStr">
        <is>
          <t>Matériel</t>
        </is>
      </c>
      <c r="C86" s="10" t="inlineStr">
        <is>
          <t>Petit outillage (% de la main-d'œuvre)</t>
        </is>
      </c>
      <c r="D86" s="10" t="n"/>
      <c r="E86" s="12" t="inlineStr">
        <is>
          <t>%</t>
        </is>
      </c>
      <c r="F86" s="33">
        <f>p_PO</f>
        <v>0.03</v>
      </c>
      <c r="G86" s="32">
        <f>SUMIFS(H78:H85,B78:B85,"Main-d'œuvre")</f>
        <v>10000.0</v>
      </c>
      <c r="H86" s="32">
        <f>F86*G86</f>
        <v>300.0</v>
      </c>
      <c r="I86" s="10" t="n"/>
      <c r="J86" s="10" t="n"/>
      <c r="K86" s="10" t="n"/>
    </row>
    <row r="87">
      <c r="A87" s="34" t="n"/>
      <c r="B87" s="34" t="n"/>
      <c r="C87" s="35" t="inlineStr">
        <is>
          <t>DÉBOURSÉ SEC UNITAIRE / m³</t>
        </is>
      </c>
      <c r="D87" s="34" t="n"/>
      <c r="E87" s="34" t="n"/>
      <c r="F87" s="34" t="n"/>
      <c r="G87" s="34" t="n"/>
      <c r="H87" s="36">
        <f>SUM(H78:H86)</f>
        <v>87750.0</v>
      </c>
      <c r="I87" s="34" t="n"/>
      <c r="J87" s="34" t="n"/>
      <c r="K87" s="34" t="n"/>
    </row>
    <row r="89">
      <c r="A89" s="8" t="n"/>
      <c r="B89" s="8" t="inlineStr">
        <is>
          <t>Article 2.4 - Fourniture et scellement des tiges d'ancrage M20 des IPE (gabarit de pose, 4 par pilier) (unité : u)</t>
        </is>
      </c>
      <c r="C89" s="29" t="n"/>
      <c r="D89" s="29" t="n"/>
      <c r="E89" s="29" t="n"/>
      <c r="F89" s="29" t="n"/>
      <c r="G89" s="29" t="n"/>
      <c r="H89" s="29" t="n"/>
      <c r="I89" s="29" t="n"/>
      <c r="J89" s="29" t="n"/>
      <c r="K89" s="30" t="n"/>
    </row>
    <row r="90">
      <c r="A90" s="12" t="inlineStr">
        <is>
          <t>Art. 2.4</t>
        </is>
      </c>
      <c r="B90" s="10" t="inlineStr">
        <is>
          <t>Matériaux</t>
        </is>
      </c>
      <c r="C90" s="10" t="inlineStr">
        <is>
          <t>Tige d'ancrage M20 L = 600 coudée + 2 écrous + rondelle</t>
        </is>
      </c>
      <c r="D90" s="10" t="inlineStr">
        <is>
          <t>tige</t>
        </is>
      </c>
      <c r="E90" s="12" t="inlineStr">
        <is>
          <t>u</t>
        </is>
      </c>
      <c r="F90" s="31">
        <f>1</f>
        <v>1.0</v>
      </c>
      <c r="G90" s="32">
        <f>px_tige</f>
        <v>6000.0</v>
      </c>
      <c r="H90" s="32">
        <f>F90*G90</f>
        <v>6000.0</v>
      </c>
      <c r="I90" s="18">
        <f>q_2_4</f>
        <v>68.0</v>
      </c>
      <c r="J90" s="18">
        <f>F90*I90</f>
        <v>68.0</v>
      </c>
      <c r="K90" s="12" t="inlineStr">
        <is>
          <t>NON</t>
        </is>
      </c>
    </row>
    <row r="91">
      <c r="A91" s="12" t="inlineStr">
        <is>
          <t>Art. 2.4</t>
        </is>
      </c>
      <c r="B91" s="10" t="inlineStr">
        <is>
          <t>Matériaux</t>
        </is>
      </c>
      <c r="C91" s="10" t="inlineStr">
        <is>
          <t>Gabarit de pose (contreplaqué)</t>
        </is>
      </c>
      <c r="D91" s="10" t="inlineStr">
        <is>
          <t>bois</t>
        </is>
      </c>
      <c r="E91" s="12" t="inlineStr">
        <is>
          <t>m²</t>
        </is>
      </c>
      <c r="F91" s="31">
        <f>0.10</f>
        <v>0.1</v>
      </c>
      <c r="G91" s="32">
        <f>px_bois</f>
        <v>1800.0</v>
      </c>
      <c r="H91" s="32">
        <f>F91*G91</f>
        <v>180.0</v>
      </c>
      <c r="I91" s="18">
        <f>q_2_4</f>
        <v>68.0</v>
      </c>
      <c r="J91" s="18">
        <f>F91*I91</f>
        <v>6.800000000000001</v>
      </c>
      <c r="K91" s="12" t="inlineStr">
        <is>
          <t>NON</t>
        </is>
      </c>
    </row>
    <row r="92">
      <c r="A92" s="12" t="inlineStr">
        <is>
          <t>Art. 2.4</t>
        </is>
      </c>
      <c r="B92" s="10" t="inlineStr">
        <is>
          <t>Main-d'œuvre</t>
        </is>
      </c>
      <c r="C92" s="10" t="inlineStr">
        <is>
          <t>Monteur (16 tiges/j)</t>
        </is>
      </c>
      <c r="D92" s="10" t="inlineStr">
        <is>
          <t>mo_soud</t>
        </is>
      </c>
      <c r="E92" s="12" t="inlineStr">
        <is>
          <t>h.j</t>
        </is>
      </c>
      <c r="F92" s="31">
        <f>1/16</f>
        <v>0.0625</v>
      </c>
      <c r="G92" s="32">
        <f>px_mo_soud</f>
        <v>15000.0</v>
      </c>
      <c r="H92" s="32">
        <f>F92*G92</f>
        <v>937.5</v>
      </c>
      <c r="I92" s="18">
        <f>q_2_4</f>
        <v>68.0</v>
      </c>
      <c r="J92" s="18">
        <f>F92*I92</f>
        <v>4.25</v>
      </c>
      <c r="K92" s="12" t="inlineStr">
        <is>
          <t>NON</t>
        </is>
      </c>
    </row>
    <row r="93">
      <c r="A93" s="12" t="inlineStr">
        <is>
          <t>Art. 2.4</t>
        </is>
      </c>
      <c r="B93" s="10" t="inlineStr">
        <is>
          <t>Main-d'œuvre</t>
        </is>
      </c>
      <c r="C93" s="10" t="inlineStr">
        <is>
          <t>Manœuvre (16 tiges/j)</t>
        </is>
      </c>
      <c r="D93" s="10" t="inlineStr">
        <is>
          <t>mo_man</t>
        </is>
      </c>
      <c r="E93" s="12" t="inlineStr">
        <is>
          <t>h.j</t>
        </is>
      </c>
      <c r="F93" s="31">
        <f>1/16</f>
        <v>0.0625</v>
      </c>
      <c r="G93" s="32">
        <f>px_mo_man</f>
        <v>5000.0</v>
      </c>
      <c r="H93" s="32">
        <f>F93*G93</f>
        <v>312.5</v>
      </c>
      <c r="I93" s="18">
        <f>q_2_4</f>
        <v>68.0</v>
      </c>
      <c r="J93" s="18">
        <f>F93*I93</f>
        <v>4.25</v>
      </c>
      <c r="K93" s="12" t="inlineStr">
        <is>
          <t>NON</t>
        </is>
      </c>
    </row>
    <row r="94">
      <c r="A94" s="12" t="inlineStr">
        <is>
          <t>Art. 2.4</t>
        </is>
      </c>
      <c r="B94" s="10" t="inlineStr">
        <is>
          <t>Matériel</t>
        </is>
      </c>
      <c r="C94" s="10" t="inlineStr">
        <is>
          <t>Petit outillage (% de la main-d'œuvre)</t>
        </is>
      </c>
      <c r="D94" s="10" t="n"/>
      <c r="E94" s="12" t="inlineStr">
        <is>
          <t>%</t>
        </is>
      </c>
      <c r="F94" s="33">
        <f>p_PO</f>
        <v>0.03</v>
      </c>
      <c r="G94" s="32">
        <f>SUMIFS(H90:H93,B90:B93,"Main-d'œuvre")</f>
        <v>1250.0</v>
      </c>
      <c r="H94" s="32">
        <f>F94*G94</f>
        <v>37.5</v>
      </c>
      <c r="I94" s="10" t="n"/>
      <c r="J94" s="10" t="n"/>
      <c r="K94" s="10" t="n"/>
    </row>
    <row r="95">
      <c r="A95" s="34" t="n"/>
      <c r="B95" s="34" t="n"/>
      <c r="C95" s="35" t="inlineStr">
        <is>
          <t>DÉBOURSÉ SEC UNITAIRE / u</t>
        </is>
      </c>
      <c r="D95" s="34" t="n"/>
      <c r="E95" s="34" t="n"/>
      <c r="F95" s="34" t="n"/>
      <c r="G95" s="34" t="n"/>
      <c r="H95" s="36">
        <f>SUM(H90:H94)</f>
        <v>7467.5</v>
      </c>
      <c r="I95" s="34" t="n"/>
      <c r="J95" s="34" t="n"/>
      <c r="K95" s="34" t="n"/>
    </row>
    <row r="97">
      <c r="A97" s="8" t="n"/>
      <c r="B97" s="8" t="inlineStr">
        <is>
          <t>Article 2.5 - Béton armé dosé à 350 kg/m³ pour semelle filante 0,40 x 0,15 (unité : m³)</t>
        </is>
      </c>
      <c r="C97" s="29" t="n"/>
      <c r="D97" s="29" t="n"/>
      <c r="E97" s="29" t="n"/>
      <c r="F97" s="29" t="n"/>
      <c r="G97" s="29" t="n"/>
      <c r="H97" s="29" t="n"/>
      <c r="I97" s="29" t="n"/>
      <c r="J97" s="29" t="n"/>
      <c r="K97" s="30" t="n"/>
    </row>
    <row r="98">
      <c r="A98" s="12" t="inlineStr">
        <is>
          <t>Art. 2.5</t>
        </is>
      </c>
      <c r="B98" s="10" t="inlineStr">
        <is>
          <t>Matériaux</t>
        </is>
      </c>
      <c r="C98" s="10" t="inlineStr">
        <is>
          <t>Ciment CPJ 42,5 (sac 50 kg)</t>
        </is>
      </c>
      <c r="D98" s="10" t="inlineStr">
        <is>
          <t>ciment</t>
        </is>
      </c>
      <c r="E98" s="12" t="inlineStr">
        <is>
          <t>sac</t>
        </is>
      </c>
      <c r="F98" s="31">
        <f>350/50</f>
        <v>7.0</v>
      </c>
      <c r="G98" s="32">
        <f>px_ciment</f>
        <v>5800.0</v>
      </c>
      <c r="H98" s="32">
        <f>F98*G98</f>
        <v>40600.0</v>
      </c>
      <c r="I98" s="18">
        <f>q_2_5</f>
        <v>3.984</v>
      </c>
      <c r="J98" s="18">
        <f>F98*I98</f>
        <v>27.887999999999998</v>
      </c>
      <c r="K98" s="12" t="inlineStr">
        <is>
          <t>NON</t>
        </is>
      </c>
    </row>
    <row r="99">
      <c r="A99" s="12" t="inlineStr">
        <is>
          <t>Art. 2.5</t>
        </is>
      </c>
      <c r="B99" s="10" t="inlineStr">
        <is>
          <t>Matériaux</t>
        </is>
      </c>
      <c r="C99" s="10" t="inlineStr">
        <is>
          <t>Sable lavé</t>
        </is>
      </c>
      <c r="D99" s="10" t="inlineStr">
        <is>
          <t>sable</t>
        </is>
      </c>
      <c r="E99" s="12" t="inlineStr">
        <is>
          <t>m³</t>
        </is>
      </c>
      <c r="F99" s="31">
        <f>0.45</f>
        <v>0.45</v>
      </c>
      <c r="G99" s="32">
        <f>px_sable</f>
        <v>12000.0</v>
      </c>
      <c r="H99" s="32">
        <f>F99*G99</f>
        <v>5400.0</v>
      </c>
      <c r="I99" s="18">
        <f>q_2_5</f>
        <v>3.984</v>
      </c>
      <c r="J99" s="18">
        <f>F99*I99</f>
        <v>1.7928</v>
      </c>
      <c r="K99" s="12" t="inlineStr">
        <is>
          <t>NON</t>
        </is>
      </c>
    </row>
    <row r="100">
      <c r="A100" s="12" t="inlineStr">
        <is>
          <t>Art. 2.5</t>
        </is>
      </c>
      <c r="B100" s="10" t="inlineStr">
        <is>
          <t>Matériaux</t>
        </is>
      </c>
      <c r="C100" s="10" t="inlineStr">
        <is>
          <t>Gravier concassé 5/15 - 15/25</t>
        </is>
      </c>
      <c r="D100" s="10" t="inlineStr">
        <is>
          <t>gravier</t>
        </is>
      </c>
      <c r="E100" s="12" t="inlineStr">
        <is>
          <t>m³</t>
        </is>
      </c>
      <c r="F100" s="31">
        <f>0.85</f>
        <v>0.85</v>
      </c>
      <c r="G100" s="32">
        <f>px_gravier</f>
        <v>25000.0</v>
      </c>
      <c r="H100" s="32">
        <f>F100*G100</f>
        <v>21250.0</v>
      </c>
      <c r="I100" s="18">
        <f>q_2_5</f>
        <v>3.984</v>
      </c>
      <c r="J100" s="18">
        <f>F100*I100</f>
        <v>3.3864</v>
      </c>
      <c r="K100" s="12" t="inlineStr">
        <is>
          <t>NON</t>
        </is>
      </c>
    </row>
    <row r="101">
      <c r="A101" s="12" t="inlineStr">
        <is>
          <t>Art. 2.5</t>
        </is>
      </c>
      <c r="B101" s="10" t="inlineStr">
        <is>
          <t>Matériaux</t>
        </is>
      </c>
      <c r="C101" s="10" t="inlineStr">
        <is>
          <t>Eau</t>
        </is>
      </c>
      <c r="D101" s="10" t="inlineStr">
        <is>
          <t>eau</t>
        </is>
      </c>
      <c r="E101" s="12" t="inlineStr">
        <is>
          <t>m³</t>
        </is>
      </c>
      <c r="F101" s="31">
        <f>0.20</f>
        <v>0.2</v>
      </c>
      <c r="G101" s="32">
        <f>px_eau</f>
        <v>1000.0</v>
      </c>
      <c r="H101" s="32">
        <f>F101*G101</f>
        <v>200.0</v>
      </c>
      <c r="I101" s="18">
        <f>q_2_5</f>
        <v>3.984</v>
      </c>
      <c r="J101" s="18">
        <f>F101*I101</f>
        <v>0.7968000000000001</v>
      </c>
      <c r="K101" s="12" t="inlineStr">
        <is>
          <t>NON</t>
        </is>
      </c>
    </row>
    <row r="102">
      <c r="A102" s="12" t="inlineStr">
        <is>
          <t>Art. 2.5</t>
        </is>
      </c>
      <c r="B102" s="10" t="inlineStr">
        <is>
          <t>Main-d'œuvre</t>
        </is>
      </c>
      <c r="C102" s="10" t="inlineStr">
        <is>
          <t>Maçon (équipe 1 maçon + 6 manœuvres : 6 m³/j)</t>
        </is>
      </c>
      <c r="D102" s="10" t="inlineStr">
        <is>
          <t>mo_macon</t>
        </is>
      </c>
      <c r="E102" s="12" t="inlineStr">
        <is>
          <t>h.j</t>
        </is>
      </c>
      <c r="F102" s="31">
        <f>1/6</f>
        <v>0.16666666666666666</v>
      </c>
      <c r="G102" s="32">
        <f>px_mo_macon</f>
        <v>10000.0</v>
      </c>
      <c r="H102" s="32">
        <f>F102*G102</f>
        <v>1666.6666666666665</v>
      </c>
      <c r="I102" s="18">
        <f>q_2_5</f>
        <v>3.984</v>
      </c>
      <c r="J102" s="18">
        <f>F102*I102</f>
        <v>0.6639999999999999</v>
      </c>
      <c r="K102" s="12" t="inlineStr">
        <is>
          <t>NON</t>
        </is>
      </c>
    </row>
    <row r="103">
      <c r="A103" s="12" t="inlineStr">
        <is>
          <t>Art. 2.5</t>
        </is>
      </c>
      <c r="B103" s="10" t="inlineStr">
        <is>
          <t>Main-d'œuvre</t>
        </is>
      </c>
      <c r="C103" s="10" t="inlineStr">
        <is>
          <t>Manœuvres (6 par équipe)</t>
        </is>
      </c>
      <c r="D103" s="10" t="inlineStr">
        <is>
          <t>mo_man</t>
        </is>
      </c>
      <c r="E103" s="12" t="inlineStr">
        <is>
          <t>h.j</t>
        </is>
      </c>
      <c r="F103" s="31">
        <f>6/6</f>
        <v>1.0</v>
      </c>
      <c r="G103" s="32">
        <f>px_mo_man</f>
        <v>5000.0</v>
      </c>
      <c r="H103" s="32">
        <f>F103*G103</f>
        <v>5000.0</v>
      </c>
      <c r="I103" s="18">
        <f>q_2_5</f>
        <v>3.984</v>
      </c>
      <c r="J103" s="18">
        <f>F103*I103</f>
        <v>3.984</v>
      </c>
      <c r="K103" s="12" t="inlineStr">
        <is>
          <t>NON</t>
        </is>
      </c>
    </row>
    <row r="104">
      <c r="A104" s="12" t="inlineStr">
        <is>
          <t>Art. 2.5</t>
        </is>
      </c>
      <c r="B104" s="10" t="inlineStr">
        <is>
          <t>Matériel</t>
        </is>
      </c>
      <c r="C104" s="10" t="inlineStr">
        <is>
          <t>Bétonnière 350 L (location)</t>
        </is>
      </c>
      <c r="D104" s="10" t="inlineStr">
        <is>
          <t>mt_bet</t>
        </is>
      </c>
      <c r="E104" s="12" t="inlineStr">
        <is>
          <t>j</t>
        </is>
      </c>
      <c r="F104" s="31">
        <f>1/6</f>
        <v>0.16666666666666666</v>
      </c>
      <c r="G104" s="32">
        <f>px_mt_bet</f>
        <v>25000.0</v>
      </c>
      <c r="H104" s="32">
        <f>F104*G104</f>
        <v>4166.666666666666</v>
      </c>
      <c r="I104" s="18">
        <f>q_2_5</f>
        <v>3.984</v>
      </c>
      <c r="J104" s="18">
        <f>F104*I104</f>
        <v>0.6639999999999999</v>
      </c>
      <c r="K104" s="12" t="inlineStr">
        <is>
          <t>NON</t>
        </is>
      </c>
    </row>
    <row r="105">
      <c r="A105" s="12" t="inlineStr">
        <is>
          <t>Art. 2.5</t>
        </is>
      </c>
      <c r="B105" s="10" t="inlineStr">
        <is>
          <t>Matériel</t>
        </is>
      </c>
      <c r="C105" s="10" t="inlineStr">
        <is>
          <t>Vibreur (location)</t>
        </is>
      </c>
      <c r="D105" s="10" t="inlineStr">
        <is>
          <t>mt_vib</t>
        </is>
      </c>
      <c r="E105" s="12" t="inlineStr">
        <is>
          <t>j</t>
        </is>
      </c>
      <c r="F105" s="31">
        <f>1/6</f>
        <v>0.16666666666666666</v>
      </c>
      <c r="G105" s="32">
        <f>px_mt_vib</f>
        <v>15000.0</v>
      </c>
      <c r="H105" s="32">
        <f>F105*G105</f>
        <v>2500.0</v>
      </c>
      <c r="I105" s="18">
        <f>q_2_5</f>
        <v>3.984</v>
      </c>
      <c r="J105" s="18">
        <f>F105*I105</f>
        <v>0.6639999999999999</v>
      </c>
      <c r="K105" s="12" t="inlineStr">
        <is>
          <t>NON</t>
        </is>
      </c>
    </row>
    <row r="106">
      <c r="A106" s="12" t="inlineStr">
        <is>
          <t>Art. 2.5</t>
        </is>
      </c>
      <c r="B106" s="10" t="inlineStr">
        <is>
          <t>Matériel</t>
        </is>
      </c>
      <c r="C106" s="10" t="inlineStr">
        <is>
          <t>Petit outillage (% de la main-d'œuvre)</t>
        </is>
      </c>
      <c r="D106" s="10" t="n"/>
      <c r="E106" s="12" t="inlineStr">
        <is>
          <t>%</t>
        </is>
      </c>
      <c r="F106" s="33">
        <f>p_PO</f>
        <v>0.03</v>
      </c>
      <c r="G106" s="32">
        <f>SUMIFS(H98:H105,B98:B105,"Main-d'œuvre")</f>
        <v>6666.666666666666</v>
      </c>
      <c r="H106" s="32">
        <f>F106*G106</f>
        <v>199.99999999999997</v>
      </c>
      <c r="I106" s="10" t="n"/>
      <c r="J106" s="10" t="n"/>
      <c r="K106" s="10" t="n"/>
    </row>
    <row r="107">
      <c r="A107" s="34" t="n"/>
      <c r="B107" s="34" t="n"/>
      <c r="C107" s="35" t="inlineStr">
        <is>
          <t>DÉBOURSÉ SEC UNITAIRE / m³</t>
        </is>
      </c>
      <c r="D107" s="34" t="n"/>
      <c r="E107" s="34" t="n"/>
      <c r="F107" s="34" t="n"/>
      <c r="G107" s="34" t="n"/>
      <c r="H107" s="36">
        <f>SUM(H98:H106)</f>
        <v>80983.33333333333</v>
      </c>
      <c r="I107" s="34" t="n"/>
      <c r="J107" s="34" t="n"/>
      <c r="K107" s="34" t="n"/>
    </row>
    <row r="109">
      <c r="A109" s="8" t="n"/>
      <c r="B109" s="8" t="inlineStr">
        <is>
          <t>Article 2.6 - Maçonnerie d'agglos 15 pleins en fondation h = 1,00 m, mortier dosé à 300 kg/m³ (unité : m²)</t>
        </is>
      </c>
      <c r="C109" s="29" t="n"/>
      <c r="D109" s="29" t="n"/>
      <c r="E109" s="29" t="n"/>
      <c r="F109" s="29" t="n"/>
      <c r="G109" s="29" t="n"/>
      <c r="H109" s="29" t="n"/>
      <c r="I109" s="29" t="n"/>
      <c r="J109" s="29" t="n"/>
      <c r="K109" s="30" t="n"/>
    </row>
    <row r="110">
      <c r="A110" s="12" t="inlineStr">
        <is>
          <t>Art. 2.6</t>
        </is>
      </c>
      <c r="B110" s="10" t="inlineStr">
        <is>
          <t>Matériaux</t>
        </is>
      </c>
      <c r="C110" s="10" t="inlineStr">
        <is>
          <t>Agglos 15 pleins (12,5 u/m² + 5 % casse)</t>
        </is>
      </c>
      <c r="D110" s="10" t="inlineStr">
        <is>
          <t>agglo</t>
        </is>
      </c>
      <c r="E110" s="12" t="inlineStr">
        <is>
          <t>u</t>
        </is>
      </c>
      <c r="F110" s="31">
        <f>12.5*1.05</f>
        <v>13.125</v>
      </c>
      <c r="G110" s="32">
        <f>px_agglo</f>
        <v>500.0</v>
      </c>
      <c r="H110" s="32">
        <f>F110*G110</f>
        <v>6562.5</v>
      </c>
      <c r="I110" s="18">
        <f>q_2_6</f>
        <v>73.03</v>
      </c>
      <c r="J110" s="18">
        <f>F110*I110</f>
        <v>958.5187500000001</v>
      </c>
      <c r="K110" s="12" t="inlineStr">
        <is>
          <t>NON</t>
        </is>
      </c>
    </row>
    <row r="111">
      <c r="A111" s="12" t="inlineStr">
        <is>
          <t>Art. 2.6</t>
        </is>
      </c>
      <c r="B111" s="10" t="inlineStr">
        <is>
          <t>Matériaux</t>
        </is>
      </c>
      <c r="C111" s="10" t="inlineStr">
        <is>
          <t>Ciment CPJ 42,5 (sac 50 kg)</t>
        </is>
      </c>
      <c r="D111" s="10" t="inlineStr">
        <is>
          <t>ciment</t>
        </is>
      </c>
      <c r="E111" s="12" t="inlineStr">
        <is>
          <t>sac</t>
        </is>
      </c>
      <c r="F111" s="31">
        <f>0.15</f>
        <v>0.15</v>
      </c>
      <c r="G111" s="32">
        <f>px_ciment</f>
        <v>5800.0</v>
      </c>
      <c r="H111" s="32">
        <f>F111*G111</f>
        <v>870.0</v>
      </c>
      <c r="I111" s="18">
        <f>q_2_6</f>
        <v>73.03</v>
      </c>
      <c r="J111" s="18">
        <f>F111*I111</f>
        <v>10.9545</v>
      </c>
      <c r="K111" s="12" t="inlineStr">
        <is>
          <t>NON</t>
        </is>
      </c>
    </row>
    <row r="112">
      <c r="A112" s="12" t="inlineStr">
        <is>
          <t>Art. 2.6</t>
        </is>
      </c>
      <c r="B112" s="10" t="inlineStr">
        <is>
          <t>Matériaux</t>
        </is>
      </c>
      <c r="C112" s="10" t="inlineStr">
        <is>
          <t>Sable lavé</t>
        </is>
      </c>
      <c r="D112" s="10" t="inlineStr">
        <is>
          <t>sable</t>
        </is>
      </c>
      <c r="E112" s="12" t="inlineStr">
        <is>
          <t>m³</t>
        </is>
      </c>
      <c r="F112" s="31">
        <f>0.03</f>
        <v>0.03</v>
      </c>
      <c r="G112" s="32">
        <f>px_sable</f>
        <v>12000.0</v>
      </c>
      <c r="H112" s="32">
        <f>F112*G112</f>
        <v>360.0</v>
      </c>
      <c r="I112" s="18">
        <f>q_2_6</f>
        <v>73.03</v>
      </c>
      <c r="J112" s="18">
        <f>F112*I112</f>
        <v>2.1909</v>
      </c>
      <c r="K112" s="12" t="inlineStr">
        <is>
          <t>NON</t>
        </is>
      </c>
    </row>
    <row r="113">
      <c r="A113" s="12" t="inlineStr">
        <is>
          <t>Art. 2.6</t>
        </is>
      </c>
      <c r="B113" s="10" t="inlineStr">
        <is>
          <t>Matériaux</t>
        </is>
      </c>
      <c r="C113" s="10" t="inlineStr">
        <is>
          <t>Eau</t>
        </is>
      </c>
      <c r="D113" s="10" t="inlineStr">
        <is>
          <t>eau</t>
        </is>
      </c>
      <c r="E113" s="12" t="inlineStr">
        <is>
          <t>m³</t>
        </is>
      </c>
      <c r="F113" s="31">
        <f>0.01</f>
        <v>0.01</v>
      </c>
      <c r="G113" s="32">
        <f>px_eau</f>
        <v>1000.0</v>
      </c>
      <c r="H113" s="32">
        <f>F113*G113</f>
        <v>10.0</v>
      </c>
      <c r="I113" s="18">
        <f>q_2_6</f>
        <v>73.03</v>
      </c>
      <c r="J113" s="18">
        <f>F113*I113</f>
        <v>0.7303000000000001</v>
      </c>
      <c r="K113" s="12" t="inlineStr">
        <is>
          <t>NON</t>
        </is>
      </c>
    </row>
    <row r="114">
      <c r="A114" s="12" t="inlineStr">
        <is>
          <t>Art. 2.6</t>
        </is>
      </c>
      <c r="B114" s="10" t="inlineStr">
        <is>
          <t>Main-d'œuvre</t>
        </is>
      </c>
      <c r="C114" s="10" t="inlineStr">
        <is>
          <t>Maçon (10 m²/j)</t>
        </is>
      </c>
      <c r="D114" s="10" t="inlineStr">
        <is>
          <t>mo_macon</t>
        </is>
      </c>
      <c r="E114" s="12" t="inlineStr">
        <is>
          <t>h.j</t>
        </is>
      </c>
      <c r="F114" s="31">
        <f>1/10</f>
        <v>0.1</v>
      </c>
      <c r="G114" s="32">
        <f>px_mo_macon</f>
        <v>10000.0</v>
      </c>
      <c r="H114" s="32">
        <f>F114*G114</f>
        <v>1000.0</v>
      </c>
      <c r="I114" s="18">
        <f>q_2_6</f>
        <v>73.03</v>
      </c>
      <c r="J114" s="18">
        <f>F114*I114</f>
        <v>7.303000000000001</v>
      </c>
      <c r="K114" s="12" t="inlineStr">
        <is>
          <t>NON</t>
        </is>
      </c>
    </row>
    <row r="115">
      <c r="A115" s="12" t="inlineStr">
        <is>
          <t>Art. 2.6</t>
        </is>
      </c>
      <c r="B115" s="10" t="inlineStr">
        <is>
          <t>Main-d'œuvre</t>
        </is>
      </c>
      <c r="C115" s="10" t="inlineStr">
        <is>
          <t>Manœuvre (10 m²/j)</t>
        </is>
      </c>
      <c r="D115" s="10" t="inlineStr">
        <is>
          <t>mo_man</t>
        </is>
      </c>
      <c r="E115" s="12" t="inlineStr">
        <is>
          <t>h.j</t>
        </is>
      </c>
      <c r="F115" s="31">
        <f>1/10</f>
        <v>0.1</v>
      </c>
      <c r="G115" s="32">
        <f>px_mo_man</f>
        <v>5000.0</v>
      </c>
      <c r="H115" s="32">
        <f>F115*G115</f>
        <v>500.0</v>
      </c>
      <c r="I115" s="18">
        <f>q_2_6</f>
        <v>73.03</v>
      </c>
      <c r="J115" s="18">
        <f>F115*I115</f>
        <v>7.303000000000001</v>
      </c>
      <c r="K115" s="12" t="inlineStr">
        <is>
          <t>NON</t>
        </is>
      </c>
    </row>
    <row r="116">
      <c r="A116" s="12" t="inlineStr">
        <is>
          <t>Art. 2.6</t>
        </is>
      </c>
      <c r="B116" s="10" t="inlineStr">
        <is>
          <t>Matériel</t>
        </is>
      </c>
      <c r="C116" s="10" t="inlineStr">
        <is>
          <t>Petit outillage (% de la main-d'œuvre)</t>
        </is>
      </c>
      <c r="D116" s="10" t="n"/>
      <c r="E116" s="12" t="inlineStr">
        <is>
          <t>%</t>
        </is>
      </c>
      <c r="F116" s="33">
        <f>p_PO</f>
        <v>0.03</v>
      </c>
      <c r="G116" s="32">
        <f>SUMIFS(H110:H115,B110:B115,"Main-d'œuvre")</f>
        <v>1500.0</v>
      </c>
      <c r="H116" s="32">
        <f>F116*G116</f>
        <v>45.0</v>
      </c>
      <c r="I116" s="10" t="n"/>
      <c r="J116" s="10" t="n"/>
      <c r="K116" s="10" t="n"/>
    </row>
    <row r="117">
      <c r="A117" s="34" t="n"/>
      <c r="B117" s="34" t="n"/>
      <c r="C117" s="35" t="inlineStr">
        <is>
          <t>DÉBOURSÉ SEC UNITAIRE / m²</t>
        </is>
      </c>
      <c r="D117" s="34" t="n"/>
      <c r="E117" s="34" t="n"/>
      <c r="F117" s="34" t="n"/>
      <c r="G117" s="34" t="n"/>
      <c r="H117" s="36">
        <f>SUM(H110:H116)</f>
        <v>9347.5</v>
      </c>
      <c r="I117" s="34" t="n"/>
      <c r="J117" s="34" t="n"/>
      <c r="K117" s="34" t="n"/>
    </row>
    <row r="119">
      <c r="A119" s="8" t="n"/>
      <c r="B119" s="8" t="inlineStr">
        <is>
          <t>Article 2.7 - Béton armé dosé à 350 kg/m³ pour chaînage bas 15 x 20 (unité : m³)</t>
        </is>
      </c>
      <c r="C119" s="29" t="n"/>
      <c r="D119" s="29" t="n"/>
      <c r="E119" s="29" t="n"/>
      <c r="F119" s="29" t="n"/>
      <c r="G119" s="29" t="n"/>
      <c r="H119" s="29" t="n"/>
      <c r="I119" s="29" t="n"/>
      <c r="J119" s="29" t="n"/>
      <c r="K119" s="30" t="n"/>
    </row>
    <row r="120">
      <c r="A120" s="12" t="inlineStr">
        <is>
          <t>Art. 2.7</t>
        </is>
      </c>
      <c r="B120" s="10" t="inlineStr">
        <is>
          <t>Matériaux</t>
        </is>
      </c>
      <c r="C120" s="10" t="inlineStr">
        <is>
          <t>Ciment CPJ 42,5 (sac 50 kg)</t>
        </is>
      </c>
      <c r="D120" s="10" t="inlineStr">
        <is>
          <t>ciment</t>
        </is>
      </c>
      <c r="E120" s="12" t="inlineStr">
        <is>
          <t>sac</t>
        </is>
      </c>
      <c r="F120" s="31">
        <f>350/50</f>
        <v>7.0</v>
      </c>
      <c r="G120" s="32">
        <f>px_ciment</f>
        <v>5800.0</v>
      </c>
      <c r="H120" s="32">
        <f>F120*G120</f>
        <v>40600.0</v>
      </c>
      <c r="I120" s="18">
        <f>q_2_7</f>
        <v>2.1909</v>
      </c>
      <c r="J120" s="18">
        <f>F120*I120</f>
        <v>15.336300000000001</v>
      </c>
      <c r="K120" s="12" t="inlineStr">
        <is>
          <t>NON</t>
        </is>
      </c>
    </row>
    <row r="121">
      <c r="A121" s="12" t="inlineStr">
        <is>
          <t>Art. 2.7</t>
        </is>
      </c>
      <c r="B121" s="10" t="inlineStr">
        <is>
          <t>Matériaux</t>
        </is>
      </c>
      <c r="C121" s="10" t="inlineStr">
        <is>
          <t>Sable lavé</t>
        </is>
      </c>
      <c r="D121" s="10" t="inlineStr">
        <is>
          <t>sable</t>
        </is>
      </c>
      <c r="E121" s="12" t="inlineStr">
        <is>
          <t>m³</t>
        </is>
      </c>
      <c r="F121" s="31">
        <f>0.45</f>
        <v>0.45</v>
      </c>
      <c r="G121" s="32">
        <f>px_sable</f>
        <v>12000.0</v>
      </c>
      <c r="H121" s="32">
        <f>F121*G121</f>
        <v>5400.0</v>
      </c>
      <c r="I121" s="18">
        <f>q_2_7</f>
        <v>2.1909</v>
      </c>
      <c r="J121" s="18">
        <f>F121*I121</f>
        <v>0.985905</v>
      </c>
      <c r="K121" s="12" t="inlineStr">
        <is>
          <t>NON</t>
        </is>
      </c>
    </row>
    <row r="122">
      <c r="A122" s="12" t="inlineStr">
        <is>
          <t>Art. 2.7</t>
        </is>
      </c>
      <c r="B122" s="10" t="inlineStr">
        <is>
          <t>Matériaux</t>
        </is>
      </c>
      <c r="C122" s="10" t="inlineStr">
        <is>
          <t>Gravier concassé 5/15 - 15/25</t>
        </is>
      </c>
      <c r="D122" s="10" t="inlineStr">
        <is>
          <t>gravier</t>
        </is>
      </c>
      <c r="E122" s="12" t="inlineStr">
        <is>
          <t>m³</t>
        </is>
      </c>
      <c r="F122" s="31">
        <f>0.85</f>
        <v>0.85</v>
      </c>
      <c r="G122" s="32">
        <f>px_gravier</f>
        <v>25000.0</v>
      </c>
      <c r="H122" s="32">
        <f>F122*G122</f>
        <v>21250.0</v>
      </c>
      <c r="I122" s="18">
        <f>q_2_7</f>
        <v>2.1909</v>
      </c>
      <c r="J122" s="18">
        <f>F122*I122</f>
        <v>1.862265</v>
      </c>
      <c r="K122" s="12" t="inlineStr">
        <is>
          <t>NON</t>
        </is>
      </c>
    </row>
    <row r="123">
      <c r="A123" s="12" t="inlineStr">
        <is>
          <t>Art. 2.7</t>
        </is>
      </c>
      <c r="B123" s="10" t="inlineStr">
        <is>
          <t>Matériaux</t>
        </is>
      </c>
      <c r="C123" s="10" t="inlineStr">
        <is>
          <t>Eau</t>
        </is>
      </c>
      <c r="D123" s="10" t="inlineStr">
        <is>
          <t>eau</t>
        </is>
      </c>
      <c r="E123" s="12" t="inlineStr">
        <is>
          <t>m³</t>
        </is>
      </c>
      <c r="F123" s="31">
        <f>0.20</f>
        <v>0.2</v>
      </c>
      <c r="G123" s="32">
        <f>px_eau</f>
        <v>1000.0</v>
      </c>
      <c r="H123" s="32">
        <f>F123*G123</f>
        <v>200.0</v>
      </c>
      <c r="I123" s="18">
        <f>q_2_7</f>
        <v>2.1909</v>
      </c>
      <c r="J123" s="18">
        <f>F123*I123</f>
        <v>0.43818</v>
      </c>
      <c r="K123" s="12" t="inlineStr">
        <is>
          <t>NON</t>
        </is>
      </c>
    </row>
    <row r="124">
      <c r="A124" s="12" t="inlineStr">
        <is>
          <t>Art. 2.7</t>
        </is>
      </c>
      <c r="B124" s="10" t="inlineStr">
        <is>
          <t>Main-d'œuvre</t>
        </is>
      </c>
      <c r="C124" s="10" t="inlineStr">
        <is>
          <t>Maçon (équipe 1 maçon + 6 manœuvres : 6 m³/j)</t>
        </is>
      </c>
      <c r="D124" s="10" t="inlineStr">
        <is>
          <t>mo_macon</t>
        </is>
      </c>
      <c r="E124" s="12" t="inlineStr">
        <is>
          <t>h.j</t>
        </is>
      </c>
      <c r="F124" s="31">
        <f>1/6</f>
        <v>0.16666666666666666</v>
      </c>
      <c r="G124" s="32">
        <f>px_mo_macon</f>
        <v>10000.0</v>
      </c>
      <c r="H124" s="32">
        <f>F124*G124</f>
        <v>1666.6666666666665</v>
      </c>
      <c r="I124" s="18">
        <f>q_2_7</f>
        <v>2.1909</v>
      </c>
      <c r="J124" s="18">
        <f>F124*I124</f>
        <v>0.36515</v>
      </c>
      <c r="K124" s="12" t="inlineStr">
        <is>
          <t>NON</t>
        </is>
      </c>
    </row>
    <row r="125">
      <c r="A125" s="12" t="inlineStr">
        <is>
          <t>Art. 2.7</t>
        </is>
      </c>
      <c r="B125" s="10" t="inlineStr">
        <is>
          <t>Main-d'œuvre</t>
        </is>
      </c>
      <c r="C125" s="10" t="inlineStr">
        <is>
          <t>Manœuvres (6 par équipe)</t>
        </is>
      </c>
      <c r="D125" s="10" t="inlineStr">
        <is>
          <t>mo_man</t>
        </is>
      </c>
      <c r="E125" s="12" t="inlineStr">
        <is>
          <t>h.j</t>
        </is>
      </c>
      <c r="F125" s="31">
        <f>6/6</f>
        <v>1.0</v>
      </c>
      <c r="G125" s="32">
        <f>px_mo_man</f>
        <v>5000.0</v>
      </c>
      <c r="H125" s="32">
        <f>F125*G125</f>
        <v>5000.0</v>
      </c>
      <c r="I125" s="18">
        <f>q_2_7</f>
        <v>2.1909</v>
      </c>
      <c r="J125" s="18">
        <f>F125*I125</f>
        <v>2.1909</v>
      </c>
      <c r="K125" s="12" t="inlineStr">
        <is>
          <t>NON</t>
        </is>
      </c>
    </row>
    <row r="126">
      <c r="A126" s="12" t="inlineStr">
        <is>
          <t>Art. 2.7</t>
        </is>
      </c>
      <c r="B126" s="10" t="inlineStr">
        <is>
          <t>Matériel</t>
        </is>
      </c>
      <c r="C126" s="10" t="inlineStr">
        <is>
          <t>Bétonnière 350 L (location)</t>
        </is>
      </c>
      <c r="D126" s="10" t="inlineStr">
        <is>
          <t>mt_bet</t>
        </is>
      </c>
      <c r="E126" s="12" t="inlineStr">
        <is>
          <t>j</t>
        </is>
      </c>
      <c r="F126" s="31">
        <f>1/6</f>
        <v>0.16666666666666666</v>
      </c>
      <c r="G126" s="32">
        <f>px_mt_bet</f>
        <v>25000.0</v>
      </c>
      <c r="H126" s="32">
        <f>F126*G126</f>
        <v>4166.666666666666</v>
      </c>
      <c r="I126" s="18">
        <f>q_2_7</f>
        <v>2.1909</v>
      </c>
      <c r="J126" s="18">
        <f>F126*I126</f>
        <v>0.36515</v>
      </c>
      <c r="K126" s="12" t="inlineStr">
        <is>
          <t>NON</t>
        </is>
      </c>
    </row>
    <row r="127">
      <c r="A127" s="12" t="inlineStr">
        <is>
          <t>Art. 2.7</t>
        </is>
      </c>
      <c r="B127" s="10" t="inlineStr">
        <is>
          <t>Matériel</t>
        </is>
      </c>
      <c r="C127" s="10" t="inlineStr">
        <is>
          <t>Vibreur (location)</t>
        </is>
      </c>
      <c r="D127" s="10" t="inlineStr">
        <is>
          <t>mt_vib</t>
        </is>
      </c>
      <c r="E127" s="12" t="inlineStr">
        <is>
          <t>j</t>
        </is>
      </c>
      <c r="F127" s="31">
        <f>1/6</f>
        <v>0.16666666666666666</v>
      </c>
      <c r="G127" s="32">
        <f>px_mt_vib</f>
        <v>15000.0</v>
      </c>
      <c r="H127" s="32">
        <f>F127*G127</f>
        <v>2500.0</v>
      </c>
      <c r="I127" s="18">
        <f>q_2_7</f>
        <v>2.1909</v>
      </c>
      <c r="J127" s="18">
        <f>F127*I127</f>
        <v>0.36515</v>
      </c>
      <c r="K127" s="12" t="inlineStr">
        <is>
          <t>NON</t>
        </is>
      </c>
    </row>
    <row r="128">
      <c r="A128" s="12" t="inlineStr">
        <is>
          <t>Art. 2.7</t>
        </is>
      </c>
      <c r="B128" s="10" t="inlineStr">
        <is>
          <t>Matériel</t>
        </is>
      </c>
      <c r="C128" s="10" t="inlineStr">
        <is>
          <t>Petit outillage (% de la main-d'œuvre)</t>
        </is>
      </c>
      <c r="D128" s="10" t="n"/>
      <c r="E128" s="12" t="inlineStr">
        <is>
          <t>%</t>
        </is>
      </c>
      <c r="F128" s="33">
        <f>p_PO</f>
        <v>0.03</v>
      </c>
      <c r="G128" s="32">
        <f>SUMIFS(H120:H127,B120:B127,"Main-d'œuvre")</f>
        <v>6666.666666666666</v>
      </c>
      <c r="H128" s="32">
        <f>F128*G128</f>
        <v>199.99999999999997</v>
      </c>
      <c r="I128" s="10" t="n"/>
      <c r="J128" s="10" t="n"/>
      <c r="K128" s="10" t="n"/>
    </row>
    <row r="129">
      <c r="A129" s="34" t="n"/>
      <c r="B129" s="34" t="n"/>
      <c r="C129" s="35" t="inlineStr">
        <is>
          <t>DÉBOURSÉ SEC UNITAIRE / m³</t>
        </is>
      </c>
      <c r="D129" s="34" t="n"/>
      <c r="E129" s="34" t="n"/>
      <c r="F129" s="34" t="n"/>
      <c r="G129" s="34" t="n"/>
      <c r="H129" s="36">
        <f>SUM(H120:H128)</f>
        <v>80983.33333333333</v>
      </c>
      <c r="I129" s="34" t="n"/>
      <c r="J129" s="34" t="n"/>
      <c r="K129" s="34" t="n"/>
    </row>
    <row r="131">
      <c r="A131" s="8" t="n"/>
      <c r="B131" s="8" t="inlineStr">
        <is>
          <t>Article 2.8 - Chape d'arase étanche (mortier dosé à 400 kg/m³ + hydrofuge) ép. 3 cm (unité : m²)</t>
        </is>
      </c>
      <c r="C131" s="29" t="n"/>
      <c r="D131" s="29" t="n"/>
      <c r="E131" s="29" t="n"/>
      <c r="F131" s="29" t="n"/>
      <c r="G131" s="29" t="n"/>
      <c r="H131" s="29" t="n"/>
      <c r="I131" s="29" t="n"/>
      <c r="J131" s="29" t="n"/>
      <c r="K131" s="30" t="n"/>
    </row>
    <row r="132">
      <c r="A132" s="12" t="inlineStr">
        <is>
          <t>Art. 2.8</t>
        </is>
      </c>
      <c r="B132" s="10" t="inlineStr">
        <is>
          <t>Matériaux</t>
        </is>
      </c>
      <c r="C132" s="10" t="inlineStr">
        <is>
          <t>Ciment CPJ 42,5 (sac 50 kg)</t>
        </is>
      </c>
      <c r="D132" s="10" t="inlineStr">
        <is>
          <t>ciment</t>
        </is>
      </c>
      <c r="E132" s="12" t="inlineStr">
        <is>
          <t>sac</t>
        </is>
      </c>
      <c r="F132" s="31">
        <f>0.24</f>
        <v>0.24</v>
      </c>
      <c r="G132" s="32">
        <f>px_ciment</f>
        <v>5800.0</v>
      </c>
      <c r="H132" s="32">
        <f>F132*G132</f>
        <v>1392.0</v>
      </c>
      <c r="I132" s="18">
        <f>q_2_8</f>
        <v>10.9545</v>
      </c>
      <c r="J132" s="18">
        <f>F132*I132</f>
        <v>2.6290799999999996</v>
      </c>
      <c r="K132" s="12" t="inlineStr">
        <is>
          <t>NON</t>
        </is>
      </c>
    </row>
    <row r="133">
      <c r="A133" s="12" t="inlineStr">
        <is>
          <t>Art. 2.8</t>
        </is>
      </c>
      <c r="B133" s="10" t="inlineStr">
        <is>
          <t>Matériaux</t>
        </is>
      </c>
      <c r="C133" s="10" t="inlineStr">
        <is>
          <t>Sable lavé</t>
        </is>
      </c>
      <c r="D133" s="10" t="inlineStr">
        <is>
          <t>sable</t>
        </is>
      </c>
      <c r="E133" s="12" t="inlineStr">
        <is>
          <t>m³</t>
        </is>
      </c>
      <c r="F133" s="31">
        <f>0.036</f>
        <v>0.036</v>
      </c>
      <c r="G133" s="32">
        <f>px_sable</f>
        <v>12000.0</v>
      </c>
      <c r="H133" s="32">
        <f>F133*G133</f>
        <v>431.99999999999994</v>
      </c>
      <c r="I133" s="18">
        <f>q_2_8</f>
        <v>10.9545</v>
      </c>
      <c r="J133" s="18">
        <f>F133*I133</f>
        <v>0.39436199999999993</v>
      </c>
      <c r="K133" s="12" t="inlineStr">
        <is>
          <t>NON</t>
        </is>
      </c>
    </row>
    <row r="134">
      <c r="A134" s="12" t="inlineStr">
        <is>
          <t>Art. 2.8</t>
        </is>
      </c>
      <c r="B134" s="10" t="inlineStr">
        <is>
          <t>Matériaux</t>
        </is>
      </c>
      <c r="C134" s="10" t="inlineStr">
        <is>
          <t>Hydrofuge de masse</t>
        </is>
      </c>
      <c r="D134" s="10" t="inlineStr">
        <is>
          <t>hydro</t>
        </is>
      </c>
      <c r="E134" s="12" t="inlineStr">
        <is>
          <t>L</t>
        </is>
      </c>
      <c r="F134" s="31">
        <f>0.5</f>
        <v>0.5</v>
      </c>
      <c r="G134" s="32">
        <f>px_hydro</f>
        <v>2000.0</v>
      </c>
      <c r="H134" s="32">
        <f>F134*G134</f>
        <v>1000.0</v>
      </c>
      <c r="I134" s="18">
        <f>q_2_8</f>
        <v>10.9545</v>
      </c>
      <c r="J134" s="18">
        <f>F134*I134</f>
        <v>5.47725</v>
      </c>
      <c r="K134" s="12" t="inlineStr">
        <is>
          <t>NON</t>
        </is>
      </c>
    </row>
    <row r="135">
      <c r="A135" s="12" t="inlineStr">
        <is>
          <t>Art. 2.8</t>
        </is>
      </c>
      <c r="B135" s="10" t="inlineStr">
        <is>
          <t>Main-d'œuvre</t>
        </is>
      </c>
      <c r="C135" s="10" t="inlineStr">
        <is>
          <t>Maçon (15 m²/j)</t>
        </is>
      </c>
      <c r="D135" s="10" t="inlineStr">
        <is>
          <t>mo_macon</t>
        </is>
      </c>
      <c r="E135" s="12" t="inlineStr">
        <is>
          <t>h.j</t>
        </is>
      </c>
      <c r="F135" s="31">
        <f>1/15</f>
        <v>0.06666666666666667</v>
      </c>
      <c r="G135" s="32">
        <f>px_mo_macon</f>
        <v>10000.0</v>
      </c>
      <c r="H135" s="32">
        <f>F135*G135</f>
        <v>666.6666666666666</v>
      </c>
      <c r="I135" s="18">
        <f>q_2_8</f>
        <v>10.9545</v>
      </c>
      <c r="J135" s="18">
        <f>F135*I135</f>
        <v>0.7303</v>
      </c>
      <c r="K135" s="12" t="inlineStr">
        <is>
          <t>NON</t>
        </is>
      </c>
    </row>
    <row r="136">
      <c r="A136" s="12" t="inlineStr">
        <is>
          <t>Art. 2.8</t>
        </is>
      </c>
      <c r="B136" s="10" t="inlineStr">
        <is>
          <t>Main-d'œuvre</t>
        </is>
      </c>
      <c r="C136" s="10" t="inlineStr">
        <is>
          <t>Manœuvre (15 m²/j)</t>
        </is>
      </c>
      <c r="D136" s="10" t="inlineStr">
        <is>
          <t>mo_man</t>
        </is>
      </c>
      <c r="E136" s="12" t="inlineStr">
        <is>
          <t>h.j</t>
        </is>
      </c>
      <c r="F136" s="31">
        <f>1/15</f>
        <v>0.06666666666666667</v>
      </c>
      <c r="G136" s="32">
        <f>px_mo_man</f>
        <v>5000.0</v>
      </c>
      <c r="H136" s="32">
        <f>F136*G136</f>
        <v>333.3333333333333</v>
      </c>
      <c r="I136" s="18">
        <f>q_2_8</f>
        <v>10.9545</v>
      </c>
      <c r="J136" s="18">
        <f>F136*I136</f>
        <v>0.7303</v>
      </c>
      <c r="K136" s="12" t="inlineStr">
        <is>
          <t>NON</t>
        </is>
      </c>
    </row>
    <row r="137">
      <c r="A137" s="12" t="inlineStr">
        <is>
          <t>Art. 2.8</t>
        </is>
      </c>
      <c r="B137" s="10" t="inlineStr">
        <is>
          <t>Matériel</t>
        </is>
      </c>
      <c r="C137" s="10" t="inlineStr">
        <is>
          <t>Petit outillage (% de la main-d'œuvre)</t>
        </is>
      </c>
      <c r="D137" s="10" t="n"/>
      <c r="E137" s="12" t="inlineStr">
        <is>
          <t>%</t>
        </is>
      </c>
      <c r="F137" s="33">
        <f>p_PO</f>
        <v>0.03</v>
      </c>
      <c r="G137" s="32">
        <f>SUMIFS(H132:H136,B132:B136,"Main-d'œuvre")</f>
        <v>1000.0</v>
      </c>
      <c r="H137" s="32">
        <f>F137*G137</f>
        <v>30.0</v>
      </c>
      <c r="I137" s="10" t="n"/>
      <c r="J137" s="10" t="n"/>
      <c r="K137" s="10" t="n"/>
    </row>
    <row r="138">
      <c r="A138" s="34" t="n"/>
      <c r="B138" s="34" t="n"/>
      <c r="C138" s="35" t="inlineStr">
        <is>
          <t>DÉBOURSÉ SEC UNITAIRE / m²</t>
        </is>
      </c>
      <c r="D138" s="34" t="n"/>
      <c r="E138" s="34" t="n"/>
      <c r="F138" s="34" t="n"/>
      <c r="G138" s="34" t="n"/>
      <c r="H138" s="36">
        <f>SUM(H132:H137)</f>
        <v>3854.0</v>
      </c>
      <c r="I138" s="34" t="n"/>
      <c r="J138" s="34" t="n"/>
      <c r="K138" s="34" t="n"/>
    </row>
    <row r="140">
      <c r="A140" s="8" t="n"/>
      <c r="B140" s="8" t="inlineStr">
        <is>
          <t>Article 2.9 - Coffrage en bois ordinaire (semelles isolées, fûts, chaînage bas) (unité : m²)</t>
        </is>
      </c>
      <c r="C140" s="29" t="n"/>
      <c r="D140" s="29" t="n"/>
      <c r="E140" s="29" t="n"/>
      <c r="F140" s="29" t="n"/>
      <c r="G140" s="29" t="n"/>
      <c r="H140" s="29" t="n"/>
      <c r="I140" s="29" t="n"/>
      <c r="J140" s="29" t="n"/>
      <c r="K140" s="30" t="n"/>
    </row>
    <row r="141">
      <c r="A141" s="12" t="inlineStr">
        <is>
          <t>Art. 2.9</t>
        </is>
      </c>
      <c r="B141" s="10" t="inlineStr">
        <is>
          <t>Matériaux</t>
        </is>
      </c>
      <c r="C141" s="10" t="inlineStr">
        <is>
          <t>Bois de coffrage (amorti 3 emplois)</t>
        </is>
      </c>
      <c r="D141" s="10" t="inlineStr">
        <is>
          <t>bois</t>
        </is>
      </c>
      <c r="E141" s="12" t="inlineStr">
        <is>
          <t>m²</t>
        </is>
      </c>
      <c r="F141" s="31">
        <f>1</f>
        <v>1.0</v>
      </c>
      <c r="G141" s="32">
        <f>px_bois</f>
        <v>1800.0</v>
      </c>
      <c r="H141" s="32">
        <f>F141*G141</f>
        <v>1800.0</v>
      </c>
      <c r="I141" s="18">
        <f>q_2_9</f>
        <v>68.652</v>
      </c>
      <c r="J141" s="18">
        <f>F141*I141</f>
        <v>68.652</v>
      </c>
      <c r="K141" s="12" t="inlineStr">
        <is>
          <t>NON</t>
        </is>
      </c>
    </row>
    <row r="142">
      <c r="A142" s="12" t="inlineStr">
        <is>
          <t>Art. 2.9</t>
        </is>
      </c>
      <c r="B142" s="10" t="inlineStr">
        <is>
          <t>Matériaux</t>
        </is>
      </c>
      <c r="C142" s="10" t="inlineStr">
        <is>
          <t>Pointes</t>
        </is>
      </c>
      <c r="D142" s="10" t="inlineStr">
        <is>
          <t>pointes</t>
        </is>
      </c>
      <c r="E142" s="12" t="inlineStr">
        <is>
          <t>kg</t>
        </is>
      </c>
      <c r="F142" s="31">
        <f>0.15</f>
        <v>0.15</v>
      </c>
      <c r="G142" s="32">
        <f>px_pointes</f>
        <v>1500.0</v>
      </c>
      <c r="H142" s="32">
        <f>F142*G142</f>
        <v>225.0</v>
      </c>
      <c r="I142" s="18">
        <f>q_2_9</f>
        <v>68.652</v>
      </c>
      <c r="J142" s="18">
        <f>F142*I142</f>
        <v>10.2978</v>
      </c>
      <c r="K142" s="12" t="inlineStr">
        <is>
          <t>NON</t>
        </is>
      </c>
    </row>
    <row r="143">
      <c r="A143" s="12" t="inlineStr">
        <is>
          <t>Art. 2.9</t>
        </is>
      </c>
      <c r="B143" s="10" t="inlineStr">
        <is>
          <t>Matériaux</t>
        </is>
      </c>
      <c r="C143" s="10" t="inlineStr">
        <is>
          <t>Huile de décoffrage</t>
        </is>
      </c>
      <c r="D143" s="10" t="inlineStr">
        <is>
          <t>huile</t>
        </is>
      </c>
      <c r="E143" s="12" t="inlineStr">
        <is>
          <t>L</t>
        </is>
      </c>
      <c r="F143" s="31">
        <f>0.10</f>
        <v>0.1</v>
      </c>
      <c r="G143" s="32">
        <f>px_huile</f>
        <v>1000.0</v>
      </c>
      <c r="H143" s="32">
        <f>F143*G143</f>
        <v>100.0</v>
      </c>
      <c r="I143" s="18">
        <f>q_2_9</f>
        <v>68.652</v>
      </c>
      <c r="J143" s="18">
        <f>F143*I143</f>
        <v>6.865200000000001</v>
      </c>
      <c r="K143" s="12" t="inlineStr">
        <is>
          <t>NON</t>
        </is>
      </c>
    </row>
    <row r="144">
      <c r="A144" s="12" t="inlineStr">
        <is>
          <t>Art. 2.9</t>
        </is>
      </c>
      <c r="B144" s="10" t="inlineStr">
        <is>
          <t>Main-d'œuvre</t>
        </is>
      </c>
      <c r="C144" s="10" t="inlineStr">
        <is>
          <t>Coffreur (8 m²/j)</t>
        </is>
      </c>
      <c r="D144" s="10" t="inlineStr">
        <is>
          <t>mo_coff</t>
        </is>
      </c>
      <c r="E144" s="12" t="inlineStr">
        <is>
          <t>h.j</t>
        </is>
      </c>
      <c r="F144" s="31">
        <f>1/8</f>
        <v>0.125</v>
      </c>
      <c r="G144" s="32">
        <f>px_mo_coff</f>
        <v>10000.0</v>
      </c>
      <c r="H144" s="32">
        <f>F144*G144</f>
        <v>1250.0</v>
      </c>
      <c r="I144" s="18">
        <f>q_2_9</f>
        <v>68.652</v>
      </c>
      <c r="J144" s="18">
        <f>F144*I144</f>
        <v>8.5815</v>
      </c>
      <c r="K144" s="12" t="inlineStr">
        <is>
          <t>NON</t>
        </is>
      </c>
    </row>
    <row r="145">
      <c r="A145" s="12" t="inlineStr">
        <is>
          <t>Art. 2.9</t>
        </is>
      </c>
      <c r="B145" s="10" t="inlineStr">
        <is>
          <t>Main-d'œuvre</t>
        </is>
      </c>
      <c r="C145" s="10" t="inlineStr">
        <is>
          <t>Manœuvre (8 m²/j)</t>
        </is>
      </c>
      <c r="D145" s="10" t="inlineStr">
        <is>
          <t>mo_man</t>
        </is>
      </c>
      <c r="E145" s="12" t="inlineStr">
        <is>
          <t>h.j</t>
        </is>
      </c>
      <c r="F145" s="31">
        <f>1/8</f>
        <v>0.125</v>
      </c>
      <c r="G145" s="32">
        <f>px_mo_man</f>
        <v>5000.0</v>
      </c>
      <c r="H145" s="32">
        <f>F145*G145</f>
        <v>625.0</v>
      </c>
      <c r="I145" s="18">
        <f>q_2_9</f>
        <v>68.652</v>
      </c>
      <c r="J145" s="18">
        <f>F145*I145</f>
        <v>8.5815</v>
      </c>
      <c r="K145" s="12" t="inlineStr">
        <is>
          <t>NON</t>
        </is>
      </c>
    </row>
    <row r="146">
      <c r="A146" s="12" t="inlineStr">
        <is>
          <t>Art. 2.9</t>
        </is>
      </c>
      <c r="B146" s="10" t="inlineStr">
        <is>
          <t>Matériel</t>
        </is>
      </c>
      <c r="C146" s="10" t="inlineStr">
        <is>
          <t>Petit outillage (% de la main-d'œuvre)</t>
        </is>
      </c>
      <c r="D146" s="10" t="n"/>
      <c r="E146" s="12" t="inlineStr">
        <is>
          <t>%</t>
        </is>
      </c>
      <c r="F146" s="33">
        <f>p_PO</f>
        <v>0.03</v>
      </c>
      <c r="G146" s="32">
        <f>SUMIFS(H141:H145,B141:B145,"Main-d'œuvre")</f>
        <v>1875.0</v>
      </c>
      <c r="H146" s="32">
        <f>F146*G146</f>
        <v>56.25</v>
      </c>
      <c r="I146" s="10" t="n"/>
      <c r="J146" s="10" t="n"/>
      <c r="K146" s="10" t="n"/>
    </row>
    <row r="147">
      <c r="A147" s="34" t="n"/>
      <c r="B147" s="34" t="n"/>
      <c r="C147" s="35" t="inlineStr">
        <is>
          <t>DÉBOURSÉ SEC UNITAIRE / m²</t>
        </is>
      </c>
      <c r="D147" s="34" t="n"/>
      <c r="E147" s="34" t="n"/>
      <c r="F147" s="34" t="n"/>
      <c r="G147" s="34" t="n"/>
      <c r="H147" s="36">
        <f>SUM(H141:H146)</f>
        <v>4056.25</v>
      </c>
      <c r="I147" s="34" t="n"/>
      <c r="J147" s="34" t="n"/>
      <c r="K147" s="34" t="n"/>
    </row>
    <row r="149">
      <c r="A149" s="8" t="n"/>
      <c r="B149" s="8" t="inlineStr">
        <is>
          <t>Article 2.10 - Armatures HA12 FeE500 - semelles isolées 80x80 et fûts (unité : kg)</t>
        </is>
      </c>
      <c r="C149" s="29" t="n"/>
      <c r="D149" s="29" t="n"/>
      <c r="E149" s="29" t="n"/>
      <c r="F149" s="29" t="n"/>
      <c r="G149" s="29" t="n"/>
      <c r="H149" s="29" t="n"/>
      <c r="I149" s="29" t="n"/>
      <c r="J149" s="29" t="n"/>
      <c r="K149" s="30" t="n"/>
    </row>
    <row r="150">
      <c r="A150" s="12" t="inlineStr">
        <is>
          <t>Art. 2.10</t>
        </is>
      </c>
      <c r="B150" s="10" t="inlineStr">
        <is>
          <t>Matériaux</t>
        </is>
      </c>
      <c r="C150" s="10" t="inlineStr">
        <is>
          <t>Acier HA12 FeE500 (barre 12 m = 10,66 kg à 8 500)</t>
        </is>
      </c>
      <c r="D150" s="10" t="inlineStr">
        <is>
          <t>ha12</t>
        </is>
      </c>
      <c r="E150" s="12" t="inlineStr">
        <is>
          <t>kg</t>
        </is>
      </c>
      <c r="F150" s="31">
        <f>1</f>
        <v>1.0</v>
      </c>
      <c r="G150" s="32">
        <f>px_ha12</f>
        <v>800.0</v>
      </c>
      <c r="H150" s="32">
        <f>F150*G150</f>
        <v>800.0</v>
      </c>
      <c r="I150" s="18">
        <f>q_2_10</f>
        <v>288.48456000000004</v>
      </c>
      <c r="J150" s="18">
        <f>F150*I150</f>
        <v>288.48456000000004</v>
      </c>
      <c r="K150" s="12" t="inlineStr">
        <is>
          <t>NON</t>
        </is>
      </c>
    </row>
    <row r="151">
      <c r="A151" s="12" t="inlineStr">
        <is>
          <t>Art. 2.10</t>
        </is>
      </c>
      <c r="B151" s="10" t="inlineStr">
        <is>
          <t>Matériaux</t>
        </is>
      </c>
      <c r="C151" s="10" t="inlineStr">
        <is>
          <t>Fil recuit</t>
        </is>
      </c>
      <c r="D151" s="10" t="inlineStr">
        <is>
          <t>fil</t>
        </is>
      </c>
      <c r="E151" s="12" t="inlineStr">
        <is>
          <t>kg</t>
        </is>
      </c>
      <c r="F151" s="31">
        <f>0.015</f>
        <v>0.015</v>
      </c>
      <c r="G151" s="32">
        <f>px_fil</f>
        <v>1500.0</v>
      </c>
      <c r="H151" s="32">
        <f>F151*G151</f>
        <v>22.5</v>
      </c>
      <c r="I151" s="18">
        <f>q_2_10</f>
        <v>288.48456000000004</v>
      </c>
      <c r="J151" s="18">
        <f>F151*I151</f>
        <v>4.3272684</v>
      </c>
      <c r="K151" s="12" t="inlineStr">
        <is>
          <t>NON</t>
        </is>
      </c>
    </row>
    <row r="152">
      <c r="A152" s="12" t="inlineStr">
        <is>
          <t>Art. 2.10</t>
        </is>
      </c>
      <c r="B152" s="10" t="inlineStr">
        <is>
          <t>Main-d'œuvre</t>
        </is>
      </c>
      <c r="C152" s="10" t="inlineStr">
        <is>
          <t>Ferrailleur (150 kg/j)</t>
        </is>
      </c>
      <c r="D152" s="10" t="inlineStr">
        <is>
          <t>mo_ferr</t>
        </is>
      </c>
      <c r="E152" s="12" t="inlineStr">
        <is>
          <t>h.j</t>
        </is>
      </c>
      <c r="F152" s="31">
        <f>1/150</f>
        <v>0.006666666666666667</v>
      </c>
      <c r="G152" s="32">
        <f>px_mo_ferr</f>
        <v>10000.0</v>
      </c>
      <c r="H152" s="32">
        <f>F152*G152</f>
        <v>66.66666666666667</v>
      </c>
      <c r="I152" s="18">
        <f>q_2_10</f>
        <v>288.48456000000004</v>
      </c>
      <c r="J152" s="18">
        <f>F152*I152</f>
        <v>1.9232304000000005</v>
      </c>
      <c r="K152" s="12" t="inlineStr">
        <is>
          <t>NON</t>
        </is>
      </c>
    </row>
    <row r="153">
      <c r="A153" s="12" t="inlineStr">
        <is>
          <t>Art. 2.10</t>
        </is>
      </c>
      <c r="B153" s="10" t="inlineStr">
        <is>
          <t>Main-d'œuvre</t>
        </is>
      </c>
      <c r="C153" s="10" t="inlineStr">
        <is>
          <t>Manœuvre (150 kg/j)</t>
        </is>
      </c>
      <c r="D153" s="10" t="inlineStr">
        <is>
          <t>mo_man</t>
        </is>
      </c>
      <c r="E153" s="12" t="inlineStr">
        <is>
          <t>h.j</t>
        </is>
      </c>
      <c r="F153" s="31">
        <f>1/150</f>
        <v>0.006666666666666667</v>
      </c>
      <c r="G153" s="32">
        <f>px_mo_man</f>
        <v>5000.0</v>
      </c>
      <c r="H153" s="32">
        <f>F153*G153</f>
        <v>33.333333333333336</v>
      </c>
      <c r="I153" s="18">
        <f>q_2_10</f>
        <v>288.48456000000004</v>
      </c>
      <c r="J153" s="18">
        <f>F153*I153</f>
        <v>1.9232304000000005</v>
      </c>
      <c r="K153" s="12" t="inlineStr">
        <is>
          <t>NON</t>
        </is>
      </c>
    </row>
    <row r="154">
      <c r="A154" s="12" t="inlineStr">
        <is>
          <t>Art. 2.10</t>
        </is>
      </c>
      <c r="B154" s="10" t="inlineStr">
        <is>
          <t>Matériel</t>
        </is>
      </c>
      <c r="C154" s="10" t="inlineStr">
        <is>
          <t>Petit outillage (% de la main-d'œuvre)</t>
        </is>
      </c>
      <c r="D154" s="10" t="n"/>
      <c r="E154" s="12" t="inlineStr">
        <is>
          <t>%</t>
        </is>
      </c>
      <c r="F154" s="33">
        <f>p_PO</f>
        <v>0.03</v>
      </c>
      <c r="G154" s="32">
        <f>SUMIFS(H150:H153,B150:B153,"Main-d'œuvre")</f>
        <v>100.0</v>
      </c>
      <c r="H154" s="32">
        <f>F154*G154</f>
        <v>3.0</v>
      </c>
      <c r="I154" s="10" t="n"/>
      <c r="J154" s="10" t="n"/>
      <c r="K154" s="10" t="n"/>
    </row>
    <row r="155">
      <c r="A155" s="34" t="n"/>
      <c r="B155" s="34" t="n"/>
      <c r="C155" s="35" t="inlineStr">
        <is>
          <t>DÉBOURSÉ SEC UNITAIRE / kg</t>
        </is>
      </c>
      <c r="D155" s="34" t="n"/>
      <c r="E155" s="34" t="n"/>
      <c r="F155" s="34" t="n"/>
      <c r="G155" s="34" t="n"/>
      <c r="H155" s="36">
        <f>SUM(H150:H154)</f>
        <v>925.5</v>
      </c>
      <c r="I155" s="34" t="n"/>
      <c r="J155" s="34" t="n"/>
      <c r="K155" s="34" t="n"/>
    </row>
    <row r="157">
      <c r="A157" s="8" t="n"/>
      <c r="B157" s="8" t="inlineStr">
        <is>
          <t>Article 2.11 - Armatures HA10 FeE500 - fondations (unité : kg)</t>
        </is>
      </c>
      <c r="C157" s="29" t="n"/>
      <c r="D157" s="29" t="n"/>
      <c r="E157" s="29" t="n"/>
      <c r="F157" s="29" t="n"/>
      <c r="G157" s="29" t="n"/>
      <c r="H157" s="29" t="n"/>
      <c r="I157" s="29" t="n"/>
      <c r="J157" s="29" t="n"/>
      <c r="K157" s="30" t="n"/>
    </row>
    <row r="158">
      <c r="A158" s="12" t="inlineStr">
        <is>
          <t>Art. 2.11</t>
        </is>
      </c>
      <c r="B158" s="10" t="inlineStr">
        <is>
          <t>Matériaux</t>
        </is>
      </c>
      <c r="C158" s="10" t="inlineStr">
        <is>
          <t>Acier HA10 FeE500 (barre 12 m = 7,40 kg à 6 000)</t>
        </is>
      </c>
      <c r="D158" s="10" t="inlineStr">
        <is>
          <t>ha10</t>
        </is>
      </c>
      <c r="E158" s="12" t="inlineStr">
        <is>
          <t>kg</t>
        </is>
      </c>
      <c r="F158" s="31">
        <f>1</f>
        <v>1.0</v>
      </c>
      <c r="G158" s="32">
        <f>px_ha10</f>
        <v>810.0</v>
      </c>
      <c r="H158" s="32">
        <f>F158*G158</f>
        <v>810.0</v>
      </c>
      <c r="I158" s="18">
        <f>q_2_11</f>
        <v>445.7208</v>
      </c>
      <c r="J158" s="18">
        <f>F158*I158</f>
        <v>445.7208</v>
      </c>
      <c r="K158" s="12" t="inlineStr">
        <is>
          <t>NON</t>
        </is>
      </c>
    </row>
    <row r="159">
      <c r="A159" s="12" t="inlineStr">
        <is>
          <t>Art. 2.11</t>
        </is>
      </c>
      <c r="B159" s="10" t="inlineStr">
        <is>
          <t>Matériaux</t>
        </is>
      </c>
      <c r="C159" s="10" t="inlineStr">
        <is>
          <t>Fil recuit</t>
        </is>
      </c>
      <c r="D159" s="10" t="inlineStr">
        <is>
          <t>fil</t>
        </is>
      </c>
      <c r="E159" s="12" t="inlineStr">
        <is>
          <t>kg</t>
        </is>
      </c>
      <c r="F159" s="31">
        <f>0.015</f>
        <v>0.015</v>
      </c>
      <c r="G159" s="32">
        <f>px_fil</f>
        <v>1500.0</v>
      </c>
      <c r="H159" s="32">
        <f>F159*G159</f>
        <v>22.5</v>
      </c>
      <c r="I159" s="18">
        <f>q_2_11</f>
        <v>445.7208</v>
      </c>
      <c r="J159" s="18">
        <f>F159*I159</f>
        <v>6.685811999999999</v>
      </c>
      <c r="K159" s="12" t="inlineStr">
        <is>
          <t>NON</t>
        </is>
      </c>
    </row>
    <row r="160">
      <c r="A160" s="12" t="inlineStr">
        <is>
          <t>Art. 2.11</t>
        </is>
      </c>
      <c r="B160" s="10" t="inlineStr">
        <is>
          <t>Main-d'œuvre</t>
        </is>
      </c>
      <c r="C160" s="10" t="inlineStr">
        <is>
          <t>Ferrailleur (150 kg/j)</t>
        </is>
      </c>
      <c r="D160" s="10" t="inlineStr">
        <is>
          <t>mo_ferr</t>
        </is>
      </c>
      <c r="E160" s="12" t="inlineStr">
        <is>
          <t>h.j</t>
        </is>
      </c>
      <c r="F160" s="31">
        <f>1/150</f>
        <v>0.006666666666666667</v>
      </c>
      <c r="G160" s="32">
        <f>px_mo_ferr</f>
        <v>10000.0</v>
      </c>
      <c r="H160" s="32">
        <f>F160*G160</f>
        <v>66.66666666666667</v>
      </c>
      <c r="I160" s="18">
        <f>q_2_11</f>
        <v>445.7208</v>
      </c>
      <c r="J160" s="18">
        <f>F160*I160</f>
        <v>2.9714720000000003</v>
      </c>
      <c r="K160" s="12" t="inlineStr">
        <is>
          <t>NON</t>
        </is>
      </c>
    </row>
    <row r="161">
      <c r="A161" s="12" t="inlineStr">
        <is>
          <t>Art. 2.11</t>
        </is>
      </c>
      <c r="B161" s="10" t="inlineStr">
        <is>
          <t>Main-d'œuvre</t>
        </is>
      </c>
      <c r="C161" s="10" t="inlineStr">
        <is>
          <t>Manœuvre (150 kg/j)</t>
        </is>
      </c>
      <c r="D161" s="10" t="inlineStr">
        <is>
          <t>mo_man</t>
        </is>
      </c>
      <c r="E161" s="12" t="inlineStr">
        <is>
          <t>h.j</t>
        </is>
      </c>
      <c r="F161" s="31">
        <f>1/150</f>
        <v>0.006666666666666667</v>
      </c>
      <c r="G161" s="32">
        <f>px_mo_man</f>
        <v>5000.0</v>
      </c>
      <c r="H161" s="32">
        <f>F161*G161</f>
        <v>33.333333333333336</v>
      </c>
      <c r="I161" s="18">
        <f>q_2_11</f>
        <v>445.7208</v>
      </c>
      <c r="J161" s="18">
        <f>F161*I161</f>
        <v>2.9714720000000003</v>
      </c>
      <c r="K161" s="12" t="inlineStr">
        <is>
          <t>NON</t>
        </is>
      </c>
    </row>
    <row r="162">
      <c r="A162" s="12" t="inlineStr">
        <is>
          <t>Art. 2.11</t>
        </is>
      </c>
      <c r="B162" s="10" t="inlineStr">
        <is>
          <t>Matériel</t>
        </is>
      </c>
      <c r="C162" s="10" t="inlineStr">
        <is>
          <t>Petit outillage (% de la main-d'œuvre)</t>
        </is>
      </c>
      <c r="D162" s="10" t="n"/>
      <c r="E162" s="12" t="inlineStr">
        <is>
          <t>%</t>
        </is>
      </c>
      <c r="F162" s="33">
        <f>p_PO</f>
        <v>0.03</v>
      </c>
      <c r="G162" s="32">
        <f>SUMIFS(H158:H161,B158:B161,"Main-d'œuvre")</f>
        <v>100.0</v>
      </c>
      <c r="H162" s="32">
        <f>F162*G162</f>
        <v>3.0</v>
      </c>
      <c r="I162" s="10" t="n"/>
      <c r="J162" s="10" t="n"/>
      <c r="K162" s="10" t="n"/>
    </row>
    <row r="163">
      <c r="A163" s="34" t="n"/>
      <c r="B163" s="34" t="n"/>
      <c r="C163" s="35" t="inlineStr">
        <is>
          <t>DÉBOURSÉ SEC UNITAIRE / kg</t>
        </is>
      </c>
      <c r="D163" s="34" t="n"/>
      <c r="E163" s="34" t="n"/>
      <c r="F163" s="34" t="n"/>
      <c r="G163" s="34" t="n"/>
      <c r="H163" s="36">
        <f>SUM(H158:H162)</f>
        <v>935.5</v>
      </c>
      <c r="I163" s="34" t="n"/>
      <c r="J163" s="34" t="n"/>
      <c r="K163" s="34" t="n"/>
    </row>
    <row r="165">
      <c r="A165" s="8" t="n"/>
      <c r="B165" s="8" t="inlineStr">
        <is>
          <t>Article 2.12 - Armatures HA6 FeE500 - fondations (unité : kg)</t>
        </is>
      </c>
      <c r="C165" s="29" t="n"/>
      <c r="D165" s="29" t="n"/>
      <c r="E165" s="29" t="n"/>
      <c r="F165" s="29" t="n"/>
      <c r="G165" s="29" t="n"/>
      <c r="H165" s="29" t="n"/>
      <c r="I165" s="29" t="n"/>
      <c r="J165" s="29" t="n"/>
      <c r="K165" s="30" t="n"/>
    </row>
    <row r="166">
      <c r="A166" s="12" t="inlineStr">
        <is>
          <t>Art. 2.12</t>
        </is>
      </c>
      <c r="B166" s="10" t="inlineStr">
        <is>
          <t>Matériaux</t>
        </is>
      </c>
      <c r="C166" s="10" t="inlineStr">
        <is>
          <t>Acier HA6 FeE500 (barre 12 m = 2,66 kg à 2 300)</t>
        </is>
      </c>
      <c r="D166" s="10" t="inlineStr">
        <is>
          <t>ha6</t>
        </is>
      </c>
      <c r="E166" s="12" t="inlineStr">
        <is>
          <t>kg</t>
        </is>
      </c>
      <c r="F166" s="31">
        <f>1</f>
        <v>1.0</v>
      </c>
      <c r="G166" s="32">
        <f>px_ha6</f>
        <v>865.0</v>
      </c>
      <c r="H166" s="32">
        <f>F166*G166</f>
        <v>865.0</v>
      </c>
      <c r="I166" s="18">
        <f>q_2_12</f>
        <v>136.73646</v>
      </c>
      <c r="J166" s="18">
        <f>F166*I166</f>
        <v>136.73646</v>
      </c>
      <c r="K166" s="12" t="inlineStr">
        <is>
          <t>NON</t>
        </is>
      </c>
    </row>
    <row r="167">
      <c r="A167" s="12" t="inlineStr">
        <is>
          <t>Art. 2.12</t>
        </is>
      </c>
      <c r="B167" s="10" t="inlineStr">
        <is>
          <t>Matériaux</t>
        </is>
      </c>
      <c r="C167" s="10" t="inlineStr">
        <is>
          <t>Fil recuit</t>
        </is>
      </c>
      <c r="D167" s="10" t="inlineStr">
        <is>
          <t>fil</t>
        </is>
      </c>
      <c r="E167" s="12" t="inlineStr">
        <is>
          <t>kg</t>
        </is>
      </c>
      <c r="F167" s="31">
        <f>0.015</f>
        <v>0.015</v>
      </c>
      <c r="G167" s="32">
        <f>px_fil</f>
        <v>1500.0</v>
      </c>
      <c r="H167" s="32">
        <f>F167*G167</f>
        <v>22.5</v>
      </c>
      <c r="I167" s="18">
        <f>q_2_12</f>
        <v>136.73646</v>
      </c>
      <c r="J167" s="18">
        <f>F167*I167</f>
        <v>2.0510469</v>
      </c>
      <c r="K167" s="12" t="inlineStr">
        <is>
          <t>NON</t>
        </is>
      </c>
    </row>
    <row r="168">
      <c r="A168" s="12" t="inlineStr">
        <is>
          <t>Art. 2.12</t>
        </is>
      </c>
      <c r="B168" s="10" t="inlineStr">
        <is>
          <t>Main-d'œuvre</t>
        </is>
      </c>
      <c r="C168" s="10" t="inlineStr">
        <is>
          <t>Ferrailleur (150 kg/j)</t>
        </is>
      </c>
      <c r="D168" s="10" t="inlineStr">
        <is>
          <t>mo_ferr</t>
        </is>
      </c>
      <c r="E168" s="12" t="inlineStr">
        <is>
          <t>h.j</t>
        </is>
      </c>
      <c r="F168" s="31">
        <f>1/150</f>
        <v>0.006666666666666667</v>
      </c>
      <c r="G168" s="32">
        <f>px_mo_ferr</f>
        <v>10000.0</v>
      </c>
      <c r="H168" s="32">
        <f>F168*G168</f>
        <v>66.66666666666667</v>
      </c>
      <c r="I168" s="18">
        <f>q_2_12</f>
        <v>136.73646</v>
      </c>
      <c r="J168" s="18">
        <f>F168*I168</f>
        <v>0.9115764000000001</v>
      </c>
      <c r="K168" s="12" t="inlineStr">
        <is>
          <t>NON</t>
        </is>
      </c>
    </row>
    <row r="169">
      <c r="A169" s="12" t="inlineStr">
        <is>
          <t>Art. 2.12</t>
        </is>
      </c>
      <c r="B169" s="10" t="inlineStr">
        <is>
          <t>Main-d'œuvre</t>
        </is>
      </c>
      <c r="C169" s="10" t="inlineStr">
        <is>
          <t>Manœuvre (150 kg/j)</t>
        </is>
      </c>
      <c r="D169" s="10" t="inlineStr">
        <is>
          <t>mo_man</t>
        </is>
      </c>
      <c r="E169" s="12" t="inlineStr">
        <is>
          <t>h.j</t>
        </is>
      </c>
      <c r="F169" s="31">
        <f>1/150</f>
        <v>0.006666666666666667</v>
      </c>
      <c r="G169" s="32">
        <f>px_mo_man</f>
        <v>5000.0</v>
      </c>
      <c r="H169" s="32">
        <f>F169*G169</f>
        <v>33.333333333333336</v>
      </c>
      <c r="I169" s="18">
        <f>q_2_12</f>
        <v>136.73646</v>
      </c>
      <c r="J169" s="18">
        <f>F169*I169</f>
        <v>0.9115764000000001</v>
      </c>
      <c r="K169" s="12" t="inlineStr">
        <is>
          <t>NON</t>
        </is>
      </c>
    </row>
    <row r="170">
      <c r="A170" s="12" t="inlineStr">
        <is>
          <t>Art. 2.12</t>
        </is>
      </c>
      <c r="B170" s="10" t="inlineStr">
        <is>
          <t>Matériel</t>
        </is>
      </c>
      <c r="C170" s="10" t="inlineStr">
        <is>
          <t>Petit outillage (% de la main-d'œuvre)</t>
        </is>
      </c>
      <c r="D170" s="10" t="n"/>
      <c r="E170" s="12" t="inlineStr">
        <is>
          <t>%</t>
        </is>
      </c>
      <c r="F170" s="33">
        <f>p_PO</f>
        <v>0.03</v>
      </c>
      <c r="G170" s="32">
        <f>SUMIFS(H166:H169,B166:B169,"Main-d'œuvre")</f>
        <v>100.0</v>
      </c>
      <c r="H170" s="32">
        <f>F170*G170</f>
        <v>3.0</v>
      </c>
      <c r="I170" s="10" t="n"/>
      <c r="J170" s="10" t="n"/>
      <c r="K170" s="10" t="n"/>
    </row>
    <row r="171">
      <c r="A171" s="34" t="n"/>
      <c r="B171" s="34" t="n"/>
      <c r="C171" s="35" t="inlineStr">
        <is>
          <t>DÉBOURSÉ SEC UNITAIRE / kg</t>
        </is>
      </c>
      <c r="D171" s="34" t="n"/>
      <c r="E171" s="34" t="n"/>
      <c r="F171" s="34" t="n"/>
      <c r="G171" s="34" t="n"/>
      <c r="H171" s="36">
        <f>SUM(H166:H170)</f>
        <v>990.5</v>
      </c>
      <c r="I171" s="34" t="n"/>
      <c r="J171" s="34" t="n"/>
      <c r="K171" s="34" t="n"/>
    </row>
    <row r="173">
      <c r="A173" s="8" t="n"/>
      <c r="B173" s="8" t="inlineStr">
        <is>
          <t>Article 3.1 - Maçonnerie d'agglos 15 pleins en élévation, mortier dosé à 300 kg/m³ (y compris pignons) (unité : m²)</t>
        </is>
      </c>
      <c r="C173" s="29" t="n"/>
      <c r="D173" s="29" t="n"/>
      <c r="E173" s="29" t="n"/>
      <c r="F173" s="29" t="n"/>
      <c r="G173" s="29" t="n"/>
      <c r="H173" s="29" t="n"/>
      <c r="I173" s="29" t="n"/>
      <c r="J173" s="29" t="n"/>
      <c r="K173" s="30" t="n"/>
    </row>
    <row r="174">
      <c r="A174" s="12" t="inlineStr">
        <is>
          <t>Art. 3.1</t>
        </is>
      </c>
      <c r="B174" s="10" t="inlineStr">
        <is>
          <t>Matériaux</t>
        </is>
      </c>
      <c r="C174" s="10" t="inlineStr">
        <is>
          <t>Agglos 15 pleins (12,5 u/m² + 5 % casse)</t>
        </is>
      </c>
      <c r="D174" s="10" t="inlineStr">
        <is>
          <t>agglo</t>
        </is>
      </c>
      <c r="E174" s="12" t="inlineStr">
        <is>
          <t>u</t>
        </is>
      </c>
      <c r="F174" s="31">
        <f>12.5*1.05</f>
        <v>13.125</v>
      </c>
      <c r="G174" s="32">
        <f>px_agglo</f>
        <v>500.0</v>
      </c>
      <c r="H174" s="32">
        <f>F174*G174</f>
        <v>6562.5</v>
      </c>
      <c r="I174" s="18">
        <f>q_3_1</f>
        <v>373.89258829184433</v>
      </c>
      <c r="J174" s="18">
        <f>F174*I174</f>
        <v>4907.340221330457</v>
      </c>
      <c r="K174" s="12" t="inlineStr">
        <is>
          <t>NON</t>
        </is>
      </c>
    </row>
    <row r="175">
      <c r="A175" s="12" t="inlineStr">
        <is>
          <t>Art. 3.1</t>
        </is>
      </c>
      <c r="B175" s="10" t="inlineStr">
        <is>
          <t>Matériaux</t>
        </is>
      </c>
      <c r="C175" s="10" t="inlineStr">
        <is>
          <t>Ciment CPJ 42,5 (sac 50 kg)</t>
        </is>
      </c>
      <c r="D175" s="10" t="inlineStr">
        <is>
          <t>ciment</t>
        </is>
      </c>
      <c r="E175" s="12" t="inlineStr">
        <is>
          <t>sac</t>
        </is>
      </c>
      <c r="F175" s="31">
        <f>0.15</f>
        <v>0.15</v>
      </c>
      <c r="G175" s="32">
        <f>px_ciment</f>
        <v>5800.0</v>
      </c>
      <c r="H175" s="32">
        <f>F175*G175</f>
        <v>870.0</v>
      </c>
      <c r="I175" s="18">
        <f>q_3_1</f>
        <v>373.89258829184433</v>
      </c>
      <c r="J175" s="18">
        <f>F175*I175</f>
        <v>56.08388824377665</v>
      </c>
      <c r="K175" s="12" t="inlineStr">
        <is>
          <t>NON</t>
        </is>
      </c>
    </row>
    <row r="176">
      <c r="A176" s="12" t="inlineStr">
        <is>
          <t>Art. 3.1</t>
        </is>
      </c>
      <c r="B176" s="10" t="inlineStr">
        <is>
          <t>Matériaux</t>
        </is>
      </c>
      <c r="C176" s="10" t="inlineStr">
        <is>
          <t>Sable lavé</t>
        </is>
      </c>
      <c r="D176" s="10" t="inlineStr">
        <is>
          <t>sable</t>
        </is>
      </c>
      <c r="E176" s="12" t="inlineStr">
        <is>
          <t>m³</t>
        </is>
      </c>
      <c r="F176" s="31">
        <f>0.03</f>
        <v>0.03</v>
      </c>
      <c r="G176" s="32">
        <f>px_sable</f>
        <v>12000.0</v>
      </c>
      <c r="H176" s="32">
        <f>F176*G176</f>
        <v>360.0</v>
      </c>
      <c r="I176" s="18">
        <f>q_3_1</f>
        <v>373.89258829184433</v>
      </c>
      <c r="J176" s="18">
        <f>F176*I176</f>
        <v>11.216777648755329</v>
      </c>
      <c r="K176" s="12" t="inlineStr">
        <is>
          <t>NON</t>
        </is>
      </c>
    </row>
    <row r="177">
      <c r="A177" s="12" t="inlineStr">
        <is>
          <t>Art. 3.1</t>
        </is>
      </c>
      <c r="B177" s="10" t="inlineStr">
        <is>
          <t>Matériaux</t>
        </is>
      </c>
      <c r="C177" s="10" t="inlineStr">
        <is>
          <t>Eau</t>
        </is>
      </c>
      <c r="D177" s="10" t="inlineStr">
        <is>
          <t>eau</t>
        </is>
      </c>
      <c r="E177" s="12" t="inlineStr">
        <is>
          <t>m³</t>
        </is>
      </c>
      <c r="F177" s="31">
        <f>0.01</f>
        <v>0.01</v>
      </c>
      <c r="G177" s="32">
        <f>px_eau</f>
        <v>1000.0</v>
      </c>
      <c r="H177" s="32">
        <f>F177*G177</f>
        <v>10.0</v>
      </c>
      <c r="I177" s="18">
        <f>q_3_1</f>
        <v>373.89258829184433</v>
      </c>
      <c r="J177" s="18">
        <f>F177*I177</f>
        <v>3.7389258829184433</v>
      </c>
      <c r="K177" s="12" t="inlineStr">
        <is>
          <t>NON</t>
        </is>
      </c>
    </row>
    <row r="178">
      <c r="A178" s="12" t="inlineStr">
        <is>
          <t>Art. 3.1</t>
        </is>
      </c>
      <c r="B178" s="10" t="inlineStr">
        <is>
          <t>Main-d'œuvre</t>
        </is>
      </c>
      <c r="C178" s="10" t="inlineStr">
        <is>
          <t>Maçon (10 m²/j)</t>
        </is>
      </c>
      <c r="D178" s="10" t="inlineStr">
        <is>
          <t>mo_macon</t>
        </is>
      </c>
      <c r="E178" s="12" t="inlineStr">
        <is>
          <t>h.j</t>
        </is>
      </c>
      <c r="F178" s="31">
        <f>1/10</f>
        <v>0.1</v>
      </c>
      <c r="G178" s="32">
        <f>px_mo_macon</f>
        <v>10000.0</v>
      </c>
      <c r="H178" s="32">
        <f>F178*G178</f>
        <v>1000.0</v>
      </c>
      <c r="I178" s="18">
        <f>q_3_1</f>
        <v>373.89258829184433</v>
      </c>
      <c r="J178" s="18">
        <f>F178*I178</f>
        <v>37.389258829184435</v>
      </c>
      <c r="K178" s="12" t="inlineStr">
        <is>
          <t>NON</t>
        </is>
      </c>
    </row>
    <row r="179">
      <c r="A179" s="12" t="inlineStr">
        <is>
          <t>Art. 3.1</t>
        </is>
      </c>
      <c r="B179" s="10" t="inlineStr">
        <is>
          <t>Main-d'œuvre</t>
        </is>
      </c>
      <c r="C179" s="10" t="inlineStr">
        <is>
          <t>Manœuvre (10 m²/j)</t>
        </is>
      </c>
      <c r="D179" s="10" t="inlineStr">
        <is>
          <t>mo_man</t>
        </is>
      </c>
      <c r="E179" s="12" t="inlineStr">
        <is>
          <t>h.j</t>
        </is>
      </c>
      <c r="F179" s="31">
        <f>1/10</f>
        <v>0.1</v>
      </c>
      <c r="G179" s="32">
        <f>px_mo_man</f>
        <v>5000.0</v>
      </c>
      <c r="H179" s="32">
        <f>F179*G179</f>
        <v>500.0</v>
      </c>
      <c r="I179" s="18">
        <f>q_3_1</f>
        <v>373.89258829184433</v>
      </c>
      <c r="J179" s="18">
        <f>F179*I179</f>
        <v>37.389258829184435</v>
      </c>
      <c r="K179" s="12" t="inlineStr">
        <is>
          <t>NON</t>
        </is>
      </c>
    </row>
    <row r="180">
      <c r="A180" s="12" t="inlineStr">
        <is>
          <t>Art. 3.1</t>
        </is>
      </c>
      <c r="B180" s="10" t="inlineStr">
        <is>
          <t>Matériel</t>
        </is>
      </c>
      <c r="C180" s="10" t="inlineStr">
        <is>
          <t>Petit outillage (% de la main-d'œuvre)</t>
        </is>
      </c>
      <c r="D180" s="10" t="n"/>
      <c r="E180" s="12" t="inlineStr">
        <is>
          <t>%</t>
        </is>
      </c>
      <c r="F180" s="33">
        <f>p_PO</f>
        <v>0.03</v>
      </c>
      <c r="G180" s="32">
        <f>SUMIFS(H174:H179,B174:B179,"Main-d'œuvre")</f>
        <v>1500.0</v>
      </c>
      <c r="H180" s="32">
        <f>F180*G180</f>
        <v>45.0</v>
      </c>
      <c r="I180" s="10" t="n"/>
      <c r="J180" s="10" t="n"/>
      <c r="K180" s="10" t="n"/>
    </row>
    <row r="181">
      <c r="A181" s="34" t="n"/>
      <c r="B181" s="34" t="n"/>
      <c r="C181" s="35" t="inlineStr">
        <is>
          <t>DÉBOURSÉ SEC UNITAIRE / m²</t>
        </is>
      </c>
      <c r="D181" s="34" t="n"/>
      <c r="E181" s="34" t="n"/>
      <c r="F181" s="34" t="n"/>
      <c r="G181" s="34" t="n"/>
      <c r="H181" s="36">
        <f>SUM(H174:H180)</f>
        <v>9347.5</v>
      </c>
      <c r="I181" s="34" t="n"/>
      <c r="J181" s="34" t="n"/>
      <c r="K181" s="34" t="n"/>
    </row>
    <row r="183">
      <c r="A183" s="8" t="n"/>
      <c r="B183" s="8" t="inlineStr">
        <is>
          <t>Article 3.2 - Béton armé dosé à 350 kg/m³ pour poteaux 15 x 15 (2 par pilier IPE), de -0,85 à +6,00 (unité : m³)</t>
        </is>
      </c>
      <c r="C183" s="29" t="n"/>
      <c r="D183" s="29" t="n"/>
      <c r="E183" s="29" t="n"/>
      <c r="F183" s="29" t="n"/>
      <c r="G183" s="29" t="n"/>
      <c r="H183" s="29" t="n"/>
      <c r="I183" s="29" t="n"/>
      <c r="J183" s="29" t="n"/>
      <c r="K183" s="30" t="n"/>
    </row>
    <row r="184">
      <c r="A184" s="12" t="inlineStr">
        <is>
          <t>Art. 3.2</t>
        </is>
      </c>
      <c r="B184" s="10" t="inlineStr">
        <is>
          <t>Matériaux</t>
        </is>
      </c>
      <c r="C184" s="10" t="inlineStr">
        <is>
          <t>Ciment CPJ 42,5 (sac 50 kg)</t>
        </is>
      </c>
      <c r="D184" s="10" t="inlineStr">
        <is>
          <t>ciment</t>
        </is>
      </c>
      <c r="E184" s="12" t="inlineStr">
        <is>
          <t>sac</t>
        </is>
      </c>
      <c r="F184" s="31">
        <f>350/50</f>
        <v>7.0</v>
      </c>
      <c r="G184" s="32">
        <f>px_ciment</f>
        <v>5800.0</v>
      </c>
      <c r="H184" s="32">
        <f>F184*G184</f>
        <v>40600.0</v>
      </c>
      <c r="I184" s="18">
        <f>q_3_2</f>
        <v>5.285249999999999</v>
      </c>
      <c r="J184" s="18">
        <f>F184*I184</f>
        <v>36.99674999999999</v>
      </c>
      <c r="K184" s="12" t="inlineStr">
        <is>
          <t>NON</t>
        </is>
      </c>
    </row>
    <row r="185">
      <c r="A185" s="12" t="inlineStr">
        <is>
          <t>Art. 3.2</t>
        </is>
      </c>
      <c r="B185" s="10" t="inlineStr">
        <is>
          <t>Matériaux</t>
        </is>
      </c>
      <c r="C185" s="10" t="inlineStr">
        <is>
          <t>Sable lavé</t>
        </is>
      </c>
      <c r="D185" s="10" t="inlineStr">
        <is>
          <t>sable</t>
        </is>
      </c>
      <c r="E185" s="12" t="inlineStr">
        <is>
          <t>m³</t>
        </is>
      </c>
      <c r="F185" s="31">
        <f>0.45</f>
        <v>0.45</v>
      </c>
      <c r="G185" s="32">
        <f>px_sable</f>
        <v>12000.0</v>
      </c>
      <c r="H185" s="32">
        <f>F185*G185</f>
        <v>5400.0</v>
      </c>
      <c r="I185" s="18">
        <f>q_3_2</f>
        <v>5.285249999999999</v>
      </c>
      <c r="J185" s="18">
        <f>F185*I185</f>
        <v>2.3783624999999993</v>
      </c>
      <c r="K185" s="12" t="inlineStr">
        <is>
          <t>NON</t>
        </is>
      </c>
    </row>
    <row r="186">
      <c r="A186" s="12" t="inlineStr">
        <is>
          <t>Art. 3.2</t>
        </is>
      </c>
      <c r="B186" s="10" t="inlineStr">
        <is>
          <t>Matériaux</t>
        </is>
      </c>
      <c r="C186" s="10" t="inlineStr">
        <is>
          <t>Gravier concassé 5/15 - 15/25</t>
        </is>
      </c>
      <c r="D186" s="10" t="inlineStr">
        <is>
          <t>gravier</t>
        </is>
      </c>
      <c r="E186" s="12" t="inlineStr">
        <is>
          <t>m³</t>
        </is>
      </c>
      <c r="F186" s="31">
        <f>0.85</f>
        <v>0.85</v>
      </c>
      <c r="G186" s="32">
        <f>px_gravier</f>
        <v>25000.0</v>
      </c>
      <c r="H186" s="32">
        <f>F186*G186</f>
        <v>21250.0</v>
      </c>
      <c r="I186" s="18">
        <f>q_3_2</f>
        <v>5.285249999999999</v>
      </c>
      <c r="J186" s="18">
        <f>F186*I186</f>
        <v>4.4924624999999985</v>
      </c>
      <c r="K186" s="12" t="inlineStr">
        <is>
          <t>NON</t>
        </is>
      </c>
    </row>
    <row r="187">
      <c r="A187" s="12" t="inlineStr">
        <is>
          <t>Art. 3.2</t>
        </is>
      </c>
      <c r="B187" s="10" t="inlineStr">
        <is>
          <t>Matériaux</t>
        </is>
      </c>
      <c r="C187" s="10" t="inlineStr">
        <is>
          <t>Eau</t>
        </is>
      </c>
      <c r="D187" s="10" t="inlineStr">
        <is>
          <t>eau</t>
        </is>
      </c>
      <c r="E187" s="12" t="inlineStr">
        <is>
          <t>m³</t>
        </is>
      </c>
      <c r="F187" s="31">
        <f>0.20</f>
        <v>0.2</v>
      </c>
      <c r="G187" s="32">
        <f>px_eau</f>
        <v>1000.0</v>
      </c>
      <c r="H187" s="32">
        <f>F187*G187</f>
        <v>200.0</v>
      </c>
      <c r="I187" s="18">
        <f>q_3_2</f>
        <v>5.285249999999999</v>
      </c>
      <c r="J187" s="18">
        <f>F187*I187</f>
        <v>1.0570499999999998</v>
      </c>
      <c r="K187" s="12" t="inlineStr">
        <is>
          <t>NON</t>
        </is>
      </c>
    </row>
    <row r="188">
      <c r="A188" s="12" t="inlineStr">
        <is>
          <t>Art. 3.2</t>
        </is>
      </c>
      <c r="B188" s="10" t="inlineStr">
        <is>
          <t>Main-d'œuvre</t>
        </is>
      </c>
      <c r="C188" s="10" t="inlineStr">
        <is>
          <t>Maçon (équipe 1 maçon + 6 manœuvres : 4 m³/j)</t>
        </is>
      </c>
      <c r="D188" s="10" t="inlineStr">
        <is>
          <t>mo_macon</t>
        </is>
      </c>
      <c r="E188" s="12" t="inlineStr">
        <is>
          <t>h.j</t>
        </is>
      </c>
      <c r="F188" s="31">
        <f>1/4</f>
        <v>0.25</v>
      </c>
      <c r="G188" s="32">
        <f>px_mo_macon</f>
        <v>10000.0</v>
      </c>
      <c r="H188" s="32">
        <f>F188*G188</f>
        <v>2500.0</v>
      </c>
      <c r="I188" s="18">
        <f>q_3_2</f>
        <v>5.285249999999999</v>
      </c>
      <c r="J188" s="18">
        <f>F188*I188</f>
        <v>1.3213124999999997</v>
      </c>
      <c r="K188" s="12" t="inlineStr">
        <is>
          <t>NON</t>
        </is>
      </c>
    </row>
    <row r="189">
      <c r="A189" s="12" t="inlineStr">
        <is>
          <t>Art. 3.2</t>
        </is>
      </c>
      <c r="B189" s="10" t="inlineStr">
        <is>
          <t>Main-d'œuvre</t>
        </is>
      </c>
      <c r="C189" s="10" t="inlineStr">
        <is>
          <t>Manœuvres (6 par équipe)</t>
        </is>
      </c>
      <c r="D189" s="10" t="inlineStr">
        <is>
          <t>mo_man</t>
        </is>
      </c>
      <c r="E189" s="12" t="inlineStr">
        <is>
          <t>h.j</t>
        </is>
      </c>
      <c r="F189" s="31">
        <f>6/4</f>
        <v>1.5</v>
      </c>
      <c r="G189" s="32">
        <f>px_mo_man</f>
        <v>5000.0</v>
      </c>
      <c r="H189" s="32">
        <f>F189*G189</f>
        <v>7500.0</v>
      </c>
      <c r="I189" s="18">
        <f>q_3_2</f>
        <v>5.285249999999999</v>
      </c>
      <c r="J189" s="18">
        <f>F189*I189</f>
        <v>7.9278749999999985</v>
      </c>
      <c r="K189" s="12" t="inlineStr">
        <is>
          <t>NON</t>
        </is>
      </c>
    </row>
    <row r="190">
      <c r="A190" s="12" t="inlineStr">
        <is>
          <t>Art. 3.2</t>
        </is>
      </c>
      <c r="B190" s="10" t="inlineStr">
        <is>
          <t>Matériel</t>
        </is>
      </c>
      <c r="C190" s="10" t="inlineStr">
        <is>
          <t>Bétonnière 350 L (location)</t>
        </is>
      </c>
      <c r="D190" s="10" t="inlineStr">
        <is>
          <t>mt_bet</t>
        </is>
      </c>
      <c r="E190" s="12" t="inlineStr">
        <is>
          <t>j</t>
        </is>
      </c>
      <c r="F190" s="31">
        <f>1/4</f>
        <v>0.25</v>
      </c>
      <c r="G190" s="32">
        <f>px_mt_bet</f>
        <v>25000.0</v>
      </c>
      <c r="H190" s="32">
        <f>F190*G190</f>
        <v>6250.0</v>
      </c>
      <c r="I190" s="18">
        <f>q_3_2</f>
        <v>5.285249999999999</v>
      </c>
      <c r="J190" s="18">
        <f>F190*I190</f>
        <v>1.3213124999999997</v>
      </c>
      <c r="K190" s="12" t="inlineStr">
        <is>
          <t>NON</t>
        </is>
      </c>
    </row>
    <row r="191">
      <c r="A191" s="12" t="inlineStr">
        <is>
          <t>Art. 3.2</t>
        </is>
      </c>
      <c r="B191" s="10" t="inlineStr">
        <is>
          <t>Matériel</t>
        </is>
      </c>
      <c r="C191" s="10" t="inlineStr">
        <is>
          <t>Vibreur (location)</t>
        </is>
      </c>
      <c r="D191" s="10" t="inlineStr">
        <is>
          <t>mt_vib</t>
        </is>
      </c>
      <c r="E191" s="12" t="inlineStr">
        <is>
          <t>j</t>
        </is>
      </c>
      <c r="F191" s="31">
        <f>1/4</f>
        <v>0.25</v>
      </c>
      <c r="G191" s="32">
        <f>px_mt_vib</f>
        <v>15000.0</v>
      </c>
      <c r="H191" s="32">
        <f>F191*G191</f>
        <v>3750.0</v>
      </c>
      <c r="I191" s="18">
        <f>q_3_2</f>
        <v>5.285249999999999</v>
      </c>
      <c r="J191" s="18">
        <f>F191*I191</f>
        <v>1.3213124999999997</v>
      </c>
      <c r="K191" s="12" t="inlineStr">
        <is>
          <t>NON</t>
        </is>
      </c>
    </row>
    <row r="192">
      <c r="A192" s="12" t="inlineStr">
        <is>
          <t>Art. 3.2</t>
        </is>
      </c>
      <c r="B192" s="10" t="inlineStr">
        <is>
          <t>Matériel</t>
        </is>
      </c>
      <c r="C192" s="10" t="inlineStr">
        <is>
          <t>Petit outillage (% de la main-d'œuvre)</t>
        </is>
      </c>
      <c r="D192" s="10" t="n"/>
      <c r="E192" s="12" t="inlineStr">
        <is>
          <t>%</t>
        </is>
      </c>
      <c r="F192" s="33">
        <f>p_PO</f>
        <v>0.03</v>
      </c>
      <c r="G192" s="32">
        <f>SUMIFS(H184:H191,B184:B191,"Main-d'œuvre")</f>
        <v>10000.0</v>
      </c>
      <c r="H192" s="32">
        <f>F192*G192</f>
        <v>300.0</v>
      </c>
      <c r="I192" s="10" t="n"/>
      <c r="J192" s="10" t="n"/>
      <c r="K192" s="10" t="n"/>
    </row>
    <row r="193">
      <c r="A193" s="34" t="n"/>
      <c r="B193" s="34" t="n"/>
      <c r="C193" s="35" t="inlineStr">
        <is>
          <t>DÉBOURSÉ SEC UNITAIRE / m³</t>
        </is>
      </c>
      <c r="D193" s="34" t="n"/>
      <c r="E193" s="34" t="n"/>
      <c r="F193" s="34" t="n"/>
      <c r="G193" s="34" t="n"/>
      <c r="H193" s="36">
        <f>SUM(H184:H192)</f>
        <v>87750.0</v>
      </c>
      <c r="I193" s="34" t="n"/>
      <c r="J193" s="34" t="n"/>
      <c r="K193" s="34" t="n"/>
    </row>
    <row r="195">
      <c r="A195" s="8" t="n"/>
      <c r="B195" s="8" t="inlineStr">
        <is>
          <t>Article 3.3 - Béton armé dosé à 350 kg/m³ pour chaînage intermédiaire 15 x 20 à +3,00 (unité : m³)</t>
        </is>
      </c>
      <c r="C195" s="29" t="n"/>
      <c r="D195" s="29" t="n"/>
      <c r="E195" s="29" t="n"/>
      <c r="F195" s="29" t="n"/>
      <c r="G195" s="29" t="n"/>
      <c r="H195" s="29" t="n"/>
      <c r="I195" s="29" t="n"/>
      <c r="J195" s="29" t="n"/>
      <c r="K195" s="30" t="n"/>
    </row>
    <row r="196">
      <c r="A196" s="12" t="inlineStr">
        <is>
          <t>Art. 3.3</t>
        </is>
      </c>
      <c r="B196" s="10" t="inlineStr">
        <is>
          <t>Matériaux</t>
        </is>
      </c>
      <c r="C196" s="10" t="inlineStr">
        <is>
          <t>Ciment CPJ 42,5 (sac 50 kg)</t>
        </is>
      </c>
      <c r="D196" s="10" t="inlineStr">
        <is>
          <t>ciment</t>
        </is>
      </c>
      <c r="E196" s="12" t="inlineStr">
        <is>
          <t>sac</t>
        </is>
      </c>
      <c r="F196" s="31">
        <f>350/50</f>
        <v>7.0</v>
      </c>
      <c r="G196" s="32">
        <f>px_ciment</f>
        <v>5800.0</v>
      </c>
      <c r="H196" s="32">
        <f>F196*G196</f>
        <v>40600.0</v>
      </c>
      <c r="I196" s="18">
        <f>q_3_3</f>
        <v>2.0109</v>
      </c>
      <c r="J196" s="18">
        <f>F196*I196</f>
        <v>14.0763</v>
      </c>
      <c r="K196" s="12" t="inlineStr">
        <is>
          <t>NON</t>
        </is>
      </c>
    </row>
    <row r="197">
      <c r="A197" s="12" t="inlineStr">
        <is>
          <t>Art. 3.3</t>
        </is>
      </c>
      <c r="B197" s="10" t="inlineStr">
        <is>
          <t>Matériaux</t>
        </is>
      </c>
      <c r="C197" s="10" t="inlineStr">
        <is>
          <t>Sable lavé</t>
        </is>
      </c>
      <c r="D197" s="10" t="inlineStr">
        <is>
          <t>sable</t>
        </is>
      </c>
      <c r="E197" s="12" t="inlineStr">
        <is>
          <t>m³</t>
        </is>
      </c>
      <c r="F197" s="31">
        <f>0.45</f>
        <v>0.45</v>
      </c>
      <c r="G197" s="32">
        <f>px_sable</f>
        <v>12000.0</v>
      </c>
      <c r="H197" s="32">
        <f>F197*G197</f>
        <v>5400.0</v>
      </c>
      <c r="I197" s="18">
        <f>q_3_3</f>
        <v>2.0109</v>
      </c>
      <c r="J197" s="18">
        <f>F197*I197</f>
        <v>0.904905</v>
      </c>
      <c r="K197" s="12" t="inlineStr">
        <is>
          <t>NON</t>
        </is>
      </c>
    </row>
    <row r="198">
      <c r="A198" s="12" t="inlineStr">
        <is>
          <t>Art. 3.3</t>
        </is>
      </c>
      <c r="B198" s="10" t="inlineStr">
        <is>
          <t>Matériaux</t>
        </is>
      </c>
      <c r="C198" s="10" t="inlineStr">
        <is>
          <t>Gravier concassé 5/15 - 15/25</t>
        </is>
      </c>
      <c r="D198" s="10" t="inlineStr">
        <is>
          <t>gravier</t>
        </is>
      </c>
      <c r="E198" s="12" t="inlineStr">
        <is>
          <t>m³</t>
        </is>
      </c>
      <c r="F198" s="31">
        <f>0.85</f>
        <v>0.85</v>
      </c>
      <c r="G198" s="32">
        <f>px_gravier</f>
        <v>25000.0</v>
      </c>
      <c r="H198" s="32">
        <f>F198*G198</f>
        <v>21250.0</v>
      </c>
      <c r="I198" s="18">
        <f>q_3_3</f>
        <v>2.0109</v>
      </c>
      <c r="J198" s="18">
        <f>F198*I198</f>
        <v>1.7092649999999998</v>
      </c>
      <c r="K198" s="12" t="inlineStr">
        <is>
          <t>NON</t>
        </is>
      </c>
    </row>
    <row r="199">
      <c r="A199" s="12" t="inlineStr">
        <is>
          <t>Art. 3.3</t>
        </is>
      </c>
      <c r="B199" s="10" t="inlineStr">
        <is>
          <t>Matériaux</t>
        </is>
      </c>
      <c r="C199" s="10" t="inlineStr">
        <is>
          <t>Eau</t>
        </is>
      </c>
      <c r="D199" s="10" t="inlineStr">
        <is>
          <t>eau</t>
        </is>
      </c>
      <c r="E199" s="12" t="inlineStr">
        <is>
          <t>m³</t>
        </is>
      </c>
      <c r="F199" s="31">
        <f>0.20</f>
        <v>0.2</v>
      </c>
      <c r="G199" s="32">
        <f>px_eau</f>
        <v>1000.0</v>
      </c>
      <c r="H199" s="32">
        <f>F199*G199</f>
        <v>200.0</v>
      </c>
      <c r="I199" s="18">
        <f>q_3_3</f>
        <v>2.0109</v>
      </c>
      <c r="J199" s="18">
        <f>F199*I199</f>
        <v>0.40218</v>
      </c>
      <c r="K199" s="12" t="inlineStr">
        <is>
          <t>NON</t>
        </is>
      </c>
    </row>
    <row r="200">
      <c r="A200" s="12" t="inlineStr">
        <is>
          <t>Art. 3.3</t>
        </is>
      </c>
      <c r="B200" s="10" t="inlineStr">
        <is>
          <t>Main-d'œuvre</t>
        </is>
      </c>
      <c r="C200" s="10" t="inlineStr">
        <is>
          <t>Maçon (équipe 1 maçon + 6 manœuvres : 5 m³/j)</t>
        </is>
      </c>
      <c r="D200" s="10" t="inlineStr">
        <is>
          <t>mo_macon</t>
        </is>
      </c>
      <c r="E200" s="12" t="inlineStr">
        <is>
          <t>h.j</t>
        </is>
      </c>
      <c r="F200" s="31">
        <f>1/5</f>
        <v>0.2</v>
      </c>
      <c r="G200" s="32">
        <f>px_mo_macon</f>
        <v>10000.0</v>
      </c>
      <c r="H200" s="32">
        <f>F200*G200</f>
        <v>2000.0</v>
      </c>
      <c r="I200" s="18">
        <f>q_3_3</f>
        <v>2.0109</v>
      </c>
      <c r="J200" s="18">
        <f>F200*I200</f>
        <v>0.40218</v>
      </c>
      <c r="K200" s="12" t="inlineStr">
        <is>
          <t>NON</t>
        </is>
      </c>
    </row>
    <row r="201">
      <c r="A201" s="12" t="inlineStr">
        <is>
          <t>Art. 3.3</t>
        </is>
      </c>
      <c r="B201" s="10" t="inlineStr">
        <is>
          <t>Main-d'œuvre</t>
        </is>
      </c>
      <c r="C201" s="10" t="inlineStr">
        <is>
          <t>Manœuvres (6 par équipe)</t>
        </is>
      </c>
      <c r="D201" s="10" t="inlineStr">
        <is>
          <t>mo_man</t>
        </is>
      </c>
      <c r="E201" s="12" t="inlineStr">
        <is>
          <t>h.j</t>
        </is>
      </c>
      <c r="F201" s="31">
        <f>6/5</f>
        <v>1.2</v>
      </c>
      <c r="G201" s="32">
        <f>px_mo_man</f>
        <v>5000.0</v>
      </c>
      <c r="H201" s="32">
        <f>F201*G201</f>
        <v>6000.0</v>
      </c>
      <c r="I201" s="18">
        <f>q_3_3</f>
        <v>2.0109</v>
      </c>
      <c r="J201" s="18">
        <f>F201*I201</f>
        <v>2.41308</v>
      </c>
      <c r="K201" s="12" t="inlineStr">
        <is>
          <t>NON</t>
        </is>
      </c>
    </row>
    <row r="202">
      <c r="A202" s="12" t="inlineStr">
        <is>
          <t>Art. 3.3</t>
        </is>
      </c>
      <c r="B202" s="10" t="inlineStr">
        <is>
          <t>Matériel</t>
        </is>
      </c>
      <c r="C202" s="10" t="inlineStr">
        <is>
          <t>Bétonnière 350 L (location)</t>
        </is>
      </c>
      <c r="D202" s="10" t="inlineStr">
        <is>
          <t>mt_bet</t>
        </is>
      </c>
      <c r="E202" s="12" t="inlineStr">
        <is>
          <t>j</t>
        </is>
      </c>
      <c r="F202" s="31">
        <f>1/5</f>
        <v>0.2</v>
      </c>
      <c r="G202" s="32">
        <f>px_mt_bet</f>
        <v>25000.0</v>
      </c>
      <c r="H202" s="32">
        <f>F202*G202</f>
        <v>5000.0</v>
      </c>
      <c r="I202" s="18">
        <f>q_3_3</f>
        <v>2.0109</v>
      </c>
      <c r="J202" s="18">
        <f>F202*I202</f>
        <v>0.40218</v>
      </c>
      <c r="K202" s="12" t="inlineStr">
        <is>
          <t>NON</t>
        </is>
      </c>
    </row>
    <row r="203">
      <c r="A203" s="12" t="inlineStr">
        <is>
          <t>Art. 3.3</t>
        </is>
      </c>
      <c r="B203" s="10" t="inlineStr">
        <is>
          <t>Matériel</t>
        </is>
      </c>
      <c r="C203" s="10" t="inlineStr">
        <is>
          <t>Vibreur (location)</t>
        </is>
      </c>
      <c r="D203" s="10" t="inlineStr">
        <is>
          <t>mt_vib</t>
        </is>
      </c>
      <c r="E203" s="12" t="inlineStr">
        <is>
          <t>j</t>
        </is>
      </c>
      <c r="F203" s="31">
        <f>1/5</f>
        <v>0.2</v>
      </c>
      <c r="G203" s="32">
        <f>px_mt_vib</f>
        <v>15000.0</v>
      </c>
      <c r="H203" s="32">
        <f>F203*G203</f>
        <v>3000.0</v>
      </c>
      <c r="I203" s="18">
        <f>q_3_3</f>
        <v>2.0109</v>
      </c>
      <c r="J203" s="18">
        <f>F203*I203</f>
        <v>0.40218</v>
      </c>
      <c r="K203" s="12" t="inlineStr">
        <is>
          <t>NON</t>
        </is>
      </c>
    </row>
    <row r="204">
      <c r="A204" s="12" t="inlineStr">
        <is>
          <t>Art. 3.3</t>
        </is>
      </c>
      <c r="B204" s="10" t="inlineStr">
        <is>
          <t>Matériel</t>
        </is>
      </c>
      <c r="C204" s="10" t="inlineStr">
        <is>
          <t>Petit outillage (% de la main-d'œuvre)</t>
        </is>
      </c>
      <c r="D204" s="10" t="n"/>
      <c r="E204" s="12" t="inlineStr">
        <is>
          <t>%</t>
        </is>
      </c>
      <c r="F204" s="33">
        <f>p_PO</f>
        <v>0.03</v>
      </c>
      <c r="G204" s="32">
        <f>SUMIFS(H196:H203,B196:B203,"Main-d'œuvre")</f>
        <v>8000.0</v>
      </c>
      <c r="H204" s="32">
        <f>F204*G204</f>
        <v>240.0</v>
      </c>
      <c r="I204" s="10" t="n"/>
      <c r="J204" s="10" t="n"/>
      <c r="K204" s="10" t="n"/>
    </row>
    <row r="205">
      <c r="A205" s="34" t="n"/>
      <c r="B205" s="34" t="n"/>
      <c r="C205" s="35" t="inlineStr">
        <is>
          <t>DÉBOURSÉ SEC UNITAIRE / m³</t>
        </is>
      </c>
      <c r="D205" s="34" t="n"/>
      <c r="E205" s="34" t="n"/>
      <c r="F205" s="34" t="n"/>
      <c r="G205" s="34" t="n"/>
      <c r="H205" s="36">
        <f>SUM(H196:H204)</f>
        <v>83690.0</v>
      </c>
      <c r="I205" s="34" t="n"/>
      <c r="J205" s="34" t="n"/>
      <c r="K205" s="34" t="n"/>
    </row>
    <row r="207">
      <c r="A207" s="8" t="n"/>
      <c r="B207" s="8" t="inlineStr">
        <is>
          <t>Article 3.4 - Béton armé dosé à 350 kg/m³ pour chaînage haut 15 x 20 (unité : m³)</t>
        </is>
      </c>
      <c r="C207" s="29" t="n"/>
      <c r="D207" s="29" t="n"/>
      <c r="E207" s="29" t="n"/>
      <c r="F207" s="29" t="n"/>
      <c r="G207" s="29" t="n"/>
      <c r="H207" s="29" t="n"/>
      <c r="I207" s="29" t="n"/>
      <c r="J207" s="29" t="n"/>
      <c r="K207" s="30" t="n"/>
    </row>
    <row r="208">
      <c r="A208" s="12" t="inlineStr">
        <is>
          <t>Art. 3.4</t>
        </is>
      </c>
      <c r="B208" s="10" t="inlineStr">
        <is>
          <t>Matériaux</t>
        </is>
      </c>
      <c r="C208" s="10" t="inlineStr">
        <is>
          <t>Ciment CPJ 42,5 (sac 50 kg)</t>
        </is>
      </c>
      <c r="D208" s="10" t="inlineStr">
        <is>
          <t>ciment</t>
        </is>
      </c>
      <c r="E208" s="12" t="inlineStr">
        <is>
          <t>sac</t>
        </is>
      </c>
      <c r="F208" s="31">
        <f>350/50</f>
        <v>7.0</v>
      </c>
      <c r="G208" s="32">
        <f>px_ciment</f>
        <v>5800.0</v>
      </c>
      <c r="H208" s="32">
        <f>F208*G208</f>
        <v>40600.0</v>
      </c>
      <c r="I208" s="18">
        <f>q_3_4</f>
        <v>2.1909</v>
      </c>
      <c r="J208" s="18">
        <f>F208*I208</f>
        <v>15.336300000000001</v>
      </c>
      <c r="K208" s="12" t="inlineStr">
        <is>
          <t>NON</t>
        </is>
      </c>
    </row>
    <row r="209">
      <c r="A209" s="12" t="inlineStr">
        <is>
          <t>Art. 3.4</t>
        </is>
      </c>
      <c r="B209" s="10" t="inlineStr">
        <is>
          <t>Matériaux</t>
        </is>
      </c>
      <c r="C209" s="10" t="inlineStr">
        <is>
          <t>Sable lavé</t>
        </is>
      </c>
      <c r="D209" s="10" t="inlineStr">
        <is>
          <t>sable</t>
        </is>
      </c>
      <c r="E209" s="12" t="inlineStr">
        <is>
          <t>m³</t>
        </is>
      </c>
      <c r="F209" s="31">
        <f>0.45</f>
        <v>0.45</v>
      </c>
      <c r="G209" s="32">
        <f>px_sable</f>
        <v>12000.0</v>
      </c>
      <c r="H209" s="32">
        <f>F209*G209</f>
        <v>5400.0</v>
      </c>
      <c r="I209" s="18">
        <f>q_3_4</f>
        <v>2.1909</v>
      </c>
      <c r="J209" s="18">
        <f>F209*I209</f>
        <v>0.985905</v>
      </c>
      <c r="K209" s="12" t="inlineStr">
        <is>
          <t>NON</t>
        </is>
      </c>
    </row>
    <row r="210">
      <c r="A210" s="12" t="inlineStr">
        <is>
          <t>Art. 3.4</t>
        </is>
      </c>
      <c r="B210" s="10" t="inlineStr">
        <is>
          <t>Matériaux</t>
        </is>
      </c>
      <c r="C210" s="10" t="inlineStr">
        <is>
          <t>Gravier concassé 5/15 - 15/25</t>
        </is>
      </c>
      <c r="D210" s="10" t="inlineStr">
        <is>
          <t>gravier</t>
        </is>
      </c>
      <c r="E210" s="12" t="inlineStr">
        <is>
          <t>m³</t>
        </is>
      </c>
      <c r="F210" s="31">
        <f>0.85</f>
        <v>0.85</v>
      </c>
      <c r="G210" s="32">
        <f>px_gravier</f>
        <v>25000.0</v>
      </c>
      <c r="H210" s="32">
        <f>F210*G210</f>
        <v>21250.0</v>
      </c>
      <c r="I210" s="18">
        <f>q_3_4</f>
        <v>2.1909</v>
      </c>
      <c r="J210" s="18">
        <f>F210*I210</f>
        <v>1.862265</v>
      </c>
      <c r="K210" s="12" t="inlineStr">
        <is>
          <t>NON</t>
        </is>
      </c>
    </row>
    <row r="211">
      <c r="A211" s="12" t="inlineStr">
        <is>
          <t>Art. 3.4</t>
        </is>
      </c>
      <c r="B211" s="10" t="inlineStr">
        <is>
          <t>Matériaux</t>
        </is>
      </c>
      <c r="C211" s="10" t="inlineStr">
        <is>
          <t>Eau</t>
        </is>
      </c>
      <c r="D211" s="10" t="inlineStr">
        <is>
          <t>eau</t>
        </is>
      </c>
      <c r="E211" s="12" t="inlineStr">
        <is>
          <t>m³</t>
        </is>
      </c>
      <c r="F211" s="31">
        <f>0.20</f>
        <v>0.2</v>
      </c>
      <c r="G211" s="32">
        <f>px_eau</f>
        <v>1000.0</v>
      </c>
      <c r="H211" s="32">
        <f>F211*G211</f>
        <v>200.0</v>
      </c>
      <c r="I211" s="18">
        <f>q_3_4</f>
        <v>2.1909</v>
      </c>
      <c r="J211" s="18">
        <f>F211*I211</f>
        <v>0.43818</v>
      </c>
      <c r="K211" s="12" t="inlineStr">
        <is>
          <t>NON</t>
        </is>
      </c>
    </row>
    <row r="212">
      <c r="A212" s="12" t="inlineStr">
        <is>
          <t>Art. 3.4</t>
        </is>
      </c>
      <c r="B212" s="10" t="inlineStr">
        <is>
          <t>Main-d'œuvre</t>
        </is>
      </c>
      <c r="C212" s="10" t="inlineStr">
        <is>
          <t>Maçon (équipe 1 maçon + 6 manœuvres : 5 m³/j)</t>
        </is>
      </c>
      <c r="D212" s="10" t="inlineStr">
        <is>
          <t>mo_macon</t>
        </is>
      </c>
      <c r="E212" s="12" t="inlineStr">
        <is>
          <t>h.j</t>
        </is>
      </c>
      <c r="F212" s="31">
        <f>1/5</f>
        <v>0.2</v>
      </c>
      <c r="G212" s="32">
        <f>px_mo_macon</f>
        <v>10000.0</v>
      </c>
      <c r="H212" s="32">
        <f>F212*G212</f>
        <v>2000.0</v>
      </c>
      <c r="I212" s="18">
        <f>q_3_4</f>
        <v>2.1909</v>
      </c>
      <c r="J212" s="18">
        <f>F212*I212</f>
        <v>0.43818</v>
      </c>
      <c r="K212" s="12" t="inlineStr">
        <is>
          <t>NON</t>
        </is>
      </c>
    </row>
    <row r="213">
      <c r="A213" s="12" t="inlineStr">
        <is>
          <t>Art. 3.4</t>
        </is>
      </c>
      <c r="B213" s="10" t="inlineStr">
        <is>
          <t>Main-d'œuvre</t>
        </is>
      </c>
      <c r="C213" s="10" t="inlineStr">
        <is>
          <t>Manœuvres (6 par équipe)</t>
        </is>
      </c>
      <c r="D213" s="10" t="inlineStr">
        <is>
          <t>mo_man</t>
        </is>
      </c>
      <c r="E213" s="12" t="inlineStr">
        <is>
          <t>h.j</t>
        </is>
      </c>
      <c r="F213" s="31">
        <f>6/5</f>
        <v>1.2</v>
      </c>
      <c r="G213" s="32">
        <f>px_mo_man</f>
        <v>5000.0</v>
      </c>
      <c r="H213" s="32">
        <f>F213*G213</f>
        <v>6000.0</v>
      </c>
      <c r="I213" s="18">
        <f>q_3_4</f>
        <v>2.1909</v>
      </c>
      <c r="J213" s="18">
        <f>F213*I213</f>
        <v>2.62908</v>
      </c>
      <c r="K213" s="12" t="inlineStr">
        <is>
          <t>NON</t>
        </is>
      </c>
    </row>
    <row r="214">
      <c r="A214" s="12" t="inlineStr">
        <is>
          <t>Art. 3.4</t>
        </is>
      </c>
      <c r="B214" s="10" t="inlineStr">
        <is>
          <t>Matériel</t>
        </is>
      </c>
      <c r="C214" s="10" t="inlineStr">
        <is>
          <t>Bétonnière 350 L (location)</t>
        </is>
      </c>
      <c r="D214" s="10" t="inlineStr">
        <is>
          <t>mt_bet</t>
        </is>
      </c>
      <c r="E214" s="12" t="inlineStr">
        <is>
          <t>j</t>
        </is>
      </c>
      <c r="F214" s="31">
        <f>1/5</f>
        <v>0.2</v>
      </c>
      <c r="G214" s="32">
        <f>px_mt_bet</f>
        <v>25000.0</v>
      </c>
      <c r="H214" s="32">
        <f>F214*G214</f>
        <v>5000.0</v>
      </c>
      <c r="I214" s="18">
        <f>q_3_4</f>
        <v>2.1909</v>
      </c>
      <c r="J214" s="18">
        <f>F214*I214</f>
        <v>0.43818</v>
      </c>
      <c r="K214" s="12" t="inlineStr">
        <is>
          <t>NON</t>
        </is>
      </c>
    </row>
    <row r="215">
      <c r="A215" s="12" t="inlineStr">
        <is>
          <t>Art. 3.4</t>
        </is>
      </c>
      <c r="B215" s="10" t="inlineStr">
        <is>
          <t>Matériel</t>
        </is>
      </c>
      <c r="C215" s="10" t="inlineStr">
        <is>
          <t>Vibreur (location)</t>
        </is>
      </c>
      <c r="D215" s="10" t="inlineStr">
        <is>
          <t>mt_vib</t>
        </is>
      </c>
      <c r="E215" s="12" t="inlineStr">
        <is>
          <t>j</t>
        </is>
      </c>
      <c r="F215" s="31">
        <f>1/5</f>
        <v>0.2</v>
      </c>
      <c r="G215" s="32">
        <f>px_mt_vib</f>
        <v>15000.0</v>
      </c>
      <c r="H215" s="32">
        <f>F215*G215</f>
        <v>3000.0</v>
      </c>
      <c r="I215" s="18">
        <f>q_3_4</f>
        <v>2.1909</v>
      </c>
      <c r="J215" s="18">
        <f>F215*I215</f>
        <v>0.43818</v>
      </c>
      <c r="K215" s="12" t="inlineStr">
        <is>
          <t>NON</t>
        </is>
      </c>
    </row>
    <row r="216">
      <c r="A216" s="12" t="inlineStr">
        <is>
          <t>Art. 3.4</t>
        </is>
      </c>
      <c r="B216" s="10" t="inlineStr">
        <is>
          <t>Matériel</t>
        </is>
      </c>
      <c r="C216" s="10" t="inlineStr">
        <is>
          <t>Petit outillage (% de la main-d'œuvre)</t>
        </is>
      </c>
      <c r="D216" s="10" t="n"/>
      <c r="E216" s="12" t="inlineStr">
        <is>
          <t>%</t>
        </is>
      </c>
      <c r="F216" s="33">
        <f>p_PO</f>
        <v>0.03</v>
      </c>
      <c r="G216" s="32">
        <f>SUMIFS(H208:H215,B208:B215,"Main-d'œuvre")</f>
        <v>8000.0</v>
      </c>
      <c r="H216" s="32">
        <f>F216*G216</f>
        <v>240.0</v>
      </c>
      <c r="I216" s="10" t="n"/>
      <c r="J216" s="10" t="n"/>
      <c r="K216" s="10" t="n"/>
    </row>
    <row r="217">
      <c r="A217" s="34" t="n"/>
      <c r="B217" s="34" t="n"/>
      <c r="C217" s="35" t="inlineStr">
        <is>
          <t>DÉBOURSÉ SEC UNITAIRE / m³</t>
        </is>
      </c>
      <c r="D217" s="34" t="n"/>
      <c r="E217" s="34" t="n"/>
      <c r="F217" s="34" t="n"/>
      <c r="G217" s="34" t="n"/>
      <c r="H217" s="36">
        <f>SUM(H208:H216)</f>
        <v>83690.0</v>
      </c>
      <c r="I217" s="34" t="n"/>
      <c r="J217" s="34" t="n"/>
      <c r="K217" s="34" t="n"/>
    </row>
    <row r="219">
      <c r="A219" s="8" t="n"/>
      <c r="B219" s="8" t="inlineStr">
        <is>
          <t>Article 3.5 - Béton armé dosé à 350 kg/m³ pour linteau de l'entrée 15 x 40 (unité : m³)</t>
        </is>
      </c>
      <c r="C219" s="29" t="n"/>
      <c r="D219" s="29" t="n"/>
      <c r="E219" s="29" t="n"/>
      <c r="F219" s="29" t="n"/>
      <c r="G219" s="29" t="n"/>
      <c r="H219" s="29" t="n"/>
      <c r="I219" s="29" t="n"/>
      <c r="J219" s="29" t="n"/>
      <c r="K219" s="30" t="n"/>
    </row>
    <row r="220">
      <c r="A220" s="12" t="inlineStr">
        <is>
          <t>Art. 3.5</t>
        </is>
      </c>
      <c r="B220" s="10" t="inlineStr">
        <is>
          <t>Matériaux</t>
        </is>
      </c>
      <c r="C220" s="10" t="inlineStr">
        <is>
          <t>Ciment CPJ 42,5 (sac 50 kg)</t>
        </is>
      </c>
      <c r="D220" s="10" t="inlineStr">
        <is>
          <t>ciment</t>
        </is>
      </c>
      <c r="E220" s="12" t="inlineStr">
        <is>
          <t>sac</t>
        </is>
      </c>
      <c r="F220" s="31">
        <f>350/50</f>
        <v>7.0</v>
      </c>
      <c r="G220" s="32">
        <f>px_ciment</f>
        <v>5800.0</v>
      </c>
      <c r="H220" s="32">
        <f>F220*G220</f>
        <v>40600.0</v>
      </c>
      <c r="I220" s="18">
        <f>q_3_5</f>
        <v>0.36</v>
      </c>
      <c r="J220" s="18">
        <f>F220*I220</f>
        <v>2.52</v>
      </c>
      <c r="K220" s="12" t="inlineStr">
        <is>
          <t>NON</t>
        </is>
      </c>
    </row>
    <row r="221">
      <c r="A221" s="12" t="inlineStr">
        <is>
          <t>Art. 3.5</t>
        </is>
      </c>
      <c r="B221" s="10" t="inlineStr">
        <is>
          <t>Matériaux</t>
        </is>
      </c>
      <c r="C221" s="10" t="inlineStr">
        <is>
          <t>Sable lavé</t>
        </is>
      </c>
      <c r="D221" s="10" t="inlineStr">
        <is>
          <t>sable</t>
        </is>
      </c>
      <c r="E221" s="12" t="inlineStr">
        <is>
          <t>m³</t>
        </is>
      </c>
      <c r="F221" s="31">
        <f>0.45</f>
        <v>0.45</v>
      </c>
      <c r="G221" s="32">
        <f>px_sable</f>
        <v>12000.0</v>
      </c>
      <c r="H221" s="32">
        <f>F221*G221</f>
        <v>5400.0</v>
      </c>
      <c r="I221" s="18">
        <f>q_3_5</f>
        <v>0.36</v>
      </c>
      <c r="J221" s="18">
        <f>F221*I221</f>
        <v>0.162</v>
      </c>
      <c r="K221" s="12" t="inlineStr">
        <is>
          <t>NON</t>
        </is>
      </c>
    </row>
    <row r="222">
      <c r="A222" s="12" t="inlineStr">
        <is>
          <t>Art. 3.5</t>
        </is>
      </c>
      <c r="B222" s="10" t="inlineStr">
        <is>
          <t>Matériaux</t>
        </is>
      </c>
      <c r="C222" s="10" t="inlineStr">
        <is>
          <t>Gravier concassé 5/15 - 15/25</t>
        </is>
      </c>
      <c r="D222" s="10" t="inlineStr">
        <is>
          <t>gravier</t>
        </is>
      </c>
      <c r="E222" s="12" t="inlineStr">
        <is>
          <t>m³</t>
        </is>
      </c>
      <c r="F222" s="31">
        <f>0.85</f>
        <v>0.85</v>
      </c>
      <c r="G222" s="32">
        <f>px_gravier</f>
        <v>25000.0</v>
      </c>
      <c r="H222" s="32">
        <f>F222*G222</f>
        <v>21250.0</v>
      </c>
      <c r="I222" s="18">
        <f>q_3_5</f>
        <v>0.36</v>
      </c>
      <c r="J222" s="18">
        <f>F222*I222</f>
        <v>0.306</v>
      </c>
      <c r="K222" s="12" t="inlineStr">
        <is>
          <t>NON</t>
        </is>
      </c>
    </row>
    <row r="223">
      <c r="A223" s="12" t="inlineStr">
        <is>
          <t>Art. 3.5</t>
        </is>
      </c>
      <c r="B223" s="10" t="inlineStr">
        <is>
          <t>Matériaux</t>
        </is>
      </c>
      <c r="C223" s="10" t="inlineStr">
        <is>
          <t>Eau</t>
        </is>
      </c>
      <c r="D223" s="10" t="inlineStr">
        <is>
          <t>eau</t>
        </is>
      </c>
      <c r="E223" s="12" t="inlineStr">
        <is>
          <t>m³</t>
        </is>
      </c>
      <c r="F223" s="31">
        <f>0.20</f>
        <v>0.2</v>
      </c>
      <c r="G223" s="32">
        <f>px_eau</f>
        <v>1000.0</v>
      </c>
      <c r="H223" s="32">
        <f>F223*G223</f>
        <v>200.0</v>
      </c>
      <c r="I223" s="18">
        <f>q_3_5</f>
        <v>0.36</v>
      </c>
      <c r="J223" s="18">
        <f>F223*I223</f>
        <v>0.072</v>
      </c>
      <c r="K223" s="12" t="inlineStr">
        <is>
          <t>NON</t>
        </is>
      </c>
    </row>
    <row r="224">
      <c r="A224" s="12" t="inlineStr">
        <is>
          <t>Art. 3.5</t>
        </is>
      </c>
      <c r="B224" s="10" t="inlineStr">
        <is>
          <t>Main-d'œuvre</t>
        </is>
      </c>
      <c r="C224" s="10" t="inlineStr">
        <is>
          <t>Maçon (équipe 1 maçon + 6 manœuvres : 4 m³/j)</t>
        </is>
      </c>
      <c r="D224" s="10" t="inlineStr">
        <is>
          <t>mo_macon</t>
        </is>
      </c>
      <c r="E224" s="12" t="inlineStr">
        <is>
          <t>h.j</t>
        </is>
      </c>
      <c r="F224" s="31">
        <f>1/4</f>
        <v>0.25</v>
      </c>
      <c r="G224" s="32">
        <f>px_mo_macon</f>
        <v>10000.0</v>
      </c>
      <c r="H224" s="32">
        <f>F224*G224</f>
        <v>2500.0</v>
      </c>
      <c r="I224" s="18">
        <f>q_3_5</f>
        <v>0.36</v>
      </c>
      <c r="J224" s="18">
        <f>F224*I224</f>
        <v>0.09</v>
      </c>
      <c r="K224" s="12" t="inlineStr">
        <is>
          <t>NON</t>
        </is>
      </c>
    </row>
    <row r="225">
      <c r="A225" s="12" t="inlineStr">
        <is>
          <t>Art. 3.5</t>
        </is>
      </c>
      <c r="B225" s="10" t="inlineStr">
        <is>
          <t>Main-d'œuvre</t>
        </is>
      </c>
      <c r="C225" s="10" t="inlineStr">
        <is>
          <t>Manœuvres (6 par équipe)</t>
        </is>
      </c>
      <c r="D225" s="10" t="inlineStr">
        <is>
          <t>mo_man</t>
        </is>
      </c>
      <c r="E225" s="12" t="inlineStr">
        <is>
          <t>h.j</t>
        </is>
      </c>
      <c r="F225" s="31">
        <f>6/4</f>
        <v>1.5</v>
      </c>
      <c r="G225" s="32">
        <f>px_mo_man</f>
        <v>5000.0</v>
      </c>
      <c r="H225" s="32">
        <f>F225*G225</f>
        <v>7500.0</v>
      </c>
      <c r="I225" s="18">
        <f>q_3_5</f>
        <v>0.36</v>
      </c>
      <c r="J225" s="18">
        <f>F225*I225</f>
        <v>0.54</v>
      </c>
      <c r="K225" s="12" t="inlineStr">
        <is>
          <t>NON</t>
        </is>
      </c>
    </row>
    <row r="226">
      <c r="A226" s="12" t="inlineStr">
        <is>
          <t>Art. 3.5</t>
        </is>
      </c>
      <c r="B226" s="10" t="inlineStr">
        <is>
          <t>Matériel</t>
        </is>
      </c>
      <c r="C226" s="10" t="inlineStr">
        <is>
          <t>Bétonnière 350 L (location)</t>
        </is>
      </c>
      <c r="D226" s="10" t="inlineStr">
        <is>
          <t>mt_bet</t>
        </is>
      </c>
      <c r="E226" s="12" t="inlineStr">
        <is>
          <t>j</t>
        </is>
      </c>
      <c r="F226" s="31">
        <f>1/4</f>
        <v>0.25</v>
      </c>
      <c r="G226" s="32">
        <f>px_mt_bet</f>
        <v>25000.0</v>
      </c>
      <c r="H226" s="32">
        <f>F226*G226</f>
        <v>6250.0</v>
      </c>
      <c r="I226" s="18">
        <f>q_3_5</f>
        <v>0.36</v>
      </c>
      <c r="J226" s="18">
        <f>F226*I226</f>
        <v>0.09</v>
      </c>
      <c r="K226" s="12" t="inlineStr">
        <is>
          <t>NON</t>
        </is>
      </c>
    </row>
    <row r="227">
      <c r="A227" s="12" t="inlineStr">
        <is>
          <t>Art. 3.5</t>
        </is>
      </c>
      <c r="B227" s="10" t="inlineStr">
        <is>
          <t>Matériel</t>
        </is>
      </c>
      <c r="C227" s="10" t="inlineStr">
        <is>
          <t>Vibreur (location)</t>
        </is>
      </c>
      <c r="D227" s="10" t="inlineStr">
        <is>
          <t>mt_vib</t>
        </is>
      </c>
      <c r="E227" s="12" t="inlineStr">
        <is>
          <t>j</t>
        </is>
      </c>
      <c r="F227" s="31">
        <f>1/4</f>
        <v>0.25</v>
      </c>
      <c r="G227" s="32">
        <f>px_mt_vib</f>
        <v>15000.0</v>
      </c>
      <c r="H227" s="32">
        <f>F227*G227</f>
        <v>3750.0</v>
      </c>
      <c r="I227" s="18">
        <f>q_3_5</f>
        <v>0.36</v>
      </c>
      <c r="J227" s="18">
        <f>F227*I227</f>
        <v>0.09</v>
      </c>
      <c r="K227" s="12" t="inlineStr">
        <is>
          <t>NON</t>
        </is>
      </c>
    </row>
    <row r="228">
      <c r="A228" s="12" t="inlineStr">
        <is>
          <t>Art. 3.5</t>
        </is>
      </c>
      <c r="B228" s="10" t="inlineStr">
        <is>
          <t>Matériel</t>
        </is>
      </c>
      <c r="C228" s="10" t="inlineStr">
        <is>
          <t>Petit outillage (% de la main-d'œuvre)</t>
        </is>
      </c>
      <c r="D228" s="10" t="n"/>
      <c r="E228" s="12" t="inlineStr">
        <is>
          <t>%</t>
        </is>
      </c>
      <c r="F228" s="33">
        <f>p_PO</f>
        <v>0.03</v>
      </c>
      <c r="G228" s="32">
        <f>SUMIFS(H220:H227,B220:B227,"Main-d'œuvre")</f>
        <v>10000.0</v>
      </c>
      <c r="H228" s="32">
        <f>F228*G228</f>
        <v>300.0</v>
      </c>
      <c r="I228" s="10" t="n"/>
      <c r="J228" s="10" t="n"/>
      <c r="K228" s="10" t="n"/>
    </row>
    <row r="229">
      <c r="A229" s="34" t="n"/>
      <c r="B229" s="34" t="n"/>
      <c r="C229" s="35" t="inlineStr">
        <is>
          <t>DÉBOURSÉ SEC UNITAIRE / m³</t>
        </is>
      </c>
      <c r="D229" s="34" t="n"/>
      <c r="E229" s="34" t="n"/>
      <c r="F229" s="34" t="n"/>
      <c r="G229" s="34" t="n"/>
      <c r="H229" s="36">
        <f>SUM(H220:H228)</f>
        <v>87750.0</v>
      </c>
      <c r="I229" s="34" t="n"/>
      <c r="J229" s="34" t="n"/>
      <c r="K229" s="34" t="n"/>
    </row>
    <row r="231">
      <c r="A231" s="8" t="n"/>
      <c r="B231" s="8" t="inlineStr">
        <is>
          <t>Article 3.6 - Béton armé dosé à 350 kg/m³ pour chaînages rampants 15 x 15 (pente 20 %) (unité : m³)</t>
        </is>
      </c>
      <c r="C231" s="29" t="n"/>
      <c r="D231" s="29" t="n"/>
      <c r="E231" s="29" t="n"/>
      <c r="F231" s="29" t="n"/>
      <c r="G231" s="29" t="n"/>
      <c r="H231" s="29" t="n"/>
      <c r="I231" s="29" t="n"/>
      <c r="J231" s="29" t="n"/>
      <c r="K231" s="30" t="n"/>
    </row>
    <row r="232">
      <c r="A232" s="12" t="inlineStr">
        <is>
          <t>Art. 3.6</t>
        </is>
      </c>
      <c r="B232" s="10" t="inlineStr">
        <is>
          <t>Matériaux</t>
        </is>
      </c>
      <c r="C232" s="10" t="inlineStr">
        <is>
          <t>Ciment CPJ 42,5 (sac 50 kg)</t>
        </is>
      </c>
      <c r="D232" s="10" t="inlineStr">
        <is>
          <t>ciment</t>
        </is>
      </c>
      <c r="E232" s="12" t="inlineStr">
        <is>
          <t>sac</t>
        </is>
      </c>
      <c r="F232" s="31">
        <f>350/50</f>
        <v>7.0</v>
      </c>
      <c r="G232" s="32">
        <f>px_ciment</f>
        <v>5800.0</v>
      </c>
      <c r="H232" s="32">
        <f>F232*G232</f>
        <v>40600.0</v>
      </c>
      <c r="I232" s="18">
        <f>q_3_6</f>
        <v>0.44091175622335055</v>
      </c>
      <c r="J232" s="18">
        <f>F232*I232</f>
        <v>3.086382293563454</v>
      </c>
      <c r="K232" s="12" t="inlineStr">
        <is>
          <t>NON</t>
        </is>
      </c>
    </row>
    <row r="233">
      <c r="A233" s="12" t="inlineStr">
        <is>
          <t>Art. 3.6</t>
        </is>
      </c>
      <c r="B233" s="10" t="inlineStr">
        <is>
          <t>Matériaux</t>
        </is>
      </c>
      <c r="C233" s="10" t="inlineStr">
        <is>
          <t>Sable lavé</t>
        </is>
      </c>
      <c r="D233" s="10" t="inlineStr">
        <is>
          <t>sable</t>
        </is>
      </c>
      <c r="E233" s="12" t="inlineStr">
        <is>
          <t>m³</t>
        </is>
      </c>
      <c r="F233" s="31">
        <f>0.45</f>
        <v>0.45</v>
      </c>
      <c r="G233" s="32">
        <f>px_sable</f>
        <v>12000.0</v>
      </c>
      <c r="H233" s="32">
        <f>F233*G233</f>
        <v>5400.0</v>
      </c>
      <c r="I233" s="18">
        <f>q_3_6</f>
        <v>0.44091175622335055</v>
      </c>
      <c r="J233" s="18">
        <f>F233*I233</f>
        <v>0.19841029030050775</v>
      </c>
      <c r="K233" s="12" t="inlineStr">
        <is>
          <t>NON</t>
        </is>
      </c>
    </row>
    <row r="234">
      <c r="A234" s="12" t="inlineStr">
        <is>
          <t>Art. 3.6</t>
        </is>
      </c>
      <c r="B234" s="10" t="inlineStr">
        <is>
          <t>Matériaux</t>
        </is>
      </c>
      <c r="C234" s="10" t="inlineStr">
        <is>
          <t>Gravier concassé 5/15 - 15/25</t>
        </is>
      </c>
      <c r="D234" s="10" t="inlineStr">
        <is>
          <t>gravier</t>
        </is>
      </c>
      <c r="E234" s="12" t="inlineStr">
        <is>
          <t>m³</t>
        </is>
      </c>
      <c r="F234" s="31">
        <f>0.85</f>
        <v>0.85</v>
      </c>
      <c r="G234" s="32">
        <f>px_gravier</f>
        <v>25000.0</v>
      </c>
      <c r="H234" s="32">
        <f>F234*G234</f>
        <v>21250.0</v>
      </c>
      <c r="I234" s="18">
        <f>q_3_6</f>
        <v>0.44091175622335055</v>
      </c>
      <c r="J234" s="18">
        <f>F234*I234</f>
        <v>0.37477499278984794</v>
      </c>
      <c r="K234" s="12" t="inlineStr">
        <is>
          <t>NON</t>
        </is>
      </c>
    </row>
    <row r="235">
      <c r="A235" s="12" t="inlineStr">
        <is>
          <t>Art. 3.6</t>
        </is>
      </c>
      <c r="B235" s="10" t="inlineStr">
        <is>
          <t>Matériaux</t>
        </is>
      </c>
      <c r="C235" s="10" t="inlineStr">
        <is>
          <t>Eau</t>
        </is>
      </c>
      <c r="D235" s="10" t="inlineStr">
        <is>
          <t>eau</t>
        </is>
      </c>
      <c r="E235" s="12" t="inlineStr">
        <is>
          <t>m³</t>
        </is>
      </c>
      <c r="F235" s="31">
        <f>0.20</f>
        <v>0.2</v>
      </c>
      <c r="G235" s="32">
        <f>px_eau</f>
        <v>1000.0</v>
      </c>
      <c r="H235" s="32">
        <f>F235*G235</f>
        <v>200.0</v>
      </c>
      <c r="I235" s="18">
        <f>q_3_6</f>
        <v>0.44091175622335055</v>
      </c>
      <c r="J235" s="18">
        <f>F235*I235</f>
        <v>0.08818235124467011</v>
      </c>
      <c r="K235" s="12" t="inlineStr">
        <is>
          <t>NON</t>
        </is>
      </c>
    </row>
    <row r="236">
      <c r="A236" s="12" t="inlineStr">
        <is>
          <t>Art. 3.6</t>
        </is>
      </c>
      <c r="B236" s="10" t="inlineStr">
        <is>
          <t>Main-d'œuvre</t>
        </is>
      </c>
      <c r="C236" s="10" t="inlineStr">
        <is>
          <t>Maçon (équipe 1 maçon + 6 manœuvres : 4 m³/j)</t>
        </is>
      </c>
      <c r="D236" s="10" t="inlineStr">
        <is>
          <t>mo_macon</t>
        </is>
      </c>
      <c r="E236" s="12" t="inlineStr">
        <is>
          <t>h.j</t>
        </is>
      </c>
      <c r="F236" s="31">
        <f>1/4</f>
        <v>0.25</v>
      </c>
      <c r="G236" s="32">
        <f>px_mo_macon</f>
        <v>10000.0</v>
      </c>
      <c r="H236" s="32">
        <f>F236*G236</f>
        <v>2500.0</v>
      </c>
      <c r="I236" s="18">
        <f>q_3_6</f>
        <v>0.44091175622335055</v>
      </c>
      <c r="J236" s="18">
        <f>F236*I236</f>
        <v>0.11022793905583764</v>
      </c>
      <c r="K236" s="12" t="inlineStr">
        <is>
          <t>NON</t>
        </is>
      </c>
    </row>
    <row r="237">
      <c r="A237" s="12" t="inlineStr">
        <is>
          <t>Art. 3.6</t>
        </is>
      </c>
      <c r="B237" s="10" t="inlineStr">
        <is>
          <t>Main-d'œuvre</t>
        </is>
      </c>
      <c r="C237" s="10" t="inlineStr">
        <is>
          <t>Manœuvres (6 par équipe)</t>
        </is>
      </c>
      <c r="D237" s="10" t="inlineStr">
        <is>
          <t>mo_man</t>
        </is>
      </c>
      <c r="E237" s="12" t="inlineStr">
        <is>
          <t>h.j</t>
        </is>
      </c>
      <c r="F237" s="31">
        <f>6/4</f>
        <v>1.5</v>
      </c>
      <c r="G237" s="32">
        <f>px_mo_man</f>
        <v>5000.0</v>
      </c>
      <c r="H237" s="32">
        <f>F237*G237</f>
        <v>7500.0</v>
      </c>
      <c r="I237" s="18">
        <f>q_3_6</f>
        <v>0.44091175622335055</v>
      </c>
      <c r="J237" s="18">
        <f>F237*I237</f>
        <v>0.6613676343350259</v>
      </c>
      <c r="K237" s="12" t="inlineStr">
        <is>
          <t>NON</t>
        </is>
      </c>
    </row>
    <row r="238">
      <c r="A238" s="12" t="inlineStr">
        <is>
          <t>Art. 3.6</t>
        </is>
      </c>
      <c r="B238" s="10" t="inlineStr">
        <is>
          <t>Matériel</t>
        </is>
      </c>
      <c r="C238" s="10" t="inlineStr">
        <is>
          <t>Bétonnière 350 L (location)</t>
        </is>
      </c>
      <c r="D238" s="10" t="inlineStr">
        <is>
          <t>mt_bet</t>
        </is>
      </c>
      <c r="E238" s="12" t="inlineStr">
        <is>
          <t>j</t>
        </is>
      </c>
      <c r="F238" s="31">
        <f>1/4</f>
        <v>0.25</v>
      </c>
      <c r="G238" s="32">
        <f>px_mt_bet</f>
        <v>25000.0</v>
      </c>
      <c r="H238" s="32">
        <f>F238*G238</f>
        <v>6250.0</v>
      </c>
      <c r="I238" s="18">
        <f>q_3_6</f>
        <v>0.44091175622335055</v>
      </c>
      <c r="J238" s="18">
        <f>F238*I238</f>
        <v>0.11022793905583764</v>
      </c>
      <c r="K238" s="12" t="inlineStr">
        <is>
          <t>NON</t>
        </is>
      </c>
    </row>
    <row r="239">
      <c r="A239" s="12" t="inlineStr">
        <is>
          <t>Art. 3.6</t>
        </is>
      </c>
      <c r="B239" s="10" t="inlineStr">
        <is>
          <t>Matériel</t>
        </is>
      </c>
      <c r="C239" s="10" t="inlineStr">
        <is>
          <t>Vibreur (location)</t>
        </is>
      </c>
      <c r="D239" s="10" t="inlineStr">
        <is>
          <t>mt_vib</t>
        </is>
      </c>
      <c r="E239" s="12" t="inlineStr">
        <is>
          <t>j</t>
        </is>
      </c>
      <c r="F239" s="31">
        <f>1/4</f>
        <v>0.25</v>
      </c>
      <c r="G239" s="32">
        <f>px_mt_vib</f>
        <v>15000.0</v>
      </c>
      <c r="H239" s="32">
        <f>F239*G239</f>
        <v>3750.0</v>
      </c>
      <c r="I239" s="18">
        <f>q_3_6</f>
        <v>0.44091175622335055</v>
      </c>
      <c r="J239" s="18">
        <f>F239*I239</f>
        <v>0.11022793905583764</v>
      </c>
      <c r="K239" s="12" t="inlineStr">
        <is>
          <t>NON</t>
        </is>
      </c>
    </row>
    <row r="240">
      <c r="A240" s="12" t="inlineStr">
        <is>
          <t>Art. 3.6</t>
        </is>
      </c>
      <c r="B240" s="10" t="inlineStr">
        <is>
          <t>Matériel</t>
        </is>
      </c>
      <c r="C240" s="10" t="inlineStr">
        <is>
          <t>Petit outillage (% de la main-d'œuvre)</t>
        </is>
      </c>
      <c r="D240" s="10" t="n"/>
      <c r="E240" s="12" t="inlineStr">
        <is>
          <t>%</t>
        </is>
      </c>
      <c r="F240" s="33">
        <f>p_PO</f>
        <v>0.03</v>
      </c>
      <c r="G240" s="32">
        <f>SUMIFS(H232:H239,B232:B239,"Main-d'œuvre")</f>
        <v>10000.0</v>
      </c>
      <c r="H240" s="32">
        <f>F240*G240</f>
        <v>300.0</v>
      </c>
      <c r="I240" s="10" t="n"/>
      <c r="J240" s="10" t="n"/>
      <c r="K240" s="10" t="n"/>
    </row>
    <row r="241">
      <c r="A241" s="34" t="n"/>
      <c r="B241" s="34" t="n"/>
      <c r="C241" s="35" t="inlineStr">
        <is>
          <t>DÉBOURSÉ SEC UNITAIRE / m³</t>
        </is>
      </c>
      <c r="D241" s="34" t="n"/>
      <c r="E241" s="34" t="n"/>
      <c r="F241" s="34" t="n"/>
      <c r="G241" s="34" t="n"/>
      <c r="H241" s="36">
        <f>SUM(H232:H240)</f>
        <v>87750.0</v>
      </c>
      <c r="I241" s="34" t="n"/>
      <c r="J241" s="34" t="n"/>
      <c r="K241" s="34" t="n"/>
    </row>
    <row r="243">
      <c r="A243" s="8" t="n"/>
      <c r="B243" s="8" t="inlineStr">
        <is>
          <t>Article 3.7 - Coffrage en bois ordinaire (poteaux, chaînages, linteau, rampants) (unité : m²)</t>
        </is>
      </c>
      <c r="C243" s="29" t="n"/>
      <c r="D243" s="29" t="n"/>
      <c r="E243" s="29" t="n"/>
      <c r="F243" s="29" t="n"/>
      <c r="G243" s="29" t="n"/>
      <c r="H243" s="29" t="n"/>
      <c r="I243" s="29" t="n"/>
      <c r="J243" s="29" t="n"/>
      <c r="K243" s="30" t="n"/>
    </row>
    <row r="244">
      <c r="A244" s="12" t="inlineStr">
        <is>
          <t>Art. 3.7</t>
        </is>
      </c>
      <c r="B244" s="10" t="inlineStr">
        <is>
          <t>Matériaux</t>
        </is>
      </c>
      <c r="C244" s="10" t="inlineStr">
        <is>
          <t>Bois de coffrage (amorti 3 emplois)</t>
        </is>
      </c>
      <c r="D244" s="10" t="inlineStr">
        <is>
          <t>bois</t>
        </is>
      </c>
      <c r="E244" s="12" t="inlineStr">
        <is>
          <t>m²</t>
        </is>
      </c>
      <c r="F244" s="31">
        <f>1</f>
        <v>1.0</v>
      </c>
      <c r="G244" s="32">
        <f>px_bois</f>
        <v>1800.0</v>
      </c>
      <c r="H244" s="32">
        <f>F244*G244</f>
        <v>1800.0</v>
      </c>
      <c r="I244" s="18">
        <f>q_3_7</f>
        <v>173.30782341631132</v>
      </c>
      <c r="J244" s="18">
        <f>F244*I244</f>
        <v>173.30782341631132</v>
      </c>
      <c r="K244" s="12" t="inlineStr">
        <is>
          <t>NON</t>
        </is>
      </c>
    </row>
    <row r="245">
      <c r="A245" s="12" t="inlineStr">
        <is>
          <t>Art. 3.7</t>
        </is>
      </c>
      <c r="B245" s="10" t="inlineStr">
        <is>
          <t>Matériaux</t>
        </is>
      </c>
      <c r="C245" s="10" t="inlineStr">
        <is>
          <t>Pointes</t>
        </is>
      </c>
      <c r="D245" s="10" t="inlineStr">
        <is>
          <t>pointes</t>
        </is>
      </c>
      <c r="E245" s="12" t="inlineStr">
        <is>
          <t>kg</t>
        </is>
      </c>
      <c r="F245" s="31">
        <f>0.15</f>
        <v>0.15</v>
      </c>
      <c r="G245" s="32">
        <f>px_pointes</f>
        <v>1500.0</v>
      </c>
      <c r="H245" s="32">
        <f>F245*G245</f>
        <v>225.0</v>
      </c>
      <c r="I245" s="18">
        <f>q_3_7</f>
        <v>173.30782341631132</v>
      </c>
      <c r="J245" s="18">
        <f>F245*I245</f>
        <v>25.9961735124467</v>
      </c>
      <c r="K245" s="12" t="inlineStr">
        <is>
          <t>NON</t>
        </is>
      </c>
    </row>
    <row r="246">
      <c r="A246" s="12" t="inlineStr">
        <is>
          <t>Art. 3.7</t>
        </is>
      </c>
      <c r="B246" s="10" t="inlineStr">
        <is>
          <t>Matériaux</t>
        </is>
      </c>
      <c r="C246" s="10" t="inlineStr">
        <is>
          <t>Huile de décoffrage</t>
        </is>
      </c>
      <c r="D246" s="10" t="inlineStr">
        <is>
          <t>huile</t>
        </is>
      </c>
      <c r="E246" s="12" t="inlineStr">
        <is>
          <t>L</t>
        </is>
      </c>
      <c r="F246" s="31">
        <f>0.10</f>
        <v>0.1</v>
      </c>
      <c r="G246" s="32">
        <f>px_huile</f>
        <v>1000.0</v>
      </c>
      <c r="H246" s="32">
        <f>F246*G246</f>
        <v>100.0</v>
      </c>
      <c r="I246" s="18">
        <f>q_3_7</f>
        <v>173.30782341631132</v>
      </c>
      <c r="J246" s="18">
        <f>F246*I246</f>
        <v>17.33078234163113</v>
      </c>
      <c r="K246" s="12" t="inlineStr">
        <is>
          <t>NON</t>
        </is>
      </c>
    </row>
    <row r="247">
      <c r="A247" s="12" t="inlineStr">
        <is>
          <t>Art. 3.7</t>
        </is>
      </c>
      <c r="B247" s="10" t="inlineStr">
        <is>
          <t>Main-d'œuvre</t>
        </is>
      </c>
      <c r="C247" s="10" t="inlineStr">
        <is>
          <t>Coffreur (8 m²/j)</t>
        </is>
      </c>
      <c r="D247" s="10" t="inlineStr">
        <is>
          <t>mo_coff</t>
        </is>
      </c>
      <c r="E247" s="12" t="inlineStr">
        <is>
          <t>h.j</t>
        </is>
      </c>
      <c r="F247" s="31">
        <f>1/8</f>
        <v>0.125</v>
      </c>
      <c r="G247" s="32">
        <f>px_mo_coff</f>
        <v>10000.0</v>
      </c>
      <c r="H247" s="32">
        <f>F247*G247</f>
        <v>1250.0</v>
      </c>
      <c r="I247" s="18">
        <f>q_3_7</f>
        <v>173.30782341631132</v>
      </c>
      <c r="J247" s="18">
        <f>F247*I247</f>
        <v>21.663477927038915</v>
      </c>
      <c r="K247" s="12" t="inlineStr">
        <is>
          <t>NON</t>
        </is>
      </c>
    </row>
    <row r="248">
      <c r="A248" s="12" t="inlineStr">
        <is>
          <t>Art. 3.7</t>
        </is>
      </c>
      <c r="B248" s="10" t="inlineStr">
        <is>
          <t>Main-d'œuvre</t>
        </is>
      </c>
      <c r="C248" s="10" t="inlineStr">
        <is>
          <t>Manœuvre (8 m²/j)</t>
        </is>
      </c>
      <c r="D248" s="10" t="inlineStr">
        <is>
          <t>mo_man</t>
        </is>
      </c>
      <c r="E248" s="12" t="inlineStr">
        <is>
          <t>h.j</t>
        </is>
      </c>
      <c r="F248" s="31">
        <f>1/8</f>
        <v>0.125</v>
      </c>
      <c r="G248" s="32">
        <f>px_mo_man</f>
        <v>5000.0</v>
      </c>
      <c r="H248" s="32">
        <f>F248*G248</f>
        <v>625.0</v>
      </c>
      <c r="I248" s="18">
        <f>q_3_7</f>
        <v>173.30782341631132</v>
      </c>
      <c r="J248" s="18">
        <f>F248*I248</f>
        <v>21.663477927038915</v>
      </c>
      <c r="K248" s="12" t="inlineStr">
        <is>
          <t>NON</t>
        </is>
      </c>
    </row>
    <row r="249">
      <c r="A249" s="12" t="inlineStr">
        <is>
          <t>Art. 3.7</t>
        </is>
      </c>
      <c r="B249" s="10" t="inlineStr">
        <is>
          <t>Matériel</t>
        </is>
      </c>
      <c r="C249" s="10" t="inlineStr">
        <is>
          <t>Petit outillage (% de la main-d'œuvre)</t>
        </is>
      </c>
      <c r="D249" s="10" t="n"/>
      <c r="E249" s="12" t="inlineStr">
        <is>
          <t>%</t>
        </is>
      </c>
      <c r="F249" s="33">
        <f>p_PO</f>
        <v>0.03</v>
      </c>
      <c r="G249" s="32">
        <f>SUMIFS(H244:H248,B244:B248,"Main-d'œuvre")</f>
        <v>1875.0</v>
      </c>
      <c r="H249" s="32">
        <f>F249*G249</f>
        <v>56.25</v>
      </c>
      <c r="I249" s="10" t="n"/>
      <c r="J249" s="10" t="n"/>
      <c r="K249" s="10" t="n"/>
    </row>
    <row r="250">
      <c r="A250" s="34" t="n"/>
      <c r="B250" s="34" t="n"/>
      <c r="C250" s="35" t="inlineStr">
        <is>
          <t>DÉBOURSÉ SEC UNITAIRE / m²</t>
        </is>
      </c>
      <c r="D250" s="34" t="n"/>
      <c r="E250" s="34" t="n"/>
      <c r="F250" s="34" t="n"/>
      <c r="G250" s="34" t="n"/>
      <c r="H250" s="36">
        <f>SUM(H244:H249)</f>
        <v>4056.25</v>
      </c>
      <c r="I250" s="34" t="n"/>
      <c r="J250" s="34" t="n"/>
      <c r="K250" s="34" t="n"/>
    </row>
    <row r="252">
      <c r="A252" s="8" t="n"/>
      <c r="B252" s="8" t="inlineStr">
        <is>
          <t>Article 3.8 - Armatures HA10 FeE500 - élévation (unité : kg)</t>
        </is>
      </c>
      <c r="C252" s="29" t="n"/>
      <c r="D252" s="29" t="n"/>
      <c r="E252" s="29" t="n"/>
      <c r="F252" s="29" t="n"/>
      <c r="G252" s="29" t="n"/>
      <c r="H252" s="29" t="n"/>
      <c r="I252" s="29" t="n"/>
      <c r="J252" s="29" t="n"/>
      <c r="K252" s="30" t="n"/>
    </row>
    <row r="253">
      <c r="A253" s="12" t="inlineStr">
        <is>
          <t>Art. 3.8</t>
        </is>
      </c>
      <c r="B253" s="10" t="inlineStr">
        <is>
          <t>Matériaux</t>
        </is>
      </c>
      <c r="C253" s="10" t="inlineStr">
        <is>
          <t>Acier HA10 FeE500 (barre 12 m = 7,40 kg à 6 000)</t>
        </is>
      </c>
      <c r="D253" s="10" t="inlineStr">
        <is>
          <t>ha10</t>
        </is>
      </c>
      <c r="E253" s="12" t="inlineStr">
        <is>
          <t>kg</t>
        </is>
      </c>
      <c r="F253" s="31">
        <f>1</f>
        <v>1.0</v>
      </c>
      <c r="G253" s="32">
        <f>px_ha10</f>
        <v>810.0</v>
      </c>
      <c r="H253" s="32">
        <f>F253*G253</f>
        <v>810.0</v>
      </c>
      <c r="I253" s="18">
        <f>q_3_8</f>
        <v>1202.7612163371073</v>
      </c>
      <c r="J253" s="18">
        <f>F253*I253</f>
        <v>1202.7612163371073</v>
      </c>
      <c r="K253" s="12" t="inlineStr">
        <is>
          <t>NON</t>
        </is>
      </c>
    </row>
    <row r="254">
      <c r="A254" s="12" t="inlineStr">
        <is>
          <t>Art. 3.8</t>
        </is>
      </c>
      <c r="B254" s="10" t="inlineStr">
        <is>
          <t>Matériaux</t>
        </is>
      </c>
      <c r="C254" s="10" t="inlineStr">
        <is>
          <t>Fil recuit</t>
        </is>
      </c>
      <c r="D254" s="10" t="inlineStr">
        <is>
          <t>fil</t>
        </is>
      </c>
      <c r="E254" s="12" t="inlineStr">
        <is>
          <t>kg</t>
        </is>
      </c>
      <c r="F254" s="31">
        <f>0.015</f>
        <v>0.015</v>
      </c>
      <c r="G254" s="32">
        <f>px_fil</f>
        <v>1500.0</v>
      </c>
      <c r="H254" s="32">
        <f>F254*G254</f>
        <v>22.5</v>
      </c>
      <c r="I254" s="18">
        <f>q_3_8</f>
        <v>1202.7612163371073</v>
      </c>
      <c r="J254" s="18">
        <f>F254*I254</f>
        <v>18.041418245056608</v>
      </c>
      <c r="K254" s="12" t="inlineStr">
        <is>
          <t>NON</t>
        </is>
      </c>
    </row>
    <row r="255">
      <c r="A255" s="12" t="inlineStr">
        <is>
          <t>Art. 3.8</t>
        </is>
      </c>
      <c r="B255" s="10" t="inlineStr">
        <is>
          <t>Main-d'œuvre</t>
        </is>
      </c>
      <c r="C255" s="10" t="inlineStr">
        <is>
          <t>Ferrailleur (150 kg/j)</t>
        </is>
      </c>
      <c r="D255" s="10" t="inlineStr">
        <is>
          <t>mo_ferr</t>
        </is>
      </c>
      <c r="E255" s="12" t="inlineStr">
        <is>
          <t>h.j</t>
        </is>
      </c>
      <c r="F255" s="31">
        <f>1/150</f>
        <v>0.006666666666666667</v>
      </c>
      <c r="G255" s="32">
        <f>px_mo_ferr</f>
        <v>10000.0</v>
      </c>
      <c r="H255" s="32">
        <f>F255*G255</f>
        <v>66.66666666666667</v>
      </c>
      <c r="I255" s="18">
        <f>q_3_8</f>
        <v>1202.7612163371073</v>
      </c>
      <c r="J255" s="18">
        <f>F255*I255</f>
        <v>8.018408108914048</v>
      </c>
      <c r="K255" s="12" t="inlineStr">
        <is>
          <t>NON</t>
        </is>
      </c>
    </row>
    <row r="256">
      <c r="A256" s="12" t="inlineStr">
        <is>
          <t>Art. 3.8</t>
        </is>
      </c>
      <c r="B256" s="10" t="inlineStr">
        <is>
          <t>Main-d'œuvre</t>
        </is>
      </c>
      <c r="C256" s="10" t="inlineStr">
        <is>
          <t>Manœuvre (150 kg/j)</t>
        </is>
      </c>
      <c r="D256" s="10" t="inlineStr">
        <is>
          <t>mo_man</t>
        </is>
      </c>
      <c r="E256" s="12" t="inlineStr">
        <is>
          <t>h.j</t>
        </is>
      </c>
      <c r="F256" s="31">
        <f>1/150</f>
        <v>0.006666666666666667</v>
      </c>
      <c r="G256" s="32">
        <f>px_mo_man</f>
        <v>5000.0</v>
      </c>
      <c r="H256" s="32">
        <f>F256*G256</f>
        <v>33.333333333333336</v>
      </c>
      <c r="I256" s="18">
        <f>q_3_8</f>
        <v>1202.7612163371073</v>
      </c>
      <c r="J256" s="18">
        <f>F256*I256</f>
        <v>8.018408108914048</v>
      </c>
      <c r="K256" s="12" t="inlineStr">
        <is>
          <t>NON</t>
        </is>
      </c>
    </row>
    <row r="257">
      <c r="A257" s="12" t="inlineStr">
        <is>
          <t>Art. 3.8</t>
        </is>
      </c>
      <c r="B257" s="10" t="inlineStr">
        <is>
          <t>Matériel</t>
        </is>
      </c>
      <c r="C257" s="10" t="inlineStr">
        <is>
          <t>Petit outillage (% de la main-d'œuvre)</t>
        </is>
      </c>
      <c r="D257" s="10" t="n"/>
      <c r="E257" s="12" t="inlineStr">
        <is>
          <t>%</t>
        </is>
      </c>
      <c r="F257" s="33">
        <f>p_PO</f>
        <v>0.03</v>
      </c>
      <c r="G257" s="32">
        <f>SUMIFS(H253:H256,B253:B256,"Main-d'œuvre")</f>
        <v>100.0</v>
      </c>
      <c r="H257" s="32">
        <f>F257*G257</f>
        <v>3.0</v>
      </c>
      <c r="I257" s="10" t="n"/>
      <c r="J257" s="10" t="n"/>
      <c r="K257" s="10" t="n"/>
    </row>
    <row r="258">
      <c r="A258" s="34" t="n"/>
      <c r="B258" s="34" t="n"/>
      <c r="C258" s="35" t="inlineStr">
        <is>
          <t>DÉBOURSÉ SEC UNITAIRE / kg</t>
        </is>
      </c>
      <c r="D258" s="34" t="n"/>
      <c r="E258" s="34" t="n"/>
      <c r="F258" s="34" t="n"/>
      <c r="G258" s="34" t="n"/>
      <c r="H258" s="36">
        <f>SUM(H253:H257)</f>
        <v>935.5</v>
      </c>
      <c r="I258" s="34" t="n"/>
      <c r="J258" s="34" t="n"/>
      <c r="K258" s="34" t="n"/>
    </row>
    <row r="260">
      <c r="A260" s="8" t="n"/>
      <c r="B260" s="8" t="inlineStr">
        <is>
          <t>Article 3.9 - Armatures HA6 FeE500 - élévation (unité : kg)</t>
        </is>
      </c>
      <c r="C260" s="29" t="n"/>
      <c r="D260" s="29" t="n"/>
      <c r="E260" s="29" t="n"/>
      <c r="F260" s="29" t="n"/>
      <c r="G260" s="29" t="n"/>
      <c r="H260" s="29" t="n"/>
      <c r="I260" s="29" t="n"/>
      <c r="J260" s="29" t="n"/>
      <c r="K260" s="30" t="n"/>
    </row>
    <row r="261">
      <c r="A261" s="12" t="inlineStr">
        <is>
          <t>Art. 3.9</t>
        </is>
      </c>
      <c r="B261" s="10" t="inlineStr">
        <is>
          <t>Matériaux</t>
        </is>
      </c>
      <c r="C261" s="10" t="inlineStr">
        <is>
          <t>Acier HA6 FeE500 (barre 12 m = 2,66 kg à 2 300)</t>
        </is>
      </c>
      <c r="D261" s="10" t="inlineStr">
        <is>
          <t>ha6</t>
        </is>
      </c>
      <c r="E261" s="12" t="inlineStr">
        <is>
          <t>kg</t>
        </is>
      </c>
      <c r="F261" s="31">
        <f>1</f>
        <v>1.0</v>
      </c>
      <c r="G261" s="32">
        <f>px_ha6</f>
        <v>865.0</v>
      </c>
      <c r="H261" s="32">
        <f>F261*G261</f>
        <v>865.0</v>
      </c>
      <c r="I261" s="18">
        <f>q_3_9</f>
        <v>316.5475144861848</v>
      </c>
      <c r="J261" s="18">
        <f>F261*I261</f>
        <v>316.5475144861848</v>
      </c>
      <c r="K261" s="12" t="inlineStr">
        <is>
          <t>NON</t>
        </is>
      </c>
    </row>
    <row r="262">
      <c r="A262" s="12" t="inlineStr">
        <is>
          <t>Art. 3.9</t>
        </is>
      </c>
      <c r="B262" s="10" t="inlineStr">
        <is>
          <t>Matériaux</t>
        </is>
      </c>
      <c r="C262" s="10" t="inlineStr">
        <is>
          <t>Fil recuit</t>
        </is>
      </c>
      <c r="D262" s="10" t="inlineStr">
        <is>
          <t>fil</t>
        </is>
      </c>
      <c r="E262" s="12" t="inlineStr">
        <is>
          <t>kg</t>
        </is>
      </c>
      <c r="F262" s="31">
        <f>0.015</f>
        <v>0.015</v>
      </c>
      <c r="G262" s="32">
        <f>px_fil</f>
        <v>1500.0</v>
      </c>
      <c r="H262" s="32">
        <f>F262*G262</f>
        <v>22.5</v>
      </c>
      <c r="I262" s="18">
        <f>q_3_9</f>
        <v>316.5475144861848</v>
      </c>
      <c r="J262" s="18">
        <f>F262*I262</f>
        <v>4.748212717292772</v>
      </c>
      <c r="K262" s="12" t="inlineStr">
        <is>
          <t>NON</t>
        </is>
      </c>
    </row>
    <row r="263">
      <c r="A263" s="12" t="inlineStr">
        <is>
          <t>Art. 3.9</t>
        </is>
      </c>
      <c r="B263" s="10" t="inlineStr">
        <is>
          <t>Main-d'œuvre</t>
        </is>
      </c>
      <c r="C263" s="10" t="inlineStr">
        <is>
          <t>Ferrailleur (150 kg/j)</t>
        </is>
      </c>
      <c r="D263" s="10" t="inlineStr">
        <is>
          <t>mo_ferr</t>
        </is>
      </c>
      <c r="E263" s="12" t="inlineStr">
        <is>
          <t>h.j</t>
        </is>
      </c>
      <c r="F263" s="31">
        <f>1/150</f>
        <v>0.006666666666666667</v>
      </c>
      <c r="G263" s="32">
        <f>px_mo_ferr</f>
        <v>10000.0</v>
      </c>
      <c r="H263" s="32">
        <f>F263*G263</f>
        <v>66.66666666666667</v>
      </c>
      <c r="I263" s="18">
        <f>q_3_9</f>
        <v>316.5475144861848</v>
      </c>
      <c r="J263" s="18">
        <f>F263*I263</f>
        <v>2.110316763241232</v>
      </c>
      <c r="K263" s="12" t="inlineStr">
        <is>
          <t>NON</t>
        </is>
      </c>
    </row>
    <row r="264">
      <c r="A264" s="12" t="inlineStr">
        <is>
          <t>Art. 3.9</t>
        </is>
      </c>
      <c r="B264" s="10" t="inlineStr">
        <is>
          <t>Main-d'œuvre</t>
        </is>
      </c>
      <c r="C264" s="10" t="inlineStr">
        <is>
          <t>Manœuvre (150 kg/j)</t>
        </is>
      </c>
      <c r="D264" s="10" t="inlineStr">
        <is>
          <t>mo_man</t>
        </is>
      </c>
      <c r="E264" s="12" t="inlineStr">
        <is>
          <t>h.j</t>
        </is>
      </c>
      <c r="F264" s="31">
        <f>1/150</f>
        <v>0.006666666666666667</v>
      </c>
      <c r="G264" s="32">
        <f>px_mo_man</f>
        <v>5000.0</v>
      </c>
      <c r="H264" s="32">
        <f>F264*G264</f>
        <v>33.333333333333336</v>
      </c>
      <c r="I264" s="18">
        <f>q_3_9</f>
        <v>316.5475144861848</v>
      </c>
      <c r="J264" s="18">
        <f>F264*I264</f>
        <v>2.110316763241232</v>
      </c>
      <c r="K264" s="12" t="inlineStr">
        <is>
          <t>NON</t>
        </is>
      </c>
    </row>
    <row r="265">
      <c r="A265" s="12" t="inlineStr">
        <is>
          <t>Art. 3.9</t>
        </is>
      </c>
      <c r="B265" s="10" t="inlineStr">
        <is>
          <t>Matériel</t>
        </is>
      </c>
      <c r="C265" s="10" t="inlineStr">
        <is>
          <t>Petit outillage (% de la main-d'œuvre)</t>
        </is>
      </c>
      <c r="D265" s="10" t="n"/>
      <c r="E265" s="12" t="inlineStr">
        <is>
          <t>%</t>
        </is>
      </c>
      <c r="F265" s="33">
        <f>p_PO</f>
        <v>0.03</v>
      </c>
      <c r="G265" s="32">
        <f>SUMIFS(H261:H264,B261:B264,"Main-d'œuvre")</f>
        <v>100.0</v>
      </c>
      <c r="H265" s="32">
        <f>F265*G265</f>
        <v>3.0</v>
      </c>
      <c r="I265" s="10" t="n"/>
      <c r="J265" s="10" t="n"/>
      <c r="K265" s="10" t="n"/>
    </row>
    <row r="266">
      <c r="A266" s="34" t="n"/>
      <c r="B266" s="34" t="n"/>
      <c r="C266" s="35" t="inlineStr">
        <is>
          <t>DÉBOURSÉ SEC UNITAIRE / kg</t>
        </is>
      </c>
      <c r="D266" s="34" t="n"/>
      <c r="E266" s="34" t="n"/>
      <c r="F266" s="34" t="n"/>
      <c r="G266" s="34" t="n"/>
      <c r="H266" s="36">
        <f>SUM(H261:H265)</f>
        <v>990.5</v>
      </c>
      <c r="I266" s="34" t="n"/>
      <c r="J266" s="34" t="n"/>
      <c r="K266" s="34" t="n"/>
    </row>
    <row r="268">
      <c r="A268" s="8" t="n"/>
      <c r="B268" s="8" t="inlineStr">
        <is>
          <t>Article 4.1 - Piliers en IPE 220 (S235) de ±0,00 à +6,00, fournis, fabriqués, peints et posés (unité : kg)</t>
        </is>
      </c>
      <c r="C268" s="29" t="n"/>
      <c r="D268" s="29" t="n"/>
      <c r="E268" s="29" t="n"/>
      <c r="F268" s="29" t="n"/>
      <c r="G268" s="29" t="n"/>
      <c r="H268" s="29" t="n"/>
      <c r="I268" s="29" t="n"/>
      <c r="J268" s="29" t="n"/>
      <c r="K268" s="30" t="n"/>
    </row>
    <row r="269">
      <c r="A269" s="12" t="inlineStr">
        <is>
          <t>Art. 4.1</t>
        </is>
      </c>
      <c r="B269" s="10" t="inlineStr">
        <is>
          <t>Matériaux</t>
        </is>
      </c>
      <c r="C269" s="10" t="inlineStr">
        <is>
          <t>Profilé IPE 220 (S235) (5 % de chutes)</t>
        </is>
      </c>
      <c r="D269" s="10" t="inlineStr">
        <is>
          <t>ipe</t>
        </is>
      </c>
      <c r="E269" s="12" t="inlineStr">
        <is>
          <t>kg</t>
        </is>
      </c>
      <c r="F269" s="31">
        <f>1.05</f>
        <v>1.05</v>
      </c>
      <c r="G269" s="32">
        <f>px_ipe</f>
        <v>950.0</v>
      </c>
      <c r="H269" s="32">
        <f>F269*G269</f>
        <v>997.5</v>
      </c>
      <c r="I269" s="18">
        <f>q_4_1</f>
        <v>2698.6</v>
      </c>
      <c r="J269" s="18">
        <f>F269*I269</f>
        <v>2833.53</v>
      </c>
      <c r="K269" s="12" t="inlineStr">
        <is>
          <t>NON</t>
        </is>
      </c>
    </row>
    <row r="270">
      <c r="A270" s="12" t="inlineStr">
        <is>
          <t>Art. 4.1</t>
        </is>
      </c>
      <c r="B270" s="10" t="inlineStr">
        <is>
          <t>Matériaux</t>
        </is>
      </c>
      <c r="C270" s="10" t="inlineStr">
        <is>
          <t>Peinture antirouille + finition (2 couches)</t>
        </is>
      </c>
      <c r="D270" s="10" t="inlineStr">
        <is>
          <t>peint</t>
        </is>
      </c>
      <c r="E270" s="12" t="inlineStr">
        <is>
          <t>kg</t>
        </is>
      </c>
      <c r="F270" s="31">
        <f>1</f>
        <v>1.0</v>
      </c>
      <c r="G270" s="32">
        <f>px_peint</f>
        <v>100.0</v>
      </c>
      <c r="H270" s="32">
        <f>F270*G270</f>
        <v>100.0</v>
      </c>
      <c r="I270" s="18">
        <f>q_4_1</f>
        <v>2698.6</v>
      </c>
      <c r="J270" s="18">
        <f>F270*I270</f>
        <v>2698.6</v>
      </c>
      <c r="K270" s="12" t="inlineStr">
        <is>
          <t>NON</t>
        </is>
      </c>
    </row>
    <row r="271">
      <c r="A271" s="12" t="inlineStr">
        <is>
          <t>Art. 4.1</t>
        </is>
      </c>
      <c r="B271" s="10" t="inlineStr">
        <is>
          <t>Main-d'œuvre</t>
        </is>
      </c>
      <c r="C271" s="10" t="inlineStr">
        <is>
          <t>Soudeur / monteur (100 kg/j)</t>
        </is>
      </c>
      <c r="D271" s="10" t="inlineStr">
        <is>
          <t>mo_soud</t>
        </is>
      </c>
      <c r="E271" s="12" t="inlineStr">
        <is>
          <t>h.j</t>
        </is>
      </c>
      <c r="F271" s="31">
        <f>1/100</f>
        <v>0.01</v>
      </c>
      <c r="G271" s="32">
        <f>px_mo_soud</f>
        <v>15000.0</v>
      </c>
      <c r="H271" s="32">
        <f>F271*G271</f>
        <v>150.0</v>
      </c>
      <c r="I271" s="18">
        <f>q_4_1</f>
        <v>2698.6</v>
      </c>
      <c r="J271" s="18">
        <f>F271*I271</f>
        <v>26.986</v>
      </c>
      <c r="K271" s="12" t="inlineStr">
        <is>
          <t>NON</t>
        </is>
      </c>
    </row>
    <row r="272">
      <c r="A272" s="12" t="inlineStr">
        <is>
          <t>Art. 4.1</t>
        </is>
      </c>
      <c r="B272" s="10" t="inlineStr">
        <is>
          <t>Main-d'œuvre</t>
        </is>
      </c>
      <c r="C272" s="10" t="inlineStr">
        <is>
          <t>Manœuvres (2 / monteur)</t>
        </is>
      </c>
      <c r="D272" s="10" t="inlineStr">
        <is>
          <t>mo_man</t>
        </is>
      </c>
      <c r="E272" s="12" t="inlineStr">
        <is>
          <t>h.j</t>
        </is>
      </c>
      <c r="F272" s="31">
        <f>2/100</f>
        <v>0.02</v>
      </c>
      <c r="G272" s="32">
        <f>px_mo_man</f>
        <v>5000.0</v>
      </c>
      <c r="H272" s="32">
        <f>F272*G272</f>
        <v>100.0</v>
      </c>
      <c r="I272" s="18">
        <f>q_4_1</f>
        <v>2698.6</v>
      </c>
      <c r="J272" s="18">
        <f>F272*I272</f>
        <v>53.972</v>
      </c>
      <c r="K272" s="12" t="inlineStr">
        <is>
          <t>NON</t>
        </is>
      </c>
    </row>
    <row r="273">
      <c r="A273" s="12" t="inlineStr">
        <is>
          <t>Art. 4.1</t>
        </is>
      </c>
      <c r="B273" s="10" t="inlineStr">
        <is>
          <t>Matériel</t>
        </is>
      </c>
      <c r="C273" s="10" t="inlineStr">
        <is>
          <t>Poste à souder, meuleuse, palan / chèvre de levage</t>
        </is>
      </c>
      <c r="D273" s="10" t="inlineStr">
        <is>
          <t>mt_ch</t>
        </is>
      </c>
      <c r="E273" s="12" t="inlineStr">
        <is>
          <t>kg</t>
        </is>
      </c>
      <c r="F273" s="31">
        <f>1</f>
        <v>1.0</v>
      </c>
      <c r="G273" s="32">
        <f>px_mt_ch</f>
        <v>100.0</v>
      </c>
      <c r="H273" s="32">
        <f>F273*G273</f>
        <v>100.0</v>
      </c>
      <c r="I273" s="18">
        <f>q_4_1</f>
        <v>2698.6</v>
      </c>
      <c r="J273" s="18">
        <f>F273*I273</f>
        <v>2698.6</v>
      </c>
      <c r="K273" s="12" t="inlineStr">
        <is>
          <t>NON</t>
        </is>
      </c>
    </row>
    <row r="274">
      <c r="A274" s="12" t="inlineStr">
        <is>
          <t>Art. 4.1</t>
        </is>
      </c>
      <c r="B274" s="10" t="inlineStr">
        <is>
          <t>Matériel</t>
        </is>
      </c>
      <c r="C274" s="10" t="inlineStr">
        <is>
          <t>Petit outillage (% de la main-d'œuvre)</t>
        </is>
      </c>
      <c r="D274" s="10" t="n"/>
      <c r="E274" s="12" t="inlineStr">
        <is>
          <t>%</t>
        </is>
      </c>
      <c r="F274" s="33">
        <f>p_PO</f>
        <v>0.03</v>
      </c>
      <c r="G274" s="32">
        <f>SUMIFS(H269:H273,B269:B273,"Main-d'œuvre")</f>
        <v>250.0</v>
      </c>
      <c r="H274" s="32">
        <f>F274*G274</f>
        <v>7.5</v>
      </c>
      <c r="I274" s="10" t="n"/>
      <c r="J274" s="10" t="n"/>
      <c r="K274" s="10" t="n"/>
    </row>
    <row r="275">
      <c r="A275" s="34" t="n"/>
      <c r="B275" s="34" t="n"/>
      <c r="C275" s="35" t="inlineStr">
        <is>
          <t>DÉBOURSÉ SEC UNITAIRE / kg</t>
        </is>
      </c>
      <c r="D275" s="34" t="n"/>
      <c r="E275" s="34" t="n"/>
      <c r="F275" s="34" t="n"/>
      <c r="G275" s="34" t="n"/>
      <c r="H275" s="36">
        <f>SUM(H269:H274)</f>
        <v>1455.0</v>
      </c>
      <c r="I275" s="34" t="n"/>
      <c r="J275" s="34" t="n"/>
      <c r="K275" s="34" t="n"/>
    </row>
    <row r="277">
      <c r="A277" s="8" t="n"/>
      <c r="B277" s="8" t="inlineStr">
        <is>
          <t>Article 4.2 - Platines de pied et de tête 15 mm + raidisseurs, soudées (unité : kg)</t>
        </is>
      </c>
      <c r="C277" s="29" t="n"/>
      <c r="D277" s="29" t="n"/>
      <c r="E277" s="29" t="n"/>
      <c r="F277" s="29" t="n"/>
      <c r="G277" s="29" t="n"/>
      <c r="H277" s="29" t="n"/>
      <c r="I277" s="29" t="n"/>
      <c r="J277" s="29" t="n"/>
      <c r="K277" s="30" t="n"/>
    </row>
    <row r="278">
      <c r="A278" s="12" t="inlineStr">
        <is>
          <t>Art. 4.2</t>
        </is>
      </c>
      <c r="B278" s="10" t="inlineStr">
        <is>
          <t>Matériaux</t>
        </is>
      </c>
      <c r="C278" s="10" t="inlineStr">
        <is>
          <t>Tôle pour platines et goussets ép. 15 mm (5 % de chutes)</t>
        </is>
      </c>
      <c r="D278" s="10" t="inlineStr">
        <is>
          <t>tole</t>
        </is>
      </c>
      <c r="E278" s="12" t="inlineStr">
        <is>
          <t>kg</t>
        </is>
      </c>
      <c r="F278" s="31">
        <f>1.05</f>
        <v>1.05</v>
      </c>
      <c r="G278" s="32">
        <f>px_tole</f>
        <v>900.0</v>
      </c>
      <c r="H278" s="32">
        <f>F278*G278</f>
        <v>945.0</v>
      </c>
      <c r="I278" s="18">
        <f>q_4_2</f>
        <v>255.0</v>
      </c>
      <c r="J278" s="18">
        <f>F278*I278</f>
        <v>267.75</v>
      </c>
      <c r="K278" s="12" t="inlineStr">
        <is>
          <t>NON</t>
        </is>
      </c>
    </row>
    <row r="279">
      <c r="A279" s="12" t="inlineStr">
        <is>
          <t>Art. 4.2</t>
        </is>
      </c>
      <c r="B279" s="10" t="inlineStr">
        <is>
          <t>Matériaux</t>
        </is>
      </c>
      <c r="C279" s="10" t="inlineStr">
        <is>
          <t>Peinture antirouille + finition (2 couches)</t>
        </is>
      </c>
      <c r="D279" s="10" t="inlineStr">
        <is>
          <t>peint</t>
        </is>
      </c>
      <c r="E279" s="12" t="inlineStr">
        <is>
          <t>kg</t>
        </is>
      </c>
      <c r="F279" s="31">
        <f>1</f>
        <v>1.0</v>
      </c>
      <c r="G279" s="32">
        <f>px_peint</f>
        <v>100.0</v>
      </c>
      <c r="H279" s="32">
        <f>F279*G279</f>
        <v>100.0</v>
      </c>
      <c r="I279" s="18">
        <f>q_4_2</f>
        <v>255.0</v>
      </c>
      <c r="J279" s="18">
        <f>F279*I279</f>
        <v>255.0</v>
      </c>
      <c r="K279" s="12" t="inlineStr">
        <is>
          <t>NON</t>
        </is>
      </c>
    </row>
    <row r="280">
      <c r="A280" s="12" t="inlineStr">
        <is>
          <t>Art. 4.2</t>
        </is>
      </c>
      <c r="B280" s="10" t="inlineStr">
        <is>
          <t>Main-d'œuvre</t>
        </is>
      </c>
      <c r="C280" s="10" t="inlineStr">
        <is>
          <t>Soudeur / monteur (40 kg/j)</t>
        </is>
      </c>
      <c r="D280" s="10" t="inlineStr">
        <is>
          <t>mo_soud</t>
        </is>
      </c>
      <c r="E280" s="12" t="inlineStr">
        <is>
          <t>h.j</t>
        </is>
      </c>
      <c r="F280" s="31">
        <f>1/40</f>
        <v>0.025</v>
      </c>
      <c r="G280" s="32">
        <f>px_mo_soud</f>
        <v>15000.0</v>
      </c>
      <c r="H280" s="32">
        <f>F280*G280</f>
        <v>375.0</v>
      </c>
      <c r="I280" s="18">
        <f>q_4_2</f>
        <v>255.0</v>
      </c>
      <c r="J280" s="18">
        <f>F280*I280</f>
        <v>6.375</v>
      </c>
      <c r="K280" s="12" t="inlineStr">
        <is>
          <t>NON</t>
        </is>
      </c>
    </row>
    <row r="281">
      <c r="A281" s="12" t="inlineStr">
        <is>
          <t>Art. 4.2</t>
        </is>
      </c>
      <c r="B281" s="10" t="inlineStr">
        <is>
          <t>Main-d'œuvre</t>
        </is>
      </c>
      <c r="C281" s="10" t="inlineStr">
        <is>
          <t>Manœuvres (2 / monteur)</t>
        </is>
      </c>
      <c r="D281" s="10" t="inlineStr">
        <is>
          <t>mo_man</t>
        </is>
      </c>
      <c r="E281" s="12" t="inlineStr">
        <is>
          <t>h.j</t>
        </is>
      </c>
      <c r="F281" s="31">
        <f>2/40</f>
        <v>0.05</v>
      </c>
      <c r="G281" s="32">
        <f>px_mo_man</f>
        <v>5000.0</v>
      </c>
      <c r="H281" s="32">
        <f>F281*G281</f>
        <v>250.0</v>
      </c>
      <c r="I281" s="18">
        <f>q_4_2</f>
        <v>255.0</v>
      </c>
      <c r="J281" s="18">
        <f>F281*I281</f>
        <v>12.75</v>
      </c>
      <c r="K281" s="12" t="inlineStr">
        <is>
          <t>NON</t>
        </is>
      </c>
    </row>
    <row r="282">
      <c r="A282" s="12" t="inlineStr">
        <is>
          <t>Art. 4.2</t>
        </is>
      </c>
      <c r="B282" s="10" t="inlineStr">
        <is>
          <t>Matériel</t>
        </is>
      </c>
      <c r="C282" s="10" t="inlineStr">
        <is>
          <t>Poste à souder, meuleuse, palan / chèvre de levage</t>
        </is>
      </c>
      <c r="D282" s="10" t="inlineStr">
        <is>
          <t>mt_ch</t>
        </is>
      </c>
      <c r="E282" s="12" t="inlineStr">
        <is>
          <t>kg</t>
        </is>
      </c>
      <c r="F282" s="31">
        <f>1</f>
        <v>1.0</v>
      </c>
      <c r="G282" s="32">
        <f>px_mt_ch</f>
        <v>100.0</v>
      </c>
      <c r="H282" s="32">
        <f>F282*G282</f>
        <v>100.0</v>
      </c>
      <c r="I282" s="18">
        <f>q_4_2</f>
        <v>255.0</v>
      </c>
      <c r="J282" s="18">
        <f>F282*I282</f>
        <v>255.0</v>
      </c>
      <c r="K282" s="12" t="inlineStr">
        <is>
          <t>NON</t>
        </is>
      </c>
    </row>
    <row r="283">
      <c r="A283" s="12" t="inlineStr">
        <is>
          <t>Art. 4.2</t>
        </is>
      </c>
      <c r="B283" s="10" t="inlineStr">
        <is>
          <t>Matériel</t>
        </is>
      </c>
      <c r="C283" s="10" t="inlineStr">
        <is>
          <t>Petit outillage (% de la main-d'œuvre)</t>
        </is>
      </c>
      <c r="D283" s="10" t="n"/>
      <c r="E283" s="12" t="inlineStr">
        <is>
          <t>%</t>
        </is>
      </c>
      <c r="F283" s="33">
        <f>p_PO</f>
        <v>0.03</v>
      </c>
      <c r="G283" s="32">
        <f>SUMIFS(H278:H282,B278:B282,"Main-d'œuvre")</f>
        <v>625.0</v>
      </c>
      <c r="H283" s="32">
        <f>F283*G283</f>
        <v>18.75</v>
      </c>
      <c r="I283" s="10" t="n"/>
      <c r="J283" s="10" t="n"/>
      <c r="K283" s="10" t="n"/>
    </row>
    <row r="284">
      <c r="A284" s="34" t="n"/>
      <c r="B284" s="34" t="n"/>
      <c r="C284" s="35" t="inlineStr">
        <is>
          <t>DÉBOURSÉ SEC UNITAIRE / kg</t>
        </is>
      </c>
      <c r="D284" s="34" t="n"/>
      <c r="E284" s="34" t="n"/>
      <c r="F284" s="34" t="n"/>
      <c r="G284" s="34" t="n"/>
      <c r="H284" s="36">
        <f>SUM(H278:H283)</f>
        <v>1788.75</v>
      </c>
      <c r="I284" s="34" t="n"/>
      <c r="J284" s="34" t="n"/>
      <c r="K284" s="34" t="n"/>
    </row>
    <row r="286">
      <c r="A286" s="8" t="n"/>
      <c r="B286" s="8" t="inlineStr">
        <is>
          <t>Article 4.3 - Calage et scellement des platines au mortier sans retrait (unité : u)</t>
        </is>
      </c>
      <c r="C286" s="29" t="n"/>
      <c r="D286" s="29" t="n"/>
      <c r="E286" s="29" t="n"/>
      <c r="F286" s="29" t="n"/>
      <c r="G286" s="29" t="n"/>
      <c r="H286" s="29" t="n"/>
      <c r="I286" s="29" t="n"/>
      <c r="J286" s="29" t="n"/>
      <c r="K286" s="30" t="n"/>
    </row>
    <row r="287">
      <c r="A287" s="12" t="inlineStr">
        <is>
          <t>Art. 4.3</t>
        </is>
      </c>
      <c r="B287" s="10" t="inlineStr">
        <is>
          <t>Matériaux</t>
        </is>
      </c>
      <c r="C287" s="10" t="inlineStr">
        <is>
          <t>Mortier de calage sans retrait (sac 25 kg)</t>
        </is>
      </c>
      <c r="D287" s="10" t="inlineStr">
        <is>
          <t>grout</t>
        </is>
      </c>
      <c r="E287" s="12" t="inlineStr">
        <is>
          <t>sac</t>
        </is>
      </c>
      <c r="F287" s="31">
        <f>0.5</f>
        <v>0.5</v>
      </c>
      <c r="G287" s="32">
        <f>px_grout</f>
        <v>9000.0</v>
      </c>
      <c r="H287" s="32">
        <f>F287*G287</f>
        <v>4500.0</v>
      </c>
      <c r="I287" s="18">
        <f>q_4_3</f>
        <v>17.0</v>
      </c>
      <c r="J287" s="18">
        <f>F287*I287</f>
        <v>8.5</v>
      </c>
      <c r="K287" s="12" t="inlineStr">
        <is>
          <t>NON</t>
        </is>
      </c>
    </row>
    <row r="288">
      <c r="A288" s="12" t="inlineStr">
        <is>
          <t>Art. 4.3</t>
        </is>
      </c>
      <c r="B288" s="10" t="inlineStr">
        <is>
          <t>Main-d'œuvre</t>
        </is>
      </c>
      <c r="C288" s="10" t="inlineStr">
        <is>
          <t>Maçon (8 platines/j)</t>
        </is>
      </c>
      <c r="D288" s="10" t="inlineStr">
        <is>
          <t>mo_macon</t>
        </is>
      </c>
      <c r="E288" s="12" t="inlineStr">
        <is>
          <t>h.j</t>
        </is>
      </c>
      <c r="F288" s="31">
        <f>1/8</f>
        <v>0.125</v>
      </c>
      <c r="G288" s="32">
        <f>px_mo_macon</f>
        <v>10000.0</v>
      </c>
      <c r="H288" s="32">
        <f>F288*G288</f>
        <v>1250.0</v>
      </c>
      <c r="I288" s="18">
        <f>q_4_3</f>
        <v>17.0</v>
      </c>
      <c r="J288" s="18">
        <f>F288*I288</f>
        <v>2.125</v>
      </c>
      <c r="K288" s="12" t="inlineStr">
        <is>
          <t>NON</t>
        </is>
      </c>
    </row>
    <row r="289">
      <c r="A289" s="12" t="inlineStr">
        <is>
          <t>Art. 4.3</t>
        </is>
      </c>
      <c r="B289" s="10" t="inlineStr">
        <is>
          <t>Main-d'œuvre</t>
        </is>
      </c>
      <c r="C289" s="10" t="inlineStr">
        <is>
          <t>Manœuvre (8 platines/j)</t>
        </is>
      </c>
      <c r="D289" s="10" t="inlineStr">
        <is>
          <t>mo_man</t>
        </is>
      </c>
      <c r="E289" s="12" t="inlineStr">
        <is>
          <t>h.j</t>
        </is>
      </c>
      <c r="F289" s="31">
        <f>1/8</f>
        <v>0.125</v>
      </c>
      <c r="G289" s="32">
        <f>px_mo_man</f>
        <v>5000.0</v>
      </c>
      <c r="H289" s="32">
        <f>F289*G289</f>
        <v>625.0</v>
      </c>
      <c r="I289" s="18">
        <f>q_4_3</f>
        <v>17.0</v>
      </c>
      <c r="J289" s="18">
        <f>F289*I289</f>
        <v>2.125</v>
      </c>
      <c r="K289" s="12" t="inlineStr">
        <is>
          <t>NON</t>
        </is>
      </c>
    </row>
    <row r="290">
      <c r="A290" s="12" t="inlineStr">
        <is>
          <t>Art. 4.3</t>
        </is>
      </c>
      <c r="B290" s="10" t="inlineStr">
        <is>
          <t>Matériel</t>
        </is>
      </c>
      <c r="C290" s="10" t="inlineStr">
        <is>
          <t>Petit outillage (% de la main-d'œuvre)</t>
        </is>
      </c>
      <c r="D290" s="10" t="n"/>
      <c r="E290" s="12" t="inlineStr">
        <is>
          <t>%</t>
        </is>
      </c>
      <c r="F290" s="33">
        <f>p_PO</f>
        <v>0.03</v>
      </c>
      <c r="G290" s="32">
        <f>SUMIFS(H287:H289,B287:B289,"Main-d'œuvre")</f>
        <v>1875.0</v>
      </c>
      <c r="H290" s="32">
        <f>F290*G290</f>
        <v>56.25</v>
      </c>
      <c r="I290" s="10" t="n"/>
      <c r="J290" s="10" t="n"/>
      <c r="K290" s="10" t="n"/>
    </row>
    <row r="291">
      <c r="A291" s="34" t="n"/>
      <c r="B291" s="34" t="n"/>
      <c r="C291" s="35" t="inlineStr">
        <is>
          <t>DÉBOURSÉ SEC UNITAIRE / u</t>
        </is>
      </c>
      <c r="D291" s="34" t="n"/>
      <c r="E291" s="34" t="n"/>
      <c r="F291" s="34" t="n"/>
      <c r="G291" s="34" t="n"/>
      <c r="H291" s="36">
        <f>SUM(H287:H290)</f>
        <v>6431.25</v>
      </c>
      <c r="I291" s="34" t="n"/>
      <c r="J291" s="34" t="n"/>
      <c r="K291" s="34" t="n"/>
    </row>
    <row r="293">
      <c r="A293" s="8" t="n"/>
      <c r="B293" s="8" t="inlineStr">
        <is>
          <t>Article 4.4 - Contreventements en cornières 50x50x5 : palées verticales en long pan et poutre au vent en toiture (goussets et boulons compris) (unité : kg)</t>
        </is>
      </c>
      <c r="C293" s="29" t="n"/>
      <c r="D293" s="29" t="n"/>
      <c r="E293" s="29" t="n"/>
      <c r="F293" s="29" t="n"/>
      <c r="G293" s="29" t="n"/>
      <c r="H293" s="29" t="n"/>
      <c r="I293" s="29" t="n"/>
      <c r="J293" s="29" t="n"/>
      <c r="K293" s="30" t="n"/>
    </row>
    <row r="294">
      <c r="A294" s="12" t="inlineStr">
        <is>
          <t>Art. 4.4</t>
        </is>
      </c>
      <c r="B294" s="10" t="inlineStr">
        <is>
          <t>Matériaux</t>
        </is>
      </c>
      <c r="C294" s="10" t="inlineStr">
        <is>
          <t>Cornière 50x50x5 (S235) (5 % de chutes)</t>
        </is>
      </c>
      <c r="D294" s="10" t="inlineStr">
        <is>
          <t>corniere</t>
        </is>
      </c>
      <c r="E294" s="12" t="inlineStr">
        <is>
          <t>kg</t>
        </is>
      </c>
      <c r="F294" s="31">
        <f>1.05</f>
        <v>1.05</v>
      </c>
      <c r="G294" s="32">
        <f>px_corniere</f>
        <v>900.0</v>
      </c>
      <c r="H294" s="32">
        <f>F294*G294</f>
        <v>945.0</v>
      </c>
      <c r="I294" s="18">
        <f>q_4_4</f>
        <v>496.0368727932168</v>
      </c>
      <c r="J294" s="18">
        <f>F294*I294</f>
        <v>520.8387164328776</v>
      </c>
      <c r="K294" s="12" t="inlineStr">
        <is>
          <t>NON</t>
        </is>
      </c>
    </row>
    <row r="295">
      <c r="A295" s="12" t="inlineStr">
        <is>
          <t>Art. 4.4</t>
        </is>
      </c>
      <c r="B295" s="10" t="inlineStr">
        <is>
          <t>Matériaux</t>
        </is>
      </c>
      <c r="C295" s="10" t="inlineStr">
        <is>
          <t>Peinture antirouille + finition (2 couches)</t>
        </is>
      </c>
      <c r="D295" s="10" t="inlineStr">
        <is>
          <t>peint</t>
        </is>
      </c>
      <c r="E295" s="12" t="inlineStr">
        <is>
          <t>kg</t>
        </is>
      </c>
      <c r="F295" s="31">
        <f>1</f>
        <v>1.0</v>
      </c>
      <c r="G295" s="32">
        <f>px_peint</f>
        <v>100.0</v>
      </c>
      <c r="H295" s="32">
        <f>F295*G295</f>
        <v>100.0</v>
      </c>
      <c r="I295" s="18">
        <f>q_4_4</f>
        <v>496.0368727932168</v>
      </c>
      <c r="J295" s="18">
        <f>F295*I295</f>
        <v>496.0368727932168</v>
      </c>
      <c r="K295" s="12" t="inlineStr">
        <is>
          <t>NON</t>
        </is>
      </c>
    </row>
    <row r="296">
      <c r="A296" s="12" t="inlineStr">
        <is>
          <t>Art. 4.4</t>
        </is>
      </c>
      <c r="B296" s="10" t="inlineStr">
        <is>
          <t>Main-d'œuvre</t>
        </is>
      </c>
      <c r="C296" s="10" t="inlineStr">
        <is>
          <t>Soudeur / monteur (60 kg/j)</t>
        </is>
      </c>
      <c r="D296" s="10" t="inlineStr">
        <is>
          <t>mo_soud</t>
        </is>
      </c>
      <c r="E296" s="12" t="inlineStr">
        <is>
          <t>h.j</t>
        </is>
      </c>
      <c r="F296" s="31">
        <f>1/60</f>
        <v>0.016666666666666666</v>
      </c>
      <c r="G296" s="32">
        <f>px_mo_soud</f>
        <v>15000.0</v>
      </c>
      <c r="H296" s="32">
        <f>F296*G296</f>
        <v>250.0</v>
      </c>
      <c r="I296" s="18">
        <f>q_4_4</f>
        <v>496.0368727932168</v>
      </c>
      <c r="J296" s="18">
        <f>F296*I296</f>
        <v>8.26728121322028</v>
      </c>
      <c r="K296" s="12" t="inlineStr">
        <is>
          <t>NON</t>
        </is>
      </c>
    </row>
    <row r="297">
      <c r="A297" s="12" t="inlineStr">
        <is>
          <t>Art. 4.4</t>
        </is>
      </c>
      <c r="B297" s="10" t="inlineStr">
        <is>
          <t>Main-d'œuvre</t>
        </is>
      </c>
      <c r="C297" s="10" t="inlineStr">
        <is>
          <t>Manœuvres (2 / monteur)</t>
        </is>
      </c>
      <c r="D297" s="10" t="inlineStr">
        <is>
          <t>mo_man</t>
        </is>
      </c>
      <c r="E297" s="12" t="inlineStr">
        <is>
          <t>h.j</t>
        </is>
      </c>
      <c r="F297" s="31">
        <f>2/60</f>
        <v>0.03333333333333333</v>
      </c>
      <c r="G297" s="32">
        <f>px_mo_man</f>
        <v>5000.0</v>
      </c>
      <c r="H297" s="32">
        <f>F297*G297</f>
        <v>166.66666666666666</v>
      </c>
      <c r="I297" s="18">
        <f>q_4_4</f>
        <v>496.0368727932168</v>
      </c>
      <c r="J297" s="18">
        <f>F297*I297</f>
        <v>16.53456242644056</v>
      </c>
      <c r="K297" s="12" t="inlineStr">
        <is>
          <t>NON</t>
        </is>
      </c>
    </row>
    <row r="298">
      <c r="A298" s="12" t="inlineStr">
        <is>
          <t>Art. 4.4</t>
        </is>
      </c>
      <c r="B298" s="10" t="inlineStr">
        <is>
          <t>Matériel</t>
        </is>
      </c>
      <c r="C298" s="10" t="inlineStr">
        <is>
          <t>Poste à souder, meuleuse, palan / chèvre de levage</t>
        </is>
      </c>
      <c r="D298" s="10" t="inlineStr">
        <is>
          <t>mt_ch</t>
        </is>
      </c>
      <c r="E298" s="12" t="inlineStr">
        <is>
          <t>kg</t>
        </is>
      </c>
      <c r="F298" s="31">
        <f>1</f>
        <v>1.0</v>
      </c>
      <c r="G298" s="32">
        <f>px_mt_ch</f>
        <v>100.0</v>
      </c>
      <c r="H298" s="32">
        <f>F298*G298</f>
        <v>100.0</v>
      </c>
      <c r="I298" s="18">
        <f>q_4_4</f>
        <v>496.0368727932168</v>
      </c>
      <c r="J298" s="18">
        <f>F298*I298</f>
        <v>496.0368727932168</v>
      </c>
      <c r="K298" s="12" t="inlineStr">
        <is>
          <t>NON</t>
        </is>
      </c>
    </row>
    <row r="299">
      <c r="A299" s="12" t="inlineStr">
        <is>
          <t>Art. 4.4</t>
        </is>
      </c>
      <c r="B299" s="10" t="inlineStr">
        <is>
          <t>Matériel</t>
        </is>
      </c>
      <c r="C299" s="10" t="inlineStr">
        <is>
          <t>Petit outillage (% de la main-d'œuvre)</t>
        </is>
      </c>
      <c r="D299" s="10" t="n"/>
      <c r="E299" s="12" t="inlineStr">
        <is>
          <t>%</t>
        </is>
      </c>
      <c r="F299" s="33">
        <f>p_PO</f>
        <v>0.03</v>
      </c>
      <c r="G299" s="32">
        <f>SUMIFS(H294:H298,B294:B298,"Main-d'œuvre")</f>
        <v>416.66666666666663</v>
      </c>
      <c r="H299" s="32">
        <f>F299*G299</f>
        <v>12.499999999999998</v>
      </c>
      <c r="I299" s="10" t="n"/>
      <c r="J299" s="10" t="n"/>
      <c r="K299" s="10" t="n"/>
    </row>
    <row r="300">
      <c r="A300" s="34" t="n"/>
      <c r="B300" s="34" t="n"/>
      <c r="C300" s="35" t="inlineStr">
        <is>
          <t>DÉBOURSÉ SEC UNITAIRE / kg</t>
        </is>
      </c>
      <c r="D300" s="34" t="n"/>
      <c r="E300" s="34" t="n"/>
      <c r="F300" s="34" t="n"/>
      <c r="G300" s="34" t="n"/>
      <c r="H300" s="36">
        <f>SUM(H294:H299)</f>
        <v>1574.1666666666667</v>
      </c>
      <c r="I300" s="34" t="n"/>
      <c r="J300" s="34" t="n"/>
      <c r="K300" s="34" t="n"/>
    </row>
    <row r="302">
      <c r="A302" s="8" t="n"/>
      <c r="B302" s="8" t="inlineStr">
        <is>
          <t>Article 5.1 - Décaissement / purge intérieure du sol de mauvaise portance (ép. = épaisseur de latérite) et évacuation (unité : m³)</t>
        </is>
      </c>
      <c r="C302" s="29" t="n"/>
      <c r="D302" s="29" t="n"/>
      <c r="E302" s="29" t="n"/>
      <c r="F302" s="29" t="n"/>
      <c r="G302" s="29" t="n"/>
      <c r="H302" s="29" t="n"/>
      <c r="I302" s="29" t="n"/>
      <c r="J302" s="29" t="n"/>
      <c r="K302" s="30" t="n"/>
    </row>
    <row r="303">
      <c r="A303" s="12" t="inlineStr">
        <is>
          <t>Art. 5.1</t>
        </is>
      </c>
      <c r="B303" s="10" t="inlineStr">
        <is>
          <t>Main-d'œuvre</t>
        </is>
      </c>
      <c r="C303" s="10" t="inlineStr">
        <is>
          <t>Manœuvre (2 m³/j)</t>
        </is>
      </c>
      <c r="D303" s="10" t="inlineStr">
        <is>
          <t>mo_man</t>
        </is>
      </c>
      <c r="E303" s="12" t="inlineStr">
        <is>
          <t>h.j</t>
        </is>
      </c>
      <c r="F303" s="31">
        <f>1/2</f>
        <v>0.5</v>
      </c>
      <c r="G303" s="32">
        <f>px_mo_man</f>
        <v>5000.0</v>
      </c>
      <c r="H303" s="32">
        <f>F303*G303</f>
        <v>2500.0</v>
      </c>
      <c r="I303" s="18">
        <f>q_5_1</f>
        <v>117.609</v>
      </c>
      <c r="J303" s="18">
        <f>F303*I303</f>
        <v>58.8045</v>
      </c>
      <c r="K303" s="12" t="inlineStr">
        <is>
          <t>NON</t>
        </is>
      </c>
    </row>
    <row r="304">
      <c r="A304" s="12" t="inlineStr">
        <is>
          <t>Art. 5.1</t>
        </is>
      </c>
      <c r="B304" s="10" t="inlineStr">
        <is>
          <t>Matériel</t>
        </is>
      </c>
      <c r="C304" s="10" t="inlineStr">
        <is>
          <t>Camion benne 10 m³ (foisonnement 1,25)</t>
        </is>
      </c>
      <c r="D304" s="10" t="inlineStr">
        <is>
          <t>mt_cam</t>
        </is>
      </c>
      <c r="E304" s="12" t="inlineStr">
        <is>
          <t>voyage</t>
        </is>
      </c>
      <c r="F304" s="31">
        <f>1.25/10</f>
        <v>0.125</v>
      </c>
      <c r="G304" s="32">
        <f>px_mt_cam</f>
        <v>25000.0</v>
      </c>
      <c r="H304" s="32">
        <f>F304*G304</f>
        <v>3125.0</v>
      </c>
      <c r="I304" s="18">
        <f>q_5_1</f>
        <v>117.609</v>
      </c>
      <c r="J304" s="18">
        <f>F304*I304</f>
        <v>14.701125</v>
      </c>
      <c r="K304" s="12" t="inlineStr">
        <is>
          <t>NON</t>
        </is>
      </c>
    </row>
    <row r="305">
      <c r="A305" s="12" t="inlineStr">
        <is>
          <t>Art. 5.1</t>
        </is>
      </c>
      <c r="B305" s="10" t="inlineStr">
        <is>
          <t>Matériel</t>
        </is>
      </c>
      <c r="C305" s="10" t="inlineStr">
        <is>
          <t>Petit outillage (% de la main-d'œuvre)</t>
        </is>
      </c>
      <c r="D305" s="10" t="n"/>
      <c r="E305" s="12" t="inlineStr">
        <is>
          <t>%</t>
        </is>
      </c>
      <c r="F305" s="33">
        <f>p_PO</f>
        <v>0.03</v>
      </c>
      <c r="G305" s="32">
        <f>SUMIFS(H303:H304,B303:B304,"Main-d'œuvre")</f>
        <v>2500.0</v>
      </c>
      <c r="H305" s="32">
        <f>F305*G305</f>
        <v>75.0</v>
      </c>
      <c r="I305" s="10" t="n"/>
      <c r="J305" s="10" t="n"/>
      <c r="K305" s="10" t="n"/>
    </row>
    <row r="306">
      <c r="A306" s="34" t="n"/>
      <c r="B306" s="34" t="n"/>
      <c r="C306" s="35" t="inlineStr">
        <is>
          <t>DÉBOURSÉ SEC UNITAIRE / m³</t>
        </is>
      </c>
      <c r="D306" s="34" t="n"/>
      <c r="E306" s="34" t="n"/>
      <c r="F306" s="34" t="n"/>
      <c r="G306" s="34" t="n"/>
      <c r="H306" s="36">
        <f>SUM(H303:H305)</f>
        <v>5700.0</v>
      </c>
      <c r="I306" s="34" t="n"/>
      <c r="J306" s="34" t="n"/>
      <c r="K306" s="34" t="n"/>
    </row>
    <row r="308">
      <c r="A308" s="8" t="n"/>
      <c r="B308" s="8" t="inlineStr">
        <is>
          <t>Article 5.2 - Rechargement en latérite d'emprunt à l'intérieur, mis en œuvre par couches de 20 cm, arrosé et compacté à 95 % OPM (unité : m³)</t>
        </is>
      </c>
      <c r="C308" s="29" t="n"/>
      <c r="D308" s="29" t="n"/>
      <c r="E308" s="29" t="n"/>
      <c r="F308" s="29" t="n"/>
      <c r="G308" s="29" t="n"/>
      <c r="H308" s="29" t="n"/>
      <c r="I308" s="29" t="n"/>
      <c r="J308" s="29" t="n"/>
      <c r="K308" s="30" t="n"/>
    </row>
    <row r="309">
      <c r="A309" s="12" t="inlineStr">
        <is>
          <t>Art. 5.2</t>
        </is>
      </c>
      <c r="B309" s="10" t="inlineStr">
        <is>
          <t>Matériaux</t>
        </is>
      </c>
      <c r="C309" s="10" t="inlineStr">
        <is>
          <t>Latérite d'emprunt (coef. compactage 1,30)</t>
        </is>
      </c>
      <c r="D309" s="10" t="inlineStr">
        <is>
          <t>laterite</t>
        </is>
      </c>
      <c r="E309" s="12" t="inlineStr">
        <is>
          <t>m³</t>
        </is>
      </c>
      <c r="F309" s="31">
        <f>1.30</f>
        <v>1.3</v>
      </c>
      <c r="G309" s="32">
        <f>px_laterite</f>
        <v>6000.0</v>
      </c>
      <c r="H309" s="32">
        <f>F309*G309</f>
        <v>7800.0</v>
      </c>
      <c r="I309" s="18">
        <f>q_5_2</f>
        <v>117.609</v>
      </c>
      <c r="J309" s="18">
        <f>F309*I309</f>
        <v>152.8917</v>
      </c>
      <c r="K309" s="12" t="inlineStr">
        <is>
          <t>NON</t>
        </is>
      </c>
    </row>
    <row r="310">
      <c r="A310" s="12" t="inlineStr">
        <is>
          <t>Art. 5.2</t>
        </is>
      </c>
      <c r="B310" s="10" t="inlineStr">
        <is>
          <t>Matériaux</t>
        </is>
      </c>
      <c r="C310" s="10" t="inlineStr">
        <is>
          <t>Eau d'arrosage (teneur OPM)</t>
        </is>
      </c>
      <c r="D310" s="10" t="inlineStr">
        <is>
          <t>eau</t>
        </is>
      </c>
      <c r="E310" s="12" t="inlineStr">
        <is>
          <t>m³</t>
        </is>
      </c>
      <c r="F310" s="31">
        <f>0.10</f>
        <v>0.1</v>
      </c>
      <c r="G310" s="32">
        <f>px_eau</f>
        <v>1000.0</v>
      </c>
      <c r="H310" s="32">
        <f>F310*G310</f>
        <v>100.0</v>
      </c>
      <c r="I310" s="18">
        <f>q_5_2</f>
        <v>117.609</v>
      </c>
      <c r="J310" s="18">
        <f>F310*I310</f>
        <v>11.7609</v>
      </c>
      <c r="K310" s="12" t="inlineStr">
        <is>
          <t>NON</t>
        </is>
      </c>
    </row>
    <row r="311">
      <c r="A311" s="12" t="inlineStr">
        <is>
          <t>Art. 5.2</t>
        </is>
      </c>
      <c r="B311" s="10" t="inlineStr">
        <is>
          <t>Main-d'œuvre</t>
        </is>
      </c>
      <c r="C311" s="10" t="inlineStr">
        <is>
          <t>Manœuvre - répandage, réglage, arrosage (6 m³/j)</t>
        </is>
      </c>
      <c r="D311" s="10" t="inlineStr">
        <is>
          <t>mo_man</t>
        </is>
      </c>
      <c r="E311" s="12" t="inlineStr">
        <is>
          <t>h.j</t>
        </is>
      </c>
      <c r="F311" s="31">
        <f>1/6</f>
        <v>0.16666666666666666</v>
      </c>
      <c r="G311" s="32">
        <f>px_mo_man</f>
        <v>5000.0</v>
      </c>
      <c r="H311" s="32">
        <f>F311*G311</f>
        <v>833.3333333333333</v>
      </c>
      <c r="I311" s="18">
        <f>q_5_2</f>
        <v>117.609</v>
      </c>
      <c r="J311" s="18">
        <f>F311*I311</f>
        <v>19.601499999999998</v>
      </c>
      <c r="K311" s="12" t="inlineStr">
        <is>
          <t>NON</t>
        </is>
      </c>
    </row>
    <row r="312">
      <c r="A312" s="12" t="inlineStr">
        <is>
          <t>Art. 5.2</t>
        </is>
      </c>
      <c r="B312" s="10" t="inlineStr">
        <is>
          <t>Matériel</t>
        </is>
      </c>
      <c r="C312" s="10" t="inlineStr">
        <is>
          <t>Compacteur (40 m³/j)</t>
        </is>
      </c>
      <c r="D312" s="10" t="inlineStr">
        <is>
          <t>mt_plaque</t>
        </is>
      </c>
      <c r="E312" s="12" t="inlineStr">
        <is>
          <t>j</t>
        </is>
      </c>
      <c r="F312" s="31">
        <f>1/40</f>
        <v>0.025</v>
      </c>
      <c r="G312" s="32">
        <f>px_mt_plaque</f>
        <v>60000.0</v>
      </c>
      <c r="H312" s="32">
        <f>F312*G312</f>
        <v>1500.0</v>
      </c>
      <c r="I312" s="18">
        <f>q_5_2</f>
        <v>117.609</v>
      </c>
      <c r="J312" s="18">
        <f>F312*I312</f>
        <v>2.940225</v>
      </c>
      <c r="K312" s="12" t="inlineStr">
        <is>
          <t>NON</t>
        </is>
      </c>
    </row>
    <row r="313">
      <c r="A313" s="12" t="inlineStr">
        <is>
          <t>Art. 5.2</t>
        </is>
      </c>
      <c r="B313" s="10" t="inlineStr">
        <is>
          <t>Matériel</t>
        </is>
      </c>
      <c r="C313" s="10" t="inlineStr">
        <is>
          <t>Petit outillage (% de la main-d'œuvre)</t>
        </is>
      </c>
      <c r="D313" s="10" t="n"/>
      <c r="E313" s="12" t="inlineStr">
        <is>
          <t>%</t>
        </is>
      </c>
      <c r="F313" s="33">
        <f>p_PO</f>
        <v>0.03</v>
      </c>
      <c r="G313" s="32">
        <f>SUMIFS(H309:H312,B309:B312,"Main-d'œuvre")</f>
        <v>833.3333333333333</v>
      </c>
      <c r="H313" s="32">
        <f>F313*G313</f>
        <v>24.999999999999996</v>
      </c>
      <c r="I313" s="10" t="n"/>
      <c r="J313" s="10" t="n"/>
      <c r="K313" s="10" t="n"/>
    </row>
    <row r="314">
      <c r="A314" s="34" t="n"/>
      <c r="B314" s="34" t="n"/>
      <c r="C314" s="35" t="inlineStr">
        <is>
          <t>DÉBOURSÉ SEC UNITAIRE / m³</t>
        </is>
      </c>
      <c r="D314" s="34" t="n"/>
      <c r="E314" s="34" t="n"/>
      <c r="F314" s="34" t="n"/>
      <c r="G314" s="34" t="n"/>
      <c r="H314" s="36">
        <f>SUM(H309:H313)</f>
        <v>10258.333333333334</v>
      </c>
      <c r="I314" s="34" t="n"/>
      <c r="J314" s="34" t="n"/>
      <c r="K314" s="34" t="n"/>
    </row>
    <row r="316">
      <c r="A316" s="8" t="n"/>
      <c r="B316" s="8" t="inlineStr">
        <is>
          <t>Article 5.3 - Essais de contrôle (Proctor modifié, densités in situ par couche, éprouvettes béton) (unité : ft)</t>
        </is>
      </c>
      <c r="C316" s="29" t="n"/>
      <c r="D316" s="29" t="n"/>
      <c r="E316" s="29" t="n"/>
      <c r="F316" s="29" t="n"/>
      <c r="G316" s="29" t="n"/>
      <c r="H316" s="29" t="n"/>
      <c r="I316" s="29" t="n"/>
      <c r="J316" s="29" t="n"/>
      <c r="K316" s="30" t="n"/>
    </row>
    <row r="317">
      <c r="A317" s="12" t="inlineStr">
        <is>
          <t>Art. 5.3</t>
        </is>
      </c>
      <c r="B317" s="10" t="inlineStr">
        <is>
          <t>Matériaux</t>
        </is>
      </c>
      <c r="C317" s="10" t="inlineStr">
        <is>
          <t>Essais labo (Proctor, densités in situ, écrasement béton)</t>
        </is>
      </c>
      <c r="D317" s="10" t="inlineStr">
        <is>
          <t>ff_essais</t>
        </is>
      </c>
      <c r="E317" s="12" t="inlineStr">
        <is>
          <t>ft</t>
        </is>
      </c>
      <c r="F317" s="31">
        <f>1</f>
        <v>1.0</v>
      </c>
      <c r="G317" s="32">
        <f>px_ff_essais</f>
        <v>250000.0</v>
      </c>
      <c r="H317" s="32">
        <f>F317*G317</f>
        <v>250000.0</v>
      </c>
      <c r="I317" s="18">
        <f>q_5_3</f>
        <v>1.0</v>
      </c>
      <c r="J317" s="18">
        <f>F317*I317</f>
        <v>1.0</v>
      </c>
      <c r="K317" s="12" t="inlineStr">
        <is>
          <t>NON</t>
        </is>
      </c>
    </row>
    <row r="318">
      <c r="A318" s="12" t="inlineStr">
        <is>
          <t>Art. 5.3</t>
        </is>
      </c>
      <c r="B318" s="10" t="inlineStr">
        <is>
          <t>Matériel</t>
        </is>
      </c>
      <c r="C318" s="10" t="inlineStr">
        <is>
          <t>Petit outillage (% de la main-d'œuvre)</t>
        </is>
      </c>
      <c r="D318" s="10" t="n"/>
      <c r="E318" s="12" t="inlineStr">
        <is>
          <t>%</t>
        </is>
      </c>
      <c r="F318" s="33">
        <f>p_PO</f>
        <v>0.03</v>
      </c>
      <c r="G318" s="32">
        <f>SUMIFS(H317:H317,B317:B317,"Main-d'œuvre")</f>
        <v>0.0</v>
      </c>
      <c r="H318" s="32">
        <f>F318*G318</f>
        <v>0.0</v>
      </c>
      <c r="I318" s="10" t="n"/>
      <c r="J318" s="10" t="n"/>
      <c r="K318" s="10" t="n"/>
    </row>
    <row r="319">
      <c r="A319" s="34" t="n"/>
      <c r="B319" s="34" t="n"/>
      <c r="C319" s="35" t="inlineStr">
        <is>
          <t>DÉBOURSÉ SEC UNITAIRE / ft</t>
        </is>
      </c>
      <c r="D319" s="34" t="n"/>
      <c r="E319" s="34" t="n"/>
      <c r="F319" s="34" t="n"/>
      <c r="G319" s="34" t="n"/>
      <c r="H319" s="36">
        <f>SUM(H317:H318)</f>
        <v>250000.0</v>
      </c>
      <c r="I319" s="34" t="n"/>
      <c r="J319" s="34" t="n"/>
      <c r="K319" s="34" t="n"/>
    </row>
    <row r="321">
      <c r="A321" s="8" t="n"/>
      <c r="B321" s="8" t="inlineStr">
        <is>
          <t>Article 5.4 - Traitement anti-termites sous dallage (unité : m²)</t>
        </is>
      </c>
      <c r="C321" s="29" t="n"/>
      <c r="D321" s="29" t="n"/>
      <c r="E321" s="29" t="n"/>
      <c r="F321" s="29" t="n"/>
      <c r="G321" s="29" t="n"/>
      <c r="H321" s="29" t="n"/>
      <c r="I321" s="29" t="n"/>
      <c r="J321" s="29" t="n"/>
      <c r="K321" s="30" t="n"/>
    </row>
    <row r="322">
      <c r="A322" s="12" t="inlineStr">
        <is>
          <t>Art. 5.4</t>
        </is>
      </c>
      <c r="B322" s="10" t="inlineStr">
        <is>
          <t>Matériaux</t>
        </is>
      </c>
      <c r="C322" s="10" t="inlineStr">
        <is>
          <t>Produit anti-termites (dilué)</t>
        </is>
      </c>
      <c r="D322" s="10" t="inlineStr">
        <is>
          <t>termite</t>
        </is>
      </c>
      <c r="E322" s="12" t="inlineStr">
        <is>
          <t>m²</t>
        </is>
      </c>
      <c r="F322" s="31">
        <f>1</f>
        <v>1.0</v>
      </c>
      <c r="G322" s="32">
        <f>px_termite</f>
        <v>1200.0</v>
      </c>
      <c r="H322" s="32">
        <f>F322*G322</f>
        <v>1200.0</v>
      </c>
      <c r="I322" s="18">
        <f>q_5_4</f>
        <v>294.0225</v>
      </c>
      <c r="J322" s="18">
        <f>F322*I322</f>
        <v>294.0225</v>
      </c>
      <c r="K322" s="12" t="inlineStr">
        <is>
          <t>NON</t>
        </is>
      </c>
    </row>
    <row r="323">
      <c r="A323" s="12" t="inlineStr">
        <is>
          <t>Art. 5.4</t>
        </is>
      </c>
      <c r="B323" s="10" t="inlineStr">
        <is>
          <t>Main-d'œuvre</t>
        </is>
      </c>
      <c r="C323" s="10" t="inlineStr">
        <is>
          <t>Manœuvre (50 m²/j)</t>
        </is>
      </c>
      <c r="D323" s="10" t="inlineStr">
        <is>
          <t>mo_man</t>
        </is>
      </c>
      <c r="E323" s="12" t="inlineStr">
        <is>
          <t>h.j</t>
        </is>
      </c>
      <c r="F323" s="31">
        <f>1/50</f>
        <v>0.02</v>
      </c>
      <c r="G323" s="32">
        <f>px_mo_man</f>
        <v>5000.0</v>
      </c>
      <c r="H323" s="32">
        <f>F323*G323</f>
        <v>100.0</v>
      </c>
      <c r="I323" s="18">
        <f>q_5_4</f>
        <v>294.0225</v>
      </c>
      <c r="J323" s="18">
        <f>F323*I323</f>
        <v>5.88045</v>
      </c>
      <c r="K323" s="12" t="inlineStr">
        <is>
          <t>NON</t>
        </is>
      </c>
    </row>
    <row r="324">
      <c r="A324" s="12" t="inlineStr">
        <is>
          <t>Art. 5.4</t>
        </is>
      </c>
      <c r="B324" s="10" t="inlineStr">
        <is>
          <t>Matériel</t>
        </is>
      </c>
      <c r="C324" s="10" t="inlineStr">
        <is>
          <t>Petit outillage (% de la main-d'œuvre)</t>
        </is>
      </c>
      <c r="D324" s="10" t="n"/>
      <c r="E324" s="12" t="inlineStr">
        <is>
          <t>%</t>
        </is>
      </c>
      <c r="F324" s="33">
        <f>p_PO</f>
        <v>0.03</v>
      </c>
      <c r="G324" s="32">
        <f>SUMIFS(H322:H323,B322:B323,"Main-d'œuvre")</f>
        <v>100.0</v>
      </c>
      <c r="H324" s="32">
        <f>F324*G324</f>
        <v>3.0</v>
      </c>
      <c r="I324" s="10" t="n"/>
      <c r="J324" s="10" t="n"/>
      <c r="K324" s="10" t="n"/>
    </row>
    <row r="325">
      <c r="A325" s="34" t="n"/>
      <c r="B325" s="34" t="n"/>
      <c r="C325" s="35" t="inlineStr">
        <is>
          <t>DÉBOURSÉ SEC UNITAIRE / m²</t>
        </is>
      </c>
      <c r="D325" s="34" t="n"/>
      <c r="E325" s="34" t="n"/>
      <c r="F325" s="34" t="n"/>
      <c r="G325" s="34" t="n"/>
      <c r="H325" s="36">
        <f>SUM(H322:H324)</f>
        <v>1303.0</v>
      </c>
      <c r="I325" s="34" t="n"/>
      <c r="J325" s="34" t="n"/>
      <c r="K325" s="34" t="n"/>
    </row>
    <row r="327">
      <c r="A327" s="8" t="n"/>
      <c r="B327" s="8" t="inlineStr">
        <is>
          <t>Article 5.5 - Film polyane 150 µ sous dallage (recouvrements 10 %) (unité : m²)</t>
        </is>
      </c>
      <c r="C327" s="29" t="n"/>
      <c r="D327" s="29" t="n"/>
      <c r="E327" s="29" t="n"/>
      <c r="F327" s="29" t="n"/>
      <c r="G327" s="29" t="n"/>
      <c r="H327" s="29" t="n"/>
      <c r="I327" s="29" t="n"/>
      <c r="J327" s="29" t="n"/>
      <c r="K327" s="30" t="n"/>
    </row>
    <row r="328">
      <c r="A328" s="12" t="inlineStr">
        <is>
          <t>Art. 5.5</t>
        </is>
      </c>
      <c r="B328" s="10" t="inlineStr">
        <is>
          <t>Matériaux</t>
        </is>
      </c>
      <c r="C328" s="10" t="inlineStr">
        <is>
          <t>Film polyane 150 µ</t>
        </is>
      </c>
      <c r="D328" s="10" t="inlineStr">
        <is>
          <t>polyane</t>
        </is>
      </c>
      <c r="E328" s="12" t="inlineStr">
        <is>
          <t>m²</t>
        </is>
      </c>
      <c r="F328" s="31">
        <f>1</f>
        <v>1.0</v>
      </c>
      <c r="G328" s="32">
        <f>px_polyane</f>
        <v>400.0</v>
      </c>
      <c r="H328" s="32">
        <f>F328*G328</f>
        <v>400.0</v>
      </c>
      <c r="I328" s="18">
        <f>q_5_5</f>
        <v>323.42475</v>
      </c>
      <c r="J328" s="18">
        <f>F328*I328</f>
        <v>323.42475</v>
      </c>
      <c r="K328" s="12" t="inlineStr">
        <is>
          <t>NON</t>
        </is>
      </c>
    </row>
    <row r="329">
      <c r="A329" s="12" t="inlineStr">
        <is>
          <t>Art. 5.5</t>
        </is>
      </c>
      <c r="B329" s="10" t="inlineStr">
        <is>
          <t>Main-d'œuvre</t>
        </is>
      </c>
      <c r="C329" s="10" t="inlineStr">
        <is>
          <t>Manœuvre (150 m²/j)</t>
        </is>
      </c>
      <c r="D329" s="10" t="inlineStr">
        <is>
          <t>mo_man</t>
        </is>
      </c>
      <c r="E329" s="12" t="inlineStr">
        <is>
          <t>h.j</t>
        </is>
      </c>
      <c r="F329" s="31">
        <f>1/150</f>
        <v>0.006666666666666667</v>
      </c>
      <c r="G329" s="32">
        <f>px_mo_man</f>
        <v>5000.0</v>
      </c>
      <c r="H329" s="32">
        <f>F329*G329</f>
        <v>33.333333333333336</v>
      </c>
      <c r="I329" s="18">
        <f>q_5_5</f>
        <v>323.42475</v>
      </c>
      <c r="J329" s="18">
        <f>F329*I329</f>
        <v>2.156165</v>
      </c>
      <c r="K329" s="12" t="inlineStr">
        <is>
          <t>NON</t>
        </is>
      </c>
    </row>
    <row r="330">
      <c r="A330" s="12" t="inlineStr">
        <is>
          <t>Art. 5.5</t>
        </is>
      </c>
      <c r="B330" s="10" t="inlineStr">
        <is>
          <t>Matériel</t>
        </is>
      </c>
      <c r="C330" s="10" t="inlineStr">
        <is>
          <t>Petit outillage (% de la main-d'œuvre)</t>
        </is>
      </c>
      <c r="D330" s="10" t="n"/>
      <c r="E330" s="12" t="inlineStr">
        <is>
          <t>%</t>
        </is>
      </c>
      <c r="F330" s="33">
        <f>p_PO</f>
        <v>0.03</v>
      </c>
      <c r="G330" s="32">
        <f>SUMIFS(H328:H329,B328:B329,"Main-d'œuvre")</f>
        <v>33.333333333333336</v>
      </c>
      <c r="H330" s="32">
        <f>F330*G330</f>
        <v>1.0</v>
      </c>
      <c r="I330" s="10" t="n"/>
      <c r="J330" s="10" t="n"/>
      <c r="K330" s="10" t="n"/>
    </row>
    <row r="331">
      <c r="A331" s="34" t="n"/>
      <c r="B331" s="34" t="n"/>
      <c r="C331" s="35" t="inlineStr">
        <is>
          <t>DÉBOURSÉ SEC UNITAIRE / m²</t>
        </is>
      </c>
      <c r="D331" s="34" t="n"/>
      <c r="E331" s="34" t="n"/>
      <c r="F331" s="34" t="n"/>
      <c r="G331" s="34" t="n"/>
      <c r="H331" s="36">
        <f>SUM(H328:H330)</f>
        <v>434.3333333333333</v>
      </c>
      <c r="I331" s="34" t="n"/>
      <c r="J331" s="34" t="n"/>
      <c r="K331" s="34" t="n"/>
    </row>
    <row r="333">
      <c r="A333" s="8" t="n"/>
      <c r="B333" s="8" t="inlineStr">
        <is>
          <t>Article 5.6 - Armatures HA10 FeE500 - dallage double nappe e = 20 cm + chaises (unité : kg)</t>
        </is>
      </c>
      <c r="C333" s="29" t="n"/>
      <c r="D333" s="29" t="n"/>
      <c r="E333" s="29" t="n"/>
      <c r="F333" s="29" t="n"/>
      <c r="G333" s="29" t="n"/>
      <c r="H333" s="29" t="n"/>
      <c r="I333" s="29" t="n"/>
      <c r="J333" s="29" t="n"/>
      <c r="K333" s="30" t="n"/>
    </row>
    <row r="334">
      <c r="A334" s="12" t="inlineStr">
        <is>
          <t>Art. 5.6</t>
        </is>
      </c>
      <c r="B334" s="10" t="inlineStr">
        <is>
          <t>Matériaux</t>
        </is>
      </c>
      <c r="C334" s="10" t="inlineStr">
        <is>
          <t>Acier HA10 FeE500 (barre 12 m = 7,40 kg à 6 000)</t>
        </is>
      </c>
      <c r="D334" s="10" t="inlineStr">
        <is>
          <t>ha10</t>
        </is>
      </c>
      <c r="E334" s="12" t="inlineStr">
        <is>
          <t>kg</t>
        </is>
      </c>
      <c r="F334" s="31">
        <f>1</f>
        <v>1.0</v>
      </c>
      <c r="G334" s="32">
        <f>px_ha10</f>
        <v>810.0</v>
      </c>
      <c r="H334" s="32">
        <f>F334*G334</f>
        <v>810.0</v>
      </c>
      <c r="I334" s="18">
        <f>q_5_6</f>
        <v>4343.000467049999</v>
      </c>
      <c r="J334" s="18">
        <f>F334*I334</f>
        <v>4343.000467049999</v>
      </c>
      <c r="K334" s="12" t="inlineStr">
        <is>
          <t>NON</t>
        </is>
      </c>
    </row>
    <row r="335">
      <c r="A335" s="12" t="inlineStr">
        <is>
          <t>Art. 5.6</t>
        </is>
      </c>
      <c r="B335" s="10" t="inlineStr">
        <is>
          <t>Matériaux</t>
        </is>
      </c>
      <c r="C335" s="10" t="inlineStr">
        <is>
          <t>Fil recuit</t>
        </is>
      </c>
      <c r="D335" s="10" t="inlineStr">
        <is>
          <t>fil</t>
        </is>
      </c>
      <c r="E335" s="12" t="inlineStr">
        <is>
          <t>kg</t>
        </is>
      </c>
      <c r="F335" s="31">
        <f>0.015</f>
        <v>0.015</v>
      </c>
      <c r="G335" s="32">
        <f>px_fil</f>
        <v>1500.0</v>
      </c>
      <c r="H335" s="32">
        <f>F335*G335</f>
        <v>22.5</v>
      </c>
      <c r="I335" s="18">
        <f>q_5_6</f>
        <v>4343.000467049999</v>
      </c>
      <c r="J335" s="18">
        <f>F335*I335</f>
        <v>65.14500700574999</v>
      </c>
      <c r="K335" s="12" t="inlineStr">
        <is>
          <t>NON</t>
        </is>
      </c>
    </row>
    <row r="336">
      <c r="A336" s="12" t="inlineStr">
        <is>
          <t>Art. 5.6</t>
        </is>
      </c>
      <c r="B336" s="10" t="inlineStr">
        <is>
          <t>Main-d'œuvre</t>
        </is>
      </c>
      <c r="C336" s="10" t="inlineStr">
        <is>
          <t>Ferrailleur (200 kg/j)</t>
        </is>
      </c>
      <c r="D336" s="10" t="inlineStr">
        <is>
          <t>mo_ferr</t>
        </is>
      </c>
      <c r="E336" s="12" t="inlineStr">
        <is>
          <t>h.j</t>
        </is>
      </c>
      <c r="F336" s="31">
        <f>1/200</f>
        <v>0.005</v>
      </c>
      <c r="G336" s="32">
        <f>px_mo_ferr</f>
        <v>10000.0</v>
      </c>
      <c r="H336" s="32">
        <f>F336*G336</f>
        <v>50.0</v>
      </c>
      <c r="I336" s="18">
        <f>q_5_6</f>
        <v>4343.000467049999</v>
      </c>
      <c r="J336" s="18">
        <f>F336*I336</f>
        <v>21.71500233525</v>
      </c>
      <c r="K336" s="12" t="inlineStr">
        <is>
          <t>NON</t>
        </is>
      </c>
    </row>
    <row r="337">
      <c r="A337" s="12" t="inlineStr">
        <is>
          <t>Art. 5.6</t>
        </is>
      </c>
      <c r="B337" s="10" t="inlineStr">
        <is>
          <t>Main-d'œuvre</t>
        </is>
      </c>
      <c r="C337" s="10" t="inlineStr">
        <is>
          <t>Manœuvre (200 kg/j)</t>
        </is>
      </c>
      <c r="D337" s="10" t="inlineStr">
        <is>
          <t>mo_man</t>
        </is>
      </c>
      <c r="E337" s="12" t="inlineStr">
        <is>
          <t>h.j</t>
        </is>
      </c>
      <c r="F337" s="31">
        <f>1/200</f>
        <v>0.005</v>
      </c>
      <c r="G337" s="32">
        <f>px_mo_man</f>
        <v>5000.0</v>
      </c>
      <c r="H337" s="32">
        <f>F337*G337</f>
        <v>25.0</v>
      </c>
      <c r="I337" s="18">
        <f>q_5_6</f>
        <v>4343.000467049999</v>
      </c>
      <c r="J337" s="18">
        <f>F337*I337</f>
        <v>21.71500233525</v>
      </c>
      <c r="K337" s="12" t="inlineStr">
        <is>
          <t>NON</t>
        </is>
      </c>
    </row>
    <row r="338">
      <c r="A338" s="12" t="inlineStr">
        <is>
          <t>Art. 5.6</t>
        </is>
      </c>
      <c r="B338" s="10" t="inlineStr">
        <is>
          <t>Matériel</t>
        </is>
      </c>
      <c r="C338" s="10" t="inlineStr">
        <is>
          <t>Petit outillage (% de la main-d'œuvre)</t>
        </is>
      </c>
      <c r="D338" s="10" t="n"/>
      <c r="E338" s="12" t="inlineStr">
        <is>
          <t>%</t>
        </is>
      </c>
      <c r="F338" s="33">
        <f>p_PO</f>
        <v>0.03</v>
      </c>
      <c r="G338" s="32">
        <f>SUMIFS(H334:H337,B334:B337,"Main-d'œuvre")</f>
        <v>75.0</v>
      </c>
      <c r="H338" s="32">
        <f>F338*G338</f>
        <v>2.25</v>
      </c>
      <c r="I338" s="10" t="n"/>
      <c r="J338" s="10" t="n"/>
      <c r="K338" s="10" t="n"/>
    </row>
    <row r="339">
      <c r="A339" s="34" t="n"/>
      <c r="B339" s="34" t="n"/>
      <c r="C339" s="35" t="inlineStr">
        <is>
          <t>DÉBOURSÉ SEC UNITAIRE / kg</t>
        </is>
      </c>
      <c r="D339" s="34" t="n"/>
      <c r="E339" s="34" t="n"/>
      <c r="F339" s="34" t="n"/>
      <c r="G339" s="34" t="n"/>
      <c r="H339" s="36">
        <f>SUM(H334:H338)</f>
        <v>909.75</v>
      </c>
      <c r="I339" s="34" t="n"/>
      <c r="J339" s="34" t="n"/>
      <c r="K339" s="34" t="n"/>
    </row>
    <row r="341">
      <c r="A341" s="8" t="n"/>
      <c r="B341" s="8" t="inlineStr">
        <is>
          <t>Article 5.7 - Béton armé dosé à 350 kg/m³ pour dallage ép. 20 cm, vibré et surfacé (unité : m³)</t>
        </is>
      </c>
      <c r="C341" s="29" t="n"/>
      <c r="D341" s="29" t="n"/>
      <c r="E341" s="29" t="n"/>
      <c r="F341" s="29" t="n"/>
      <c r="G341" s="29" t="n"/>
      <c r="H341" s="29" t="n"/>
      <c r="I341" s="29" t="n"/>
      <c r="J341" s="29" t="n"/>
      <c r="K341" s="30" t="n"/>
    </row>
    <row r="342">
      <c r="A342" s="12" t="inlineStr">
        <is>
          <t>Art. 5.7</t>
        </is>
      </c>
      <c r="B342" s="10" t="inlineStr">
        <is>
          <t>Matériaux</t>
        </is>
      </c>
      <c r="C342" s="10" t="inlineStr">
        <is>
          <t>Ciment CPJ 42,5 (sac 50 kg)</t>
        </is>
      </c>
      <c r="D342" s="10" t="inlineStr">
        <is>
          <t>ciment</t>
        </is>
      </c>
      <c r="E342" s="12" t="inlineStr">
        <is>
          <t>sac</t>
        </is>
      </c>
      <c r="F342" s="31">
        <f>350/50</f>
        <v>7.0</v>
      </c>
      <c r="G342" s="32">
        <f>px_ciment</f>
        <v>5800.0</v>
      </c>
      <c r="H342" s="32">
        <f>F342*G342</f>
        <v>40600.0</v>
      </c>
      <c r="I342" s="18">
        <f>q_5_7</f>
        <v>58.8045</v>
      </c>
      <c r="J342" s="18">
        <f>F342*I342</f>
        <v>411.63149999999996</v>
      </c>
      <c r="K342" s="12" t="inlineStr">
        <is>
          <t>NON</t>
        </is>
      </c>
    </row>
    <row r="343">
      <c r="A343" s="12" t="inlineStr">
        <is>
          <t>Art. 5.7</t>
        </is>
      </c>
      <c r="B343" s="10" t="inlineStr">
        <is>
          <t>Matériaux</t>
        </is>
      </c>
      <c r="C343" s="10" t="inlineStr">
        <is>
          <t>Sable lavé</t>
        </is>
      </c>
      <c r="D343" s="10" t="inlineStr">
        <is>
          <t>sable</t>
        </is>
      </c>
      <c r="E343" s="12" t="inlineStr">
        <is>
          <t>m³</t>
        </is>
      </c>
      <c r="F343" s="31">
        <f>0.45</f>
        <v>0.45</v>
      </c>
      <c r="G343" s="32">
        <f>px_sable</f>
        <v>12000.0</v>
      </c>
      <c r="H343" s="32">
        <f>F343*G343</f>
        <v>5400.0</v>
      </c>
      <c r="I343" s="18">
        <f>q_5_7</f>
        <v>58.8045</v>
      </c>
      <c r="J343" s="18">
        <f>F343*I343</f>
        <v>26.462025</v>
      </c>
      <c r="K343" s="12" t="inlineStr">
        <is>
          <t>NON</t>
        </is>
      </c>
    </row>
    <row r="344">
      <c r="A344" s="12" t="inlineStr">
        <is>
          <t>Art. 5.7</t>
        </is>
      </c>
      <c r="B344" s="10" t="inlineStr">
        <is>
          <t>Matériaux</t>
        </is>
      </c>
      <c r="C344" s="10" t="inlineStr">
        <is>
          <t>Gravier concassé 5/15 - 15/25</t>
        </is>
      </c>
      <c r="D344" s="10" t="inlineStr">
        <is>
          <t>gravier</t>
        </is>
      </c>
      <c r="E344" s="12" t="inlineStr">
        <is>
          <t>m³</t>
        </is>
      </c>
      <c r="F344" s="31">
        <f>0.85</f>
        <v>0.85</v>
      </c>
      <c r="G344" s="32">
        <f>px_gravier</f>
        <v>25000.0</v>
      </c>
      <c r="H344" s="32">
        <f>F344*G344</f>
        <v>21250.0</v>
      </c>
      <c r="I344" s="18">
        <f>q_5_7</f>
        <v>58.8045</v>
      </c>
      <c r="J344" s="18">
        <f>F344*I344</f>
        <v>49.983824999999996</v>
      </c>
      <c r="K344" s="12" t="inlineStr">
        <is>
          <t>NON</t>
        </is>
      </c>
    </row>
    <row r="345">
      <c r="A345" s="12" t="inlineStr">
        <is>
          <t>Art. 5.7</t>
        </is>
      </c>
      <c r="B345" s="10" t="inlineStr">
        <is>
          <t>Matériaux</t>
        </is>
      </c>
      <c r="C345" s="10" t="inlineStr">
        <is>
          <t>Eau</t>
        </is>
      </c>
      <c r="D345" s="10" t="inlineStr">
        <is>
          <t>eau</t>
        </is>
      </c>
      <c r="E345" s="12" t="inlineStr">
        <is>
          <t>m³</t>
        </is>
      </c>
      <c r="F345" s="31">
        <f>0.20</f>
        <v>0.2</v>
      </c>
      <c r="G345" s="32">
        <f>px_eau</f>
        <v>1000.0</v>
      </c>
      <c r="H345" s="32">
        <f>F345*G345</f>
        <v>200.0</v>
      </c>
      <c r="I345" s="18">
        <f>q_5_7</f>
        <v>58.8045</v>
      </c>
      <c r="J345" s="18">
        <f>F345*I345</f>
        <v>11.7609</v>
      </c>
      <c r="K345" s="12" t="inlineStr">
        <is>
          <t>NON</t>
        </is>
      </c>
    </row>
    <row r="346">
      <c r="A346" s="12" t="inlineStr">
        <is>
          <t>Art. 5.7</t>
        </is>
      </c>
      <c r="B346" s="10" t="inlineStr">
        <is>
          <t>Main-d'œuvre</t>
        </is>
      </c>
      <c r="C346" s="10" t="inlineStr">
        <is>
          <t>Maçon (équipe 1 maçon + 6 manœuvres : 8 m³/j)</t>
        </is>
      </c>
      <c r="D346" s="10" t="inlineStr">
        <is>
          <t>mo_macon</t>
        </is>
      </c>
      <c r="E346" s="12" t="inlineStr">
        <is>
          <t>h.j</t>
        </is>
      </c>
      <c r="F346" s="31">
        <f>1/8</f>
        <v>0.125</v>
      </c>
      <c r="G346" s="32">
        <f>px_mo_macon</f>
        <v>10000.0</v>
      </c>
      <c r="H346" s="32">
        <f>F346*G346</f>
        <v>1250.0</v>
      </c>
      <c r="I346" s="18">
        <f>q_5_7</f>
        <v>58.8045</v>
      </c>
      <c r="J346" s="18">
        <f>F346*I346</f>
        <v>7.3505625</v>
      </c>
      <c r="K346" s="12" t="inlineStr">
        <is>
          <t>NON</t>
        </is>
      </c>
    </row>
    <row r="347">
      <c r="A347" s="12" t="inlineStr">
        <is>
          <t>Art. 5.7</t>
        </is>
      </c>
      <c r="B347" s="10" t="inlineStr">
        <is>
          <t>Main-d'œuvre</t>
        </is>
      </c>
      <c r="C347" s="10" t="inlineStr">
        <is>
          <t>Manœuvres (6 par équipe)</t>
        </is>
      </c>
      <c r="D347" s="10" t="inlineStr">
        <is>
          <t>mo_man</t>
        </is>
      </c>
      <c r="E347" s="12" t="inlineStr">
        <is>
          <t>h.j</t>
        </is>
      </c>
      <c r="F347" s="31">
        <f>6/8</f>
        <v>0.75</v>
      </c>
      <c r="G347" s="32">
        <f>px_mo_man</f>
        <v>5000.0</v>
      </c>
      <c r="H347" s="32">
        <f>F347*G347</f>
        <v>3750.0</v>
      </c>
      <c r="I347" s="18">
        <f>q_5_7</f>
        <v>58.8045</v>
      </c>
      <c r="J347" s="18">
        <f>F347*I347</f>
        <v>44.103375</v>
      </c>
      <c r="K347" s="12" t="inlineStr">
        <is>
          <t>NON</t>
        </is>
      </c>
    </row>
    <row r="348">
      <c r="A348" s="12" t="inlineStr">
        <is>
          <t>Art. 5.7</t>
        </is>
      </c>
      <c r="B348" s="10" t="inlineStr">
        <is>
          <t>Matériel</t>
        </is>
      </c>
      <c r="C348" s="10" t="inlineStr">
        <is>
          <t>Bétonnière 350 L (location)</t>
        </is>
      </c>
      <c r="D348" s="10" t="inlineStr">
        <is>
          <t>mt_bet</t>
        </is>
      </c>
      <c r="E348" s="12" t="inlineStr">
        <is>
          <t>j</t>
        </is>
      </c>
      <c r="F348" s="31">
        <f>1/8</f>
        <v>0.125</v>
      </c>
      <c r="G348" s="32">
        <f>px_mt_bet</f>
        <v>25000.0</v>
      </c>
      <c r="H348" s="32">
        <f>F348*G348</f>
        <v>3125.0</v>
      </c>
      <c r="I348" s="18">
        <f>q_5_7</f>
        <v>58.8045</v>
      </c>
      <c r="J348" s="18">
        <f>F348*I348</f>
        <v>7.3505625</v>
      </c>
      <c r="K348" s="12" t="inlineStr">
        <is>
          <t>NON</t>
        </is>
      </c>
    </row>
    <row r="349">
      <c r="A349" s="12" t="inlineStr">
        <is>
          <t>Art. 5.7</t>
        </is>
      </c>
      <c r="B349" s="10" t="inlineStr">
        <is>
          <t>Matériel</t>
        </is>
      </c>
      <c r="C349" s="10" t="inlineStr">
        <is>
          <t>Vibreur (location)</t>
        </is>
      </c>
      <c r="D349" s="10" t="inlineStr">
        <is>
          <t>mt_vib</t>
        </is>
      </c>
      <c r="E349" s="12" t="inlineStr">
        <is>
          <t>j</t>
        </is>
      </c>
      <c r="F349" s="31">
        <f>1/8</f>
        <v>0.125</v>
      </c>
      <c r="G349" s="32">
        <f>px_mt_vib</f>
        <v>15000.0</v>
      </c>
      <c r="H349" s="32">
        <f>F349*G349</f>
        <v>1875.0</v>
      </c>
      <c r="I349" s="18">
        <f>q_5_7</f>
        <v>58.8045</v>
      </c>
      <c r="J349" s="18">
        <f>F349*I349</f>
        <v>7.3505625</v>
      </c>
      <c r="K349" s="12" t="inlineStr">
        <is>
          <t>NON</t>
        </is>
      </c>
    </row>
    <row r="350">
      <c r="A350" s="12" t="inlineStr">
        <is>
          <t>Art. 5.7</t>
        </is>
      </c>
      <c r="B350" s="10" t="inlineStr">
        <is>
          <t>Matériel</t>
        </is>
      </c>
      <c r="C350" s="10" t="inlineStr">
        <is>
          <t>Petit outillage (% de la main-d'œuvre)</t>
        </is>
      </c>
      <c r="D350" s="10" t="n"/>
      <c r="E350" s="12" t="inlineStr">
        <is>
          <t>%</t>
        </is>
      </c>
      <c r="F350" s="33">
        <f>p_PO</f>
        <v>0.03</v>
      </c>
      <c r="G350" s="32">
        <f>SUMIFS(H342:H349,B342:B349,"Main-d'œuvre")</f>
        <v>5000.0</v>
      </c>
      <c r="H350" s="32">
        <f>F350*G350</f>
        <v>150.0</v>
      </c>
      <c r="I350" s="10" t="n"/>
      <c r="J350" s="10" t="n"/>
      <c r="K350" s="10" t="n"/>
    </row>
    <row r="351">
      <c r="A351" s="34" t="n"/>
      <c r="B351" s="34" t="n"/>
      <c r="C351" s="35" t="inlineStr">
        <is>
          <t>DÉBOURSÉ SEC UNITAIRE / m³</t>
        </is>
      </c>
      <c r="D351" s="34" t="n"/>
      <c r="E351" s="34" t="n"/>
      <c r="F351" s="34" t="n"/>
      <c r="G351" s="34" t="n"/>
      <c r="H351" s="36">
        <f>SUM(H342:H350)</f>
        <v>77600.0</v>
      </c>
      <c r="I351" s="34" t="n"/>
      <c r="J351" s="34" t="n"/>
      <c r="K351" s="34" t="n"/>
    </row>
    <row r="353">
      <c r="A353" s="8" t="n"/>
      <c r="B353" s="8" t="inlineStr">
        <is>
          <t>Article 5.8 - Joints de retrait sciés (maille 5 m) et joint périphérique (unité : ml)</t>
        </is>
      </c>
      <c r="C353" s="29" t="n"/>
      <c r="D353" s="29" t="n"/>
      <c r="E353" s="29" t="n"/>
      <c r="F353" s="29" t="n"/>
      <c r="G353" s="29" t="n"/>
      <c r="H353" s="29" t="n"/>
      <c r="I353" s="29" t="n"/>
      <c r="J353" s="29" t="n"/>
      <c r="K353" s="30" t="n"/>
    </row>
    <row r="354">
      <c r="A354" s="12" t="inlineStr">
        <is>
          <t>Art. 5.8</t>
        </is>
      </c>
      <c r="B354" s="10" t="inlineStr">
        <is>
          <t>Matériaux</t>
        </is>
      </c>
      <c r="C354" s="10" t="inlineStr">
        <is>
          <t>Fond de joint + mastic / joint périphérique</t>
        </is>
      </c>
      <c r="D354" s="10" t="inlineStr">
        <is>
          <t>joint</t>
        </is>
      </c>
      <c r="E354" s="12" t="inlineStr">
        <is>
          <t>ml</t>
        </is>
      </c>
      <c r="F354" s="31">
        <f>1</f>
        <v>1.0</v>
      </c>
      <c r="G354" s="32">
        <f>px_joint</f>
        <v>800.0</v>
      </c>
      <c r="H354" s="32">
        <f>F354*G354</f>
        <v>800.0</v>
      </c>
      <c r="I354" s="18">
        <f>q_5_8</f>
        <v>158.5</v>
      </c>
      <c r="J354" s="18">
        <f>F354*I354</f>
        <v>158.5</v>
      </c>
      <c r="K354" s="12" t="inlineStr">
        <is>
          <t>NON</t>
        </is>
      </c>
    </row>
    <row r="355">
      <c r="A355" s="12" t="inlineStr">
        <is>
          <t>Art. 5.8</t>
        </is>
      </c>
      <c r="B355" s="10" t="inlineStr">
        <is>
          <t>Main-d'œuvre</t>
        </is>
      </c>
      <c r="C355" s="10" t="inlineStr">
        <is>
          <t>Maçon (60 ml/j)</t>
        </is>
      </c>
      <c r="D355" s="10" t="inlineStr">
        <is>
          <t>mo_macon</t>
        </is>
      </c>
      <c r="E355" s="12" t="inlineStr">
        <is>
          <t>h.j</t>
        </is>
      </c>
      <c r="F355" s="31">
        <f>1/60</f>
        <v>0.016666666666666666</v>
      </c>
      <c r="G355" s="32">
        <f>px_mo_macon</f>
        <v>10000.0</v>
      </c>
      <c r="H355" s="32">
        <f>F355*G355</f>
        <v>166.66666666666666</v>
      </c>
      <c r="I355" s="18">
        <f>q_5_8</f>
        <v>158.5</v>
      </c>
      <c r="J355" s="18">
        <f>F355*I355</f>
        <v>2.6416666666666666</v>
      </c>
      <c r="K355" s="12" t="inlineStr">
        <is>
          <t>NON</t>
        </is>
      </c>
    </row>
    <row r="356">
      <c r="A356" s="12" t="inlineStr">
        <is>
          <t>Art. 5.8</t>
        </is>
      </c>
      <c r="B356" s="10" t="inlineStr">
        <is>
          <t>Matériel</t>
        </is>
      </c>
      <c r="C356" s="10" t="inlineStr">
        <is>
          <t>Scie à sol (120 ml/j)</t>
        </is>
      </c>
      <c r="D356" s="10" t="inlineStr">
        <is>
          <t>mt_scie</t>
        </is>
      </c>
      <c r="E356" s="12" t="inlineStr">
        <is>
          <t>j</t>
        </is>
      </c>
      <c r="F356" s="31">
        <f>1/120</f>
        <v>0.008333333333333333</v>
      </c>
      <c r="G356" s="32">
        <f>px_mt_scie</f>
        <v>30000.0</v>
      </c>
      <c r="H356" s="32">
        <f>F356*G356</f>
        <v>250.0</v>
      </c>
      <c r="I356" s="18">
        <f>q_5_8</f>
        <v>158.5</v>
      </c>
      <c r="J356" s="18">
        <f>F356*I356</f>
        <v>1.3208333333333333</v>
      </c>
      <c r="K356" s="12" t="inlineStr">
        <is>
          <t>NON</t>
        </is>
      </c>
    </row>
    <row r="357">
      <c r="A357" s="12" t="inlineStr">
        <is>
          <t>Art. 5.8</t>
        </is>
      </c>
      <c r="B357" s="10" t="inlineStr">
        <is>
          <t>Matériel</t>
        </is>
      </c>
      <c r="C357" s="10" t="inlineStr">
        <is>
          <t>Petit outillage (% de la main-d'œuvre)</t>
        </is>
      </c>
      <c r="D357" s="10" t="n"/>
      <c r="E357" s="12" t="inlineStr">
        <is>
          <t>%</t>
        </is>
      </c>
      <c r="F357" s="33">
        <f>p_PO</f>
        <v>0.03</v>
      </c>
      <c r="G357" s="32">
        <f>SUMIFS(H354:H356,B354:B356,"Main-d'œuvre")</f>
        <v>166.66666666666666</v>
      </c>
      <c r="H357" s="32">
        <f>F357*G357</f>
        <v>4.999999999999999</v>
      </c>
      <c r="I357" s="10" t="n"/>
      <c r="J357" s="10" t="n"/>
      <c r="K357" s="10" t="n"/>
    </row>
    <row r="358">
      <c r="A358" s="34" t="n"/>
      <c r="B358" s="34" t="n"/>
      <c r="C358" s="35" t="inlineStr">
        <is>
          <t>DÉBOURSÉ SEC UNITAIRE / ml</t>
        </is>
      </c>
      <c r="D358" s="34" t="n"/>
      <c r="E358" s="34" t="n"/>
      <c r="F358" s="34" t="n"/>
      <c r="G358" s="34" t="n"/>
      <c r="H358" s="36">
        <f>SUM(H354:H357)</f>
        <v>1221.6666666666665</v>
      </c>
      <c r="I358" s="34" t="n"/>
      <c r="J358" s="34" t="n"/>
      <c r="K358" s="34" t="n"/>
    </row>
    <row r="360">
      <c r="A360" s="8" t="n"/>
      <c r="B360" s="8" t="inlineStr">
        <is>
          <t>Article 6.1 - Enduit au mortier dosé à 300 kg/m³ ép. 2 cm, intérieur et extérieur (unité : m²)</t>
        </is>
      </c>
      <c r="C360" s="29" t="n"/>
      <c r="D360" s="29" t="n"/>
      <c r="E360" s="29" t="n"/>
      <c r="F360" s="29" t="n"/>
      <c r="G360" s="29" t="n"/>
      <c r="H360" s="29" t="n"/>
      <c r="I360" s="29" t="n"/>
      <c r="J360" s="29" t="n"/>
      <c r="K360" s="30" t="n"/>
    </row>
    <row r="361">
      <c r="A361" s="12" t="inlineStr">
        <is>
          <t>Art. 6.1</t>
        </is>
      </c>
      <c r="B361" s="10" t="inlineStr">
        <is>
          <t>Matériaux</t>
        </is>
      </c>
      <c r="C361" s="10" t="inlineStr">
        <is>
          <t>Ciment CPJ 42,5 (sac 50 kg)</t>
        </is>
      </c>
      <c r="D361" s="10" t="inlineStr">
        <is>
          <t>ciment</t>
        </is>
      </c>
      <c r="E361" s="12" t="inlineStr">
        <is>
          <t>sac</t>
        </is>
      </c>
      <c r="F361" s="31">
        <f>0.13</f>
        <v>0.13</v>
      </c>
      <c r="G361" s="32">
        <f>px_ciment</f>
        <v>5800.0</v>
      </c>
      <c r="H361" s="32">
        <f>F361*G361</f>
        <v>754.0</v>
      </c>
      <c r="I361" s="18">
        <f>q_6_1</f>
        <v>926.24</v>
      </c>
      <c r="J361" s="18">
        <f>F361*I361</f>
        <v>120.41120000000001</v>
      </c>
      <c r="K361" s="12" t="inlineStr">
        <is>
          <t>OUI</t>
        </is>
      </c>
    </row>
    <row r="362">
      <c r="A362" s="12" t="inlineStr">
        <is>
          <t>Art. 6.1</t>
        </is>
      </c>
      <c r="B362" s="10" t="inlineStr">
        <is>
          <t>Matériaux</t>
        </is>
      </c>
      <c r="C362" s="10" t="inlineStr">
        <is>
          <t>Sable lavé</t>
        </is>
      </c>
      <c r="D362" s="10" t="inlineStr">
        <is>
          <t>sable</t>
        </is>
      </c>
      <c r="E362" s="12" t="inlineStr">
        <is>
          <t>m³</t>
        </is>
      </c>
      <c r="F362" s="31">
        <f>0.025</f>
        <v>0.025</v>
      </c>
      <c r="G362" s="32">
        <f>px_sable</f>
        <v>12000.0</v>
      </c>
      <c r="H362" s="32">
        <f>F362*G362</f>
        <v>300.0</v>
      </c>
      <c r="I362" s="18">
        <f>q_6_1</f>
        <v>926.24</v>
      </c>
      <c r="J362" s="18">
        <f>F362*I362</f>
        <v>23.156000000000002</v>
      </c>
      <c r="K362" s="12" t="inlineStr">
        <is>
          <t>OUI</t>
        </is>
      </c>
    </row>
    <row r="363">
      <c r="A363" s="12" t="inlineStr">
        <is>
          <t>Art. 6.1</t>
        </is>
      </c>
      <c r="B363" s="10" t="inlineStr">
        <is>
          <t>Matériaux</t>
        </is>
      </c>
      <c r="C363" s="10" t="inlineStr">
        <is>
          <t>Eau</t>
        </is>
      </c>
      <c r="D363" s="10" t="inlineStr">
        <is>
          <t>eau</t>
        </is>
      </c>
      <c r="E363" s="12" t="inlineStr">
        <is>
          <t>m³</t>
        </is>
      </c>
      <c r="F363" s="31">
        <f>0.01</f>
        <v>0.01</v>
      </c>
      <c r="G363" s="32">
        <f>px_eau</f>
        <v>1000.0</v>
      </c>
      <c r="H363" s="32">
        <f>F363*G363</f>
        <v>10.0</v>
      </c>
      <c r="I363" s="18">
        <f>q_6_1</f>
        <v>926.24</v>
      </c>
      <c r="J363" s="18">
        <f>F363*I363</f>
        <v>9.2624</v>
      </c>
      <c r="K363" s="12" t="inlineStr">
        <is>
          <t>OUI</t>
        </is>
      </c>
    </row>
    <row r="364">
      <c r="A364" s="12" t="inlineStr">
        <is>
          <t>Art. 6.1</t>
        </is>
      </c>
      <c r="B364" s="10" t="inlineStr">
        <is>
          <t>Main-d'œuvre</t>
        </is>
      </c>
      <c r="C364" s="10" t="inlineStr">
        <is>
          <t>Maçon (12 m²/j)</t>
        </is>
      </c>
      <c r="D364" s="10" t="inlineStr">
        <is>
          <t>mo_macon</t>
        </is>
      </c>
      <c r="E364" s="12" t="inlineStr">
        <is>
          <t>h.j</t>
        </is>
      </c>
      <c r="F364" s="31">
        <f>1/12</f>
        <v>0.08333333333333333</v>
      </c>
      <c r="G364" s="32">
        <f>px_mo_macon</f>
        <v>10000.0</v>
      </c>
      <c r="H364" s="32">
        <f>F364*G364</f>
        <v>833.3333333333333</v>
      </c>
      <c r="I364" s="18">
        <f>q_6_1</f>
        <v>926.24</v>
      </c>
      <c r="J364" s="18">
        <f>F364*I364</f>
        <v>77.18666666666667</v>
      </c>
      <c r="K364" s="12" t="inlineStr">
        <is>
          <t>OUI</t>
        </is>
      </c>
    </row>
    <row r="365">
      <c r="A365" s="12" t="inlineStr">
        <is>
          <t>Art. 6.1</t>
        </is>
      </c>
      <c r="B365" s="10" t="inlineStr">
        <is>
          <t>Main-d'œuvre</t>
        </is>
      </c>
      <c r="C365" s="10" t="inlineStr">
        <is>
          <t>Manœuvre (12 m²/j)</t>
        </is>
      </c>
      <c r="D365" s="10" t="inlineStr">
        <is>
          <t>mo_man</t>
        </is>
      </c>
      <c r="E365" s="12" t="inlineStr">
        <is>
          <t>h.j</t>
        </is>
      </c>
      <c r="F365" s="31">
        <f>1/12</f>
        <v>0.08333333333333333</v>
      </c>
      <c r="G365" s="32">
        <f>px_mo_man</f>
        <v>5000.0</v>
      </c>
      <c r="H365" s="32">
        <f>F365*G365</f>
        <v>416.66666666666663</v>
      </c>
      <c r="I365" s="18">
        <f>q_6_1</f>
        <v>926.24</v>
      </c>
      <c r="J365" s="18">
        <f>F365*I365</f>
        <v>77.18666666666667</v>
      </c>
      <c r="K365" s="12" t="inlineStr">
        <is>
          <t>OUI</t>
        </is>
      </c>
    </row>
    <row r="366">
      <c r="A366" s="12" t="inlineStr">
        <is>
          <t>Art. 6.1</t>
        </is>
      </c>
      <c r="B366" s="10" t="inlineStr">
        <is>
          <t>Matériel</t>
        </is>
      </c>
      <c r="C366" s="10" t="inlineStr">
        <is>
          <t>Échafaudage (location)</t>
        </is>
      </c>
      <c r="D366" s="10" t="inlineStr">
        <is>
          <t>mt_echaf</t>
        </is>
      </c>
      <c r="E366" s="12" t="inlineStr">
        <is>
          <t>m²</t>
        </is>
      </c>
      <c r="F366" s="31">
        <f>1</f>
        <v>1.0</v>
      </c>
      <c r="G366" s="32">
        <f>px_mt_echaf</f>
        <v>150.0</v>
      </c>
      <c r="H366" s="32">
        <f>F366*G366</f>
        <v>150.0</v>
      </c>
      <c r="I366" s="18">
        <f>q_6_1</f>
        <v>926.24</v>
      </c>
      <c r="J366" s="18">
        <f>F366*I366</f>
        <v>926.24</v>
      </c>
      <c r="K366" s="12" t="inlineStr">
        <is>
          <t>OUI</t>
        </is>
      </c>
    </row>
    <row r="367">
      <c r="A367" s="12" t="inlineStr">
        <is>
          <t>Art. 6.1</t>
        </is>
      </c>
      <c r="B367" s="10" t="inlineStr">
        <is>
          <t>Matériel</t>
        </is>
      </c>
      <c r="C367" s="10" t="inlineStr">
        <is>
          <t>Petit outillage (% de la main-d'œuvre)</t>
        </is>
      </c>
      <c r="D367" s="10" t="n"/>
      <c r="E367" s="12" t="inlineStr">
        <is>
          <t>%</t>
        </is>
      </c>
      <c r="F367" s="33">
        <f>p_PO</f>
        <v>0.03</v>
      </c>
      <c r="G367" s="32">
        <f>SUMIFS(H361:H366,B361:B366,"Main-d'œuvre")</f>
        <v>1250.0</v>
      </c>
      <c r="H367" s="32">
        <f>F367*G367</f>
        <v>37.5</v>
      </c>
      <c r="I367" s="10" t="n"/>
      <c r="J367" s="10" t="n"/>
      <c r="K367" s="10" t="n"/>
    </row>
    <row r="368">
      <c r="A368" s="34" t="n"/>
      <c r="B368" s="34" t="n"/>
      <c r="C368" s="35" t="inlineStr">
        <is>
          <t>DÉBOURSÉ SEC UNITAIRE / m²</t>
        </is>
      </c>
      <c r="D368" s="34" t="n"/>
      <c r="E368" s="34" t="n"/>
      <c r="F368" s="34" t="n"/>
      <c r="G368" s="34" t="n"/>
      <c r="H368" s="36">
        <f>SUM(H361:H367)</f>
        <v>2501.5</v>
      </c>
      <c r="I368" s="34" t="n"/>
      <c r="J368" s="34" t="n"/>
      <c r="K368" s="34" t="n"/>
    </row>
    <row r="370">
      <c r="A370" s="8" t="n"/>
      <c r="B370" s="8" t="inlineStr">
        <is>
          <t>Article 7.1 - Fermes / traverses de toiture sur têtes d'IPE 220 (hors pannes) - ratio à confirmer par note de calcul (unité : kg)</t>
        </is>
      </c>
      <c r="C370" s="29" t="n"/>
      <c r="D370" s="29" t="n"/>
      <c r="E370" s="29" t="n"/>
      <c r="F370" s="29" t="n"/>
      <c r="G370" s="29" t="n"/>
      <c r="H370" s="29" t="n"/>
      <c r="I370" s="29" t="n"/>
      <c r="J370" s="29" t="n"/>
      <c r="K370" s="30" t="n"/>
    </row>
    <row r="371">
      <c r="A371" s="12" t="inlineStr">
        <is>
          <t>Art. 7.1</t>
        </is>
      </c>
      <c r="B371" s="10" t="inlineStr">
        <is>
          <t>Matériaux</t>
        </is>
      </c>
      <c r="C371" s="10" t="inlineStr">
        <is>
          <t>Profilés charpente de toiture + peinture</t>
        </is>
      </c>
      <c r="D371" s="10" t="inlineStr">
        <is>
          <t>acier_ch</t>
        </is>
      </c>
      <c r="E371" s="12" t="inlineStr">
        <is>
          <t>kg</t>
        </is>
      </c>
      <c r="F371" s="31">
        <f>1.05</f>
        <v>1.05</v>
      </c>
      <c r="G371" s="32">
        <f>px_acier_ch</f>
        <v>950.0</v>
      </c>
      <c r="H371" s="32">
        <f>F371*G371</f>
        <v>997.5</v>
      </c>
      <c r="I371" s="18">
        <f>q_7_1</f>
        <v>2728.0</v>
      </c>
      <c r="J371" s="18">
        <f>F371*I371</f>
        <v>2864.4</v>
      </c>
      <c r="K371" s="12" t="inlineStr">
        <is>
          <t>OUI</t>
        </is>
      </c>
    </row>
    <row r="372">
      <c r="A372" s="12" t="inlineStr">
        <is>
          <t>Art. 7.1</t>
        </is>
      </c>
      <c r="B372" s="10" t="inlineStr">
        <is>
          <t>Main-d'œuvre</t>
        </is>
      </c>
      <c r="C372" s="10" t="inlineStr">
        <is>
          <t>Soudeur (60 kg/j)</t>
        </is>
      </c>
      <c r="D372" s="10" t="inlineStr">
        <is>
          <t>mo_soud</t>
        </is>
      </c>
      <c r="E372" s="12" t="inlineStr">
        <is>
          <t>h.j</t>
        </is>
      </c>
      <c r="F372" s="31">
        <f>1/60</f>
        <v>0.016666666666666666</v>
      </c>
      <c r="G372" s="32">
        <f>px_mo_soud</f>
        <v>15000.0</v>
      </c>
      <c r="H372" s="32">
        <f>F372*G372</f>
        <v>250.0</v>
      </c>
      <c r="I372" s="18">
        <f>q_7_1</f>
        <v>2728.0</v>
      </c>
      <c r="J372" s="18">
        <f>F372*I372</f>
        <v>45.46666666666667</v>
      </c>
      <c r="K372" s="12" t="inlineStr">
        <is>
          <t>OUI</t>
        </is>
      </c>
    </row>
    <row r="373">
      <c r="A373" s="12" t="inlineStr">
        <is>
          <t>Art. 7.1</t>
        </is>
      </c>
      <c r="B373" s="10" t="inlineStr">
        <is>
          <t>Main-d'œuvre</t>
        </is>
      </c>
      <c r="C373" s="10" t="inlineStr">
        <is>
          <t>Manœuvre (60 kg/j)</t>
        </is>
      </c>
      <c r="D373" s="10" t="inlineStr">
        <is>
          <t>mo_man</t>
        </is>
      </c>
      <c r="E373" s="12" t="inlineStr">
        <is>
          <t>h.j</t>
        </is>
      </c>
      <c r="F373" s="31">
        <f>1/60</f>
        <v>0.016666666666666666</v>
      </c>
      <c r="G373" s="32">
        <f>px_mo_man</f>
        <v>5000.0</v>
      </c>
      <c r="H373" s="32">
        <f>F373*G373</f>
        <v>83.33333333333333</v>
      </c>
      <c r="I373" s="18">
        <f>q_7_1</f>
        <v>2728.0</v>
      </c>
      <c r="J373" s="18">
        <f>F373*I373</f>
        <v>45.46666666666667</v>
      </c>
      <c r="K373" s="12" t="inlineStr">
        <is>
          <t>OUI</t>
        </is>
      </c>
    </row>
    <row r="374">
      <c r="A374" s="12" t="inlineStr">
        <is>
          <t>Art. 7.1</t>
        </is>
      </c>
      <c r="B374" s="10" t="inlineStr">
        <is>
          <t>Matériel</t>
        </is>
      </c>
      <c r="C374" s="10" t="inlineStr">
        <is>
          <t>Poste à souder, meuleuse, levage (charpente)</t>
        </is>
      </c>
      <c r="D374" s="10" t="inlineStr">
        <is>
          <t>mt_ch</t>
        </is>
      </c>
      <c r="E374" s="12" t="inlineStr">
        <is>
          <t>kg</t>
        </is>
      </c>
      <c r="F374" s="31">
        <f>1</f>
        <v>1.0</v>
      </c>
      <c r="G374" s="32">
        <f>px_mt_ch</f>
        <v>100.0</v>
      </c>
      <c r="H374" s="32">
        <f>F374*G374</f>
        <v>100.0</v>
      </c>
      <c r="I374" s="18">
        <f>q_7_1</f>
        <v>2728.0</v>
      </c>
      <c r="J374" s="18">
        <f>F374*I374</f>
        <v>2728.0</v>
      </c>
      <c r="K374" s="12" t="inlineStr">
        <is>
          <t>OUI</t>
        </is>
      </c>
    </row>
    <row r="375">
      <c r="A375" s="12" t="inlineStr">
        <is>
          <t>Art. 7.1</t>
        </is>
      </c>
      <c r="B375" s="10" t="inlineStr">
        <is>
          <t>Matériel</t>
        </is>
      </c>
      <c r="C375" s="10" t="inlineStr">
        <is>
          <t>Petit outillage (% de la main-d'œuvre)</t>
        </is>
      </c>
      <c r="D375" s="10" t="n"/>
      <c r="E375" s="12" t="inlineStr">
        <is>
          <t>%</t>
        </is>
      </c>
      <c r="F375" s="33">
        <f>p_PO</f>
        <v>0.03</v>
      </c>
      <c r="G375" s="32">
        <f>SUMIFS(H371:H374,B371:B374,"Main-d'œuvre")</f>
        <v>333.3333333333333</v>
      </c>
      <c r="H375" s="32">
        <f>F375*G375</f>
        <v>9.999999999999998</v>
      </c>
      <c r="I375" s="10" t="n"/>
      <c r="J375" s="10" t="n"/>
      <c r="K375" s="10" t="n"/>
    </row>
    <row r="376">
      <c r="A376" s="34" t="n"/>
      <c r="B376" s="34" t="n"/>
      <c r="C376" s="35" t="inlineStr">
        <is>
          <t>DÉBOURSÉ SEC UNITAIRE / kg</t>
        </is>
      </c>
      <c r="D376" s="34" t="n"/>
      <c r="E376" s="34" t="n"/>
      <c r="F376" s="34" t="n"/>
      <c r="G376" s="34" t="n"/>
      <c r="H376" s="36">
        <f>SUM(H371:H375)</f>
        <v>1440.8333333333333</v>
      </c>
      <c r="I376" s="34" t="n"/>
      <c r="J376" s="34" t="n"/>
      <c r="K376" s="34" t="n"/>
    </row>
    <row r="378">
      <c r="A378" s="8" t="n"/>
      <c r="B378" s="8" t="inlineStr">
        <is>
          <t>Article 7.2 - Pannes en Z 120 x 2 mm, entraxe ≤ 1,20 m, y compris échantignoles et boulonnerie (unité : kg)</t>
        </is>
      </c>
      <c r="C378" s="29" t="n"/>
      <c r="D378" s="29" t="n"/>
      <c r="E378" s="29" t="n"/>
      <c r="F378" s="29" t="n"/>
      <c r="G378" s="29" t="n"/>
      <c r="H378" s="29" t="n"/>
      <c r="I378" s="29" t="n"/>
      <c r="J378" s="29" t="n"/>
      <c r="K378" s="30" t="n"/>
    </row>
    <row r="379">
      <c r="A379" s="12" t="inlineStr">
        <is>
          <t>Art. 7.2</t>
        </is>
      </c>
      <c r="B379" s="10" t="inlineStr">
        <is>
          <t>Matériaux</t>
        </is>
      </c>
      <c r="C379" s="10" t="inlineStr">
        <is>
          <t>Panne Z 120 x 2 galvanisée + échantignoles + boulons</t>
        </is>
      </c>
      <c r="D379" s="10" t="inlineStr">
        <is>
          <t>zpanne</t>
        </is>
      </c>
      <c r="E379" s="12" t="inlineStr">
        <is>
          <t>kg</t>
        </is>
      </c>
      <c r="F379" s="31">
        <f>1</f>
        <v>1.0</v>
      </c>
      <c r="G379" s="32">
        <f>px_zpanne</f>
        <v>1000.0</v>
      </c>
      <c r="H379" s="32">
        <f>F379*G379</f>
        <v>1000.0</v>
      </c>
      <c r="I379" s="18">
        <f>q_7_2</f>
        <v>1523.3400000000001</v>
      </c>
      <c r="J379" s="18">
        <f>F379*I379</f>
        <v>1523.3400000000001</v>
      </c>
      <c r="K379" s="12" t="inlineStr">
        <is>
          <t>OUI</t>
        </is>
      </c>
    </row>
    <row r="380">
      <c r="A380" s="12" t="inlineStr">
        <is>
          <t>Art. 7.2</t>
        </is>
      </c>
      <c r="B380" s="10" t="inlineStr">
        <is>
          <t>Main-d'œuvre</t>
        </is>
      </c>
      <c r="C380" s="10" t="inlineStr">
        <is>
          <t>Monteur (150 kg/j)</t>
        </is>
      </c>
      <c r="D380" s="10" t="inlineStr">
        <is>
          <t>mo_soud</t>
        </is>
      </c>
      <c r="E380" s="12" t="inlineStr">
        <is>
          <t>h.j</t>
        </is>
      </c>
      <c r="F380" s="31">
        <f>1/150</f>
        <v>0.006666666666666667</v>
      </c>
      <c r="G380" s="32">
        <f>px_mo_soud</f>
        <v>15000.0</v>
      </c>
      <c r="H380" s="32">
        <f>F380*G380</f>
        <v>100.0</v>
      </c>
      <c r="I380" s="18">
        <f>q_7_2</f>
        <v>1523.3400000000001</v>
      </c>
      <c r="J380" s="18">
        <f>F380*I380</f>
        <v>10.155600000000002</v>
      </c>
      <c r="K380" s="12" t="inlineStr">
        <is>
          <t>OUI</t>
        </is>
      </c>
    </row>
    <row r="381">
      <c r="A381" s="12" t="inlineStr">
        <is>
          <t>Art. 7.2</t>
        </is>
      </c>
      <c r="B381" s="10" t="inlineStr">
        <is>
          <t>Main-d'œuvre</t>
        </is>
      </c>
      <c r="C381" s="10" t="inlineStr">
        <is>
          <t>Manœuvres (2 / monteur)</t>
        </is>
      </c>
      <c r="D381" s="10" t="inlineStr">
        <is>
          <t>mo_man</t>
        </is>
      </c>
      <c r="E381" s="12" t="inlineStr">
        <is>
          <t>h.j</t>
        </is>
      </c>
      <c r="F381" s="31">
        <f>2/150</f>
        <v>0.013333333333333334</v>
      </c>
      <c r="G381" s="32">
        <f>px_mo_man</f>
        <v>5000.0</v>
      </c>
      <c r="H381" s="32">
        <f>F381*G381</f>
        <v>66.66666666666667</v>
      </c>
      <c r="I381" s="18">
        <f>q_7_2</f>
        <v>1523.3400000000001</v>
      </c>
      <c r="J381" s="18">
        <f>F381*I381</f>
        <v>20.311200000000003</v>
      </c>
      <c r="K381" s="12" t="inlineStr">
        <is>
          <t>OUI</t>
        </is>
      </c>
    </row>
    <row r="382">
      <c r="A382" s="12" t="inlineStr">
        <is>
          <t>Art. 7.2</t>
        </is>
      </c>
      <c r="B382" s="10" t="inlineStr">
        <is>
          <t>Matériel</t>
        </is>
      </c>
      <c r="C382" s="10" t="inlineStr">
        <is>
          <t>Levage, perceuse, petit matériel</t>
        </is>
      </c>
      <c r="D382" s="10" t="inlineStr">
        <is>
          <t>mt_ch</t>
        </is>
      </c>
      <c r="E382" s="12" t="inlineStr">
        <is>
          <t>kg</t>
        </is>
      </c>
      <c r="F382" s="31">
        <f>0.5</f>
        <v>0.5</v>
      </c>
      <c r="G382" s="32">
        <f>px_mt_ch</f>
        <v>100.0</v>
      </c>
      <c r="H382" s="32">
        <f>F382*G382</f>
        <v>50.0</v>
      </c>
      <c r="I382" s="18">
        <f>q_7_2</f>
        <v>1523.3400000000001</v>
      </c>
      <c r="J382" s="18">
        <f>F382*I382</f>
        <v>761.6700000000001</v>
      </c>
      <c r="K382" s="12" t="inlineStr">
        <is>
          <t>OUI</t>
        </is>
      </c>
    </row>
    <row r="383">
      <c r="A383" s="12" t="inlineStr">
        <is>
          <t>Art. 7.2</t>
        </is>
      </c>
      <c r="B383" s="10" t="inlineStr">
        <is>
          <t>Matériel</t>
        </is>
      </c>
      <c r="C383" s="10" t="inlineStr">
        <is>
          <t>Petit outillage (% de la main-d'œuvre)</t>
        </is>
      </c>
      <c r="D383" s="10" t="n"/>
      <c r="E383" s="12" t="inlineStr">
        <is>
          <t>%</t>
        </is>
      </c>
      <c r="F383" s="33">
        <f>p_PO</f>
        <v>0.03</v>
      </c>
      <c r="G383" s="32">
        <f>SUMIFS(H379:H382,B379:B382,"Main-d'œuvre")</f>
        <v>166.66666666666669</v>
      </c>
      <c r="H383" s="32">
        <f>F383*G383</f>
        <v>5.0</v>
      </c>
      <c r="I383" s="10" t="n"/>
      <c r="J383" s="10" t="n"/>
      <c r="K383" s="10" t="n"/>
    </row>
    <row r="384">
      <c r="A384" s="34" t="n"/>
      <c r="B384" s="34" t="n"/>
      <c r="C384" s="35" t="inlineStr">
        <is>
          <t>DÉBOURSÉ SEC UNITAIRE / kg</t>
        </is>
      </c>
      <c r="D384" s="34" t="n"/>
      <c r="E384" s="34" t="n"/>
      <c r="F384" s="34" t="n"/>
      <c r="G384" s="34" t="n"/>
      <c r="H384" s="36">
        <f>SUM(H379:H383)</f>
        <v>1221.6666666666667</v>
      </c>
      <c r="I384" s="34" t="n"/>
      <c r="J384" s="34" t="n"/>
      <c r="K384" s="34" t="n"/>
    </row>
    <row r="386">
      <c r="A386" s="8" t="n"/>
      <c r="B386" s="8" t="inlineStr">
        <is>
          <t>Article 7.3 - Couverture en tôles bacs 5 ondulations sur pannes Z, pente 20 %, débords 0,50 m (unité : m²)</t>
        </is>
      </c>
      <c r="C386" s="29" t="n"/>
      <c r="D386" s="29" t="n"/>
      <c r="E386" s="29" t="n"/>
      <c r="F386" s="29" t="n"/>
      <c r="G386" s="29" t="n"/>
      <c r="H386" s="29" t="n"/>
      <c r="I386" s="29" t="n"/>
      <c r="J386" s="29" t="n"/>
      <c r="K386" s="30" t="n"/>
    </row>
    <row r="387">
      <c r="A387" s="12" t="inlineStr">
        <is>
          <t>Art. 7.3</t>
        </is>
      </c>
      <c r="B387" s="10" t="inlineStr">
        <is>
          <t>Matériaux</t>
        </is>
      </c>
      <c r="C387" s="10" t="inlineStr">
        <is>
          <t>Tôle bac 5 ondes (alu 6/10 ou acier prélaqué) + fixations</t>
        </is>
      </c>
      <c r="D387" s="10" t="inlineStr">
        <is>
          <t>bac</t>
        </is>
      </c>
      <c r="E387" s="12" t="inlineStr">
        <is>
          <t>m²</t>
        </is>
      </c>
      <c r="F387" s="31">
        <f>1.10</f>
        <v>1.1</v>
      </c>
      <c r="G387" s="32">
        <f>px_bac</f>
        <v>4500.0</v>
      </c>
      <c r="H387" s="32">
        <f>F387*G387</f>
        <v>4950.0</v>
      </c>
      <c r="I387" s="18">
        <f>q_7_3</f>
        <v>347.1392098427526</v>
      </c>
      <c r="J387" s="18">
        <f>F387*I387</f>
        <v>381.85313082702794</v>
      </c>
      <c r="K387" s="12" t="inlineStr">
        <is>
          <t>OUI</t>
        </is>
      </c>
    </row>
    <row r="388">
      <c r="A388" s="12" t="inlineStr">
        <is>
          <t>Art. 7.3</t>
        </is>
      </c>
      <c r="B388" s="10" t="inlineStr">
        <is>
          <t>Main-d'œuvre</t>
        </is>
      </c>
      <c r="C388" s="10" t="inlineStr">
        <is>
          <t>Couvreur (40 m²/j)</t>
        </is>
      </c>
      <c r="D388" s="10" t="inlineStr">
        <is>
          <t>mo_soud</t>
        </is>
      </c>
      <c r="E388" s="12" t="inlineStr">
        <is>
          <t>h.j</t>
        </is>
      </c>
      <c r="F388" s="31">
        <f>1/40</f>
        <v>0.025</v>
      </c>
      <c r="G388" s="32">
        <f>px_mo_soud</f>
        <v>15000.0</v>
      </c>
      <c r="H388" s="32">
        <f>F388*G388</f>
        <v>375.0</v>
      </c>
      <c r="I388" s="18">
        <f>q_7_3</f>
        <v>347.1392098427526</v>
      </c>
      <c r="J388" s="18">
        <f>F388*I388</f>
        <v>8.678480246068816</v>
      </c>
      <c r="K388" s="12" t="inlineStr">
        <is>
          <t>OUI</t>
        </is>
      </c>
    </row>
    <row r="389">
      <c r="A389" s="12" t="inlineStr">
        <is>
          <t>Art. 7.3</t>
        </is>
      </c>
      <c r="B389" s="10" t="inlineStr">
        <is>
          <t>Main-d'œuvre</t>
        </is>
      </c>
      <c r="C389" s="10" t="inlineStr">
        <is>
          <t>Manœuvre (40 m²/j)</t>
        </is>
      </c>
      <c r="D389" s="10" t="inlineStr">
        <is>
          <t>mo_man</t>
        </is>
      </c>
      <c r="E389" s="12" t="inlineStr">
        <is>
          <t>h.j</t>
        </is>
      </c>
      <c r="F389" s="31">
        <f>1/40</f>
        <v>0.025</v>
      </c>
      <c r="G389" s="32">
        <f>px_mo_man</f>
        <v>5000.0</v>
      </c>
      <c r="H389" s="32">
        <f>F389*G389</f>
        <v>125.0</v>
      </c>
      <c r="I389" s="18">
        <f>q_7_3</f>
        <v>347.1392098427526</v>
      </c>
      <c r="J389" s="18">
        <f>F389*I389</f>
        <v>8.678480246068816</v>
      </c>
      <c r="K389" s="12" t="inlineStr">
        <is>
          <t>OUI</t>
        </is>
      </c>
    </row>
    <row r="390">
      <c r="A390" s="12" t="inlineStr">
        <is>
          <t>Art. 7.3</t>
        </is>
      </c>
      <c r="B390" s="10" t="inlineStr">
        <is>
          <t>Matériel</t>
        </is>
      </c>
      <c r="C390" s="10" t="inlineStr">
        <is>
          <t>Petit outillage (% de la main-d'œuvre)</t>
        </is>
      </c>
      <c r="D390" s="10" t="n"/>
      <c r="E390" s="12" t="inlineStr">
        <is>
          <t>%</t>
        </is>
      </c>
      <c r="F390" s="33">
        <f>p_PO</f>
        <v>0.03</v>
      </c>
      <c r="G390" s="32">
        <f>SUMIFS(H387:H389,B387:B389,"Main-d'œuvre")</f>
        <v>500.0</v>
      </c>
      <c r="H390" s="32">
        <f>F390*G390</f>
        <v>15.0</v>
      </c>
      <c r="I390" s="10" t="n"/>
      <c r="J390" s="10" t="n"/>
      <c r="K390" s="10" t="n"/>
    </row>
    <row r="391">
      <c r="A391" s="34" t="n"/>
      <c r="B391" s="34" t="n"/>
      <c r="C391" s="35" t="inlineStr">
        <is>
          <t>DÉBOURSÉ SEC UNITAIRE / m²</t>
        </is>
      </c>
      <c r="D391" s="34" t="n"/>
      <c r="E391" s="34" t="n"/>
      <c r="F391" s="34" t="n"/>
      <c r="G391" s="34" t="n"/>
      <c r="H391" s="36">
        <f>SUM(H387:H390)</f>
        <v>5465.0</v>
      </c>
      <c r="I391" s="34" t="n"/>
      <c r="J391" s="34" t="n"/>
      <c r="K391" s="34" t="n"/>
    </row>
    <row r="393">
      <c r="A393" s="8" t="n"/>
      <c r="B393" s="8" t="inlineStr">
        <is>
          <t>Article 7.4 - Faîtière (unité : ml)</t>
        </is>
      </c>
      <c r="C393" s="29" t="n"/>
      <c r="D393" s="29" t="n"/>
      <c r="E393" s="29" t="n"/>
      <c r="F393" s="29" t="n"/>
      <c r="G393" s="29" t="n"/>
      <c r="H393" s="29" t="n"/>
      <c r="I393" s="29" t="n"/>
      <c r="J393" s="29" t="n"/>
      <c r="K393" s="30" t="n"/>
    </row>
    <row r="394">
      <c r="A394" s="12" t="inlineStr">
        <is>
          <t>Art. 7.4</t>
        </is>
      </c>
      <c r="B394" s="10" t="inlineStr">
        <is>
          <t>Matériaux</t>
        </is>
      </c>
      <c r="C394" s="10" t="inlineStr">
        <is>
          <t>Faîtière aluminium</t>
        </is>
      </c>
      <c r="D394" s="10" t="inlineStr">
        <is>
          <t>faitiere</t>
        </is>
      </c>
      <c r="E394" s="12" t="inlineStr">
        <is>
          <t>ml</t>
        </is>
      </c>
      <c r="F394" s="31">
        <f>1.05</f>
        <v>1.05</v>
      </c>
      <c r="G394" s="32">
        <f>px_faitiere</f>
        <v>3500.0</v>
      </c>
      <c r="H394" s="32">
        <f>F394*G394</f>
        <v>3675.0</v>
      </c>
      <c r="I394" s="18">
        <f>q_7_4</f>
        <v>31.0</v>
      </c>
      <c r="J394" s="18">
        <f>F394*I394</f>
        <v>32.550000000000004</v>
      </c>
      <c r="K394" s="12" t="inlineStr">
        <is>
          <t>OUI</t>
        </is>
      </c>
    </row>
    <row r="395">
      <c r="A395" s="12" t="inlineStr">
        <is>
          <t>Art. 7.4</t>
        </is>
      </c>
      <c r="B395" s="10" t="inlineStr">
        <is>
          <t>Main-d'œuvre</t>
        </is>
      </c>
      <c r="C395" s="10" t="inlineStr">
        <is>
          <t>Couvreur (30 ml/j)</t>
        </is>
      </c>
      <c r="D395" s="10" t="inlineStr">
        <is>
          <t>mo_soud</t>
        </is>
      </c>
      <c r="E395" s="12" t="inlineStr">
        <is>
          <t>h.j</t>
        </is>
      </c>
      <c r="F395" s="31">
        <f>1/30</f>
        <v>0.03333333333333333</v>
      </c>
      <c r="G395" s="32">
        <f>px_mo_soud</f>
        <v>15000.0</v>
      </c>
      <c r="H395" s="32">
        <f>F395*G395</f>
        <v>500.0</v>
      </c>
      <c r="I395" s="18">
        <f>q_7_4</f>
        <v>31.0</v>
      </c>
      <c r="J395" s="18">
        <f>F395*I395</f>
        <v>1.0333333333333332</v>
      </c>
      <c r="K395" s="12" t="inlineStr">
        <is>
          <t>OUI</t>
        </is>
      </c>
    </row>
    <row r="396">
      <c r="A396" s="12" t="inlineStr">
        <is>
          <t>Art. 7.4</t>
        </is>
      </c>
      <c r="B396" s="10" t="inlineStr">
        <is>
          <t>Matériel</t>
        </is>
      </c>
      <c r="C396" s="10" t="inlineStr">
        <is>
          <t>Petit outillage (% de la main-d'œuvre)</t>
        </is>
      </c>
      <c r="D396" s="10" t="n"/>
      <c r="E396" s="12" t="inlineStr">
        <is>
          <t>%</t>
        </is>
      </c>
      <c r="F396" s="33">
        <f>p_PO</f>
        <v>0.03</v>
      </c>
      <c r="G396" s="32">
        <f>SUMIFS(H394:H395,B394:B395,"Main-d'œuvre")</f>
        <v>500.0</v>
      </c>
      <c r="H396" s="32">
        <f>F396*G396</f>
        <v>15.0</v>
      </c>
      <c r="I396" s="10" t="n"/>
      <c r="J396" s="10" t="n"/>
      <c r="K396" s="10" t="n"/>
    </row>
    <row r="397">
      <c r="A397" s="34" t="n"/>
      <c r="B397" s="34" t="n"/>
      <c r="C397" s="35" t="inlineStr">
        <is>
          <t>DÉBOURSÉ SEC UNITAIRE / ml</t>
        </is>
      </c>
      <c r="D397" s="34" t="n"/>
      <c r="E397" s="34" t="n"/>
      <c r="F397" s="34" t="n"/>
      <c r="G397" s="34" t="n"/>
      <c r="H397" s="36">
        <f>SUM(H394:H396)</f>
        <v>4190.0</v>
      </c>
      <c r="I397" s="34" t="n"/>
      <c r="J397" s="34" t="n"/>
      <c r="K397" s="34" t="n"/>
    </row>
    <row r="399">
      <c r="A399" s="8" t="n"/>
      <c r="B399" s="8" t="inlineStr">
        <is>
          <t>Article 8.1 - Portail métallique coulissant 6,00 x 4,50 m (unité : u)</t>
        </is>
      </c>
      <c r="C399" s="29" t="n"/>
      <c r="D399" s="29" t="n"/>
      <c r="E399" s="29" t="n"/>
      <c r="F399" s="29" t="n"/>
      <c r="G399" s="29" t="n"/>
      <c r="H399" s="29" t="n"/>
      <c r="I399" s="29" t="n"/>
      <c r="J399" s="29" t="n"/>
      <c r="K399" s="30" t="n"/>
    </row>
    <row r="400">
      <c r="A400" s="12" t="inlineStr">
        <is>
          <t>Art. 8.1</t>
        </is>
      </c>
      <c r="B400" s="10" t="inlineStr">
        <is>
          <t>Matériaux</t>
        </is>
      </c>
      <c r="C400" s="10" t="inlineStr">
        <is>
          <t>Portail : tubes, tôle 15/10, rail, roulettes, peinture</t>
        </is>
      </c>
      <c r="D400" s="10" t="inlineStr">
        <is>
          <t>ff_portail</t>
        </is>
      </c>
      <c r="E400" s="12" t="inlineStr">
        <is>
          <t>ft</t>
        </is>
      </c>
      <c r="F400" s="31">
        <f>1</f>
        <v>1.0</v>
      </c>
      <c r="G400" s="32">
        <f>px_ff_portail</f>
        <v>1600000.0</v>
      </c>
      <c r="H400" s="32">
        <f>F400*G400</f>
        <v>1600000.0</v>
      </c>
      <c r="I400" s="18">
        <f>q_8_1</f>
        <v>1.0</v>
      </c>
      <c r="J400" s="18">
        <f>F400*I400</f>
        <v>1.0</v>
      </c>
      <c r="K400" s="12" t="inlineStr">
        <is>
          <t>OUI</t>
        </is>
      </c>
    </row>
    <row r="401">
      <c r="A401" s="12" t="inlineStr">
        <is>
          <t>Art. 8.1</t>
        </is>
      </c>
      <c r="B401" s="10" t="inlineStr">
        <is>
          <t>Main-d'œuvre</t>
        </is>
      </c>
      <c r="C401" s="10" t="inlineStr">
        <is>
          <t>Soudeur / couvreur</t>
        </is>
      </c>
      <c r="D401" s="10" t="inlineStr">
        <is>
          <t>mo_soud</t>
        </is>
      </c>
      <c r="E401" s="12" t="inlineStr">
        <is>
          <t>h.j</t>
        </is>
      </c>
      <c r="F401" s="31">
        <f>15</f>
        <v>15.0</v>
      </c>
      <c r="G401" s="32">
        <f>px_mo_soud</f>
        <v>15000.0</v>
      </c>
      <c r="H401" s="32">
        <f>F401*G401</f>
        <v>225000.0</v>
      </c>
      <c r="I401" s="18">
        <f>q_8_1</f>
        <v>1.0</v>
      </c>
      <c r="J401" s="18">
        <f>F401*I401</f>
        <v>15.0</v>
      </c>
      <c r="K401" s="12" t="inlineStr">
        <is>
          <t>OUI</t>
        </is>
      </c>
    </row>
    <row r="402">
      <c r="A402" s="12" t="inlineStr">
        <is>
          <t>Art. 8.1</t>
        </is>
      </c>
      <c r="B402" s="10" t="inlineStr">
        <is>
          <t>Main-d'œuvre</t>
        </is>
      </c>
      <c r="C402" s="10" t="inlineStr">
        <is>
          <t>Manœuvre</t>
        </is>
      </c>
      <c r="D402" s="10" t="inlineStr">
        <is>
          <t>mo_man</t>
        </is>
      </c>
      <c r="E402" s="12" t="inlineStr">
        <is>
          <t>h.j</t>
        </is>
      </c>
      <c r="F402" s="31">
        <f>15</f>
        <v>15.0</v>
      </c>
      <c r="G402" s="32">
        <f>px_mo_man</f>
        <v>5000.0</v>
      </c>
      <c r="H402" s="32">
        <f>F402*G402</f>
        <v>75000.0</v>
      </c>
      <c r="I402" s="18">
        <f>q_8_1</f>
        <v>1.0</v>
      </c>
      <c r="J402" s="18">
        <f>F402*I402</f>
        <v>15.0</v>
      </c>
      <c r="K402" s="12" t="inlineStr">
        <is>
          <t>OUI</t>
        </is>
      </c>
    </row>
    <row r="403">
      <c r="A403" s="12" t="inlineStr">
        <is>
          <t>Art. 8.1</t>
        </is>
      </c>
      <c r="B403" s="10" t="inlineStr">
        <is>
          <t>Matériel</t>
        </is>
      </c>
      <c r="C403" s="10" t="inlineStr">
        <is>
          <t>Poste à souder, meuleuse (portail)</t>
        </is>
      </c>
      <c r="D403" s="10" t="inlineStr">
        <is>
          <t>mt_portail</t>
        </is>
      </c>
      <c r="E403" s="12" t="inlineStr">
        <is>
          <t>ft</t>
        </is>
      </c>
      <c r="F403" s="31">
        <f>1</f>
        <v>1.0</v>
      </c>
      <c r="G403" s="32">
        <f>px_mt_portail</f>
        <v>150000.0</v>
      </c>
      <c r="H403" s="32">
        <f>F403*G403</f>
        <v>150000.0</v>
      </c>
      <c r="I403" s="18">
        <f>q_8_1</f>
        <v>1.0</v>
      </c>
      <c r="J403" s="18">
        <f>F403*I403</f>
        <v>1.0</v>
      </c>
      <c r="K403" s="12" t="inlineStr">
        <is>
          <t>OUI</t>
        </is>
      </c>
    </row>
    <row r="404">
      <c r="A404" s="12" t="inlineStr">
        <is>
          <t>Art. 8.1</t>
        </is>
      </c>
      <c r="B404" s="10" t="inlineStr">
        <is>
          <t>Matériel</t>
        </is>
      </c>
      <c r="C404" s="10" t="inlineStr">
        <is>
          <t>Petit outillage (% de la main-d'œuvre)</t>
        </is>
      </c>
      <c r="D404" s="10" t="n"/>
      <c r="E404" s="12" t="inlineStr">
        <is>
          <t>%</t>
        </is>
      </c>
      <c r="F404" s="33">
        <f>p_PO</f>
        <v>0.03</v>
      </c>
      <c r="G404" s="32">
        <f>SUMIFS(H400:H403,B400:B403,"Main-d'œuvre")</f>
        <v>300000.0</v>
      </c>
      <c r="H404" s="32">
        <f>F404*G404</f>
        <v>9000.0</v>
      </c>
      <c r="I404" s="10" t="n"/>
      <c r="J404" s="10" t="n"/>
      <c r="K404" s="10" t="n"/>
    </row>
    <row r="405">
      <c r="A405" s="34" t="n"/>
      <c r="B405" s="34" t="n"/>
      <c r="C405" s="35" t="inlineStr">
        <is>
          <t>DÉBOURSÉ SEC UNITAIRE / u</t>
        </is>
      </c>
      <c r="D405" s="34" t="n"/>
      <c r="E405" s="34" t="n"/>
      <c r="F405" s="34" t="n"/>
      <c r="G405" s="34" t="n"/>
      <c r="H405" s="36">
        <f>SUM(H400:H404)</f>
        <v>2059000.0</v>
      </c>
      <c r="I405" s="34" t="n"/>
      <c r="J405" s="34" t="n"/>
      <c r="K405" s="34" t="n"/>
    </row>
  </sheetData>
  <mergeCells count="47">
    <mergeCell ref="B360:K360"/>
    <mergeCell ref="B260:K260"/>
    <mergeCell ref="B183:K183"/>
    <mergeCell ref="B30:K30"/>
    <mergeCell ref="B65:K65"/>
    <mergeCell ref="B316:K316"/>
    <mergeCell ref="B89:K89"/>
    <mergeCell ref="B393:K393"/>
    <mergeCell ref="B5:K5"/>
    <mergeCell ref="B207:K207"/>
    <mergeCell ref="B378:K378"/>
    <mergeCell ref="B41:K41"/>
    <mergeCell ref="B277:K277"/>
    <mergeCell ref="B399:K399"/>
    <mergeCell ref="B97:K97"/>
    <mergeCell ref="B173:K173"/>
    <mergeCell ref="B35:K35"/>
    <mergeCell ref="B268:K268"/>
    <mergeCell ref="B286:K286"/>
    <mergeCell ref="B302:K302"/>
    <mergeCell ref="B386:K386"/>
    <mergeCell ref="B25:K25"/>
    <mergeCell ref="B109:K109"/>
    <mergeCell ref="B47:K47"/>
    <mergeCell ref="B252:K252"/>
    <mergeCell ref="B327:K327"/>
    <mergeCell ref="B165:K165"/>
    <mergeCell ref="B370:K370"/>
    <mergeCell ref="B321:K321"/>
    <mergeCell ref="B140:K140"/>
    <mergeCell ref="B131:K131"/>
    <mergeCell ref="B149:K149"/>
    <mergeCell ref="B219:K219"/>
    <mergeCell ref="B12:K12"/>
    <mergeCell ref="B77:K77"/>
    <mergeCell ref="B341:K341"/>
    <mergeCell ref="B195:K195"/>
    <mergeCell ref="B293:K293"/>
    <mergeCell ref="B353:K353"/>
    <mergeCell ref="B231:K231"/>
    <mergeCell ref="B17:K17"/>
    <mergeCell ref="B119:K119"/>
    <mergeCell ref="B157:K157"/>
    <mergeCell ref="B53:K53"/>
    <mergeCell ref="B243:K243"/>
    <mergeCell ref="B333:K333"/>
    <mergeCell ref="B308:K308"/>
  </mergeCells>
  <pageMargins left="0.75" right="0.75" top="1" bottom="1" header="0.5" footer="0.5"/>
  <pageSetup orientation="landscape" paperSize="9" fitToHeight="0" fitToWidth="1"/>
  <headerFooter>
    <oddHeader>&amp;LASSEYA SILVER CONSTRUCTION - établi par Moulo Jean Claude&amp;RSous-détails de prix (déboursé sec unitaire)</oddHeader>
    <oddFooter>&amp;LASSEYA SILVER CONSTRUCTION - N° CC 2245191 D - RCCM CI-BKE-01-2022-B13-00153&amp;RPage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8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6" customWidth="1" min="3" max="3"/>
    <col width="11" customWidth="1" min="4" max="4"/>
    <col width="13" customWidth="1" min="5" max="5"/>
    <col width="13" customWidth="1" min="6" max="6"/>
    <col width="12" customWidth="1" min="7" max="7"/>
    <col width="13" customWidth="1" min="8" max="8"/>
    <col width="15" customWidth="1" min="9" max="9"/>
    <col width="15" customWidth="1" min="10" max="10"/>
    <col width="14" customWidth="1" min="11" max="11"/>
    <col width="16" customWidth="1" min="12" max="12"/>
    <col width="8" customWidth="1" min="13" max="13"/>
  </cols>
  <sheetData>
    <row r="1">
      <c r="A1" s="1" t="inlineStr">
        <is>
          <t>ASSEYA SILVER CONSTRUCTION - Construction métallique et bâtiment - Bouaké - Tél : 07 08 39 02 66 / 05 05 10 76 82 - Email : asseyasilver@gmail.com</t>
        </is>
      </c>
    </row>
    <row r="2">
      <c r="A2" s="2" t="inlineStr">
        <is>
          <t>Déboursé sec - Bâtiment industriel 30,00 x 10,00 m - 04/10/2026 - établi par Moulo Jean Claude, Technicien Génie Civil BTP - BAEL 91 mod. 99 / EC2</t>
        </is>
      </c>
    </row>
    <row r="4" ht="30" customHeight="1">
      <c r="A4" s="7" t="inlineStr">
        <is>
          <t>N°</t>
        </is>
      </c>
      <c r="B4" s="7" t="inlineStr">
        <is>
          <t>Désignation</t>
        </is>
      </c>
      <c r="C4" s="7" t="inlineStr">
        <is>
          <t>U</t>
        </is>
      </c>
      <c r="D4" s="7" t="inlineStr">
        <is>
          <t>Quantité</t>
        </is>
      </c>
      <c r="E4" s="7" t="inlineStr">
        <is>
          <t>Matériaux / u</t>
        </is>
      </c>
      <c r="F4" s="7" t="inlineStr">
        <is>
          <t>Main-d'œuvre / u</t>
        </is>
      </c>
      <c r="G4" s="7" t="inlineStr">
        <is>
          <t>Matériel / u</t>
        </is>
      </c>
      <c r="H4" s="7" t="inlineStr">
        <is>
          <t>DS unitaire</t>
        </is>
      </c>
      <c r="I4" s="7" t="inlineStr">
        <is>
          <t>Matériaux total</t>
        </is>
      </c>
      <c r="J4" s="7" t="inlineStr">
        <is>
          <t>Main-d'œuvre total</t>
        </is>
      </c>
      <c r="K4" s="7" t="inlineStr">
        <is>
          <t>Matériel total</t>
        </is>
      </c>
      <c r="L4" s="7" t="inlineStr">
        <is>
          <t>DS total (FCFA)</t>
        </is>
      </c>
      <c r="M4" s="7" t="inlineStr">
        <is>
          <t>Option</t>
        </is>
      </c>
    </row>
    <row r="5">
      <c r="A5" s="8" t="inlineStr">
        <is>
          <t>LOT 0</t>
        </is>
      </c>
      <c r="B5" s="8" t="inlineStr">
        <is>
          <t>INSTALLATION DE CHANTIER ET TRAVAUX PRÉPARATOIRES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>
      <c r="A6" s="12" t="inlineStr">
        <is>
          <t>0.1</t>
        </is>
      </c>
      <c r="B6" s="28" t="inlineStr">
        <is>
          <t>Installation et repli de chantier (magasin, clôture provisoire, eau, électricité, panneau)</t>
        </is>
      </c>
      <c r="C6" s="12" t="inlineStr">
        <is>
          <t>ft</t>
        </is>
      </c>
      <c r="D6" s="18">
        <f>q_0_1</f>
        <v>1.0</v>
      </c>
      <c r="E6" s="32">
        <f>SUMIFS('Sous-détails'!$H$5:$H$407,'Sous-détails'!$A$5:$A$407,"Art. "&amp;$A6,'Sous-détails'!$B$5:$B$407,"Matériaux")</f>
        <v>300000.0</v>
      </c>
      <c r="F6" s="32">
        <f>SUMIFS('Sous-détails'!$H$5:$H$407,'Sous-détails'!$A$5:$A$407,"Art. "&amp;$A6,'Sous-détails'!$B$5:$B$407,"Main-d'œuvre")</f>
        <v>100000.0</v>
      </c>
      <c r="G6" s="32">
        <f>SUMIFS('Sous-détails'!$H$5:$H$407,'Sous-détails'!$A$5:$A$407,"Art. "&amp;$A6,'Sous-détails'!$B$5:$B$407,"Matériel")</f>
        <v>103000.0</v>
      </c>
      <c r="H6" s="32">
        <f>E6+F6+G6</f>
        <v>503000.0</v>
      </c>
      <c r="I6" s="32">
        <f>$D6*E6</f>
        <v>300000.0</v>
      </c>
      <c r="J6" s="32">
        <f>$D6*F6</f>
        <v>100000.0</v>
      </c>
      <c r="K6" s="32">
        <f>$D6*G6</f>
        <v>103000.0</v>
      </c>
      <c r="L6" s="32">
        <f>$D6*H6</f>
        <v>503000.0</v>
      </c>
      <c r="M6" s="12" t="inlineStr">
        <is>
          <t>NON</t>
        </is>
      </c>
    </row>
    <row r="7">
      <c r="A7" s="12" t="inlineStr">
        <is>
          <t>0.2</t>
        </is>
      </c>
      <c r="B7" s="28" t="inlineStr">
        <is>
          <t>Débroussaillage et décapage de la terre végétale ép. 10 cm</t>
        </is>
      </c>
      <c r="C7" s="12" t="inlineStr">
        <is>
          <t>m²</t>
        </is>
      </c>
      <c r="D7" s="18">
        <f>q_0_2</f>
        <v>476.0</v>
      </c>
      <c r="E7" s="32">
        <f>SUMIFS('Sous-détails'!$H$5:$H$407,'Sous-détails'!$A$5:$A$407,"Art. "&amp;$A7,'Sous-détails'!$B$5:$B$407,"Matériaux")</f>
        <v>0.0</v>
      </c>
      <c r="F7" s="32">
        <f>SUMIFS('Sous-détails'!$H$5:$H$407,'Sous-détails'!$A$5:$A$407,"Art. "&amp;$A7,'Sous-détails'!$B$5:$B$407,"Main-d'œuvre")</f>
        <v>83.33333333333333</v>
      </c>
      <c r="G7" s="32">
        <f>SUMIFS('Sous-détails'!$H$5:$H$407,'Sous-détails'!$A$5:$A$407,"Art. "&amp;$A7,'Sous-détails'!$B$5:$B$407,"Matériel")</f>
        <v>2.4999999999999996</v>
      </c>
      <c r="H7" s="32">
        <f>E7+F7+G7</f>
        <v>85.83333333333333</v>
      </c>
      <c r="I7" s="32">
        <f>$D7*E7</f>
        <v>0.0</v>
      </c>
      <c r="J7" s="32">
        <f>$D7*F7</f>
        <v>39666.666666666664</v>
      </c>
      <c r="K7" s="32">
        <f>$D7*G7</f>
        <v>1189.9999999999998</v>
      </c>
      <c r="L7" s="32">
        <f>$D7*H7</f>
        <v>40856.666666666664</v>
      </c>
      <c r="M7" s="12" t="inlineStr">
        <is>
          <t>NON</t>
        </is>
      </c>
    </row>
    <row r="8">
      <c r="A8" s="12" t="inlineStr">
        <is>
          <t>0.3</t>
        </is>
      </c>
      <c r="B8" s="28" t="inlineStr">
        <is>
          <t>Implantation du bâtiment (chaises, cordeaux, axes et niveaux)</t>
        </is>
      </c>
      <c r="C8" s="12" t="inlineStr">
        <is>
          <t>ft</t>
        </is>
      </c>
      <c r="D8" s="18">
        <f>q_0_3</f>
        <v>1.0</v>
      </c>
      <c r="E8" s="32">
        <f>SUMIFS('Sous-détails'!$H$5:$H$407,'Sous-détails'!$A$5:$A$407,"Art. "&amp;$A8,'Sous-détails'!$B$5:$B$407,"Matériaux")</f>
        <v>40000.0</v>
      </c>
      <c r="F8" s="32">
        <f>SUMIFS('Sous-détails'!$H$5:$H$407,'Sous-détails'!$A$5:$A$407,"Art. "&amp;$A8,'Sous-détails'!$B$5:$B$407,"Main-d'œuvre")</f>
        <v>50000.0</v>
      </c>
      <c r="G8" s="32">
        <f>SUMIFS('Sous-détails'!$H$5:$H$407,'Sous-détails'!$A$5:$A$407,"Art. "&amp;$A8,'Sous-détails'!$B$5:$B$407,"Matériel")</f>
        <v>31500.0</v>
      </c>
      <c r="H8" s="32">
        <f>E8+F8+G8</f>
        <v>121500.0</v>
      </c>
      <c r="I8" s="32">
        <f>$D8*E8</f>
        <v>40000.0</v>
      </c>
      <c r="J8" s="32">
        <f>$D8*F8</f>
        <v>50000.0</v>
      </c>
      <c r="K8" s="32">
        <f>$D8*G8</f>
        <v>31500.0</v>
      </c>
      <c r="L8" s="32">
        <f>$D8*H8</f>
        <v>121500.0</v>
      </c>
      <c r="M8" s="12" t="inlineStr">
        <is>
          <t>NON</t>
        </is>
      </c>
    </row>
    <row r="9">
      <c r="A9" s="34" t="n"/>
      <c r="B9" s="35" t="inlineStr">
        <is>
          <t>Sous-total déboursé sec lot 0</t>
        </is>
      </c>
      <c r="C9" s="34" t="n"/>
      <c r="D9" s="34" t="n"/>
      <c r="E9" s="34" t="n"/>
      <c r="F9" s="34" t="n"/>
      <c r="G9" s="34" t="n"/>
      <c r="H9" s="34" t="n"/>
      <c r="I9" s="36">
        <f>SUM(I6:I8)</f>
        <v>340000.0</v>
      </c>
      <c r="J9" s="36">
        <f>SUM(J6:J8)</f>
        <v>189666.66666666666</v>
      </c>
      <c r="K9" s="36">
        <f>SUM(K6:K8)</f>
        <v>135690.0</v>
      </c>
      <c r="L9" s="36">
        <f>SUM(L6:L8)</f>
        <v>665356.6666666666</v>
      </c>
      <c r="M9" s="34" t="n"/>
    </row>
    <row r="11">
      <c r="A11" s="8" t="inlineStr">
        <is>
          <t>LOT 1</t>
        </is>
      </c>
      <c r="B11" s="8" t="inlineStr">
        <is>
          <t>TERRASSEMENTS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</row>
    <row r="12">
      <c r="A12" s="12" t="inlineStr">
        <is>
          <t>1.1</t>
        </is>
      </c>
      <c r="B12" s="28" t="inlineStr">
        <is>
          <t>Fouilles en rigole 0,60 x 1,20 m en terrain latéritique</t>
        </is>
      </c>
      <c r="C12" s="12" t="inlineStr">
        <is>
          <t>m³</t>
        </is>
      </c>
      <c r="D12" s="18">
        <f>q_1_1</f>
        <v>57.599999999999994</v>
      </c>
      <c r="E12" s="32">
        <f>SUMIFS('Sous-détails'!$H$5:$H$407,'Sous-détails'!$A$5:$A$407,"Art. "&amp;$A12,'Sous-détails'!$B$5:$B$407,"Matériaux")</f>
        <v>0.0</v>
      </c>
      <c r="F12" s="32">
        <f>SUMIFS('Sous-détails'!$H$5:$H$407,'Sous-détails'!$A$5:$A$407,"Art. "&amp;$A12,'Sous-détails'!$B$5:$B$407,"Main-d'œuvre")</f>
        <v>3333.333333333333</v>
      </c>
      <c r="G12" s="32">
        <f>SUMIFS('Sous-détails'!$H$5:$H$407,'Sous-détails'!$A$5:$A$407,"Art. "&amp;$A12,'Sous-détails'!$B$5:$B$407,"Matériel")</f>
        <v>99.99999999999999</v>
      </c>
      <c r="H12" s="32">
        <f>E12+F12+G12</f>
        <v>3433.333333333333</v>
      </c>
      <c r="I12" s="32">
        <f>$D12*E12</f>
        <v>0.0</v>
      </c>
      <c r="J12" s="32">
        <f>$D12*F12</f>
        <v>191999.99999999997</v>
      </c>
      <c r="K12" s="32">
        <f>$D12*G12</f>
        <v>5759.999999999998</v>
      </c>
      <c r="L12" s="32">
        <f>$D12*H12</f>
        <v>197759.99999999997</v>
      </c>
      <c r="M12" s="12" t="inlineStr">
        <is>
          <t>NON</t>
        </is>
      </c>
    </row>
    <row r="13">
      <c r="A13" s="12" t="inlineStr">
        <is>
          <t>1.2</t>
        </is>
      </c>
      <c r="B13" s="28" t="inlineStr">
        <is>
          <t>Fouilles en puits 1,00 x 1,00 x 1,20 m pour semelles isolées 80x80 (complément)</t>
        </is>
      </c>
      <c r="C13" s="12" t="inlineStr">
        <is>
          <t>m³</t>
        </is>
      </c>
      <c r="D13" s="18">
        <f>q_1_2</f>
        <v>8.16</v>
      </c>
      <c r="E13" s="32">
        <f>SUMIFS('Sous-détails'!$H$5:$H$407,'Sous-détails'!$A$5:$A$407,"Art. "&amp;$A13,'Sous-détails'!$B$5:$B$407,"Matériaux")</f>
        <v>0.0</v>
      </c>
      <c r="F13" s="32">
        <f>SUMIFS('Sous-détails'!$H$5:$H$407,'Sous-détails'!$A$5:$A$407,"Art. "&amp;$A13,'Sous-détails'!$B$5:$B$407,"Main-d'œuvre")</f>
        <v>3333.333333333333</v>
      </c>
      <c r="G13" s="32">
        <f>SUMIFS('Sous-détails'!$H$5:$H$407,'Sous-détails'!$A$5:$A$407,"Art. "&amp;$A13,'Sous-détails'!$B$5:$B$407,"Matériel")</f>
        <v>99.99999999999999</v>
      </c>
      <c r="H13" s="32">
        <f>E13+F13+G13</f>
        <v>3433.333333333333</v>
      </c>
      <c r="I13" s="32">
        <f>$D13*E13</f>
        <v>0.0</v>
      </c>
      <c r="J13" s="32">
        <f>$D13*F13</f>
        <v>27199.999999999996</v>
      </c>
      <c r="K13" s="32">
        <f>$D13*G13</f>
        <v>815.9999999999999</v>
      </c>
      <c r="L13" s="32">
        <f>$D13*H13</f>
        <v>28015.999999999996</v>
      </c>
      <c r="M13" s="12" t="inlineStr">
        <is>
          <t>NON</t>
        </is>
      </c>
    </row>
    <row r="14">
      <c r="A14" s="12" t="inlineStr">
        <is>
          <t>1.3</t>
        </is>
      </c>
      <c r="B14" s="28" t="inlineStr">
        <is>
          <t>Remblai des fouilles avec les terres extraites, compacté par couches de 20 cm</t>
        </is>
      </c>
      <c r="C14" s="12" t="inlineStr">
        <is>
          <t>m³</t>
        </is>
      </c>
      <c r="D14" s="18">
        <f>q_1_3</f>
        <v>41.855249999999984</v>
      </c>
      <c r="E14" s="32">
        <f>SUMIFS('Sous-détails'!$H$5:$H$407,'Sous-détails'!$A$5:$A$407,"Art. "&amp;$A14,'Sous-détails'!$B$5:$B$407,"Matériaux")</f>
        <v>0.0</v>
      </c>
      <c r="F14" s="32">
        <f>SUMIFS('Sous-détails'!$H$5:$H$407,'Sous-détails'!$A$5:$A$407,"Art. "&amp;$A14,'Sous-détails'!$B$5:$B$407,"Main-d'œuvre")</f>
        <v>1250.0</v>
      </c>
      <c r="G14" s="32">
        <f>SUMIFS('Sous-détails'!$H$5:$H$407,'Sous-détails'!$A$5:$A$407,"Art. "&amp;$A14,'Sous-détails'!$B$5:$B$407,"Matériel")</f>
        <v>1037.5</v>
      </c>
      <c r="H14" s="32">
        <f>E14+F14+G14</f>
        <v>2287.5</v>
      </c>
      <c r="I14" s="32">
        <f>$D14*E14</f>
        <v>0.0</v>
      </c>
      <c r="J14" s="32">
        <f>$D14*F14</f>
        <v>52319.06249999998</v>
      </c>
      <c r="K14" s="32">
        <f>$D14*G14</f>
        <v>43424.82187499998</v>
      </c>
      <c r="L14" s="32">
        <f>$D14*H14</f>
        <v>95743.88437499997</v>
      </c>
      <c r="M14" s="12" t="inlineStr">
        <is>
          <t>NON</t>
        </is>
      </c>
    </row>
    <row r="15">
      <c r="A15" s="12" t="inlineStr">
        <is>
          <t>1.4</t>
        </is>
      </c>
      <c r="B15" s="28" t="inlineStr">
        <is>
          <t>Évacuation des terres excédentaires des fouilles</t>
        </is>
      </c>
      <c r="C15" s="12" t="inlineStr">
        <is>
          <t>m³</t>
        </is>
      </c>
      <c r="D15" s="18">
        <f>q_1_4</f>
        <v>29.880937500000005</v>
      </c>
      <c r="E15" s="32">
        <f>SUMIFS('Sous-détails'!$H$5:$H$407,'Sous-détails'!$A$5:$A$407,"Art. "&amp;$A15,'Sous-détails'!$B$5:$B$407,"Matériaux")</f>
        <v>0.0</v>
      </c>
      <c r="F15" s="32">
        <f>SUMIFS('Sous-détails'!$H$5:$H$407,'Sous-détails'!$A$5:$A$407,"Art. "&amp;$A15,'Sous-détails'!$B$5:$B$407,"Main-d'œuvre")</f>
        <v>1000.0</v>
      </c>
      <c r="G15" s="32">
        <f>SUMIFS('Sous-détails'!$H$5:$H$407,'Sous-détails'!$A$5:$A$407,"Art. "&amp;$A15,'Sous-détails'!$B$5:$B$407,"Matériel")</f>
        <v>2530.0</v>
      </c>
      <c r="H15" s="32">
        <f>E15+F15+G15</f>
        <v>3530.0</v>
      </c>
      <c r="I15" s="32">
        <f>$D15*E15</f>
        <v>0.0</v>
      </c>
      <c r="J15" s="32">
        <f>$D15*F15</f>
        <v>29880.937500000004</v>
      </c>
      <c r="K15" s="32">
        <f>$D15*G15</f>
        <v>75598.77187500002</v>
      </c>
      <c r="L15" s="32">
        <f>$D15*H15</f>
        <v>105479.70937500002</v>
      </c>
      <c r="M15" s="12" t="inlineStr">
        <is>
          <t>NON</t>
        </is>
      </c>
    </row>
    <row r="16">
      <c r="A16" s="12" t="inlineStr">
        <is>
          <t>1.5</t>
        </is>
      </c>
      <c r="B16" s="28" t="inlineStr">
        <is>
          <t>Traitement anti-termites des fonds de fouilles</t>
        </is>
      </c>
      <c r="C16" s="12" t="inlineStr">
        <is>
          <t>m²</t>
        </is>
      </c>
      <c r="D16" s="18">
        <f>q_1_5</f>
        <v>54.8</v>
      </c>
      <c r="E16" s="32">
        <f>SUMIFS('Sous-détails'!$H$5:$H$407,'Sous-détails'!$A$5:$A$407,"Art. "&amp;$A16,'Sous-détails'!$B$5:$B$407,"Matériaux")</f>
        <v>1200.0</v>
      </c>
      <c r="F16" s="32">
        <f>SUMIFS('Sous-détails'!$H$5:$H$407,'Sous-détails'!$A$5:$A$407,"Art. "&amp;$A16,'Sous-détails'!$B$5:$B$407,"Main-d'œuvre")</f>
        <v>200.0</v>
      </c>
      <c r="G16" s="32">
        <f>SUMIFS('Sous-détails'!$H$5:$H$407,'Sous-détails'!$A$5:$A$407,"Art. "&amp;$A16,'Sous-détails'!$B$5:$B$407,"Matériel")</f>
        <v>6.0</v>
      </c>
      <c r="H16" s="32">
        <f>E16+F16+G16</f>
        <v>1406.0</v>
      </c>
      <c r="I16" s="32">
        <f>$D16*E16</f>
        <v>65760.0</v>
      </c>
      <c r="J16" s="32">
        <f>$D16*F16</f>
        <v>10960.0</v>
      </c>
      <c r="K16" s="32">
        <f>$D16*G16</f>
        <v>328.79999999999995</v>
      </c>
      <c r="L16" s="32">
        <f>$D16*H16</f>
        <v>77048.8</v>
      </c>
      <c r="M16" s="12" t="inlineStr">
        <is>
          <t>NON</t>
        </is>
      </c>
    </row>
    <row r="17">
      <c r="A17" s="34" t="n"/>
      <c r="B17" s="35" t="inlineStr">
        <is>
          <t>Sous-total déboursé sec lot 1</t>
        </is>
      </c>
      <c r="C17" s="34" t="n"/>
      <c r="D17" s="34" t="n"/>
      <c r="E17" s="34" t="n"/>
      <c r="F17" s="34" t="n"/>
      <c r="G17" s="34" t="n"/>
      <c r="H17" s="34" t="n"/>
      <c r="I17" s="36">
        <f>SUM(I12:I16)</f>
        <v>65760.0</v>
      </c>
      <c r="J17" s="36">
        <f>SUM(J12:J16)</f>
        <v>312359.99999999994</v>
      </c>
      <c r="K17" s="36">
        <f>SUM(K12:K16)</f>
        <v>125928.39375</v>
      </c>
      <c r="L17" s="36">
        <f>SUM(L12:L16)</f>
        <v>504048.39374999993</v>
      </c>
      <c r="M17" s="34" t="n"/>
    </row>
    <row r="19">
      <c r="A19" s="8" t="inlineStr">
        <is>
          <t>LOT 2</t>
        </is>
      </c>
      <c r="B19" s="8" t="inlineStr">
        <is>
          <t>FONDATIONS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</row>
    <row r="20">
      <c r="A20" s="12" t="inlineStr">
        <is>
          <t>2.1</t>
        </is>
      </c>
      <c r="B20" s="28" t="inlineStr">
        <is>
          <t>Béton de propreté dosé à 150 kg/m³, ép. 5 cm</t>
        </is>
      </c>
      <c r="C20" s="12" t="inlineStr">
        <is>
          <t>m³</t>
        </is>
      </c>
      <c r="D20" s="18">
        <f>q_2_1</f>
        <v>2.74</v>
      </c>
      <c r="E20" s="32">
        <f>SUMIFS('Sous-détails'!$H$5:$H$407,'Sous-détails'!$A$5:$A$407,"Art. "&amp;$A20,'Sous-détails'!$B$5:$B$407,"Matériaux")</f>
        <v>44250.0</v>
      </c>
      <c r="F20" s="32">
        <f>SUMIFS('Sous-détails'!$H$5:$H$407,'Sous-détails'!$A$5:$A$407,"Art. "&amp;$A20,'Sous-détails'!$B$5:$B$407,"Main-d'œuvre")</f>
        <v>5000.0</v>
      </c>
      <c r="G20" s="32">
        <f>SUMIFS('Sous-détails'!$H$5:$H$407,'Sous-détails'!$A$5:$A$407,"Art. "&amp;$A20,'Sous-détails'!$B$5:$B$407,"Matériel")</f>
        <v>5150.0</v>
      </c>
      <c r="H20" s="32">
        <f>E20+F20+G20</f>
        <v>54400.0</v>
      </c>
      <c r="I20" s="32">
        <f>$D20*E20</f>
        <v>121245.00000000001</v>
      </c>
      <c r="J20" s="32">
        <f>$D20*F20</f>
        <v>13700.000000000002</v>
      </c>
      <c r="K20" s="32">
        <f>$D20*G20</f>
        <v>14111.000000000002</v>
      </c>
      <c r="L20" s="32">
        <f>$D20*H20</f>
        <v>149056.0</v>
      </c>
      <c r="M20" s="12" t="inlineStr">
        <is>
          <t>NON</t>
        </is>
      </c>
    </row>
    <row r="21">
      <c r="A21" s="12" t="inlineStr">
        <is>
          <t>2.2</t>
        </is>
      </c>
      <c r="B21" s="28" t="inlineStr">
        <is>
          <t>Béton armé dosé à 350 kg/m³ pour semelles isolées 0,80 x 0,80 x 0,30</t>
        </is>
      </c>
      <c r="C21" s="12" t="inlineStr">
        <is>
          <t>m³</t>
        </is>
      </c>
      <c r="D21" s="18">
        <f>q_2_2</f>
        <v>3.2640000000000007</v>
      </c>
      <c r="E21" s="32">
        <f>SUMIFS('Sous-détails'!$H$5:$H$407,'Sous-détails'!$A$5:$A$407,"Art. "&amp;$A21,'Sous-détails'!$B$5:$B$407,"Matériaux")</f>
        <v>67450.0</v>
      </c>
      <c r="F21" s="32">
        <f>SUMIFS('Sous-détails'!$H$5:$H$407,'Sous-détails'!$A$5:$A$407,"Art. "&amp;$A21,'Sous-détails'!$B$5:$B$407,"Main-d'œuvre")</f>
        <v>8000.0</v>
      </c>
      <c r="G21" s="32">
        <f>SUMIFS('Sous-détails'!$H$5:$H$407,'Sous-détails'!$A$5:$A$407,"Art. "&amp;$A21,'Sous-détails'!$B$5:$B$407,"Matériel")</f>
        <v>8240.0</v>
      </c>
      <c r="H21" s="32">
        <f>E21+F21+G21</f>
        <v>83690.0</v>
      </c>
      <c r="I21" s="32">
        <f>$D21*E21</f>
        <v>220156.80000000005</v>
      </c>
      <c r="J21" s="32">
        <f>$D21*F21</f>
        <v>26112.000000000004</v>
      </c>
      <c r="K21" s="32">
        <f>$D21*G21</f>
        <v>26895.360000000004</v>
      </c>
      <c r="L21" s="32">
        <f>$D21*H21</f>
        <v>273164.16000000003</v>
      </c>
      <c r="M21" s="12" t="inlineStr">
        <is>
          <t>NON</t>
        </is>
      </c>
    </row>
    <row r="22">
      <c r="A22" s="12" t="inlineStr">
        <is>
          <t>2.3</t>
        </is>
      </c>
      <c r="B22" s="28" t="inlineStr">
        <is>
          <t>Béton armé dosé à 350 kg/m³ pour fûts 40 x 40 sous platines des IPE (de -0,85 à ±0,00)</t>
        </is>
      </c>
      <c r="C22" s="12" t="inlineStr">
        <is>
          <t>m³</t>
        </is>
      </c>
      <c r="D22" s="18">
        <f>q_2_3</f>
        <v>2.3120000000000003</v>
      </c>
      <c r="E22" s="32">
        <f>SUMIFS('Sous-détails'!$H$5:$H$407,'Sous-détails'!$A$5:$A$407,"Art. "&amp;$A22,'Sous-détails'!$B$5:$B$407,"Matériaux")</f>
        <v>67450.0</v>
      </c>
      <c r="F22" s="32">
        <f>SUMIFS('Sous-détails'!$H$5:$H$407,'Sous-détails'!$A$5:$A$407,"Art. "&amp;$A22,'Sous-détails'!$B$5:$B$407,"Main-d'œuvre")</f>
        <v>10000.0</v>
      </c>
      <c r="G22" s="32">
        <f>SUMIFS('Sous-détails'!$H$5:$H$407,'Sous-détails'!$A$5:$A$407,"Art. "&amp;$A22,'Sous-détails'!$B$5:$B$407,"Matériel")</f>
        <v>10300.0</v>
      </c>
      <c r="H22" s="32">
        <f>E22+F22+G22</f>
        <v>87750.0</v>
      </c>
      <c r="I22" s="32">
        <f>$D22*E22</f>
        <v>155944.40000000002</v>
      </c>
      <c r="J22" s="32">
        <f>$D22*F22</f>
        <v>23120.000000000004</v>
      </c>
      <c r="K22" s="32">
        <f>$D22*G22</f>
        <v>23813.600000000002</v>
      </c>
      <c r="L22" s="32">
        <f>$D22*H22</f>
        <v>202878.00000000003</v>
      </c>
      <c r="M22" s="12" t="inlineStr">
        <is>
          <t>NON</t>
        </is>
      </c>
    </row>
    <row r="23">
      <c r="A23" s="12" t="inlineStr">
        <is>
          <t>2.4</t>
        </is>
      </c>
      <c r="B23" s="28" t="inlineStr">
        <is>
          <t>Fourniture et scellement des tiges d'ancrage M20 des IPE (gabarit de pose, 4 par pilier)</t>
        </is>
      </c>
      <c r="C23" s="12" t="inlineStr">
        <is>
          <t>u</t>
        </is>
      </c>
      <c r="D23" s="18">
        <f>q_2_4</f>
        <v>68.0</v>
      </c>
      <c r="E23" s="32">
        <f>SUMIFS('Sous-détails'!$H$5:$H$407,'Sous-détails'!$A$5:$A$407,"Art. "&amp;$A23,'Sous-détails'!$B$5:$B$407,"Matériaux")</f>
        <v>6180.0</v>
      </c>
      <c r="F23" s="32">
        <f>SUMIFS('Sous-détails'!$H$5:$H$407,'Sous-détails'!$A$5:$A$407,"Art. "&amp;$A23,'Sous-détails'!$B$5:$B$407,"Main-d'œuvre")</f>
        <v>1250.0</v>
      </c>
      <c r="G23" s="32">
        <f>SUMIFS('Sous-détails'!$H$5:$H$407,'Sous-détails'!$A$5:$A$407,"Art. "&amp;$A23,'Sous-détails'!$B$5:$B$407,"Matériel")</f>
        <v>37.5</v>
      </c>
      <c r="H23" s="32">
        <f>E23+F23+G23</f>
        <v>7467.5</v>
      </c>
      <c r="I23" s="32">
        <f>$D23*E23</f>
        <v>420240.0</v>
      </c>
      <c r="J23" s="32">
        <f>$D23*F23</f>
        <v>85000.0</v>
      </c>
      <c r="K23" s="32">
        <f>$D23*G23</f>
        <v>2550.0</v>
      </c>
      <c r="L23" s="32">
        <f>$D23*H23</f>
        <v>507790.0</v>
      </c>
      <c r="M23" s="12" t="inlineStr">
        <is>
          <t>NON</t>
        </is>
      </c>
    </row>
    <row r="24">
      <c r="A24" s="12" t="inlineStr">
        <is>
          <t>2.5</t>
        </is>
      </c>
      <c r="B24" s="28" t="inlineStr">
        <is>
          <t>Béton armé dosé à 350 kg/m³ pour semelle filante 0,40 x 0,15</t>
        </is>
      </c>
      <c r="C24" s="12" t="inlineStr">
        <is>
          <t>m³</t>
        </is>
      </c>
      <c r="D24" s="18">
        <f>q_2_5</f>
        <v>3.984</v>
      </c>
      <c r="E24" s="32">
        <f>SUMIFS('Sous-détails'!$H$5:$H$407,'Sous-détails'!$A$5:$A$407,"Art. "&amp;$A24,'Sous-détails'!$B$5:$B$407,"Matériaux")</f>
        <v>67450.0</v>
      </c>
      <c r="F24" s="32">
        <f>SUMIFS('Sous-détails'!$H$5:$H$407,'Sous-détails'!$A$5:$A$407,"Art. "&amp;$A24,'Sous-détails'!$B$5:$B$407,"Main-d'œuvre")</f>
        <v>6666.666666666666</v>
      </c>
      <c r="G24" s="32">
        <f>SUMIFS('Sous-détails'!$H$5:$H$407,'Sous-détails'!$A$5:$A$407,"Art. "&amp;$A24,'Sous-détails'!$B$5:$B$407,"Matériel")</f>
        <v>6866.666666666666</v>
      </c>
      <c r="H24" s="32">
        <f>E24+F24+G24</f>
        <v>80983.33333333334</v>
      </c>
      <c r="I24" s="32">
        <f>$D24*E24</f>
        <v>268720.8</v>
      </c>
      <c r="J24" s="32">
        <f>$D24*F24</f>
        <v>26559.999999999996</v>
      </c>
      <c r="K24" s="32">
        <f>$D24*G24</f>
        <v>27356.8</v>
      </c>
      <c r="L24" s="32">
        <f>$D24*H24</f>
        <v>322637.60000000003</v>
      </c>
      <c r="M24" s="12" t="inlineStr">
        <is>
          <t>NON</t>
        </is>
      </c>
    </row>
    <row r="25">
      <c r="A25" s="12" t="inlineStr">
        <is>
          <t>2.6</t>
        </is>
      </c>
      <c r="B25" s="28" t="inlineStr">
        <is>
          <t>Maçonnerie d'agglos 15 pleins en fondation h = 1,00 m, mortier dosé à 300 kg/m³</t>
        </is>
      </c>
      <c r="C25" s="12" t="inlineStr">
        <is>
          <t>m²</t>
        </is>
      </c>
      <c r="D25" s="18">
        <f>q_2_6</f>
        <v>73.03</v>
      </c>
      <c r="E25" s="32">
        <f>SUMIFS('Sous-détails'!$H$5:$H$407,'Sous-détails'!$A$5:$A$407,"Art. "&amp;$A25,'Sous-détails'!$B$5:$B$407,"Matériaux")</f>
        <v>7802.5</v>
      </c>
      <c r="F25" s="32">
        <f>SUMIFS('Sous-détails'!$H$5:$H$407,'Sous-détails'!$A$5:$A$407,"Art. "&amp;$A25,'Sous-détails'!$B$5:$B$407,"Main-d'œuvre")</f>
        <v>1500.0</v>
      </c>
      <c r="G25" s="32">
        <f>SUMIFS('Sous-détails'!$H$5:$H$407,'Sous-détails'!$A$5:$A$407,"Art. "&amp;$A25,'Sous-détails'!$B$5:$B$407,"Matériel")</f>
        <v>45.0</v>
      </c>
      <c r="H25" s="32">
        <f>E25+F25+G25</f>
        <v>9347.5</v>
      </c>
      <c r="I25" s="32">
        <f>$D25*E25</f>
        <v>569816.575</v>
      </c>
      <c r="J25" s="32">
        <f>$D25*F25</f>
        <v>109545.0</v>
      </c>
      <c r="K25" s="32">
        <f>$D25*G25</f>
        <v>3286.35</v>
      </c>
      <c r="L25" s="32">
        <f>$D25*H25</f>
        <v>682647.925</v>
      </c>
      <c r="M25" s="12" t="inlineStr">
        <is>
          <t>NON</t>
        </is>
      </c>
    </row>
    <row r="26">
      <c r="A26" s="12" t="inlineStr">
        <is>
          <t>2.7</t>
        </is>
      </c>
      <c r="B26" s="28" t="inlineStr">
        <is>
          <t>Béton armé dosé à 350 kg/m³ pour chaînage bas 15 x 20</t>
        </is>
      </c>
      <c r="C26" s="12" t="inlineStr">
        <is>
          <t>m³</t>
        </is>
      </c>
      <c r="D26" s="18">
        <f>q_2_7</f>
        <v>2.1909</v>
      </c>
      <c r="E26" s="32">
        <f>SUMIFS('Sous-détails'!$H$5:$H$407,'Sous-détails'!$A$5:$A$407,"Art. "&amp;$A26,'Sous-détails'!$B$5:$B$407,"Matériaux")</f>
        <v>67450.0</v>
      </c>
      <c r="F26" s="32">
        <f>SUMIFS('Sous-détails'!$H$5:$H$407,'Sous-détails'!$A$5:$A$407,"Art. "&amp;$A26,'Sous-détails'!$B$5:$B$407,"Main-d'œuvre")</f>
        <v>6666.666666666666</v>
      </c>
      <c r="G26" s="32">
        <f>SUMIFS('Sous-détails'!$H$5:$H$407,'Sous-détails'!$A$5:$A$407,"Art. "&amp;$A26,'Sous-détails'!$B$5:$B$407,"Matériel")</f>
        <v>6866.666666666666</v>
      </c>
      <c r="H26" s="32">
        <f>E26+F26+G26</f>
        <v>80983.33333333334</v>
      </c>
      <c r="I26" s="32">
        <f>$D26*E26</f>
        <v>147776.20500000002</v>
      </c>
      <c r="J26" s="32">
        <f>$D26*F26</f>
        <v>14606.0</v>
      </c>
      <c r="K26" s="32">
        <f>$D26*G26</f>
        <v>15044.179999999998</v>
      </c>
      <c r="L26" s="32">
        <f>$D26*H26</f>
        <v>177426.38500000004</v>
      </c>
      <c r="M26" s="12" t="inlineStr">
        <is>
          <t>NON</t>
        </is>
      </c>
    </row>
    <row r="27">
      <c r="A27" s="12" t="inlineStr">
        <is>
          <t>2.8</t>
        </is>
      </c>
      <c r="B27" s="28" t="inlineStr">
        <is>
          <t>Chape d'arase étanche (mortier dosé à 400 kg/m³ + hydrofuge) ép. 3 cm</t>
        </is>
      </c>
      <c r="C27" s="12" t="inlineStr">
        <is>
          <t>m²</t>
        </is>
      </c>
      <c r="D27" s="18">
        <f>q_2_8</f>
        <v>10.9545</v>
      </c>
      <c r="E27" s="32">
        <f>SUMIFS('Sous-détails'!$H$5:$H$407,'Sous-détails'!$A$5:$A$407,"Art. "&amp;$A27,'Sous-détails'!$B$5:$B$407,"Matériaux")</f>
        <v>2824.0</v>
      </c>
      <c r="F27" s="32">
        <f>SUMIFS('Sous-détails'!$H$5:$H$407,'Sous-détails'!$A$5:$A$407,"Art. "&amp;$A27,'Sous-détails'!$B$5:$B$407,"Main-d'œuvre")</f>
        <v>1000.0</v>
      </c>
      <c r="G27" s="32">
        <f>SUMIFS('Sous-détails'!$H$5:$H$407,'Sous-détails'!$A$5:$A$407,"Art. "&amp;$A27,'Sous-détails'!$B$5:$B$407,"Matériel")</f>
        <v>30.0</v>
      </c>
      <c r="H27" s="32">
        <f>E27+F27+G27</f>
        <v>3854.0</v>
      </c>
      <c r="I27" s="32">
        <f>$D27*E27</f>
        <v>30935.507999999998</v>
      </c>
      <c r="J27" s="32">
        <f>$D27*F27</f>
        <v>10954.5</v>
      </c>
      <c r="K27" s="32">
        <f>$D27*G27</f>
        <v>328.635</v>
      </c>
      <c r="L27" s="32">
        <f>$D27*H27</f>
        <v>42218.643</v>
      </c>
      <c r="M27" s="12" t="inlineStr">
        <is>
          <t>NON</t>
        </is>
      </c>
    </row>
    <row r="28">
      <c r="A28" s="12" t="inlineStr">
        <is>
          <t>2.9</t>
        </is>
      </c>
      <c r="B28" s="28" t="inlineStr">
        <is>
          <t>Coffrage en bois ordinaire (semelles isolées, fûts, chaînage bas)</t>
        </is>
      </c>
      <c r="C28" s="12" t="inlineStr">
        <is>
          <t>m²</t>
        </is>
      </c>
      <c r="D28" s="18">
        <f>q_2_9</f>
        <v>68.652</v>
      </c>
      <c r="E28" s="32">
        <f>SUMIFS('Sous-détails'!$H$5:$H$407,'Sous-détails'!$A$5:$A$407,"Art. "&amp;$A28,'Sous-détails'!$B$5:$B$407,"Matériaux")</f>
        <v>2125.0</v>
      </c>
      <c r="F28" s="32">
        <f>SUMIFS('Sous-détails'!$H$5:$H$407,'Sous-détails'!$A$5:$A$407,"Art. "&amp;$A28,'Sous-détails'!$B$5:$B$407,"Main-d'œuvre")</f>
        <v>1875.0</v>
      </c>
      <c r="G28" s="32">
        <f>SUMIFS('Sous-détails'!$H$5:$H$407,'Sous-détails'!$A$5:$A$407,"Art. "&amp;$A28,'Sous-détails'!$B$5:$B$407,"Matériel")</f>
        <v>56.25</v>
      </c>
      <c r="H28" s="32">
        <f>E28+F28+G28</f>
        <v>4056.25</v>
      </c>
      <c r="I28" s="32">
        <f>$D28*E28</f>
        <v>145885.5</v>
      </c>
      <c r="J28" s="32">
        <f>$D28*F28</f>
        <v>128722.5</v>
      </c>
      <c r="K28" s="32">
        <f>$D28*G28</f>
        <v>3861.675</v>
      </c>
      <c r="L28" s="32">
        <f>$D28*H28</f>
        <v>278469.675</v>
      </c>
      <c r="M28" s="12" t="inlineStr">
        <is>
          <t>NON</t>
        </is>
      </c>
    </row>
    <row r="29">
      <c r="A29" s="12" t="inlineStr">
        <is>
          <t>2.10</t>
        </is>
      </c>
      <c r="B29" s="28" t="inlineStr">
        <is>
          <t>Armatures HA12 FeE500 - semelles isolées 80x80 et fûts</t>
        </is>
      </c>
      <c r="C29" s="12" t="inlineStr">
        <is>
          <t>kg</t>
        </is>
      </c>
      <c r="D29" s="18">
        <f>q_2_10</f>
        <v>288.48456000000004</v>
      </c>
      <c r="E29" s="32">
        <f>SUMIFS('Sous-détails'!$H$5:$H$407,'Sous-détails'!$A$5:$A$407,"Art. "&amp;$A29,'Sous-détails'!$B$5:$B$407,"Matériaux")</f>
        <v>822.5</v>
      </c>
      <c r="F29" s="32">
        <f>SUMIFS('Sous-détails'!$H$5:$H$407,'Sous-détails'!$A$5:$A$407,"Art. "&amp;$A29,'Sous-détails'!$B$5:$B$407,"Main-d'œuvre")</f>
        <v>100.0</v>
      </c>
      <c r="G29" s="32">
        <f>SUMIFS('Sous-détails'!$H$5:$H$407,'Sous-détails'!$A$5:$A$407,"Art. "&amp;$A29,'Sous-détails'!$B$5:$B$407,"Matériel")</f>
        <v>3.0</v>
      </c>
      <c r="H29" s="32">
        <f>E29+F29+G29</f>
        <v>925.5</v>
      </c>
      <c r="I29" s="32">
        <f>$D29*E29</f>
        <v>237278.55060000005</v>
      </c>
      <c r="J29" s="32">
        <f>$D29*F29</f>
        <v>28848.456000000006</v>
      </c>
      <c r="K29" s="32">
        <f>$D29*G29</f>
        <v>865.4536800000001</v>
      </c>
      <c r="L29" s="32">
        <f>$D29*H29</f>
        <v>266992.46028000006</v>
      </c>
      <c r="M29" s="12" t="inlineStr">
        <is>
          <t>NON</t>
        </is>
      </c>
    </row>
    <row r="30">
      <c r="A30" s="12" t="inlineStr">
        <is>
          <t>2.11</t>
        </is>
      </c>
      <c r="B30" s="28" t="inlineStr">
        <is>
          <t>Armatures HA10 FeE500 - fondations</t>
        </is>
      </c>
      <c r="C30" s="12" t="inlineStr">
        <is>
          <t>kg</t>
        </is>
      </c>
      <c r="D30" s="18">
        <f>q_2_11</f>
        <v>445.7208</v>
      </c>
      <c r="E30" s="32">
        <f>SUMIFS('Sous-détails'!$H$5:$H$407,'Sous-détails'!$A$5:$A$407,"Art. "&amp;$A30,'Sous-détails'!$B$5:$B$407,"Matériaux")</f>
        <v>832.5</v>
      </c>
      <c r="F30" s="32">
        <f>SUMIFS('Sous-détails'!$H$5:$H$407,'Sous-détails'!$A$5:$A$407,"Art. "&amp;$A30,'Sous-détails'!$B$5:$B$407,"Main-d'œuvre")</f>
        <v>100.0</v>
      </c>
      <c r="G30" s="32">
        <f>SUMIFS('Sous-détails'!$H$5:$H$407,'Sous-détails'!$A$5:$A$407,"Art. "&amp;$A30,'Sous-détails'!$B$5:$B$407,"Matériel")</f>
        <v>3.0</v>
      </c>
      <c r="H30" s="32">
        <f>E30+F30+G30</f>
        <v>935.5</v>
      </c>
      <c r="I30" s="32">
        <f>$D30*E30</f>
        <v>371062.566</v>
      </c>
      <c r="J30" s="32">
        <f>$D30*F30</f>
        <v>44572.08</v>
      </c>
      <c r="K30" s="32">
        <f>$D30*G30</f>
        <v>1337.1624</v>
      </c>
      <c r="L30" s="32">
        <f>$D30*H30</f>
        <v>416971.8084</v>
      </c>
      <c r="M30" s="12" t="inlineStr">
        <is>
          <t>NON</t>
        </is>
      </c>
    </row>
    <row r="31">
      <c r="A31" s="12" t="inlineStr">
        <is>
          <t>2.12</t>
        </is>
      </c>
      <c r="B31" s="28" t="inlineStr">
        <is>
          <t>Armatures HA6 FeE500 - fondations</t>
        </is>
      </c>
      <c r="C31" s="12" t="inlineStr">
        <is>
          <t>kg</t>
        </is>
      </c>
      <c r="D31" s="18">
        <f>q_2_12</f>
        <v>136.73646</v>
      </c>
      <c r="E31" s="32">
        <f>SUMIFS('Sous-détails'!$H$5:$H$407,'Sous-détails'!$A$5:$A$407,"Art. "&amp;$A31,'Sous-détails'!$B$5:$B$407,"Matériaux")</f>
        <v>887.5</v>
      </c>
      <c r="F31" s="32">
        <f>SUMIFS('Sous-détails'!$H$5:$H$407,'Sous-détails'!$A$5:$A$407,"Art. "&amp;$A31,'Sous-détails'!$B$5:$B$407,"Main-d'œuvre")</f>
        <v>100.0</v>
      </c>
      <c r="G31" s="32">
        <f>SUMIFS('Sous-détails'!$H$5:$H$407,'Sous-détails'!$A$5:$A$407,"Art. "&amp;$A31,'Sous-détails'!$B$5:$B$407,"Matériel")</f>
        <v>3.0</v>
      </c>
      <c r="H31" s="32">
        <f>E31+F31+G31</f>
        <v>990.5</v>
      </c>
      <c r="I31" s="32">
        <f>$D31*E31</f>
        <v>121353.60824999999</v>
      </c>
      <c r="J31" s="32">
        <f>$D31*F31</f>
        <v>13673.645999999999</v>
      </c>
      <c r="K31" s="32">
        <f>$D31*G31</f>
        <v>410.20938</v>
      </c>
      <c r="L31" s="32">
        <f>$D31*H31</f>
        <v>135437.46362999998</v>
      </c>
      <c r="M31" s="12" t="inlineStr">
        <is>
          <t>NON</t>
        </is>
      </c>
    </row>
    <row r="32">
      <c r="A32" s="34" t="n"/>
      <c r="B32" s="35" t="inlineStr">
        <is>
          <t>Sous-total déboursé sec lot 2</t>
        </is>
      </c>
      <c r="C32" s="34" t="n"/>
      <c r="D32" s="34" t="n"/>
      <c r="E32" s="34" t="n"/>
      <c r="F32" s="34" t="n"/>
      <c r="G32" s="34" t="n"/>
      <c r="H32" s="34" t="n"/>
      <c r="I32" s="36">
        <f>SUM(I20:I31)</f>
        <v>2810415.5128500005</v>
      </c>
      <c r="J32" s="36">
        <f>SUM(J20:J31)</f>
        <v>525414.182</v>
      </c>
      <c r="K32" s="36">
        <f>SUM(K20:K31)</f>
        <v>119860.42546000001</v>
      </c>
      <c r="L32" s="36">
        <f>SUM(L20:L31)</f>
        <v>3455690.1203100006</v>
      </c>
      <c r="M32" s="34" t="n"/>
    </row>
    <row r="34">
      <c r="A34" s="8" t="inlineStr">
        <is>
          <t>LOT 3</t>
        </is>
      </c>
      <c r="B34" s="8" t="inlineStr">
        <is>
          <t>ÉLÉVATION (MAÇONNERIE ET BÉTON ARMÉ)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</row>
    <row r="35">
      <c r="A35" s="12" t="inlineStr">
        <is>
          <t>3.1</t>
        </is>
      </c>
      <c r="B35" s="28" t="inlineStr">
        <is>
          <t>Maçonnerie d'agglos 15 pleins en élévation, mortier dosé à 300 kg/m³ (y compris pignons)</t>
        </is>
      </c>
      <c r="C35" s="12" t="inlineStr">
        <is>
          <t>m²</t>
        </is>
      </c>
      <c r="D35" s="18">
        <f>q_3_1</f>
        <v>373.89258829184433</v>
      </c>
      <c r="E35" s="32">
        <f>SUMIFS('Sous-détails'!$H$5:$H$407,'Sous-détails'!$A$5:$A$407,"Art. "&amp;$A35,'Sous-détails'!$B$5:$B$407,"Matériaux")</f>
        <v>7802.5</v>
      </c>
      <c r="F35" s="32">
        <f>SUMIFS('Sous-détails'!$H$5:$H$407,'Sous-détails'!$A$5:$A$407,"Art. "&amp;$A35,'Sous-détails'!$B$5:$B$407,"Main-d'œuvre")</f>
        <v>1500.0</v>
      </c>
      <c r="G35" s="32">
        <f>SUMIFS('Sous-détails'!$H$5:$H$407,'Sous-détails'!$A$5:$A$407,"Art. "&amp;$A35,'Sous-détails'!$B$5:$B$407,"Matériel")</f>
        <v>45.0</v>
      </c>
      <c r="H35" s="32">
        <f>E35+F35+G35</f>
        <v>9347.5</v>
      </c>
      <c r="I35" s="32">
        <f>$D35*E35</f>
        <v>2917296.9201471154</v>
      </c>
      <c r="J35" s="32">
        <f>$D35*F35</f>
        <v>560838.8824377665</v>
      </c>
      <c r="K35" s="32">
        <f>$D35*G35</f>
        <v>16825.166473132995</v>
      </c>
      <c r="L35" s="32">
        <f>$D35*H35</f>
        <v>3494960.969058015</v>
      </c>
      <c r="M35" s="12" t="inlineStr">
        <is>
          <t>NON</t>
        </is>
      </c>
    </row>
    <row r="36">
      <c r="A36" s="12" t="inlineStr">
        <is>
          <t>3.2</t>
        </is>
      </c>
      <c r="B36" s="28" t="inlineStr">
        <is>
          <t>Béton armé dosé à 350 kg/m³ pour poteaux 15 x 15 (2 par pilier IPE), de -0,85 à +6,00</t>
        </is>
      </c>
      <c r="C36" s="12" t="inlineStr">
        <is>
          <t>m³</t>
        </is>
      </c>
      <c r="D36" s="18">
        <f>q_3_2</f>
        <v>5.285249999999999</v>
      </c>
      <c r="E36" s="32">
        <f>SUMIFS('Sous-détails'!$H$5:$H$407,'Sous-détails'!$A$5:$A$407,"Art. "&amp;$A36,'Sous-détails'!$B$5:$B$407,"Matériaux")</f>
        <v>67450.0</v>
      </c>
      <c r="F36" s="32">
        <f>SUMIFS('Sous-détails'!$H$5:$H$407,'Sous-détails'!$A$5:$A$407,"Art. "&amp;$A36,'Sous-détails'!$B$5:$B$407,"Main-d'œuvre")</f>
        <v>10000.0</v>
      </c>
      <c r="G36" s="32">
        <f>SUMIFS('Sous-détails'!$H$5:$H$407,'Sous-détails'!$A$5:$A$407,"Art. "&amp;$A36,'Sous-détails'!$B$5:$B$407,"Matériel")</f>
        <v>10300.0</v>
      </c>
      <c r="H36" s="32">
        <f>E36+F36+G36</f>
        <v>87750.0</v>
      </c>
      <c r="I36" s="32">
        <f>$D36*E36</f>
        <v>356490.11249999993</v>
      </c>
      <c r="J36" s="32">
        <f>$D36*F36</f>
        <v>52852.499999999985</v>
      </c>
      <c r="K36" s="32">
        <f>$D36*G36</f>
        <v>54438.07499999999</v>
      </c>
      <c r="L36" s="32">
        <f>$D36*H36</f>
        <v>463780.6874999999</v>
      </c>
      <c r="M36" s="12" t="inlineStr">
        <is>
          <t>NON</t>
        </is>
      </c>
    </row>
    <row r="37">
      <c r="A37" s="12" t="inlineStr">
        <is>
          <t>3.3</t>
        </is>
      </c>
      <c r="B37" s="28" t="inlineStr">
        <is>
          <t>Béton armé dosé à 350 kg/m³ pour chaînage intermédiaire 15 x 20 à +3,00</t>
        </is>
      </c>
      <c r="C37" s="12" t="inlineStr">
        <is>
          <t>m³</t>
        </is>
      </c>
      <c r="D37" s="18">
        <f>q_3_3</f>
        <v>2.0109</v>
      </c>
      <c r="E37" s="32">
        <f>SUMIFS('Sous-détails'!$H$5:$H$407,'Sous-détails'!$A$5:$A$407,"Art. "&amp;$A37,'Sous-détails'!$B$5:$B$407,"Matériaux")</f>
        <v>67450.0</v>
      </c>
      <c r="F37" s="32">
        <f>SUMIFS('Sous-détails'!$H$5:$H$407,'Sous-détails'!$A$5:$A$407,"Art. "&amp;$A37,'Sous-détails'!$B$5:$B$407,"Main-d'œuvre")</f>
        <v>8000.0</v>
      </c>
      <c r="G37" s="32">
        <f>SUMIFS('Sous-détails'!$H$5:$H$407,'Sous-détails'!$A$5:$A$407,"Art. "&amp;$A37,'Sous-détails'!$B$5:$B$407,"Matériel")</f>
        <v>8240.0</v>
      </c>
      <c r="H37" s="32">
        <f>E37+F37+G37</f>
        <v>83690.0</v>
      </c>
      <c r="I37" s="32">
        <f>$D37*E37</f>
        <v>135635.205</v>
      </c>
      <c r="J37" s="32">
        <f>$D37*F37</f>
        <v>16087.199999999999</v>
      </c>
      <c r="K37" s="32">
        <f>$D37*G37</f>
        <v>16569.816</v>
      </c>
      <c r="L37" s="32">
        <f>$D37*H37</f>
        <v>168292.221</v>
      </c>
      <c r="M37" s="12" t="inlineStr">
        <is>
          <t>NON</t>
        </is>
      </c>
    </row>
    <row r="38">
      <c r="A38" s="12" t="inlineStr">
        <is>
          <t>3.4</t>
        </is>
      </c>
      <c r="B38" s="28" t="inlineStr">
        <is>
          <t>Béton armé dosé à 350 kg/m³ pour chaînage haut 15 x 20</t>
        </is>
      </c>
      <c r="C38" s="12" t="inlineStr">
        <is>
          <t>m³</t>
        </is>
      </c>
      <c r="D38" s="18">
        <f>q_3_4</f>
        <v>2.1909</v>
      </c>
      <c r="E38" s="32">
        <f>SUMIFS('Sous-détails'!$H$5:$H$407,'Sous-détails'!$A$5:$A$407,"Art. "&amp;$A38,'Sous-détails'!$B$5:$B$407,"Matériaux")</f>
        <v>67450.0</v>
      </c>
      <c r="F38" s="32">
        <f>SUMIFS('Sous-détails'!$H$5:$H$407,'Sous-détails'!$A$5:$A$407,"Art. "&amp;$A38,'Sous-détails'!$B$5:$B$407,"Main-d'œuvre")</f>
        <v>8000.0</v>
      </c>
      <c r="G38" s="32">
        <f>SUMIFS('Sous-détails'!$H$5:$H$407,'Sous-détails'!$A$5:$A$407,"Art. "&amp;$A38,'Sous-détails'!$B$5:$B$407,"Matériel")</f>
        <v>8240.0</v>
      </c>
      <c r="H38" s="32">
        <f>E38+F38+G38</f>
        <v>83690.0</v>
      </c>
      <c r="I38" s="32">
        <f>$D38*E38</f>
        <v>147776.20500000002</v>
      </c>
      <c r="J38" s="32">
        <f>$D38*F38</f>
        <v>17527.2</v>
      </c>
      <c r="K38" s="32">
        <f>$D38*G38</f>
        <v>18053.016</v>
      </c>
      <c r="L38" s="32">
        <f>$D38*H38</f>
        <v>183356.421</v>
      </c>
      <c r="M38" s="12" t="inlineStr">
        <is>
          <t>NON</t>
        </is>
      </c>
    </row>
    <row r="39">
      <c r="A39" s="12" t="inlineStr">
        <is>
          <t>3.5</t>
        </is>
      </c>
      <c r="B39" s="28" t="inlineStr">
        <is>
          <t>Béton armé dosé à 350 kg/m³ pour linteau de l'entrée 15 x 40</t>
        </is>
      </c>
      <c r="C39" s="12" t="inlineStr">
        <is>
          <t>m³</t>
        </is>
      </c>
      <c r="D39" s="18">
        <f>q_3_5</f>
        <v>0.36</v>
      </c>
      <c r="E39" s="32">
        <f>SUMIFS('Sous-détails'!$H$5:$H$407,'Sous-détails'!$A$5:$A$407,"Art. "&amp;$A39,'Sous-détails'!$B$5:$B$407,"Matériaux")</f>
        <v>67450.0</v>
      </c>
      <c r="F39" s="32">
        <f>SUMIFS('Sous-détails'!$H$5:$H$407,'Sous-détails'!$A$5:$A$407,"Art. "&amp;$A39,'Sous-détails'!$B$5:$B$407,"Main-d'œuvre")</f>
        <v>10000.0</v>
      </c>
      <c r="G39" s="32">
        <f>SUMIFS('Sous-détails'!$H$5:$H$407,'Sous-détails'!$A$5:$A$407,"Art. "&amp;$A39,'Sous-détails'!$B$5:$B$407,"Matériel")</f>
        <v>10300.0</v>
      </c>
      <c r="H39" s="32">
        <f>E39+F39+G39</f>
        <v>87750.0</v>
      </c>
      <c r="I39" s="32">
        <f>$D39*E39</f>
        <v>24282.0</v>
      </c>
      <c r="J39" s="32">
        <f>$D39*F39</f>
        <v>3600.0</v>
      </c>
      <c r="K39" s="32">
        <f>$D39*G39</f>
        <v>3708.0</v>
      </c>
      <c r="L39" s="32">
        <f>$D39*H39</f>
        <v>31590.0</v>
      </c>
      <c r="M39" s="12" t="inlineStr">
        <is>
          <t>NON</t>
        </is>
      </c>
    </row>
    <row r="40">
      <c r="A40" s="12" t="inlineStr">
        <is>
          <t>3.6</t>
        </is>
      </c>
      <c r="B40" s="28" t="inlineStr">
        <is>
          <t>Béton armé dosé à 350 kg/m³ pour chaînages rampants 15 x 15 (pente 20 %)</t>
        </is>
      </c>
      <c r="C40" s="12" t="inlineStr">
        <is>
          <t>m³</t>
        </is>
      </c>
      <c r="D40" s="18">
        <f>q_3_6</f>
        <v>0.44091175622335055</v>
      </c>
      <c r="E40" s="32">
        <f>SUMIFS('Sous-détails'!$H$5:$H$407,'Sous-détails'!$A$5:$A$407,"Art. "&amp;$A40,'Sous-détails'!$B$5:$B$407,"Matériaux")</f>
        <v>67450.0</v>
      </c>
      <c r="F40" s="32">
        <f>SUMIFS('Sous-détails'!$H$5:$H$407,'Sous-détails'!$A$5:$A$407,"Art. "&amp;$A40,'Sous-détails'!$B$5:$B$407,"Main-d'œuvre")</f>
        <v>10000.0</v>
      </c>
      <c r="G40" s="32">
        <f>SUMIFS('Sous-détails'!$H$5:$H$407,'Sous-détails'!$A$5:$A$407,"Art. "&amp;$A40,'Sous-détails'!$B$5:$B$407,"Matériel")</f>
        <v>10300.0</v>
      </c>
      <c r="H40" s="32">
        <f>E40+F40+G40</f>
        <v>87750.0</v>
      </c>
      <c r="I40" s="32">
        <f>$D40*E40</f>
        <v>29739.497957264994</v>
      </c>
      <c r="J40" s="32">
        <f>$D40*F40</f>
        <v>4409.117562233506</v>
      </c>
      <c r="K40" s="32">
        <f>$D40*G40</f>
        <v>4541.391089100511</v>
      </c>
      <c r="L40" s="32">
        <f>$D40*H40</f>
        <v>38690.00660859901</v>
      </c>
      <c r="M40" s="12" t="inlineStr">
        <is>
          <t>NON</t>
        </is>
      </c>
    </row>
    <row r="41">
      <c r="A41" s="12" t="inlineStr">
        <is>
          <t>3.7</t>
        </is>
      </c>
      <c r="B41" s="28" t="inlineStr">
        <is>
          <t>Coffrage en bois ordinaire (poteaux, chaînages, linteau, rampants)</t>
        </is>
      </c>
      <c r="C41" s="12" t="inlineStr">
        <is>
          <t>m²</t>
        </is>
      </c>
      <c r="D41" s="18">
        <f>q_3_7</f>
        <v>173.30782341631132</v>
      </c>
      <c r="E41" s="32">
        <f>SUMIFS('Sous-détails'!$H$5:$H$407,'Sous-détails'!$A$5:$A$407,"Art. "&amp;$A41,'Sous-détails'!$B$5:$B$407,"Matériaux")</f>
        <v>2125.0</v>
      </c>
      <c r="F41" s="32">
        <f>SUMIFS('Sous-détails'!$H$5:$H$407,'Sous-détails'!$A$5:$A$407,"Art. "&amp;$A41,'Sous-détails'!$B$5:$B$407,"Main-d'œuvre")</f>
        <v>1875.0</v>
      </c>
      <c r="G41" s="32">
        <f>SUMIFS('Sous-détails'!$H$5:$H$407,'Sous-détails'!$A$5:$A$407,"Art. "&amp;$A41,'Sous-détails'!$B$5:$B$407,"Matériel")</f>
        <v>56.25</v>
      </c>
      <c r="H41" s="32">
        <f>E41+F41+G41</f>
        <v>4056.25</v>
      </c>
      <c r="I41" s="32">
        <f>$D41*E41</f>
        <v>368279.12475966156</v>
      </c>
      <c r="J41" s="32">
        <f>$D41*F41</f>
        <v>324952.16890558373</v>
      </c>
      <c r="K41" s="32">
        <f>$D41*G41</f>
        <v>9748.565067167512</v>
      </c>
      <c r="L41" s="32">
        <f>$D41*H41</f>
        <v>702979.8587324128</v>
      </c>
      <c r="M41" s="12" t="inlineStr">
        <is>
          <t>NON</t>
        </is>
      </c>
    </row>
    <row r="42">
      <c r="A42" s="12" t="inlineStr">
        <is>
          <t>3.8</t>
        </is>
      </c>
      <c r="B42" s="28" t="inlineStr">
        <is>
          <t>Armatures HA10 FeE500 - élévation</t>
        </is>
      </c>
      <c r="C42" s="12" t="inlineStr">
        <is>
          <t>kg</t>
        </is>
      </c>
      <c r="D42" s="18">
        <f>q_3_8</f>
        <v>1202.7612163371073</v>
      </c>
      <c r="E42" s="32">
        <f>SUMIFS('Sous-détails'!$H$5:$H$407,'Sous-détails'!$A$5:$A$407,"Art. "&amp;$A42,'Sous-détails'!$B$5:$B$407,"Matériaux")</f>
        <v>832.5</v>
      </c>
      <c r="F42" s="32">
        <f>SUMIFS('Sous-détails'!$H$5:$H$407,'Sous-détails'!$A$5:$A$407,"Art. "&amp;$A42,'Sous-détails'!$B$5:$B$407,"Main-d'œuvre")</f>
        <v>100.0</v>
      </c>
      <c r="G42" s="32">
        <f>SUMIFS('Sous-détails'!$H$5:$H$407,'Sous-détails'!$A$5:$A$407,"Art. "&amp;$A42,'Sous-détails'!$B$5:$B$407,"Matériel")</f>
        <v>3.0</v>
      </c>
      <c r="H42" s="32">
        <f>E42+F42+G42</f>
        <v>935.5</v>
      </c>
      <c r="I42" s="32">
        <f>$D42*E42</f>
        <v>1001298.7126006418</v>
      </c>
      <c r="J42" s="32">
        <f>$D42*F42</f>
        <v>120276.12163371073</v>
      </c>
      <c r="K42" s="32">
        <f>$D42*G42</f>
        <v>3608.283649011322</v>
      </c>
      <c r="L42" s="32">
        <f>$D42*H42</f>
        <v>1125183.1178833637</v>
      </c>
      <c r="M42" s="12" t="inlineStr">
        <is>
          <t>NON</t>
        </is>
      </c>
    </row>
    <row r="43">
      <c r="A43" s="12" t="inlineStr">
        <is>
          <t>3.9</t>
        </is>
      </c>
      <c r="B43" s="28" t="inlineStr">
        <is>
          <t>Armatures HA6 FeE500 - élévation</t>
        </is>
      </c>
      <c r="C43" s="12" t="inlineStr">
        <is>
          <t>kg</t>
        </is>
      </c>
      <c r="D43" s="18">
        <f>q_3_9</f>
        <v>316.5475144861848</v>
      </c>
      <c r="E43" s="32">
        <f>SUMIFS('Sous-détails'!$H$5:$H$407,'Sous-détails'!$A$5:$A$407,"Art. "&amp;$A43,'Sous-détails'!$B$5:$B$407,"Matériaux")</f>
        <v>887.5</v>
      </c>
      <c r="F43" s="32">
        <f>SUMIFS('Sous-détails'!$H$5:$H$407,'Sous-détails'!$A$5:$A$407,"Art. "&amp;$A43,'Sous-détails'!$B$5:$B$407,"Main-d'œuvre")</f>
        <v>100.0</v>
      </c>
      <c r="G43" s="32">
        <f>SUMIFS('Sous-détails'!$H$5:$H$407,'Sous-détails'!$A$5:$A$407,"Art. "&amp;$A43,'Sous-détails'!$B$5:$B$407,"Matériel")</f>
        <v>3.0</v>
      </c>
      <c r="H43" s="32">
        <f>E43+F43+G43</f>
        <v>990.5</v>
      </c>
      <c r="I43" s="32">
        <f>$D43*E43</f>
        <v>280935.91910648905</v>
      </c>
      <c r="J43" s="32">
        <f>$D43*F43</f>
        <v>31654.75144861848</v>
      </c>
      <c r="K43" s="32">
        <f>$D43*G43</f>
        <v>949.6425434585544</v>
      </c>
      <c r="L43" s="32">
        <f>$D43*H43</f>
        <v>313540.313098566</v>
      </c>
      <c r="M43" s="12" t="inlineStr">
        <is>
          <t>NON</t>
        </is>
      </c>
    </row>
    <row r="44">
      <c r="A44" s="34" t="n"/>
      <c r="B44" s="35" t="inlineStr">
        <is>
          <t>Sous-total déboursé sec lot 3</t>
        </is>
      </c>
      <c r="C44" s="34" t="n"/>
      <c r="D44" s="34" t="n"/>
      <c r="E44" s="34" t="n"/>
      <c r="F44" s="34" t="n"/>
      <c r="G44" s="34" t="n"/>
      <c r="H44" s="34" t="n"/>
      <c r="I44" s="36">
        <f>SUM(I35:I43)</f>
        <v>5261733.697071172</v>
      </c>
      <c r="J44" s="36">
        <f>SUM(J35:J43)</f>
        <v>1132197.941987913</v>
      </c>
      <c r="K44" s="36">
        <f>SUM(K35:K43)</f>
        <v>128441.95582187087</v>
      </c>
      <c r="L44" s="36">
        <f>SUM(L35:L43)</f>
        <v>6522373.594880956</v>
      </c>
      <c r="M44" s="34" t="n"/>
    </row>
    <row r="46">
      <c r="A46" s="8" t="inlineStr">
        <is>
          <t>LOT 4</t>
        </is>
      </c>
      <c r="B46" s="8" t="inlineStr">
        <is>
          <t>STRUCTURE MÉTALLIQUE : PILIERS IPE 220 ET CONTREVENTEMENTS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</row>
    <row r="47">
      <c r="A47" s="12" t="inlineStr">
        <is>
          <t>4.1</t>
        </is>
      </c>
      <c r="B47" s="28" t="inlineStr">
        <is>
          <t>Piliers en IPE 220 (S235) de ±0,00 à +6,00, fournis, fabriqués, peints et posés</t>
        </is>
      </c>
      <c r="C47" s="12" t="inlineStr">
        <is>
          <t>kg</t>
        </is>
      </c>
      <c r="D47" s="18">
        <f>q_4_1</f>
        <v>2698.6</v>
      </c>
      <c r="E47" s="32">
        <f>SUMIFS('Sous-détails'!$H$5:$H$407,'Sous-détails'!$A$5:$A$407,"Art. "&amp;$A47,'Sous-détails'!$B$5:$B$407,"Matériaux")</f>
        <v>1097.5</v>
      </c>
      <c r="F47" s="32">
        <f>SUMIFS('Sous-détails'!$H$5:$H$407,'Sous-détails'!$A$5:$A$407,"Art. "&amp;$A47,'Sous-détails'!$B$5:$B$407,"Main-d'œuvre")</f>
        <v>250.0</v>
      </c>
      <c r="G47" s="32">
        <f>SUMIFS('Sous-détails'!$H$5:$H$407,'Sous-détails'!$A$5:$A$407,"Art. "&amp;$A47,'Sous-détails'!$B$5:$B$407,"Matériel")</f>
        <v>107.5</v>
      </c>
      <c r="H47" s="32">
        <f>E47+F47+G47</f>
        <v>1455.0</v>
      </c>
      <c r="I47" s="32">
        <f>$D47*E47</f>
        <v>2961713.5</v>
      </c>
      <c r="J47" s="32">
        <f>$D47*F47</f>
        <v>674650.0</v>
      </c>
      <c r="K47" s="32">
        <f>$D47*G47</f>
        <v>290099.5</v>
      </c>
      <c r="L47" s="32">
        <f>$D47*H47</f>
        <v>3926463.0</v>
      </c>
      <c r="M47" s="12" t="inlineStr">
        <is>
          <t>NON</t>
        </is>
      </c>
    </row>
    <row r="48">
      <c r="A48" s="12" t="inlineStr">
        <is>
          <t>4.2</t>
        </is>
      </c>
      <c r="B48" s="28" t="inlineStr">
        <is>
          <t>Platines de pied et de tête 15 mm + raidisseurs, soudées</t>
        </is>
      </c>
      <c r="C48" s="12" t="inlineStr">
        <is>
          <t>kg</t>
        </is>
      </c>
      <c r="D48" s="18">
        <f>q_4_2</f>
        <v>255.0</v>
      </c>
      <c r="E48" s="32">
        <f>SUMIFS('Sous-détails'!$H$5:$H$407,'Sous-détails'!$A$5:$A$407,"Art. "&amp;$A48,'Sous-détails'!$B$5:$B$407,"Matériaux")</f>
        <v>1045.0</v>
      </c>
      <c r="F48" s="32">
        <f>SUMIFS('Sous-détails'!$H$5:$H$407,'Sous-détails'!$A$5:$A$407,"Art. "&amp;$A48,'Sous-détails'!$B$5:$B$407,"Main-d'œuvre")</f>
        <v>625.0</v>
      </c>
      <c r="G48" s="32">
        <f>SUMIFS('Sous-détails'!$H$5:$H$407,'Sous-détails'!$A$5:$A$407,"Art. "&amp;$A48,'Sous-détails'!$B$5:$B$407,"Matériel")</f>
        <v>118.75</v>
      </c>
      <c r="H48" s="32">
        <f>E48+F48+G48</f>
        <v>1788.75</v>
      </c>
      <c r="I48" s="32">
        <f>$D48*E48</f>
        <v>266475.0</v>
      </c>
      <c r="J48" s="32">
        <f>$D48*F48</f>
        <v>159375.0</v>
      </c>
      <c r="K48" s="32">
        <f>$D48*G48</f>
        <v>30281.25</v>
      </c>
      <c r="L48" s="32">
        <f>$D48*H48</f>
        <v>456131.25</v>
      </c>
      <c r="M48" s="12" t="inlineStr">
        <is>
          <t>NON</t>
        </is>
      </c>
    </row>
    <row r="49">
      <c r="A49" s="12" t="inlineStr">
        <is>
          <t>4.3</t>
        </is>
      </c>
      <c r="B49" s="28" t="inlineStr">
        <is>
          <t>Calage et scellement des platines au mortier sans retrait</t>
        </is>
      </c>
      <c r="C49" s="12" t="inlineStr">
        <is>
          <t>u</t>
        </is>
      </c>
      <c r="D49" s="18">
        <f>q_4_3</f>
        <v>17.0</v>
      </c>
      <c r="E49" s="32">
        <f>SUMIFS('Sous-détails'!$H$5:$H$407,'Sous-détails'!$A$5:$A$407,"Art. "&amp;$A49,'Sous-détails'!$B$5:$B$407,"Matériaux")</f>
        <v>4500.0</v>
      </c>
      <c r="F49" s="32">
        <f>SUMIFS('Sous-détails'!$H$5:$H$407,'Sous-détails'!$A$5:$A$407,"Art. "&amp;$A49,'Sous-détails'!$B$5:$B$407,"Main-d'œuvre")</f>
        <v>1875.0</v>
      </c>
      <c r="G49" s="32">
        <f>SUMIFS('Sous-détails'!$H$5:$H$407,'Sous-détails'!$A$5:$A$407,"Art. "&amp;$A49,'Sous-détails'!$B$5:$B$407,"Matériel")</f>
        <v>56.25</v>
      </c>
      <c r="H49" s="32">
        <f>E49+F49+G49</f>
        <v>6431.25</v>
      </c>
      <c r="I49" s="32">
        <f>$D49*E49</f>
        <v>76500.0</v>
      </c>
      <c r="J49" s="32">
        <f>$D49*F49</f>
        <v>31875.0</v>
      </c>
      <c r="K49" s="32">
        <f>$D49*G49</f>
        <v>956.25</v>
      </c>
      <c r="L49" s="32">
        <f>$D49*H49</f>
        <v>109331.25</v>
      </c>
      <c r="M49" s="12" t="inlineStr">
        <is>
          <t>NON</t>
        </is>
      </c>
    </row>
    <row r="50">
      <c r="A50" s="12" t="inlineStr">
        <is>
          <t>4.4</t>
        </is>
      </c>
      <c r="B50" s="28" t="inlineStr">
        <is>
          <t>Contreventements en cornières 50x50x5 : palées verticales en long pan et poutre au vent en toiture (goussets et boulons compris)</t>
        </is>
      </c>
      <c r="C50" s="12" t="inlineStr">
        <is>
          <t>kg</t>
        </is>
      </c>
      <c r="D50" s="18">
        <f>q_4_4</f>
        <v>496.0368727932168</v>
      </c>
      <c r="E50" s="32">
        <f>SUMIFS('Sous-détails'!$H$5:$H$407,'Sous-détails'!$A$5:$A$407,"Art. "&amp;$A50,'Sous-détails'!$B$5:$B$407,"Matériaux")</f>
        <v>1045.0</v>
      </c>
      <c r="F50" s="32">
        <f>SUMIFS('Sous-détails'!$H$5:$H$407,'Sous-détails'!$A$5:$A$407,"Art. "&amp;$A50,'Sous-détails'!$B$5:$B$407,"Main-d'œuvre")</f>
        <v>416.66666666666663</v>
      </c>
      <c r="G50" s="32">
        <f>SUMIFS('Sous-détails'!$H$5:$H$407,'Sous-détails'!$A$5:$A$407,"Art. "&amp;$A50,'Sous-détails'!$B$5:$B$407,"Matériel")</f>
        <v>112.5</v>
      </c>
      <c r="H50" s="32">
        <f>E50+F50+G50</f>
        <v>1574.1666666666665</v>
      </c>
      <c r="I50" s="32">
        <f>$D50*E50</f>
        <v>518358.53206891153</v>
      </c>
      <c r="J50" s="32">
        <f>$D50*F50</f>
        <v>206682.03033050697</v>
      </c>
      <c r="K50" s="32">
        <f>$D50*G50</f>
        <v>55804.14818923689</v>
      </c>
      <c r="L50" s="32">
        <f>$D50*H50</f>
        <v>780844.7105886553</v>
      </c>
      <c r="M50" s="12" t="inlineStr">
        <is>
          <t>NON</t>
        </is>
      </c>
    </row>
    <row r="51">
      <c r="A51" s="34" t="n"/>
      <c r="B51" s="35" t="inlineStr">
        <is>
          <t>Sous-total déboursé sec lot 4</t>
        </is>
      </c>
      <c r="C51" s="34" t="n"/>
      <c r="D51" s="34" t="n"/>
      <c r="E51" s="34" t="n"/>
      <c r="F51" s="34" t="n"/>
      <c r="G51" s="34" t="n"/>
      <c r="H51" s="34" t="n"/>
      <c r="I51" s="36">
        <f>SUM(I47:I50)</f>
        <v>3823047.0320689115</v>
      </c>
      <c r="J51" s="36">
        <f>SUM(J47:J50)</f>
        <v>1072582.030330507</v>
      </c>
      <c r="K51" s="36">
        <f>SUM(K47:K50)</f>
        <v>377141.1481892369</v>
      </c>
      <c r="L51" s="36">
        <f>SUM(L47:L50)</f>
        <v>5272770.210588655</v>
      </c>
      <c r="M51" s="34" t="n"/>
    </row>
    <row r="53">
      <c r="A53" s="8" t="inlineStr">
        <is>
          <t>LOT 5</t>
        </is>
      </c>
      <c r="B53" s="8" t="inlineStr">
        <is>
          <t>FORME EN LATÉRITE ET DALLAGE BA 20 cm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</row>
    <row r="54">
      <c r="A54" s="12" t="inlineStr">
        <is>
          <t>5.1</t>
        </is>
      </c>
      <c r="B54" s="28" t="inlineStr">
        <is>
          <t>Décaissement / purge intérieure du sol de mauvaise portance (ép. = épaisseur de latérite) et évacuation</t>
        </is>
      </c>
      <c r="C54" s="12" t="inlineStr">
        <is>
          <t>m³</t>
        </is>
      </c>
      <c r="D54" s="18">
        <f>q_5_1</f>
        <v>117.609</v>
      </c>
      <c r="E54" s="32">
        <f>SUMIFS('Sous-détails'!$H$5:$H$407,'Sous-détails'!$A$5:$A$407,"Art. "&amp;$A54,'Sous-détails'!$B$5:$B$407,"Matériaux")</f>
        <v>0.0</v>
      </c>
      <c r="F54" s="32">
        <f>SUMIFS('Sous-détails'!$H$5:$H$407,'Sous-détails'!$A$5:$A$407,"Art. "&amp;$A54,'Sous-détails'!$B$5:$B$407,"Main-d'œuvre")</f>
        <v>2500.0</v>
      </c>
      <c r="G54" s="32">
        <f>SUMIFS('Sous-détails'!$H$5:$H$407,'Sous-détails'!$A$5:$A$407,"Art. "&amp;$A54,'Sous-détails'!$B$5:$B$407,"Matériel")</f>
        <v>3200.0</v>
      </c>
      <c r="H54" s="32">
        <f>E54+F54+G54</f>
        <v>5700.0</v>
      </c>
      <c r="I54" s="32">
        <f>$D54*E54</f>
        <v>0.0</v>
      </c>
      <c r="J54" s="32">
        <f>$D54*F54</f>
        <v>294022.5</v>
      </c>
      <c r="K54" s="32">
        <f>$D54*G54</f>
        <v>376348.8</v>
      </c>
      <c r="L54" s="32">
        <f>$D54*H54</f>
        <v>670371.2999999999</v>
      </c>
      <c r="M54" s="12" t="inlineStr">
        <is>
          <t>NON</t>
        </is>
      </c>
    </row>
    <row r="55">
      <c r="A55" s="12" t="inlineStr">
        <is>
          <t>5.2</t>
        </is>
      </c>
      <c r="B55" s="28" t="inlineStr">
        <is>
          <t>Rechargement en latérite d'emprunt à l'intérieur, mis en œuvre par couches de 20 cm, arrosé et compacté à 95 % OPM</t>
        </is>
      </c>
      <c r="C55" s="12" t="inlineStr">
        <is>
          <t>m³</t>
        </is>
      </c>
      <c r="D55" s="18">
        <f>q_5_2</f>
        <v>117.609</v>
      </c>
      <c r="E55" s="32">
        <f>SUMIFS('Sous-détails'!$H$5:$H$407,'Sous-détails'!$A$5:$A$407,"Art. "&amp;$A55,'Sous-détails'!$B$5:$B$407,"Matériaux")</f>
        <v>7900.0</v>
      </c>
      <c r="F55" s="32">
        <f>SUMIFS('Sous-détails'!$H$5:$H$407,'Sous-détails'!$A$5:$A$407,"Art. "&amp;$A55,'Sous-détails'!$B$5:$B$407,"Main-d'œuvre")</f>
        <v>833.3333333333333</v>
      </c>
      <c r="G55" s="32">
        <f>SUMIFS('Sous-détails'!$H$5:$H$407,'Sous-détails'!$A$5:$A$407,"Art. "&amp;$A55,'Sous-détails'!$B$5:$B$407,"Matériel")</f>
        <v>1525.0</v>
      </c>
      <c r="H55" s="32">
        <f>E55+F55+G55</f>
        <v>10258.333333333334</v>
      </c>
      <c r="I55" s="32">
        <f>$D55*E55</f>
        <v>929111.1</v>
      </c>
      <c r="J55" s="32">
        <f>$D55*F55</f>
        <v>98007.49999999999</v>
      </c>
      <c r="K55" s="32">
        <f>$D55*G55</f>
        <v>179353.725</v>
      </c>
      <c r="L55" s="32">
        <f>$D55*H55</f>
        <v>1206472.325</v>
      </c>
      <c r="M55" s="12" t="inlineStr">
        <is>
          <t>NON</t>
        </is>
      </c>
    </row>
    <row r="56">
      <c r="A56" s="12" t="inlineStr">
        <is>
          <t>5.3</t>
        </is>
      </c>
      <c r="B56" s="28" t="inlineStr">
        <is>
          <t>Essais de contrôle (Proctor modifié, densités in situ par couche, éprouvettes béton)</t>
        </is>
      </c>
      <c r="C56" s="12" t="inlineStr">
        <is>
          <t>ft</t>
        </is>
      </c>
      <c r="D56" s="18">
        <f>q_5_3</f>
        <v>1.0</v>
      </c>
      <c r="E56" s="32">
        <f>SUMIFS('Sous-détails'!$H$5:$H$407,'Sous-détails'!$A$5:$A$407,"Art. "&amp;$A56,'Sous-détails'!$B$5:$B$407,"Matériaux")</f>
        <v>250000.0</v>
      </c>
      <c r="F56" s="32">
        <f>SUMIFS('Sous-détails'!$H$5:$H$407,'Sous-détails'!$A$5:$A$407,"Art. "&amp;$A56,'Sous-détails'!$B$5:$B$407,"Main-d'œuvre")</f>
        <v>0.0</v>
      </c>
      <c r="G56" s="32">
        <f>SUMIFS('Sous-détails'!$H$5:$H$407,'Sous-détails'!$A$5:$A$407,"Art. "&amp;$A56,'Sous-détails'!$B$5:$B$407,"Matériel")</f>
        <v>0.0</v>
      </c>
      <c r="H56" s="32">
        <f>E56+F56+G56</f>
        <v>250000.0</v>
      </c>
      <c r="I56" s="32">
        <f>$D56*E56</f>
        <v>250000.0</v>
      </c>
      <c r="J56" s="32">
        <f>$D56*F56</f>
        <v>0.0</v>
      </c>
      <c r="K56" s="32">
        <f>$D56*G56</f>
        <v>0.0</v>
      </c>
      <c r="L56" s="32">
        <f>$D56*H56</f>
        <v>250000.0</v>
      </c>
      <c r="M56" s="12" t="inlineStr">
        <is>
          <t>NON</t>
        </is>
      </c>
    </row>
    <row r="57">
      <c r="A57" s="12" t="inlineStr">
        <is>
          <t>5.4</t>
        </is>
      </c>
      <c r="B57" s="28" t="inlineStr">
        <is>
          <t>Traitement anti-termites sous dallage</t>
        </is>
      </c>
      <c r="C57" s="12" t="inlineStr">
        <is>
          <t>m²</t>
        </is>
      </c>
      <c r="D57" s="18">
        <f>q_5_4</f>
        <v>294.0225</v>
      </c>
      <c r="E57" s="32">
        <f>SUMIFS('Sous-détails'!$H$5:$H$407,'Sous-détails'!$A$5:$A$407,"Art. "&amp;$A57,'Sous-détails'!$B$5:$B$407,"Matériaux")</f>
        <v>1200.0</v>
      </c>
      <c r="F57" s="32">
        <f>SUMIFS('Sous-détails'!$H$5:$H$407,'Sous-détails'!$A$5:$A$407,"Art. "&amp;$A57,'Sous-détails'!$B$5:$B$407,"Main-d'œuvre")</f>
        <v>100.0</v>
      </c>
      <c r="G57" s="32">
        <f>SUMIFS('Sous-détails'!$H$5:$H$407,'Sous-détails'!$A$5:$A$407,"Art. "&amp;$A57,'Sous-détails'!$B$5:$B$407,"Matériel")</f>
        <v>3.0</v>
      </c>
      <c r="H57" s="32">
        <f>E57+F57+G57</f>
        <v>1303.0</v>
      </c>
      <c r="I57" s="32">
        <f>$D57*E57</f>
        <v>352827.0</v>
      </c>
      <c r="J57" s="32">
        <f>$D57*F57</f>
        <v>29402.249999999996</v>
      </c>
      <c r="K57" s="32">
        <f>$D57*G57</f>
        <v>882.0674999999999</v>
      </c>
      <c r="L57" s="32">
        <f>$D57*H57</f>
        <v>383111.31749999995</v>
      </c>
      <c r="M57" s="12" t="inlineStr">
        <is>
          <t>NON</t>
        </is>
      </c>
    </row>
    <row r="58">
      <c r="A58" s="12" t="inlineStr">
        <is>
          <t>5.5</t>
        </is>
      </c>
      <c r="B58" s="28" t="inlineStr">
        <is>
          <t>Film polyane 150 µ sous dallage (recouvrements 10 %)</t>
        </is>
      </c>
      <c r="C58" s="12" t="inlineStr">
        <is>
          <t>m²</t>
        </is>
      </c>
      <c r="D58" s="18">
        <f>q_5_5</f>
        <v>323.42475</v>
      </c>
      <c r="E58" s="32">
        <f>SUMIFS('Sous-détails'!$H$5:$H$407,'Sous-détails'!$A$5:$A$407,"Art. "&amp;$A58,'Sous-détails'!$B$5:$B$407,"Matériaux")</f>
        <v>400.0</v>
      </c>
      <c r="F58" s="32">
        <f>SUMIFS('Sous-détails'!$H$5:$H$407,'Sous-détails'!$A$5:$A$407,"Art. "&amp;$A58,'Sous-détails'!$B$5:$B$407,"Main-d'œuvre")</f>
        <v>33.333333333333336</v>
      </c>
      <c r="G58" s="32">
        <f>SUMIFS('Sous-détails'!$H$5:$H$407,'Sous-détails'!$A$5:$A$407,"Art. "&amp;$A58,'Sous-détails'!$B$5:$B$407,"Matériel")</f>
        <v>1.0</v>
      </c>
      <c r="H58" s="32">
        <f>E58+F58+G58</f>
        <v>434.3333333333333</v>
      </c>
      <c r="I58" s="32">
        <f>$D58*E58</f>
        <v>129369.90000000001</v>
      </c>
      <c r="J58" s="32">
        <f>$D58*F58</f>
        <v>10780.825</v>
      </c>
      <c r="K58" s="32">
        <f>$D58*G58</f>
        <v>323.42475</v>
      </c>
      <c r="L58" s="32">
        <f>$D58*H58</f>
        <v>140474.14975</v>
      </c>
      <c r="M58" s="12" t="inlineStr">
        <is>
          <t>NON</t>
        </is>
      </c>
    </row>
    <row r="59">
      <c r="A59" s="12" t="inlineStr">
        <is>
          <t>5.6</t>
        </is>
      </c>
      <c r="B59" s="28" t="inlineStr">
        <is>
          <t>Armatures HA10 FeE500 - dallage double nappe e = 20 cm + chaises</t>
        </is>
      </c>
      <c r="C59" s="12" t="inlineStr">
        <is>
          <t>kg</t>
        </is>
      </c>
      <c r="D59" s="18">
        <f>q_5_6</f>
        <v>4343.000467049999</v>
      </c>
      <c r="E59" s="32">
        <f>SUMIFS('Sous-détails'!$H$5:$H$407,'Sous-détails'!$A$5:$A$407,"Art. "&amp;$A59,'Sous-détails'!$B$5:$B$407,"Matériaux")</f>
        <v>832.5</v>
      </c>
      <c r="F59" s="32">
        <f>SUMIFS('Sous-détails'!$H$5:$H$407,'Sous-détails'!$A$5:$A$407,"Art. "&amp;$A59,'Sous-détails'!$B$5:$B$407,"Main-d'œuvre")</f>
        <v>75.0</v>
      </c>
      <c r="G59" s="32">
        <f>SUMIFS('Sous-détails'!$H$5:$H$407,'Sous-détails'!$A$5:$A$407,"Art. "&amp;$A59,'Sous-détails'!$B$5:$B$407,"Matériel")</f>
        <v>2.25</v>
      </c>
      <c r="H59" s="32">
        <f>E59+F59+G59</f>
        <v>909.75</v>
      </c>
      <c r="I59" s="32">
        <f>$D59*E59</f>
        <v>3615547.8888191245</v>
      </c>
      <c r="J59" s="32">
        <f>$D59*F59</f>
        <v>325725.03502874996</v>
      </c>
      <c r="K59" s="32">
        <f>$D59*G59</f>
        <v>9771.751050862498</v>
      </c>
      <c r="L59" s="32">
        <f>$D59*H59</f>
        <v>3951044.6748987366</v>
      </c>
      <c r="M59" s="12" t="inlineStr">
        <is>
          <t>NON</t>
        </is>
      </c>
    </row>
    <row r="60">
      <c r="A60" s="12" t="inlineStr">
        <is>
          <t>5.7</t>
        </is>
      </c>
      <c r="B60" s="28" t="inlineStr">
        <is>
          <t>Béton armé dosé à 350 kg/m³ pour dallage ép. 20 cm, vibré et surfacé</t>
        </is>
      </c>
      <c r="C60" s="12" t="inlineStr">
        <is>
          <t>m³</t>
        </is>
      </c>
      <c r="D60" s="18">
        <f>q_5_7</f>
        <v>58.8045</v>
      </c>
      <c r="E60" s="32">
        <f>SUMIFS('Sous-détails'!$H$5:$H$407,'Sous-détails'!$A$5:$A$407,"Art. "&amp;$A60,'Sous-détails'!$B$5:$B$407,"Matériaux")</f>
        <v>67450.0</v>
      </c>
      <c r="F60" s="32">
        <f>SUMIFS('Sous-détails'!$H$5:$H$407,'Sous-détails'!$A$5:$A$407,"Art. "&amp;$A60,'Sous-détails'!$B$5:$B$407,"Main-d'œuvre")</f>
        <v>5000.0</v>
      </c>
      <c r="G60" s="32">
        <f>SUMIFS('Sous-détails'!$H$5:$H$407,'Sous-détails'!$A$5:$A$407,"Art. "&amp;$A60,'Sous-détails'!$B$5:$B$407,"Matériel")</f>
        <v>5150.0</v>
      </c>
      <c r="H60" s="32">
        <f>E60+F60+G60</f>
        <v>77600.0</v>
      </c>
      <c r="I60" s="32">
        <f>$D60*E60</f>
        <v>3966363.525</v>
      </c>
      <c r="J60" s="32">
        <f>$D60*F60</f>
        <v>294022.5</v>
      </c>
      <c r="K60" s="32">
        <f>$D60*G60</f>
        <v>302843.175</v>
      </c>
      <c r="L60" s="32">
        <f>$D60*H60</f>
        <v>4563229.2</v>
      </c>
      <c r="M60" s="12" t="inlineStr">
        <is>
          <t>NON</t>
        </is>
      </c>
    </row>
    <row r="61">
      <c r="A61" s="12" t="inlineStr">
        <is>
          <t>5.8</t>
        </is>
      </c>
      <c r="B61" s="28" t="inlineStr">
        <is>
          <t>Joints de retrait sciés (maille 5 m) et joint périphérique</t>
        </is>
      </c>
      <c r="C61" s="12" t="inlineStr">
        <is>
          <t>ml</t>
        </is>
      </c>
      <c r="D61" s="18">
        <f>q_5_8</f>
        <v>158.5</v>
      </c>
      <c r="E61" s="32">
        <f>SUMIFS('Sous-détails'!$H$5:$H$407,'Sous-détails'!$A$5:$A$407,"Art. "&amp;$A61,'Sous-détails'!$B$5:$B$407,"Matériaux")</f>
        <v>800.0</v>
      </c>
      <c r="F61" s="32">
        <f>SUMIFS('Sous-détails'!$H$5:$H$407,'Sous-détails'!$A$5:$A$407,"Art. "&amp;$A61,'Sous-détails'!$B$5:$B$407,"Main-d'œuvre")</f>
        <v>166.66666666666666</v>
      </c>
      <c r="G61" s="32">
        <f>SUMIFS('Sous-détails'!$H$5:$H$407,'Sous-détails'!$A$5:$A$407,"Art. "&amp;$A61,'Sous-détails'!$B$5:$B$407,"Matériel")</f>
        <v>255.0</v>
      </c>
      <c r="H61" s="32">
        <f>E61+F61+G61</f>
        <v>1221.6666666666665</v>
      </c>
      <c r="I61" s="32">
        <f>$D61*E61</f>
        <v>126800.0</v>
      </c>
      <c r="J61" s="32">
        <f>$D61*F61</f>
        <v>26416.666666666664</v>
      </c>
      <c r="K61" s="32">
        <f>$D61*G61</f>
        <v>40417.5</v>
      </c>
      <c r="L61" s="32">
        <f>$D61*H61</f>
        <v>193634.16666666666</v>
      </c>
      <c r="M61" s="12" t="inlineStr">
        <is>
          <t>NON</t>
        </is>
      </c>
    </row>
    <row r="62">
      <c r="A62" s="34" t="n"/>
      <c r="B62" s="35" t="inlineStr">
        <is>
          <t>Sous-total déboursé sec lot 5</t>
        </is>
      </c>
      <c r="C62" s="34" t="n"/>
      <c r="D62" s="34" t="n"/>
      <c r="E62" s="34" t="n"/>
      <c r="F62" s="34" t="n"/>
      <c r="G62" s="34" t="n"/>
      <c r="H62" s="34" t="n"/>
      <c r="I62" s="36">
        <f>SUM(I54:I61)</f>
        <v>9370019.413819125</v>
      </c>
      <c r="J62" s="36">
        <f>SUM(J54:J61)</f>
        <v>1078377.2766954168</v>
      </c>
      <c r="K62" s="36">
        <f>SUM(K54:K61)</f>
        <v>909940.4433008626</v>
      </c>
      <c r="L62" s="36">
        <f>SUM(L54:L61)</f>
        <v>11358337.133815404</v>
      </c>
      <c r="M62" s="34" t="n"/>
    </row>
    <row r="64">
      <c r="A64" s="8" t="inlineStr">
        <is>
          <t>LOT 6</t>
        </is>
      </c>
      <c r="B64" s="8" t="inlineStr">
        <is>
          <t>ENDUITS (OPTION)</t>
        </is>
      </c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</row>
    <row r="65">
      <c r="A65" s="12" t="inlineStr">
        <is>
          <t>6.1</t>
        </is>
      </c>
      <c r="B65" s="28" t="inlineStr">
        <is>
          <t>Enduit au mortier dosé à 300 kg/m³ ép. 2 cm, intérieur et extérieur</t>
        </is>
      </c>
      <c r="C65" s="12" t="inlineStr">
        <is>
          <t>m²</t>
        </is>
      </c>
      <c r="D65" s="18">
        <f>q_6_1</f>
        <v>926.24</v>
      </c>
      <c r="E65" s="32">
        <f>SUMIFS('Sous-détails'!$H$5:$H$407,'Sous-détails'!$A$5:$A$407,"Art. "&amp;$A65,'Sous-détails'!$B$5:$B$407,"Matériaux")</f>
        <v>1064.0</v>
      </c>
      <c r="F65" s="32">
        <f>SUMIFS('Sous-détails'!$H$5:$H$407,'Sous-détails'!$A$5:$A$407,"Art. "&amp;$A65,'Sous-détails'!$B$5:$B$407,"Main-d'œuvre")</f>
        <v>1250.0</v>
      </c>
      <c r="G65" s="32">
        <f>SUMIFS('Sous-détails'!$H$5:$H$407,'Sous-détails'!$A$5:$A$407,"Art. "&amp;$A65,'Sous-détails'!$B$5:$B$407,"Matériel")</f>
        <v>187.5</v>
      </c>
      <c r="H65" s="32">
        <f>E65+F65+G65</f>
        <v>2501.5</v>
      </c>
      <c r="I65" s="32">
        <f>$D65*E65</f>
        <v>985519.36</v>
      </c>
      <c r="J65" s="32">
        <f>$D65*F65</f>
        <v>1157800.0</v>
      </c>
      <c r="K65" s="32">
        <f>$D65*G65</f>
        <v>173670.0</v>
      </c>
      <c r="L65" s="32">
        <f>$D65*H65</f>
        <v>2316989.36</v>
      </c>
      <c r="M65" s="12" t="inlineStr">
        <is>
          <t>OUI</t>
        </is>
      </c>
    </row>
    <row r="66">
      <c r="A66" s="34" t="n"/>
      <c r="B66" s="35" t="inlineStr">
        <is>
          <t>Sous-total déboursé sec lot 6</t>
        </is>
      </c>
      <c r="C66" s="34" t="n"/>
      <c r="D66" s="34" t="n"/>
      <c r="E66" s="34" t="n"/>
      <c r="F66" s="34" t="n"/>
      <c r="G66" s="34" t="n"/>
      <c r="H66" s="34" t="n"/>
      <c r="I66" s="36">
        <f>SUM(I65:I65)</f>
        <v>985519.36</v>
      </c>
      <c r="J66" s="36">
        <f>SUM(J65:J65)</f>
        <v>1157800.0</v>
      </c>
      <c r="K66" s="36">
        <f>SUM(K65:K65)</f>
        <v>173670.0</v>
      </c>
      <c r="L66" s="36">
        <f>SUM(L65:L65)</f>
        <v>2316989.36</v>
      </c>
      <c r="M66" s="34" t="n"/>
    </row>
    <row r="68">
      <c r="A68" s="8" t="inlineStr">
        <is>
          <t>LOT 7</t>
        </is>
      </c>
      <c r="B68" s="8" t="inlineStr">
        <is>
          <t>CHARPENTE DE TOITURE ET COUVERTURE - PENTE 20 % (OPTION)</t>
        </is>
      </c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</row>
    <row r="69">
      <c r="A69" s="12" t="inlineStr">
        <is>
          <t>7.1</t>
        </is>
      </c>
      <c r="B69" s="28" t="inlineStr">
        <is>
          <t>Fermes / traverses de toiture sur têtes d'IPE 220 (hors pannes) - ratio à confirmer par note de calcul</t>
        </is>
      </c>
      <c r="C69" s="12" t="inlineStr">
        <is>
          <t>kg</t>
        </is>
      </c>
      <c r="D69" s="18">
        <f>q_7_1</f>
        <v>2728.0</v>
      </c>
      <c r="E69" s="32">
        <f>SUMIFS('Sous-détails'!$H$5:$H$407,'Sous-détails'!$A$5:$A$407,"Art. "&amp;$A69,'Sous-détails'!$B$5:$B$407,"Matériaux")</f>
        <v>997.5</v>
      </c>
      <c r="F69" s="32">
        <f>SUMIFS('Sous-détails'!$H$5:$H$407,'Sous-détails'!$A$5:$A$407,"Art. "&amp;$A69,'Sous-détails'!$B$5:$B$407,"Main-d'œuvre")</f>
        <v>333.3333333333333</v>
      </c>
      <c r="G69" s="32">
        <f>SUMIFS('Sous-détails'!$H$5:$H$407,'Sous-détails'!$A$5:$A$407,"Art. "&amp;$A69,'Sous-détails'!$B$5:$B$407,"Matériel")</f>
        <v>110.0</v>
      </c>
      <c r="H69" s="32">
        <f>E69+F69+G69</f>
        <v>1440.8333333333333</v>
      </c>
      <c r="I69" s="32">
        <f>$D69*E69</f>
        <v>2721180.0</v>
      </c>
      <c r="J69" s="32">
        <f>$D69*F69</f>
        <v>909333.3333333333</v>
      </c>
      <c r="K69" s="32">
        <f>$D69*G69</f>
        <v>300080.0</v>
      </c>
      <c r="L69" s="32">
        <f>$D69*H69</f>
        <v>3930593.333333333</v>
      </c>
      <c r="M69" s="12" t="inlineStr">
        <is>
          <t>OUI</t>
        </is>
      </c>
    </row>
    <row r="70">
      <c r="A70" s="12" t="inlineStr">
        <is>
          <t>7.2</t>
        </is>
      </c>
      <c r="B70" s="28" t="inlineStr">
        <is>
          <t>Pannes en Z 120 x 2 mm, entraxe ≤ 1,20 m, y compris échantignoles et boulonnerie</t>
        </is>
      </c>
      <c r="C70" s="12" t="inlineStr">
        <is>
          <t>kg</t>
        </is>
      </c>
      <c r="D70" s="18">
        <f>q_7_2</f>
        <v>1523.3400000000001</v>
      </c>
      <c r="E70" s="32">
        <f>SUMIFS('Sous-détails'!$H$5:$H$407,'Sous-détails'!$A$5:$A$407,"Art. "&amp;$A70,'Sous-détails'!$B$5:$B$407,"Matériaux")</f>
        <v>1000.0</v>
      </c>
      <c r="F70" s="32">
        <f>SUMIFS('Sous-détails'!$H$5:$H$407,'Sous-détails'!$A$5:$A$407,"Art. "&amp;$A70,'Sous-détails'!$B$5:$B$407,"Main-d'œuvre")</f>
        <v>166.66666666666669</v>
      </c>
      <c r="G70" s="32">
        <f>SUMIFS('Sous-détails'!$H$5:$H$407,'Sous-détails'!$A$5:$A$407,"Art. "&amp;$A70,'Sous-détails'!$B$5:$B$407,"Matériel")</f>
        <v>55.0</v>
      </c>
      <c r="H70" s="32">
        <f>E70+F70+G70</f>
        <v>1221.6666666666667</v>
      </c>
      <c r="I70" s="32">
        <f>$D70*E70</f>
        <v>1523340.0000000002</v>
      </c>
      <c r="J70" s="32">
        <f>$D70*F70</f>
        <v>253890.00000000006</v>
      </c>
      <c r="K70" s="32">
        <f>$D70*G70</f>
        <v>83783.70000000001</v>
      </c>
      <c r="L70" s="32">
        <f>$D70*H70</f>
        <v>1861013.7000000002</v>
      </c>
      <c r="M70" s="12" t="inlineStr">
        <is>
          <t>OUI</t>
        </is>
      </c>
    </row>
    <row r="71">
      <c r="A71" s="12" t="inlineStr">
        <is>
          <t>7.3</t>
        </is>
      </c>
      <c r="B71" s="28" t="inlineStr">
        <is>
          <t>Couverture en tôles bacs 5 ondulations sur pannes Z, pente 20 %, débords 0,50 m</t>
        </is>
      </c>
      <c r="C71" s="12" t="inlineStr">
        <is>
          <t>m²</t>
        </is>
      </c>
      <c r="D71" s="18">
        <f>q_7_3</f>
        <v>347.1392098427526</v>
      </c>
      <c r="E71" s="32">
        <f>SUMIFS('Sous-détails'!$H$5:$H$407,'Sous-détails'!$A$5:$A$407,"Art. "&amp;$A71,'Sous-détails'!$B$5:$B$407,"Matériaux")</f>
        <v>4950.0</v>
      </c>
      <c r="F71" s="32">
        <f>SUMIFS('Sous-détails'!$H$5:$H$407,'Sous-détails'!$A$5:$A$407,"Art. "&amp;$A71,'Sous-détails'!$B$5:$B$407,"Main-d'œuvre")</f>
        <v>500.0</v>
      </c>
      <c r="G71" s="32">
        <f>SUMIFS('Sous-détails'!$H$5:$H$407,'Sous-détails'!$A$5:$A$407,"Art. "&amp;$A71,'Sous-détails'!$B$5:$B$407,"Matériel")</f>
        <v>15.0</v>
      </c>
      <c r="H71" s="32">
        <f>E71+F71+G71</f>
        <v>5465.0</v>
      </c>
      <c r="I71" s="32">
        <f>$D71*E71</f>
        <v>1718339.0887216255</v>
      </c>
      <c r="J71" s="32">
        <f>$D71*F71</f>
        <v>173569.6049213763</v>
      </c>
      <c r="K71" s="32">
        <f>$D71*G71</f>
        <v>5207.08814764129</v>
      </c>
      <c r="L71" s="32">
        <f>$D71*H71</f>
        <v>1897115.781790643</v>
      </c>
      <c r="M71" s="12" t="inlineStr">
        <is>
          <t>OUI</t>
        </is>
      </c>
    </row>
    <row r="72">
      <c r="A72" s="12" t="inlineStr">
        <is>
          <t>7.4</t>
        </is>
      </c>
      <c r="B72" s="28" t="inlineStr">
        <is>
          <t>Faîtière</t>
        </is>
      </c>
      <c r="C72" s="12" t="inlineStr">
        <is>
          <t>ml</t>
        </is>
      </c>
      <c r="D72" s="18">
        <f>q_7_4</f>
        <v>31.0</v>
      </c>
      <c r="E72" s="32">
        <f>SUMIFS('Sous-détails'!$H$5:$H$407,'Sous-détails'!$A$5:$A$407,"Art. "&amp;$A72,'Sous-détails'!$B$5:$B$407,"Matériaux")</f>
        <v>3675.0</v>
      </c>
      <c r="F72" s="32">
        <f>SUMIFS('Sous-détails'!$H$5:$H$407,'Sous-détails'!$A$5:$A$407,"Art. "&amp;$A72,'Sous-détails'!$B$5:$B$407,"Main-d'œuvre")</f>
        <v>500.0</v>
      </c>
      <c r="G72" s="32">
        <f>SUMIFS('Sous-détails'!$H$5:$H$407,'Sous-détails'!$A$5:$A$407,"Art. "&amp;$A72,'Sous-détails'!$B$5:$B$407,"Matériel")</f>
        <v>15.0</v>
      </c>
      <c r="H72" s="32">
        <f>E72+F72+G72</f>
        <v>4190.0</v>
      </c>
      <c r="I72" s="32">
        <f>$D72*E72</f>
        <v>113925.0</v>
      </c>
      <c r="J72" s="32">
        <f>$D72*F72</f>
        <v>15500.0</v>
      </c>
      <c r="K72" s="32">
        <f>$D72*G72</f>
        <v>465.0</v>
      </c>
      <c r="L72" s="32">
        <f>$D72*H72</f>
        <v>129890.0</v>
      </c>
      <c r="M72" s="12" t="inlineStr">
        <is>
          <t>OUI</t>
        </is>
      </c>
    </row>
    <row r="73">
      <c r="A73" s="34" t="n"/>
      <c r="B73" s="35" t="inlineStr">
        <is>
          <t>Sous-total déboursé sec lot 7</t>
        </is>
      </c>
      <c r="C73" s="34" t="n"/>
      <c r="D73" s="34" t="n"/>
      <c r="E73" s="34" t="n"/>
      <c r="F73" s="34" t="n"/>
      <c r="G73" s="34" t="n"/>
      <c r="H73" s="34" t="n"/>
      <c r="I73" s="36">
        <f>SUM(I69:I72)</f>
        <v>6076784.0887216255</v>
      </c>
      <c r="J73" s="36">
        <f>SUM(J69:J72)</f>
        <v>1352292.9382547096</v>
      </c>
      <c r="K73" s="36">
        <f>SUM(K69:K72)</f>
        <v>389535.7881476413</v>
      </c>
      <c r="L73" s="36">
        <f>SUM(L69:L72)</f>
        <v>7818612.815123976</v>
      </c>
      <c r="M73" s="34" t="n"/>
    </row>
    <row r="75">
      <c r="A75" s="8" t="inlineStr">
        <is>
          <t>LOT 8</t>
        </is>
      </c>
      <c r="B75" s="8" t="inlineStr">
        <is>
          <t>MENUISERIE MÉTALLIQUE (OPTION)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</row>
    <row r="76">
      <c r="A76" s="12" t="inlineStr">
        <is>
          <t>8.1</t>
        </is>
      </c>
      <c r="B76" s="28" t="inlineStr">
        <is>
          <t>Portail métallique coulissant 6,00 x 4,50 m</t>
        </is>
      </c>
      <c r="C76" s="12" t="inlineStr">
        <is>
          <t>u</t>
        </is>
      </c>
      <c r="D76" s="18">
        <f>q_8_1</f>
        <v>1.0</v>
      </c>
      <c r="E76" s="32">
        <f>SUMIFS('Sous-détails'!$H$5:$H$407,'Sous-détails'!$A$5:$A$407,"Art. "&amp;$A76,'Sous-détails'!$B$5:$B$407,"Matériaux")</f>
        <v>1600000.0</v>
      </c>
      <c r="F76" s="32">
        <f>SUMIFS('Sous-détails'!$H$5:$H$407,'Sous-détails'!$A$5:$A$407,"Art. "&amp;$A76,'Sous-détails'!$B$5:$B$407,"Main-d'œuvre")</f>
        <v>300000.0</v>
      </c>
      <c r="G76" s="32">
        <f>SUMIFS('Sous-détails'!$H$5:$H$407,'Sous-détails'!$A$5:$A$407,"Art. "&amp;$A76,'Sous-détails'!$B$5:$B$407,"Matériel")</f>
        <v>159000.0</v>
      </c>
      <c r="H76" s="32">
        <f>E76+F76+G76</f>
        <v>2059000.0</v>
      </c>
      <c r="I76" s="32">
        <f>$D76*E76</f>
        <v>1600000.0</v>
      </c>
      <c r="J76" s="32">
        <f>$D76*F76</f>
        <v>300000.0</v>
      </c>
      <c r="K76" s="32">
        <f>$D76*G76</f>
        <v>159000.0</v>
      </c>
      <c r="L76" s="32">
        <f>$D76*H76</f>
        <v>2059000.0</v>
      </c>
      <c r="M76" s="12" t="inlineStr">
        <is>
          <t>OUI</t>
        </is>
      </c>
    </row>
    <row r="77">
      <c r="A77" s="34" t="n"/>
      <c r="B77" s="35" t="inlineStr">
        <is>
          <t>Sous-total déboursé sec lot 8</t>
        </is>
      </c>
      <c r="C77" s="34" t="n"/>
      <c r="D77" s="34" t="n"/>
      <c r="E77" s="34" t="n"/>
      <c r="F77" s="34" t="n"/>
      <c r="G77" s="34" t="n"/>
      <c r="H77" s="34" t="n"/>
      <c r="I77" s="36">
        <f>SUM(I76:I76)</f>
        <v>1600000.0</v>
      </c>
      <c r="J77" s="36">
        <f>SUM(J76:J76)</f>
        <v>300000.0</v>
      </c>
      <c r="K77" s="36">
        <f>SUM(K76:K76)</f>
        <v>159000.0</v>
      </c>
      <c r="L77" s="36">
        <f>SUM(L76:L76)</f>
        <v>2059000.0</v>
      </c>
      <c r="M77" s="34" t="n"/>
    </row>
    <row r="79">
      <c r="B79" s="24" t="inlineStr">
        <is>
          <t>DÉBOURSÉ SEC GROS ŒUVRE ET STRUCTURE (lots 0 à 5)</t>
        </is>
      </c>
      <c r="I79" s="37">
        <f>SUMIFS(I5:I78,$M$5:$M$78,"NON")</f>
        <v>21670975.65580921</v>
      </c>
      <c r="J79" s="37">
        <f>SUMIFS(J5:J78,$M$5:$M$78,"NON")</f>
        <v>4310598.0976805035</v>
      </c>
      <c r="K79" s="37">
        <f>SUMIFS(K5:K78,$M$5:$M$78,"NON")</f>
        <v>1797002.3665219704</v>
      </c>
      <c r="L79" s="37">
        <f>SUMIFS(L5:L78,$M$5:$M$78,"NON")</f>
        <v>27778576.120011684</v>
      </c>
    </row>
    <row r="80">
      <c r="B80" s="24" t="inlineStr">
        <is>
          <t>DÉBOURSÉ SEC OPTIONS (lots 6 à 8)</t>
        </is>
      </c>
      <c r="I80" s="37">
        <f>SUMIFS(I5:I78,$M$5:$M$78,"OUI")</f>
        <v>8662303.448721625</v>
      </c>
      <c r="J80" s="37">
        <f>SUMIFS(J5:J78,$M$5:$M$78,"OUI")</f>
        <v>2810092.93825471</v>
      </c>
      <c r="K80" s="37">
        <f>SUMIFS(K5:K78,$M$5:$M$78,"OUI")</f>
        <v>722205.7881476412</v>
      </c>
      <c r="L80" s="37">
        <f>SUMIFS(L5:L78,$M$5:$M$78,"OUI")</f>
        <v>12194602.175123977</v>
      </c>
    </row>
    <row r="81">
      <c r="B81" s="24" t="inlineStr">
        <is>
          <t>DÉBOURSÉ SEC TOTAL</t>
        </is>
      </c>
      <c r="I81" s="37">
        <f>I79+I80</f>
        <v>30333279.104530834</v>
      </c>
      <c r="J81" s="37">
        <f>J79+J80</f>
        <v>7120691.035935214</v>
      </c>
      <c r="K81" s="37">
        <f>K79+K80</f>
        <v>2519208.1546696117</v>
      </c>
      <c r="L81" s="37">
        <f>L79+L80</f>
        <v>39973178.29513566</v>
      </c>
    </row>
    <row r="82">
      <c r="B82" s="38" t="inlineStr">
        <is>
          <t>Répartition gros œuvre (%)</t>
        </is>
      </c>
      <c r="I82" s="39">
        <f>IF($L$79=0,0,I79/$L$79)</f>
        <v>0.7801327023452955</v>
      </c>
      <c r="J82" s="39">
        <f>IF($L$79=0,0,J79/$L$79)</f>
        <v>0.15517707167773617</v>
      </c>
      <c r="K82" s="39">
        <f>IF($L$79=0,0,K79/$L$79)</f>
        <v>0.06469022597696827</v>
      </c>
      <c r="L82" s="39">
        <f>IF($L$79=0,0,L79/$L$79)</f>
        <v>1.0</v>
      </c>
    </row>
  </sheetData>
  <pageMargins left="0.75" right="0.75" top="1" bottom="1" header="0.5" footer="0.5"/>
  <pageSetup orientation="landscape" paperSize="9" fitToHeight="0" fitToWidth="1"/>
  <headerFooter>
    <oddHeader>&amp;LASSEYA SILVER CONSTRUCTION - établi par Moulo Jean Claude&amp;RDéboursé sec</oddHeader>
    <oddFooter>&amp;LASSEYA SILVER CONSTRUCTION - N° CC 2245191 D - RCCM CI-BKE-01-2022-B13-00153&amp;RPage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66" customWidth="1" min="2" max="2"/>
    <col width="6" customWidth="1" min="3" max="3"/>
    <col width="12" customWidth="1" min="4" max="4"/>
    <col width="15" customWidth="1" min="5" max="5"/>
    <col width="17" customWidth="1" min="6" max="6"/>
    <col width="8" customWidth="1" min="7" max="7"/>
  </cols>
  <sheetData>
    <row r="1">
      <c r="A1" s="1" t="inlineStr">
        <is>
          <t>ASSEYA SILVER CONSTRUCTION - Construction métallique et bâtiment - Bouaké - Tél : 07 08 39 02 66 / 05 05 10 76 82 - Email : asseyasilver@gmail.com</t>
        </is>
      </c>
    </row>
    <row r="2">
      <c r="A2" s="2" t="inlineStr">
        <is>
          <t>Devis quantitatif et estimatif - Bâtiment industriel 30,00 x 10,00 m - 04/10/2026 - établi par Moulo Jean Claude, Technicien Génie Civil BTP - BAEL 91 mod. 99 / EC2</t>
        </is>
      </c>
    </row>
    <row r="4" ht="30" customHeight="1">
      <c r="A4" s="7" t="inlineStr">
        <is>
          <t>N°</t>
        </is>
      </c>
      <c r="B4" s="7" t="inlineStr">
        <is>
          <t>Désignation</t>
        </is>
      </c>
      <c r="C4" s="7" t="inlineStr">
        <is>
          <t>U</t>
        </is>
      </c>
      <c r="D4" s="7" t="inlineStr">
        <is>
          <t>Quantité</t>
        </is>
      </c>
      <c r="E4" s="7" t="inlineStr">
        <is>
          <t>P.U. HT (FCFA)</t>
        </is>
      </c>
      <c r="F4" s="7" t="inlineStr">
        <is>
          <t>Montant HT (FCFA)</t>
        </is>
      </c>
      <c r="G4" s="7" t="inlineStr">
        <is>
          <t>Option</t>
        </is>
      </c>
    </row>
    <row r="5">
      <c r="A5" s="8" t="inlineStr">
        <is>
          <t>LOT 0</t>
        </is>
      </c>
      <c r="B5" s="8" t="inlineStr">
        <is>
          <t>INSTALLATION DE CHANTIER ET TRAVAUX PRÉPARATOIRES</t>
        </is>
      </c>
      <c r="C5" s="9" t="n"/>
      <c r="D5" s="9" t="n"/>
      <c r="E5" s="9" t="n"/>
      <c r="F5" s="9" t="n"/>
      <c r="G5" s="9" t="n"/>
    </row>
    <row r="6">
      <c r="A6" s="12" t="inlineStr">
        <is>
          <t>0.1</t>
        </is>
      </c>
      <c r="B6" s="28" t="inlineStr">
        <is>
          <t>Installation et repli de chantier (magasin, clôture provisoire, eau, électricité, panneau)</t>
        </is>
      </c>
      <c r="C6" s="12" t="inlineStr">
        <is>
          <t>ft</t>
        </is>
      </c>
      <c r="D6" s="18">
        <f>q_0_1</f>
        <v>1.0</v>
      </c>
      <c r="E6" s="32">
        <f>ROUND('Déboursé sec'!H6*p_K/5,0)*5</f>
        <v>660190.0</v>
      </c>
      <c r="F6" s="32">
        <f>D6*E6</f>
        <v>660190.0</v>
      </c>
      <c r="G6" s="12" t="inlineStr">
        <is>
          <t>NON</t>
        </is>
      </c>
    </row>
    <row r="7">
      <c r="A7" s="12" t="inlineStr">
        <is>
          <t>0.2</t>
        </is>
      </c>
      <c r="B7" s="28" t="inlineStr">
        <is>
          <t>Débroussaillage et décapage de la terre végétale ép. 10 cm</t>
        </is>
      </c>
      <c r="C7" s="12" t="inlineStr">
        <is>
          <t>m²</t>
        </is>
      </c>
      <c r="D7" s="18">
        <f>q_0_2</f>
        <v>476.0</v>
      </c>
      <c r="E7" s="32">
        <f>ROUND('Déboursé sec'!H7*p_K/5,0)*5</f>
        <v>115.0</v>
      </c>
      <c r="F7" s="32">
        <f>D7*E7</f>
        <v>54740.0</v>
      </c>
      <c r="G7" s="12" t="inlineStr">
        <is>
          <t>NON</t>
        </is>
      </c>
    </row>
    <row r="8">
      <c r="A8" s="12" t="inlineStr">
        <is>
          <t>0.3</t>
        </is>
      </c>
      <c r="B8" s="28" t="inlineStr">
        <is>
          <t>Implantation du bâtiment (chaises, cordeaux, axes et niveaux)</t>
        </is>
      </c>
      <c r="C8" s="12" t="inlineStr">
        <is>
          <t>ft</t>
        </is>
      </c>
      <c r="D8" s="18">
        <f>q_0_3</f>
        <v>1.0</v>
      </c>
      <c r="E8" s="32">
        <f>ROUND('Déboursé sec'!H8*p_K/5,0)*5</f>
        <v>159470.0</v>
      </c>
      <c r="F8" s="32">
        <f>D8*E8</f>
        <v>159470.0</v>
      </c>
      <c r="G8" s="12" t="inlineStr">
        <is>
          <t>NON</t>
        </is>
      </c>
    </row>
    <row r="9">
      <c r="A9" s="34" t="n"/>
      <c r="B9" s="35" t="inlineStr">
        <is>
          <t>Sous-total lot 0</t>
        </is>
      </c>
      <c r="C9" s="34" t="n"/>
      <c r="D9" s="34" t="n"/>
      <c r="E9" s="34" t="n"/>
      <c r="F9" s="36">
        <f>SUM(F6:F8)</f>
        <v>874400.0</v>
      </c>
      <c r="G9" s="34" t="n"/>
    </row>
    <row r="11">
      <c r="A11" s="8" t="inlineStr">
        <is>
          <t>LOT 1</t>
        </is>
      </c>
      <c r="B11" s="8" t="inlineStr">
        <is>
          <t>TERRASSEMENTS</t>
        </is>
      </c>
      <c r="C11" s="9" t="n"/>
      <c r="D11" s="9" t="n"/>
      <c r="E11" s="9" t="n"/>
      <c r="F11" s="9" t="n"/>
      <c r="G11" s="9" t="n"/>
    </row>
    <row r="12">
      <c r="A12" s="12" t="inlineStr">
        <is>
          <t>1.1</t>
        </is>
      </c>
      <c r="B12" s="28" t="inlineStr">
        <is>
          <t>Fouilles en rigole 0,60 x 1,20 m en terrain latéritique</t>
        </is>
      </c>
      <c r="C12" s="12" t="inlineStr">
        <is>
          <t>m³</t>
        </is>
      </c>
      <c r="D12" s="18">
        <f>q_1_1</f>
        <v>57.599999999999994</v>
      </c>
      <c r="E12" s="32">
        <f>ROUND('Déboursé sec'!H12*p_K/5,0)*5</f>
        <v>4505.0</v>
      </c>
      <c r="F12" s="32">
        <f>D12*E12</f>
        <v>259487.99999999997</v>
      </c>
      <c r="G12" s="12" t="inlineStr">
        <is>
          <t>NON</t>
        </is>
      </c>
    </row>
    <row r="13">
      <c r="A13" s="12" t="inlineStr">
        <is>
          <t>1.2</t>
        </is>
      </c>
      <c r="B13" s="28" t="inlineStr">
        <is>
          <t>Fouilles en puits 1,00 x 1,00 x 1,20 m pour semelles isolées 80x80 (complément)</t>
        </is>
      </c>
      <c r="C13" s="12" t="inlineStr">
        <is>
          <t>m³</t>
        </is>
      </c>
      <c r="D13" s="18">
        <f>q_1_2</f>
        <v>8.16</v>
      </c>
      <c r="E13" s="32">
        <f>ROUND('Déboursé sec'!H13*p_K/5,0)*5</f>
        <v>4505.0</v>
      </c>
      <c r="F13" s="32">
        <f>D13*E13</f>
        <v>36760.8</v>
      </c>
      <c r="G13" s="12" t="inlineStr">
        <is>
          <t>NON</t>
        </is>
      </c>
    </row>
    <row r="14">
      <c r="A14" s="12" t="inlineStr">
        <is>
          <t>1.3</t>
        </is>
      </c>
      <c r="B14" s="28" t="inlineStr">
        <is>
          <t>Remblai des fouilles avec les terres extraites, compacté par couches de 20 cm</t>
        </is>
      </c>
      <c r="C14" s="12" t="inlineStr">
        <is>
          <t>m³</t>
        </is>
      </c>
      <c r="D14" s="18">
        <f>q_1_3</f>
        <v>41.855249999999984</v>
      </c>
      <c r="E14" s="32">
        <f>ROUND('Déboursé sec'!H14*p_K/5,0)*5</f>
        <v>3000.0</v>
      </c>
      <c r="F14" s="32">
        <f>D14*E14</f>
        <v>125565.74999999996</v>
      </c>
      <c r="G14" s="12" t="inlineStr">
        <is>
          <t>NON</t>
        </is>
      </c>
    </row>
    <row r="15">
      <c r="A15" s="12" t="inlineStr">
        <is>
          <t>1.4</t>
        </is>
      </c>
      <c r="B15" s="28" t="inlineStr">
        <is>
          <t>Évacuation des terres excédentaires des fouilles</t>
        </is>
      </c>
      <c r="C15" s="12" t="inlineStr">
        <is>
          <t>m³</t>
        </is>
      </c>
      <c r="D15" s="18">
        <f>q_1_4</f>
        <v>29.880937500000005</v>
      </c>
      <c r="E15" s="32">
        <f>ROUND('Déboursé sec'!H15*p_K/5,0)*5</f>
        <v>4635.0</v>
      </c>
      <c r="F15" s="32">
        <f>D15*E15</f>
        <v>138498.1453125</v>
      </c>
      <c r="G15" s="12" t="inlineStr">
        <is>
          <t>NON</t>
        </is>
      </c>
    </row>
    <row r="16">
      <c r="A16" s="12" t="inlineStr">
        <is>
          <t>1.5</t>
        </is>
      </c>
      <c r="B16" s="28" t="inlineStr">
        <is>
          <t>Traitement anti-termites des fonds de fouilles</t>
        </is>
      </c>
      <c r="C16" s="12" t="inlineStr">
        <is>
          <t>m²</t>
        </is>
      </c>
      <c r="D16" s="18">
        <f>q_1_5</f>
        <v>54.8</v>
      </c>
      <c r="E16" s="32">
        <f>ROUND('Déboursé sec'!H16*p_K/5,0)*5</f>
        <v>1845.0</v>
      </c>
      <c r="F16" s="32">
        <f>D16*E16</f>
        <v>101106.0</v>
      </c>
      <c r="G16" s="12" t="inlineStr">
        <is>
          <t>NON</t>
        </is>
      </c>
    </row>
    <row r="17">
      <c r="A17" s="34" t="n"/>
      <c r="B17" s="35" t="inlineStr">
        <is>
          <t>Sous-total lot 1</t>
        </is>
      </c>
      <c r="C17" s="34" t="n"/>
      <c r="D17" s="34" t="n"/>
      <c r="E17" s="34" t="n"/>
      <c r="F17" s="36">
        <f>SUM(F12:F16)</f>
        <v>661418.6953125</v>
      </c>
      <c r="G17" s="34" t="n"/>
    </row>
    <row r="19">
      <c r="A19" s="8" t="inlineStr">
        <is>
          <t>LOT 2</t>
        </is>
      </c>
      <c r="B19" s="8" t="inlineStr">
        <is>
          <t>FONDATIONS</t>
        </is>
      </c>
      <c r="C19" s="9" t="n"/>
      <c r="D19" s="9" t="n"/>
      <c r="E19" s="9" t="n"/>
      <c r="F19" s="9" t="n"/>
      <c r="G19" s="9" t="n"/>
    </row>
    <row r="20">
      <c r="A20" s="12" t="inlineStr">
        <is>
          <t>2.1</t>
        </is>
      </c>
      <c r="B20" s="28" t="inlineStr">
        <is>
          <t>Béton de propreté dosé à 150 kg/m³, ép. 5 cm</t>
        </is>
      </c>
      <c r="C20" s="12" t="inlineStr">
        <is>
          <t>m³</t>
        </is>
      </c>
      <c r="D20" s="18">
        <f>q_2_1</f>
        <v>2.74</v>
      </c>
      <c r="E20" s="32">
        <f>ROUND('Déboursé sec'!H20*p_K/5,0)*5</f>
        <v>71400.0</v>
      </c>
      <c r="F20" s="32">
        <f>D20*E20</f>
        <v>195636.00000000003</v>
      </c>
      <c r="G20" s="12" t="inlineStr">
        <is>
          <t>NON</t>
        </is>
      </c>
    </row>
    <row r="21">
      <c r="A21" s="12" t="inlineStr">
        <is>
          <t>2.2</t>
        </is>
      </c>
      <c r="B21" s="28" t="inlineStr">
        <is>
          <t>Béton armé dosé à 350 kg/m³ pour semelles isolées 0,80 x 0,80 x 0,30</t>
        </is>
      </c>
      <c r="C21" s="12" t="inlineStr">
        <is>
          <t>m³</t>
        </is>
      </c>
      <c r="D21" s="18">
        <f>q_2_2</f>
        <v>3.2640000000000007</v>
      </c>
      <c r="E21" s="32">
        <f>ROUND('Déboursé sec'!H21*p_K/5,0)*5</f>
        <v>109845.0</v>
      </c>
      <c r="F21" s="32">
        <f>D21*E21</f>
        <v>358534.0800000001</v>
      </c>
      <c r="G21" s="12" t="inlineStr">
        <is>
          <t>NON</t>
        </is>
      </c>
    </row>
    <row r="22">
      <c r="A22" s="12" t="inlineStr">
        <is>
          <t>2.3</t>
        </is>
      </c>
      <c r="B22" s="28" t="inlineStr">
        <is>
          <t>Béton armé dosé à 350 kg/m³ pour fûts 40 x 40 sous platines des IPE (de -0,85 à ±0,00)</t>
        </is>
      </c>
      <c r="C22" s="12" t="inlineStr">
        <is>
          <t>m³</t>
        </is>
      </c>
      <c r="D22" s="18">
        <f>q_2_3</f>
        <v>2.3120000000000003</v>
      </c>
      <c r="E22" s="32">
        <f>ROUND('Déboursé sec'!H22*p_K/5,0)*5</f>
        <v>115170.0</v>
      </c>
      <c r="F22" s="32">
        <f>D22*E22</f>
        <v>266273.04000000004</v>
      </c>
      <c r="G22" s="12" t="inlineStr">
        <is>
          <t>NON</t>
        </is>
      </c>
    </row>
    <row r="23">
      <c r="A23" s="12" t="inlineStr">
        <is>
          <t>2.4</t>
        </is>
      </c>
      <c r="B23" s="28" t="inlineStr">
        <is>
          <t>Fourniture et scellement des tiges d'ancrage M20 des IPE (gabarit de pose, 4 par pilier)</t>
        </is>
      </c>
      <c r="C23" s="12" t="inlineStr">
        <is>
          <t>u</t>
        </is>
      </c>
      <c r="D23" s="18">
        <f>q_2_4</f>
        <v>68.0</v>
      </c>
      <c r="E23" s="32">
        <f>ROUND('Déboursé sec'!H23*p_K/5,0)*5</f>
        <v>9800.0</v>
      </c>
      <c r="F23" s="32">
        <f>D23*E23</f>
        <v>666400.0</v>
      </c>
      <c r="G23" s="12" t="inlineStr">
        <is>
          <t>NON</t>
        </is>
      </c>
    </row>
    <row r="24">
      <c r="A24" s="12" t="inlineStr">
        <is>
          <t>2.5</t>
        </is>
      </c>
      <c r="B24" s="28" t="inlineStr">
        <is>
          <t>Béton armé dosé à 350 kg/m³ pour semelle filante 0,40 x 0,15</t>
        </is>
      </c>
      <c r="C24" s="12" t="inlineStr">
        <is>
          <t>m³</t>
        </is>
      </c>
      <c r="D24" s="18">
        <f>q_2_5</f>
        <v>3.984</v>
      </c>
      <c r="E24" s="32">
        <f>ROUND('Déboursé sec'!H24*p_K/5,0)*5</f>
        <v>106290.0</v>
      </c>
      <c r="F24" s="32">
        <f>D24*E24</f>
        <v>423459.36</v>
      </c>
      <c r="G24" s="12" t="inlineStr">
        <is>
          <t>NON</t>
        </is>
      </c>
    </row>
    <row r="25">
      <c r="A25" s="12" t="inlineStr">
        <is>
          <t>2.6</t>
        </is>
      </c>
      <c r="B25" s="28" t="inlineStr">
        <is>
          <t>Maçonnerie d'agglos 15 pleins en fondation h = 1,00 m, mortier dosé à 300 kg/m³</t>
        </is>
      </c>
      <c r="C25" s="12" t="inlineStr">
        <is>
          <t>m²</t>
        </is>
      </c>
      <c r="D25" s="18">
        <f>q_2_6</f>
        <v>73.03</v>
      </c>
      <c r="E25" s="32">
        <f>ROUND('Déboursé sec'!H25*p_K/5,0)*5</f>
        <v>12270.0</v>
      </c>
      <c r="F25" s="32">
        <f>D25*E25</f>
        <v>896078.1</v>
      </c>
      <c r="G25" s="12" t="inlineStr">
        <is>
          <t>NON</t>
        </is>
      </c>
    </row>
    <row r="26">
      <c r="A26" s="12" t="inlineStr">
        <is>
          <t>2.7</t>
        </is>
      </c>
      <c r="B26" s="28" t="inlineStr">
        <is>
          <t>Béton armé dosé à 350 kg/m³ pour chaînage bas 15 x 20</t>
        </is>
      </c>
      <c r="C26" s="12" t="inlineStr">
        <is>
          <t>m³</t>
        </is>
      </c>
      <c r="D26" s="18">
        <f>q_2_7</f>
        <v>2.1909</v>
      </c>
      <c r="E26" s="32">
        <f>ROUND('Déboursé sec'!H26*p_K/5,0)*5</f>
        <v>106290.0</v>
      </c>
      <c r="F26" s="32">
        <f>D26*E26</f>
        <v>232870.761</v>
      </c>
      <c r="G26" s="12" t="inlineStr">
        <is>
          <t>NON</t>
        </is>
      </c>
    </row>
    <row r="27">
      <c r="A27" s="12" t="inlineStr">
        <is>
          <t>2.8</t>
        </is>
      </c>
      <c r="B27" s="28" t="inlineStr">
        <is>
          <t>Chape d'arase étanche (mortier dosé à 400 kg/m³ + hydrofuge) ép. 3 cm</t>
        </is>
      </c>
      <c r="C27" s="12" t="inlineStr">
        <is>
          <t>m²</t>
        </is>
      </c>
      <c r="D27" s="18">
        <f>q_2_8</f>
        <v>10.9545</v>
      </c>
      <c r="E27" s="32">
        <f>ROUND('Déboursé sec'!H27*p_K/5,0)*5</f>
        <v>5060.0</v>
      </c>
      <c r="F27" s="32">
        <f>D27*E27</f>
        <v>55429.77</v>
      </c>
      <c r="G27" s="12" t="inlineStr">
        <is>
          <t>NON</t>
        </is>
      </c>
    </row>
    <row r="28">
      <c r="A28" s="12" t="inlineStr">
        <is>
          <t>2.9</t>
        </is>
      </c>
      <c r="B28" s="28" t="inlineStr">
        <is>
          <t>Coffrage en bois ordinaire (semelles isolées, fûts, chaînage bas)</t>
        </is>
      </c>
      <c r="C28" s="12" t="inlineStr">
        <is>
          <t>m²</t>
        </is>
      </c>
      <c r="D28" s="18">
        <f>q_2_9</f>
        <v>68.652</v>
      </c>
      <c r="E28" s="32">
        <f>ROUND('Déboursé sec'!H28*p_K/5,0)*5</f>
        <v>5325.0</v>
      </c>
      <c r="F28" s="32">
        <f>D28*E28</f>
        <v>365571.9</v>
      </c>
      <c r="G28" s="12" t="inlineStr">
        <is>
          <t>NON</t>
        </is>
      </c>
    </row>
    <row r="29">
      <c r="A29" s="12" t="inlineStr">
        <is>
          <t>2.10</t>
        </is>
      </c>
      <c r="B29" s="28" t="inlineStr">
        <is>
          <t>Armatures HA12 FeE500 - semelles isolées 80x80 et fûts</t>
        </is>
      </c>
      <c r="C29" s="12" t="inlineStr">
        <is>
          <t>kg</t>
        </is>
      </c>
      <c r="D29" s="18">
        <f>q_2_10</f>
        <v>288.48456000000004</v>
      </c>
      <c r="E29" s="32">
        <f>ROUND('Déboursé sec'!H29*p_K/5,0)*5</f>
        <v>1215.0</v>
      </c>
      <c r="F29" s="32">
        <f>D29*E29</f>
        <v>350508.74040000007</v>
      </c>
      <c r="G29" s="12" t="inlineStr">
        <is>
          <t>NON</t>
        </is>
      </c>
    </row>
    <row r="30">
      <c r="A30" s="12" t="inlineStr">
        <is>
          <t>2.11</t>
        </is>
      </c>
      <c r="B30" s="28" t="inlineStr">
        <is>
          <t>Armatures HA10 FeE500 - fondations</t>
        </is>
      </c>
      <c r="C30" s="12" t="inlineStr">
        <is>
          <t>kg</t>
        </is>
      </c>
      <c r="D30" s="18">
        <f>q_2_11</f>
        <v>445.7208</v>
      </c>
      <c r="E30" s="32">
        <f>ROUND('Déboursé sec'!H30*p_K/5,0)*5</f>
        <v>1230.0</v>
      </c>
      <c r="F30" s="32">
        <f>D30*E30</f>
        <v>548236.584</v>
      </c>
      <c r="G30" s="12" t="inlineStr">
        <is>
          <t>NON</t>
        </is>
      </c>
    </row>
    <row r="31">
      <c r="A31" s="12" t="inlineStr">
        <is>
          <t>2.12</t>
        </is>
      </c>
      <c r="B31" s="28" t="inlineStr">
        <is>
          <t>Armatures HA6 FeE500 - fondations</t>
        </is>
      </c>
      <c r="C31" s="12" t="inlineStr">
        <is>
          <t>kg</t>
        </is>
      </c>
      <c r="D31" s="18">
        <f>q_2_12</f>
        <v>136.73646</v>
      </c>
      <c r="E31" s="32">
        <f>ROUND('Déboursé sec'!H31*p_K/5,0)*5</f>
        <v>1300.0</v>
      </c>
      <c r="F31" s="32">
        <f>D31*E31</f>
        <v>177757.398</v>
      </c>
      <c r="G31" s="12" t="inlineStr">
        <is>
          <t>NON</t>
        </is>
      </c>
    </row>
    <row r="32">
      <c r="A32" s="34" t="n"/>
      <c r="B32" s="35" t="inlineStr">
        <is>
          <t>Sous-total lot 2</t>
        </is>
      </c>
      <c r="C32" s="34" t="n"/>
      <c r="D32" s="34" t="n"/>
      <c r="E32" s="34" t="n"/>
      <c r="F32" s="36">
        <f>SUM(F20:F31)</f>
        <v>4536755.7334</v>
      </c>
      <c r="G32" s="34" t="n"/>
    </row>
    <row r="34">
      <c r="A34" s="8" t="inlineStr">
        <is>
          <t>LOT 3</t>
        </is>
      </c>
      <c r="B34" s="8" t="inlineStr">
        <is>
          <t>ÉLÉVATION (MAÇONNERIE ET BÉTON ARMÉ)</t>
        </is>
      </c>
      <c r="C34" s="9" t="n"/>
      <c r="D34" s="9" t="n"/>
      <c r="E34" s="9" t="n"/>
      <c r="F34" s="9" t="n"/>
      <c r="G34" s="9" t="n"/>
    </row>
    <row r="35">
      <c r="A35" s="12" t="inlineStr">
        <is>
          <t>3.1</t>
        </is>
      </c>
      <c r="B35" s="28" t="inlineStr">
        <is>
          <t>Maçonnerie d'agglos 15 pleins en élévation, mortier dosé à 300 kg/m³ (y compris pignons)</t>
        </is>
      </c>
      <c r="C35" s="12" t="inlineStr">
        <is>
          <t>m²</t>
        </is>
      </c>
      <c r="D35" s="18">
        <f>q_3_1</f>
        <v>373.89258829184433</v>
      </c>
      <c r="E35" s="32">
        <f>ROUND('Déboursé sec'!H35*p_K/5,0)*5</f>
        <v>12270.0</v>
      </c>
      <c r="F35" s="32">
        <f>D35*E35</f>
        <v>4587662.05834093</v>
      </c>
      <c r="G35" s="12" t="inlineStr">
        <is>
          <t>NON</t>
        </is>
      </c>
    </row>
    <row r="36">
      <c r="A36" s="12" t="inlineStr">
        <is>
          <t>3.2</t>
        </is>
      </c>
      <c r="B36" s="28" t="inlineStr">
        <is>
          <t>Béton armé dosé à 350 kg/m³ pour poteaux 15 x 15 (2 par pilier IPE), de -0,85 à +6,00</t>
        </is>
      </c>
      <c r="C36" s="12" t="inlineStr">
        <is>
          <t>m³</t>
        </is>
      </c>
      <c r="D36" s="18">
        <f>q_3_2</f>
        <v>5.285249999999999</v>
      </c>
      <c r="E36" s="32">
        <f>ROUND('Déboursé sec'!H36*p_K/5,0)*5</f>
        <v>115170.0</v>
      </c>
      <c r="F36" s="32">
        <f>D36*E36</f>
        <v>608702.2424999998</v>
      </c>
      <c r="G36" s="12" t="inlineStr">
        <is>
          <t>NON</t>
        </is>
      </c>
    </row>
    <row r="37">
      <c r="A37" s="12" t="inlineStr">
        <is>
          <t>3.3</t>
        </is>
      </c>
      <c r="B37" s="28" t="inlineStr">
        <is>
          <t>Béton armé dosé à 350 kg/m³ pour chaînage intermédiaire 15 x 20 à +3,00</t>
        </is>
      </c>
      <c r="C37" s="12" t="inlineStr">
        <is>
          <t>m³</t>
        </is>
      </c>
      <c r="D37" s="18">
        <f>q_3_3</f>
        <v>2.0109</v>
      </c>
      <c r="E37" s="32">
        <f>ROUND('Déboursé sec'!H37*p_K/5,0)*5</f>
        <v>109845.0</v>
      </c>
      <c r="F37" s="32">
        <f>D37*E37</f>
        <v>220887.3105</v>
      </c>
      <c r="G37" s="12" t="inlineStr">
        <is>
          <t>NON</t>
        </is>
      </c>
    </row>
    <row r="38">
      <c r="A38" s="12" t="inlineStr">
        <is>
          <t>3.4</t>
        </is>
      </c>
      <c r="B38" s="28" t="inlineStr">
        <is>
          <t>Béton armé dosé à 350 kg/m³ pour chaînage haut 15 x 20</t>
        </is>
      </c>
      <c r="C38" s="12" t="inlineStr">
        <is>
          <t>m³</t>
        </is>
      </c>
      <c r="D38" s="18">
        <f>q_3_4</f>
        <v>2.1909</v>
      </c>
      <c r="E38" s="32">
        <f>ROUND('Déboursé sec'!H38*p_K/5,0)*5</f>
        <v>109845.0</v>
      </c>
      <c r="F38" s="32">
        <f>D38*E38</f>
        <v>240659.4105</v>
      </c>
      <c r="G38" s="12" t="inlineStr">
        <is>
          <t>NON</t>
        </is>
      </c>
    </row>
    <row r="39">
      <c r="A39" s="12" t="inlineStr">
        <is>
          <t>3.5</t>
        </is>
      </c>
      <c r="B39" s="28" t="inlineStr">
        <is>
          <t>Béton armé dosé à 350 kg/m³ pour linteau de l'entrée 15 x 40</t>
        </is>
      </c>
      <c r="C39" s="12" t="inlineStr">
        <is>
          <t>m³</t>
        </is>
      </c>
      <c r="D39" s="18">
        <f>q_3_5</f>
        <v>0.36</v>
      </c>
      <c r="E39" s="32">
        <f>ROUND('Déboursé sec'!H39*p_K/5,0)*5</f>
        <v>115170.0</v>
      </c>
      <c r="F39" s="32">
        <f>D39*E39</f>
        <v>41461.2</v>
      </c>
      <c r="G39" s="12" t="inlineStr">
        <is>
          <t>NON</t>
        </is>
      </c>
    </row>
    <row r="40">
      <c r="A40" s="12" t="inlineStr">
        <is>
          <t>3.6</t>
        </is>
      </c>
      <c r="B40" s="28" t="inlineStr">
        <is>
          <t>Béton armé dosé à 350 kg/m³ pour chaînages rampants 15 x 15 (pente 20 %)</t>
        </is>
      </c>
      <c r="C40" s="12" t="inlineStr">
        <is>
          <t>m³</t>
        </is>
      </c>
      <c r="D40" s="18">
        <f>q_3_6</f>
        <v>0.44091175622335055</v>
      </c>
      <c r="E40" s="32">
        <f>ROUND('Déboursé sec'!H40*p_K/5,0)*5</f>
        <v>115170.0</v>
      </c>
      <c r="F40" s="32">
        <f>D40*E40</f>
        <v>50779.80696424328</v>
      </c>
      <c r="G40" s="12" t="inlineStr">
        <is>
          <t>NON</t>
        </is>
      </c>
    </row>
    <row r="41">
      <c r="A41" s="12" t="inlineStr">
        <is>
          <t>3.7</t>
        </is>
      </c>
      <c r="B41" s="28" t="inlineStr">
        <is>
          <t>Coffrage en bois ordinaire (poteaux, chaînages, linteau, rampants)</t>
        </is>
      </c>
      <c r="C41" s="12" t="inlineStr">
        <is>
          <t>m²</t>
        </is>
      </c>
      <c r="D41" s="18">
        <f>q_3_7</f>
        <v>173.30782341631132</v>
      </c>
      <c r="E41" s="32">
        <f>ROUND('Déboursé sec'!H41*p_K/5,0)*5</f>
        <v>5325.0</v>
      </c>
      <c r="F41" s="32">
        <f>D41*E41</f>
        <v>922864.1596918578</v>
      </c>
      <c r="G41" s="12" t="inlineStr">
        <is>
          <t>NON</t>
        </is>
      </c>
    </row>
    <row r="42">
      <c r="A42" s="12" t="inlineStr">
        <is>
          <t>3.8</t>
        </is>
      </c>
      <c r="B42" s="28" t="inlineStr">
        <is>
          <t>Armatures HA10 FeE500 - élévation</t>
        </is>
      </c>
      <c r="C42" s="12" t="inlineStr">
        <is>
          <t>kg</t>
        </is>
      </c>
      <c r="D42" s="18">
        <f>q_3_8</f>
        <v>1202.7612163371073</v>
      </c>
      <c r="E42" s="32">
        <f>ROUND('Déboursé sec'!H42*p_K/5,0)*5</f>
        <v>1230.0</v>
      </c>
      <c r="F42" s="32">
        <f>D42*E42</f>
        <v>1479396.296094642</v>
      </c>
      <c r="G42" s="12" t="inlineStr">
        <is>
          <t>NON</t>
        </is>
      </c>
    </row>
    <row r="43">
      <c r="A43" s="12" t="inlineStr">
        <is>
          <t>3.9</t>
        </is>
      </c>
      <c r="B43" s="28" t="inlineStr">
        <is>
          <t>Armatures HA6 FeE500 - élévation</t>
        </is>
      </c>
      <c r="C43" s="12" t="inlineStr">
        <is>
          <t>kg</t>
        </is>
      </c>
      <c r="D43" s="18">
        <f>q_3_9</f>
        <v>316.5475144861848</v>
      </c>
      <c r="E43" s="32">
        <f>ROUND('Déboursé sec'!H43*p_K/5,0)*5</f>
        <v>1300.0</v>
      </c>
      <c r="F43" s="32">
        <f>D43*E43</f>
        <v>411511.76883204025</v>
      </c>
      <c r="G43" s="12" t="inlineStr">
        <is>
          <t>NON</t>
        </is>
      </c>
    </row>
    <row r="44">
      <c r="A44" s="34" t="n"/>
      <c r="B44" s="35" t="inlineStr">
        <is>
          <t>Sous-total lot 3</t>
        </is>
      </c>
      <c r="C44" s="34" t="n"/>
      <c r="D44" s="34" t="n"/>
      <c r="E44" s="34" t="n"/>
      <c r="F44" s="36">
        <f>SUM(F35:F43)</f>
        <v>8563924.253423713</v>
      </c>
      <c r="G44" s="34" t="n"/>
    </row>
    <row r="46">
      <c r="A46" s="8" t="inlineStr">
        <is>
          <t>LOT 4</t>
        </is>
      </c>
      <c r="B46" s="8" t="inlineStr">
        <is>
          <t>STRUCTURE MÉTALLIQUE : PILIERS IPE 220 ET CONTREVENTEMENTS</t>
        </is>
      </c>
      <c r="C46" s="9" t="n"/>
      <c r="D46" s="9" t="n"/>
      <c r="E46" s="9" t="n"/>
      <c r="F46" s="9" t="n"/>
      <c r="G46" s="9" t="n"/>
    </row>
    <row r="47">
      <c r="A47" s="12" t="inlineStr">
        <is>
          <t>4.1</t>
        </is>
      </c>
      <c r="B47" s="28" t="inlineStr">
        <is>
          <t>Piliers en IPE 220 (S235) de ±0,00 à +6,00, fournis, fabriqués, peints et posés</t>
        </is>
      </c>
      <c r="C47" s="12" t="inlineStr">
        <is>
          <t>kg</t>
        </is>
      </c>
      <c r="D47" s="18">
        <f>q_4_1</f>
        <v>2698.6</v>
      </c>
      <c r="E47" s="32">
        <f>ROUND('Déboursé sec'!H47*p_K/5,0)*5</f>
        <v>1910.0</v>
      </c>
      <c r="F47" s="32">
        <f>D47*E47</f>
        <v>5154326.0</v>
      </c>
      <c r="G47" s="12" t="inlineStr">
        <is>
          <t>NON</t>
        </is>
      </c>
    </row>
    <row r="48">
      <c r="A48" s="12" t="inlineStr">
        <is>
          <t>4.2</t>
        </is>
      </c>
      <c r="B48" s="28" t="inlineStr">
        <is>
          <t>Platines de pied et de tête 15 mm + raidisseurs, soudées</t>
        </is>
      </c>
      <c r="C48" s="12" t="inlineStr">
        <is>
          <t>kg</t>
        </is>
      </c>
      <c r="D48" s="18">
        <f>q_4_2</f>
        <v>255.0</v>
      </c>
      <c r="E48" s="32">
        <f>ROUND('Déboursé sec'!H48*p_K/5,0)*5</f>
        <v>2350.0</v>
      </c>
      <c r="F48" s="32">
        <f>D48*E48</f>
        <v>599250.0</v>
      </c>
      <c r="G48" s="12" t="inlineStr">
        <is>
          <t>NON</t>
        </is>
      </c>
    </row>
    <row r="49">
      <c r="A49" s="12" t="inlineStr">
        <is>
          <t>4.3</t>
        </is>
      </c>
      <c r="B49" s="28" t="inlineStr">
        <is>
          <t>Calage et scellement des platines au mortier sans retrait</t>
        </is>
      </c>
      <c r="C49" s="12" t="inlineStr">
        <is>
          <t>u</t>
        </is>
      </c>
      <c r="D49" s="18">
        <f>q_4_3</f>
        <v>17.0</v>
      </c>
      <c r="E49" s="32">
        <f>ROUND('Déboursé sec'!H49*p_K/5,0)*5</f>
        <v>8440.0</v>
      </c>
      <c r="F49" s="32">
        <f>D49*E49</f>
        <v>143480.0</v>
      </c>
      <c r="G49" s="12" t="inlineStr">
        <is>
          <t>NON</t>
        </is>
      </c>
    </row>
    <row r="50">
      <c r="A50" s="12" t="inlineStr">
        <is>
          <t>4.4</t>
        </is>
      </c>
      <c r="B50" s="28" t="inlineStr">
        <is>
          <t>Contreventements en cornières 50x50x5 : palées verticales en long pan et poutre au vent en toiture (goussets et boulons compris)</t>
        </is>
      </c>
      <c r="C50" s="12" t="inlineStr">
        <is>
          <t>kg</t>
        </is>
      </c>
      <c r="D50" s="18">
        <f>q_4_4</f>
        <v>496.0368727932168</v>
      </c>
      <c r="E50" s="32">
        <f>ROUND('Déboursé sec'!H50*p_K/5,0)*5</f>
        <v>2065.0</v>
      </c>
      <c r="F50" s="32">
        <f>D50*E50</f>
        <v>1024316.1423179926</v>
      </c>
      <c r="G50" s="12" t="inlineStr">
        <is>
          <t>NON</t>
        </is>
      </c>
    </row>
    <row r="51">
      <c r="A51" s="34" t="n"/>
      <c r="B51" s="35" t="inlineStr">
        <is>
          <t>Sous-total lot 4</t>
        </is>
      </c>
      <c r="C51" s="34" t="n"/>
      <c r="D51" s="34" t="n"/>
      <c r="E51" s="34" t="n"/>
      <c r="F51" s="36">
        <f>SUM(F47:F50)</f>
        <v>6921372.142317993</v>
      </c>
      <c r="G51" s="34" t="n"/>
    </row>
    <row r="53">
      <c r="A53" s="8" t="inlineStr">
        <is>
          <t>LOT 5</t>
        </is>
      </c>
      <c r="B53" s="8" t="inlineStr">
        <is>
          <t>FORME EN LATÉRITE ET DALLAGE BA 20 cm</t>
        </is>
      </c>
      <c r="C53" s="9" t="n"/>
      <c r="D53" s="9" t="n"/>
      <c r="E53" s="9" t="n"/>
      <c r="F53" s="9" t="n"/>
      <c r="G53" s="9" t="n"/>
    </row>
    <row r="54">
      <c r="A54" s="12" t="inlineStr">
        <is>
          <t>5.1</t>
        </is>
      </c>
      <c r="B54" s="28" t="inlineStr">
        <is>
          <t>Décaissement / purge intérieure du sol de mauvaise portance (ép. = épaisseur de latérite) et évacuation</t>
        </is>
      </c>
      <c r="C54" s="12" t="inlineStr">
        <is>
          <t>m³</t>
        </is>
      </c>
      <c r="D54" s="18">
        <f>q_5_1</f>
        <v>117.609</v>
      </c>
      <c r="E54" s="32">
        <f>ROUND('Déboursé sec'!H54*p_K/5,0)*5</f>
        <v>7480.0</v>
      </c>
      <c r="F54" s="32">
        <f>D54*E54</f>
        <v>879715.32</v>
      </c>
      <c r="G54" s="12" t="inlineStr">
        <is>
          <t>NON</t>
        </is>
      </c>
    </row>
    <row r="55">
      <c r="A55" s="12" t="inlineStr">
        <is>
          <t>5.2</t>
        </is>
      </c>
      <c r="B55" s="28" t="inlineStr">
        <is>
          <t>Rechargement en latérite d'emprunt à l'intérieur, mis en œuvre par couches de 20 cm, arrosé et compacté à 95 % OPM</t>
        </is>
      </c>
      <c r="C55" s="12" t="inlineStr">
        <is>
          <t>m³</t>
        </is>
      </c>
      <c r="D55" s="18">
        <f>q_5_2</f>
        <v>117.609</v>
      </c>
      <c r="E55" s="32">
        <f>ROUND('Déboursé sec'!H55*p_K/5,0)*5</f>
        <v>13465.0</v>
      </c>
      <c r="F55" s="32">
        <f>D55*E55</f>
        <v>1583605.1849999998</v>
      </c>
      <c r="G55" s="12" t="inlineStr">
        <is>
          <t>NON</t>
        </is>
      </c>
    </row>
    <row r="56">
      <c r="A56" s="12" t="inlineStr">
        <is>
          <t>5.3</t>
        </is>
      </c>
      <c r="B56" s="28" t="inlineStr">
        <is>
          <t>Essais de contrôle (Proctor modifié, densités in situ par couche, éprouvettes béton)</t>
        </is>
      </c>
      <c r="C56" s="12" t="inlineStr">
        <is>
          <t>ft</t>
        </is>
      </c>
      <c r="D56" s="18">
        <f>q_5_3</f>
        <v>1.0</v>
      </c>
      <c r="E56" s="32">
        <f>ROUND('Déboursé sec'!H56*p_K/5,0)*5</f>
        <v>328125.0</v>
      </c>
      <c r="F56" s="32">
        <f>D56*E56</f>
        <v>328125.0</v>
      </c>
      <c r="G56" s="12" t="inlineStr">
        <is>
          <t>NON</t>
        </is>
      </c>
    </row>
    <row r="57">
      <c r="A57" s="12" t="inlineStr">
        <is>
          <t>5.4</t>
        </is>
      </c>
      <c r="B57" s="28" t="inlineStr">
        <is>
          <t>Traitement anti-termites sous dallage</t>
        </is>
      </c>
      <c r="C57" s="12" t="inlineStr">
        <is>
          <t>m²</t>
        </is>
      </c>
      <c r="D57" s="18">
        <f>q_5_4</f>
        <v>294.0225</v>
      </c>
      <c r="E57" s="32">
        <f>ROUND('Déboursé sec'!H57*p_K/5,0)*5</f>
        <v>1710.0</v>
      </c>
      <c r="F57" s="32">
        <f>D57*E57</f>
        <v>502778.475</v>
      </c>
      <c r="G57" s="12" t="inlineStr">
        <is>
          <t>NON</t>
        </is>
      </c>
    </row>
    <row r="58">
      <c r="A58" s="12" t="inlineStr">
        <is>
          <t>5.5</t>
        </is>
      </c>
      <c r="B58" s="28" t="inlineStr">
        <is>
          <t>Film polyane 150 µ sous dallage (recouvrements 10 %)</t>
        </is>
      </c>
      <c r="C58" s="12" t="inlineStr">
        <is>
          <t>m²</t>
        </is>
      </c>
      <c r="D58" s="18">
        <f>q_5_5</f>
        <v>323.42475</v>
      </c>
      <c r="E58" s="32">
        <f>ROUND('Déboursé sec'!H58*p_K/5,0)*5</f>
        <v>570.0</v>
      </c>
      <c r="F58" s="32">
        <f>D58*E58</f>
        <v>184352.1075</v>
      </c>
      <c r="G58" s="12" t="inlineStr">
        <is>
          <t>NON</t>
        </is>
      </c>
    </row>
    <row r="59">
      <c r="A59" s="12" t="inlineStr">
        <is>
          <t>5.6</t>
        </is>
      </c>
      <c r="B59" s="28" t="inlineStr">
        <is>
          <t>Armatures HA10 FeE500 - dallage double nappe e = 20 cm + chaises</t>
        </is>
      </c>
      <c r="C59" s="12" t="inlineStr">
        <is>
          <t>kg</t>
        </is>
      </c>
      <c r="D59" s="18">
        <f>q_5_6</f>
        <v>4343.000467049999</v>
      </c>
      <c r="E59" s="32">
        <f>ROUND('Déboursé sec'!H59*p_K/5,0)*5</f>
        <v>1195.0</v>
      </c>
      <c r="F59" s="32">
        <f>D59*E59</f>
        <v>5189885.558124749</v>
      </c>
      <c r="G59" s="12" t="inlineStr">
        <is>
          <t>NON</t>
        </is>
      </c>
    </row>
    <row r="60">
      <c r="A60" s="12" t="inlineStr">
        <is>
          <t>5.7</t>
        </is>
      </c>
      <c r="B60" s="28" t="inlineStr">
        <is>
          <t>Béton armé dosé à 350 kg/m³ pour dallage ép. 20 cm, vibré et surfacé</t>
        </is>
      </c>
      <c r="C60" s="12" t="inlineStr">
        <is>
          <t>m³</t>
        </is>
      </c>
      <c r="D60" s="18">
        <f>q_5_7</f>
        <v>58.8045</v>
      </c>
      <c r="E60" s="32">
        <f>ROUND('Déboursé sec'!H60*p_K/5,0)*5</f>
        <v>101850.0</v>
      </c>
      <c r="F60" s="32">
        <f>D60*E60</f>
        <v>5989238.325</v>
      </c>
      <c r="G60" s="12" t="inlineStr">
        <is>
          <t>NON</t>
        </is>
      </c>
    </row>
    <row r="61">
      <c r="A61" s="12" t="inlineStr">
        <is>
          <t>5.8</t>
        </is>
      </c>
      <c r="B61" s="28" t="inlineStr">
        <is>
          <t>Joints de retrait sciés (maille 5 m) et joint périphérique</t>
        </is>
      </c>
      <c r="C61" s="12" t="inlineStr">
        <is>
          <t>ml</t>
        </is>
      </c>
      <c r="D61" s="18">
        <f>q_5_8</f>
        <v>158.5</v>
      </c>
      <c r="E61" s="32">
        <f>ROUND('Déboursé sec'!H61*p_K/5,0)*5</f>
        <v>1605.0</v>
      </c>
      <c r="F61" s="32">
        <f>D61*E61</f>
        <v>254392.5</v>
      </c>
      <c r="G61" s="12" t="inlineStr">
        <is>
          <t>NON</t>
        </is>
      </c>
    </row>
    <row r="62">
      <c r="A62" s="34" t="n"/>
      <c r="B62" s="35" t="inlineStr">
        <is>
          <t>Sous-total lot 5</t>
        </is>
      </c>
      <c r="C62" s="34" t="n"/>
      <c r="D62" s="34" t="n"/>
      <c r="E62" s="34" t="n"/>
      <c r="F62" s="36">
        <f>SUM(F54:F61)</f>
        <v>14912092.470624749</v>
      </c>
      <c r="G62" s="34" t="n"/>
    </row>
    <row r="64">
      <c r="A64" s="8" t="inlineStr">
        <is>
          <t>LOT 6</t>
        </is>
      </c>
      <c r="B64" s="8" t="inlineStr">
        <is>
          <t>ENDUITS (OPTION)</t>
        </is>
      </c>
      <c r="C64" s="9" t="n"/>
      <c r="D64" s="9" t="n"/>
      <c r="E64" s="9" t="n"/>
      <c r="F64" s="9" t="n"/>
      <c r="G64" s="9" t="n"/>
    </row>
    <row r="65">
      <c r="A65" s="12" t="inlineStr">
        <is>
          <t>6.1</t>
        </is>
      </c>
      <c r="B65" s="28" t="inlineStr">
        <is>
          <t>Enduit au mortier dosé à 300 kg/m³ ép. 2 cm, intérieur et extérieur</t>
        </is>
      </c>
      <c r="C65" s="12" t="inlineStr">
        <is>
          <t>m²</t>
        </is>
      </c>
      <c r="D65" s="18">
        <f>q_6_1</f>
        <v>926.24</v>
      </c>
      <c r="E65" s="32">
        <f>ROUND('Déboursé sec'!H65*p_K/5,0)*5</f>
        <v>3285.0</v>
      </c>
      <c r="F65" s="32">
        <f>D65*E65</f>
        <v>3042698.4</v>
      </c>
      <c r="G65" s="12" t="inlineStr">
        <is>
          <t>OUI</t>
        </is>
      </c>
    </row>
    <row r="66">
      <c r="A66" s="34" t="n"/>
      <c r="B66" s="35" t="inlineStr">
        <is>
          <t>Sous-total lot 6</t>
        </is>
      </c>
      <c r="C66" s="34" t="n"/>
      <c r="D66" s="34" t="n"/>
      <c r="E66" s="34" t="n"/>
      <c r="F66" s="36">
        <f>SUM(F65:F65)</f>
        <v>3042698.4</v>
      </c>
      <c r="G66" s="34" t="n"/>
    </row>
    <row r="68">
      <c r="A68" s="8" t="inlineStr">
        <is>
          <t>LOT 7</t>
        </is>
      </c>
      <c r="B68" s="8" t="inlineStr">
        <is>
          <t>CHARPENTE DE TOITURE ET COUVERTURE - PENTE 20 % (OPTION)</t>
        </is>
      </c>
      <c r="C68" s="9" t="n"/>
      <c r="D68" s="9" t="n"/>
      <c r="E68" s="9" t="n"/>
      <c r="F68" s="9" t="n"/>
      <c r="G68" s="9" t="n"/>
    </row>
    <row r="69">
      <c r="A69" s="12" t="inlineStr">
        <is>
          <t>7.1</t>
        </is>
      </c>
      <c r="B69" s="28" t="inlineStr">
        <is>
          <t>Fermes / traverses de toiture sur têtes d'IPE 220 (hors pannes) - ratio à confirmer par note de calcul</t>
        </is>
      </c>
      <c r="C69" s="12" t="inlineStr">
        <is>
          <t>kg</t>
        </is>
      </c>
      <c r="D69" s="18">
        <f>q_7_1</f>
        <v>2728.0</v>
      </c>
      <c r="E69" s="32">
        <f>ROUND('Déboursé sec'!H69*p_K/5,0)*5</f>
        <v>1890.0</v>
      </c>
      <c r="F69" s="32">
        <f>D69*E69</f>
        <v>5155920.0</v>
      </c>
      <c r="G69" s="12" t="inlineStr">
        <is>
          <t>OUI</t>
        </is>
      </c>
    </row>
    <row r="70">
      <c r="A70" s="12" t="inlineStr">
        <is>
          <t>7.2</t>
        </is>
      </c>
      <c r="B70" s="28" t="inlineStr">
        <is>
          <t>Pannes en Z 120 x 2 mm, entraxe ≤ 1,20 m, y compris échantignoles et boulonnerie</t>
        </is>
      </c>
      <c r="C70" s="12" t="inlineStr">
        <is>
          <t>kg</t>
        </is>
      </c>
      <c r="D70" s="18">
        <f>q_7_2</f>
        <v>1523.3400000000001</v>
      </c>
      <c r="E70" s="32">
        <f>ROUND('Déboursé sec'!H70*p_K/5,0)*5</f>
        <v>1605.0</v>
      </c>
      <c r="F70" s="32">
        <f>D70*E70</f>
        <v>2444960.7</v>
      </c>
      <c r="G70" s="12" t="inlineStr">
        <is>
          <t>OUI</t>
        </is>
      </c>
    </row>
    <row r="71">
      <c r="A71" s="12" t="inlineStr">
        <is>
          <t>7.3</t>
        </is>
      </c>
      <c r="B71" s="28" t="inlineStr">
        <is>
          <t>Couverture en tôles bacs 5 ondulations sur pannes Z, pente 20 %, débords 0,50 m</t>
        </is>
      </c>
      <c r="C71" s="12" t="inlineStr">
        <is>
          <t>m²</t>
        </is>
      </c>
      <c r="D71" s="18">
        <f>q_7_3</f>
        <v>347.1392098427526</v>
      </c>
      <c r="E71" s="32">
        <f>ROUND('Déboursé sec'!H71*p_K/5,0)*5</f>
        <v>7175.0</v>
      </c>
      <c r="F71" s="32">
        <f>D71*E71</f>
        <v>2490723.83062175</v>
      </c>
      <c r="G71" s="12" t="inlineStr">
        <is>
          <t>OUI</t>
        </is>
      </c>
    </row>
    <row r="72">
      <c r="A72" s="12" t="inlineStr">
        <is>
          <t>7.4</t>
        </is>
      </c>
      <c r="B72" s="28" t="inlineStr">
        <is>
          <t>Faîtière</t>
        </is>
      </c>
      <c r="C72" s="12" t="inlineStr">
        <is>
          <t>ml</t>
        </is>
      </c>
      <c r="D72" s="18">
        <f>q_7_4</f>
        <v>31.0</v>
      </c>
      <c r="E72" s="32">
        <f>ROUND('Déboursé sec'!H72*p_K/5,0)*5</f>
        <v>5500.0</v>
      </c>
      <c r="F72" s="32">
        <f>D72*E72</f>
        <v>170500.0</v>
      </c>
      <c r="G72" s="12" t="inlineStr">
        <is>
          <t>OUI</t>
        </is>
      </c>
    </row>
    <row r="73">
      <c r="A73" s="34" t="n"/>
      <c r="B73" s="35" t="inlineStr">
        <is>
          <t>Sous-total lot 7</t>
        </is>
      </c>
      <c r="C73" s="34" t="n"/>
      <c r="D73" s="34" t="n"/>
      <c r="E73" s="34" t="n"/>
      <c r="F73" s="36">
        <f>SUM(F69:F72)</f>
        <v>10262104.53062175</v>
      </c>
      <c r="G73" s="34" t="n"/>
    </row>
    <row r="75">
      <c r="A75" s="8" t="inlineStr">
        <is>
          <t>LOT 8</t>
        </is>
      </c>
      <c r="B75" s="8" t="inlineStr">
        <is>
          <t>MENUISERIE MÉTALLIQUE (OPTION)</t>
        </is>
      </c>
      <c r="C75" s="9" t="n"/>
      <c r="D75" s="9" t="n"/>
      <c r="E75" s="9" t="n"/>
      <c r="F75" s="9" t="n"/>
      <c r="G75" s="9" t="n"/>
    </row>
    <row r="76">
      <c r="A76" s="12" t="inlineStr">
        <is>
          <t>8.1</t>
        </is>
      </c>
      <c r="B76" s="28" t="inlineStr">
        <is>
          <t>Portail métallique coulissant 6,00 x 4,50 m</t>
        </is>
      </c>
      <c r="C76" s="12" t="inlineStr">
        <is>
          <t>u</t>
        </is>
      </c>
      <c r="D76" s="18">
        <f>q_8_1</f>
        <v>1.0</v>
      </c>
      <c r="E76" s="32">
        <f>ROUND('Déboursé sec'!H76*p_K/5,0)*5</f>
        <v>2702440.0</v>
      </c>
      <c r="F76" s="32">
        <f>D76*E76</f>
        <v>2702440.0</v>
      </c>
      <c r="G76" s="12" t="inlineStr">
        <is>
          <t>OUI</t>
        </is>
      </c>
    </row>
    <row r="77">
      <c r="A77" s="34" t="n"/>
      <c r="B77" s="35" t="inlineStr">
        <is>
          <t>Sous-total lot 8</t>
        </is>
      </c>
      <c r="C77" s="34" t="n"/>
      <c r="D77" s="34" t="n"/>
      <c r="E77" s="34" t="n"/>
      <c r="F77" s="36">
        <f>SUM(F76:F76)</f>
        <v>2702440.0</v>
      </c>
      <c r="G77" s="34" t="n"/>
    </row>
    <row r="79">
      <c r="B79" s="38" t="inlineStr">
        <is>
          <t>RÉCAPITULATIF</t>
        </is>
      </c>
    </row>
    <row r="80">
      <c r="A80" s="10" t="inlineStr">
        <is>
          <t>Lot 0</t>
        </is>
      </c>
      <c r="B80" s="10" t="inlineStr">
        <is>
          <t>INSTALLATION DE CHANTIER ET TRAVAUX PRÉPARATOIRES</t>
        </is>
      </c>
      <c r="F80" s="32">
        <f>F9</f>
        <v>874400.0</v>
      </c>
    </row>
    <row r="81">
      <c r="A81" s="10" t="inlineStr">
        <is>
          <t>Lot 1</t>
        </is>
      </c>
      <c r="B81" s="10" t="inlineStr">
        <is>
          <t>TERRASSEMENTS</t>
        </is>
      </c>
      <c r="F81" s="32">
        <f>F17</f>
        <v>661418.6953125</v>
      </c>
    </row>
    <row r="82">
      <c r="A82" s="10" t="inlineStr">
        <is>
          <t>Lot 2</t>
        </is>
      </c>
      <c r="B82" s="10" t="inlineStr">
        <is>
          <t>FONDATIONS</t>
        </is>
      </c>
      <c r="F82" s="32">
        <f>F32</f>
        <v>4536755.7334</v>
      </c>
    </row>
    <row r="83">
      <c r="A83" s="10" t="inlineStr">
        <is>
          <t>Lot 3</t>
        </is>
      </c>
      <c r="B83" s="10" t="inlineStr">
        <is>
          <t>ÉLÉVATION (MAÇONNERIE ET BÉTON ARMÉ)</t>
        </is>
      </c>
      <c r="F83" s="32">
        <f>F44</f>
        <v>8563924.253423713</v>
      </c>
    </row>
    <row r="84">
      <c r="A84" s="10" t="inlineStr">
        <is>
          <t>Lot 4</t>
        </is>
      </c>
      <c r="B84" s="10" t="inlineStr">
        <is>
          <t>STRUCTURE MÉTALLIQUE : PILIERS IPE 220 ET CONTREVENTEMENTS</t>
        </is>
      </c>
      <c r="F84" s="32">
        <f>F51</f>
        <v>6921372.142317993</v>
      </c>
    </row>
    <row r="85">
      <c r="A85" s="10" t="inlineStr">
        <is>
          <t>Lot 5</t>
        </is>
      </c>
      <c r="B85" s="10" t="inlineStr">
        <is>
          <t>FORME EN LATÉRITE ET DALLAGE BA 20 cm</t>
        </is>
      </c>
      <c r="F85" s="32">
        <f>F62</f>
        <v>14912092.470624749</v>
      </c>
    </row>
    <row r="86">
      <c r="B86" s="24" t="inlineStr">
        <is>
          <t>TOTAL GROS ŒUVRE HT (A)</t>
        </is>
      </c>
      <c r="F86" s="37">
        <f>SUM(F80:F85)</f>
        <v>36469963.295078956</v>
      </c>
    </row>
    <row r="87">
      <c r="B87" s="10" t="inlineStr">
        <is>
          <t>TVA</t>
        </is>
      </c>
      <c r="E87" s="40">
        <f>p_TVA</f>
        <v>0.18</v>
      </c>
      <c r="F87" s="32">
        <f>F86*p_TVA</f>
        <v>6564593.393114212</v>
      </c>
    </row>
    <row r="88">
      <c r="B88" s="24" t="inlineStr">
        <is>
          <t>TOTAL GROS ŒUVRE TTC</t>
        </is>
      </c>
      <c r="F88" s="37">
        <f>F86+F87</f>
        <v>43034556.688193165</v>
      </c>
    </row>
    <row r="90">
      <c r="A90" s="10" t="inlineStr">
        <is>
          <t>Lot 6</t>
        </is>
      </c>
      <c r="B90" s="10" t="inlineStr">
        <is>
          <t>ENDUITS (OPTION)</t>
        </is>
      </c>
      <c r="F90" s="32">
        <f>F66</f>
        <v>3042698.4</v>
      </c>
    </row>
    <row r="91">
      <c r="A91" s="10" t="inlineStr">
        <is>
          <t>Lot 7</t>
        </is>
      </c>
      <c r="B91" s="10" t="inlineStr">
        <is>
          <t>CHARPENTE DE TOITURE ET COUVERTURE - PENTE 20 % (OPTION)</t>
        </is>
      </c>
      <c r="F91" s="32">
        <f>F73</f>
        <v>10262104.53062175</v>
      </c>
    </row>
    <row r="92">
      <c r="A92" s="10" t="inlineStr">
        <is>
          <t>Lot 8</t>
        </is>
      </c>
      <c r="B92" s="10" t="inlineStr">
        <is>
          <t>MENUISERIE MÉTALLIQUE (OPTION)</t>
        </is>
      </c>
      <c r="F92" s="32">
        <f>F77</f>
        <v>2702440.0</v>
      </c>
    </row>
    <row r="93">
      <c r="B93" s="24" t="inlineStr">
        <is>
          <t>TOTAL OPTIONS HT (B)</t>
        </is>
      </c>
      <c r="F93" s="37">
        <f>SUM(F90:F92)</f>
        <v>16007242.93062175</v>
      </c>
    </row>
    <row r="95">
      <c r="B95" s="24" t="inlineStr">
        <is>
          <t>TOTAL GÉNÉRAL HT (A + B)</t>
        </is>
      </c>
      <c r="F95" s="37">
        <f>F86+F93</f>
        <v>52477206.225700706</v>
      </c>
    </row>
    <row r="96">
      <c r="B96" s="10" t="inlineStr">
        <is>
          <t>TVA</t>
        </is>
      </c>
      <c r="E96" s="40">
        <f>p_TVA</f>
        <v>0.18</v>
      </c>
      <c r="F96" s="32">
        <f>F95*p_TVA</f>
        <v>9445897.120626127</v>
      </c>
    </row>
    <row r="97">
      <c r="B97" s="24" t="inlineStr">
        <is>
          <t>TOTAL GÉNÉRAL TTC (A + B)</t>
        </is>
      </c>
      <c r="F97" s="37">
        <f>F95+F96</f>
        <v>61923103.346326835</v>
      </c>
    </row>
    <row r="99">
      <c r="B99" s="10" t="inlineStr">
        <is>
          <t>Ratio gros œuvre HT par m² d'emprise</t>
        </is>
      </c>
      <c r="F99" s="32">
        <f>F86/(p_L*p_B)</f>
        <v>121566.54431692985</v>
      </c>
    </row>
    <row r="100">
      <c r="B100" s="10" t="inlineStr">
        <is>
          <t>Marge brute gros œuvre (PV HT - déboursé sec)</t>
        </is>
      </c>
      <c r="F100" s="32">
        <f>F86-'Déboursé sec'!$L$79</f>
        <v>8691387.175067272</v>
      </c>
    </row>
    <row r="102">
      <c r="B102" s="3" t="inlineStr">
        <is>
          <t>Fait à Abidjan, le 04/10/2026 - Établi par Moulo Jean Claude, Technicien Génie Civil BTP</t>
        </is>
      </c>
    </row>
    <row r="103">
      <c r="B103" s="3" t="inlineStr">
        <is>
          <t>Pour ASSEYA SILVER CONSTRUCTION : cachet et signature</t>
        </is>
      </c>
    </row>
    <row r="104">
      <c r="B104" s="41" t="inlineStr">
        <is>
          <t>ASSEYA SILVER CONSTRUCTION - N° CC : 2245191 D - RCCM : CI-BKE-01-2022-B13-00153 - Bank of Africa - compte n° 004619070000 - Impôts : TEE - Bouaké 1</t>
        </is>
      </c>
    </row>
  </sheetData>
  <pageMargins left="0.75" right="0.75" top="1" bottom="1" header="0.5" footer="0.5"/>
  <pageSetup orientation="landscape" paperSize="9" fitToHeight="0" fitToWidth="1"/>
  <headerFooter>
    <oddHeader>&amp;LASSEYA SILVER CONSTRUCTION - établi par Moulo Jean Claude&amp;RDevis quantitatif et estimatif</oddHeader>
    <oddFooter>&amp;LASSEYA SILVER CONSTRUCTION - N° CC 2245191 D - RCCM CI-BKE-01-2022-B13-00153&amp;RPage &amp;P /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8" customWidth="1" min="3" max="3"/>
    <col width="15" customWidth="1" min="4" max="4"/>
    <col width="15" customWidth="1" min="5" max="5"/>
    <col width="13" customWidth="1" min="6" max="6"/>
    <col width="16" customWidth="1" min="7" max="7"/>
    <col width="16" customWidth="1" min="8" max="8"/>
    <col width="22" customWidth="1" min="9" max="9"/>
  </cols>
  <sheetData>
    <row r="1">
      <c r="A1" s="1" t="inlineStr">
        <is>
          <t>ASSEYA SILVER CONSTRUCTION - Construction métallique et bâtiment - Bouaké - Tél : 07 08 39 02 66 / 05 05 10 76 82 - Email : asseyasilver@gmail.com</t>
        </is>
      </c>
    </row>
    <row r="2">
      <c r="A2" s="2" t="inlineStr">
        <is>
          <t>Besoins en matériaux, main-d'œuvre et matériel - Bâtiment industriel 30,00 x 10,00 m - 04/10/2026 - établi par Moulo Jean Claude, Technicien Génie Civil BTP - BAEL 91 mod. 99 / EC2</t>
        </is>
      </c>
    </row>
    <row r="4" ht="30" customHeight="1">
      <c r="A4" s="7" t="inlineStr">
        <is>
          <t>Code</t>
        </is>
      </c>
      <c r="B4" s="7" t="inlineStr">
        <is>
          <t>Désignation</t>
        </is>
      </c>
      <c r="C4" s="7" t="inlineStr">
        <is>
          <t>U</t>
        </is>
      </c>
      <c r="D4" s="7" t="inlineStr">
        <is>
          <t>Qté gros œuvre</t>
        </is>
      </c>
      <c r="E4" s="7" t="inlineStr">
        <is>
          <t>Qté avec options</t>
        </is>
      </c>
      <c r="F4" s="7" t="inlineStr">
        <is>
          <t>P.U. (FCFA)</t>
        </is>
      </c>
      <c r="G4" s="7" t="inlineStr">
        <is>
          <t>Montant gros œuvre</t>
        </is>
      </c>
      <c r="H4" s="7" t="inlineStr">
        <is>
          <t>Montant avec options</t>
        </is>
      </c>
      <c r="I4" s="7" t="inlineStr">
        <is>
          <t>Observation</t>
        </is>
      </c>
    </row>
    <row r="5">
      <c r="A5" s="8" t="inlineStr">
        <is>
          <t>MATÉRIAUX</t>
        </is>
      </c>
      <c r="B5" s="9" t="n"/>
      <c r="C5" s="9" t="n"/>
      <c r="D5" s="9" t="n"/>
      <c r="E5" s="9" t="n"/>
      <c r="F5" s="9" t="n"/>
      <c r="G5" s="9" t="n"/>
      <c r="H5" s="9" t="n"/>
      <c r="I5" s="9" t="n"/>
    </row>
    <row r="6">
      <c r="A6" s="10" t="inlineStr">
        <is>
          <t>ciment</t>
        </is>
      </c>
      <c r="B6" s="10" t="inlineStr">
        <is>
          <t>Ciment CPJ 42,5 (sac 50 kg)</t>
        </is>
      </c>
      <c r="C6" s="12" t="inlineStr">
        <is>
          <t>sac</t>
        </is>
      </c>
      <c r="D6" s="18">
        <f>SUMIFS('Sous-détails'!$J$5:$J$407,'Sous-détails'!$D$5:$D$407,A6,'Sous-détails'!$K$5:$K$407,"NON")</f>
        <v>643.7910005373401</v>
      </c>
      <c r="E6" s="18">
        <f>SUMIFS('Sous-détails'!$J$5:$J$407,'Sous-détails'!$D$5:$D$407,A6)</f>
        <v>764.2022005373401</v>
      </c>
      <c r="F6" s="32">
        <f>px_ciment</f>
        <v>5800.0</v>
      </c>
      <c r="G6" s="32">
        <f>D6*F6</f>
        <v>3733987.8031165726</v>
      </c>
      <c r="H6" s="32">
        <f>E6*F6</f>
        <v>4432372.763116573</v>
      </c>
      <c r="I6" s="10" t="str">
        <f>ROUND(D6*50/1000,1)&amp;" t (gros œuvre)"</f>
        <v>32.2 t (gros œuvre)</v>
      </c>
    </row>
    <row r="7">
      <c r="A7" s="10" t="inlineStr">
        <is>
          <t>sable</t>
        </is>
      </c>
      <c r="B7" s="10" t="inlineStr">
        <is>
          <t>Sable lavé</t>
        </is>
      </c>
      <c r="C7" s="12" t="inlineStr">
        <is>
          <t>m³</t>
        </is>
      </c>
      <c r="D7" s="18">
        <f>SUMIFS('Sous-détails'!$J$5:$J$407,'Sous-détails'!$D$5:$D$407,A7,'Sous-détails'!$K$5:$K$407,"NON")</f>
        <v>51.41455243905583</v>
      </c>
      <c r="E7" s="18">
        <f>SUMIFS('Sous-détails'!$J$5:$J$407,'Sous-détails'!$D$5:$D$407,A7)</f>
        <v>74.57055243905583</v>
      </c>
      <c r="F7" s="32">
        <f>px_sable</f>
        <v>12000.0</v>
      </c>
      <c r="G7" s="32">
        <f>D7*F7</f>
        <v>616974.62926867</v>
      </c>
      <c r="H7" s="32">
        <f>E7*F7</f>
        <v>894846.62926867</v>
      </c>
      <c r="I7" s="10" t="n"/>
    </row>
    <row r="8">
      <c r="A8" s="10" t="inlineStr">
        <is>
          <t>gravier</t>
        </is>
      </c>
      <c r="B8" s="10" t="inlineStr">
        <is>
          <t>Gravier concassé 5/15 - 15/25</t>
        </is>
      </c>
      <c r="C8" s="12" t="inlineStr">
        <is>
          <t>m³</t>
        </is>
      </c>
      <c r="D8" s="18">
        <f>SUMIFS('Sous-détails'!$J$5:$J$407,'Sous-détails'!$D$5:$D$407,A8,'Sous-détails'!$K$5:$K$407,"NON")</f>
        <v>71.04585749278985</v>
      </c>
      <c r="E8" s="18">
        <f>SUMIFS('Sous-détails'!$J$5:$J$407,'Sous-détails'!$D$5:$D$407,A8)</f>
        <v>71.04585749278985</v>
      </c>
      <c r="F8" s="32">
        <f>px_gravier</f>
        <v>25000.0</v>
      </c>
      <c r="G8" s="32">
        <f>D8*F8</f>
        <v>1776146.4373197462</v>
      </c>
      <c r="H8" s="32">
        <f>E8*F8</f>
        <v>1776146.4373197462</v>
      </c>
      <c r="I8" s="10" t="n"/>
    </row>
    <row r="9">
      <c r="A9" s="10" t="inlineStr">
        <is>
          <t>eau</t>
        </is>
      </c>
      <c r="B9" s="10" t="inlineStr">
        <is>
          <t>Eau</t>
        </is>
      </c>
      <c r="C9" s="12" t="inlineStr">
        <is>
          <t>m³</t>
        </is>
      </c>
      <c r="D9" s="18">
        <f>SUMIFS('Sous-détails'!$J$5:$J$407,'Sous-détails'!$D$5:$D$407,A9,'Sous-détails'!$K$5:$K$407,"NON")</f>
        <v>32.94679823416311</v>
      </c>
      <c r="E9" s="18">
        <f>SUMIFS('Sous-détails'!$J$5:$J$407,'Sous-détails'!$D$5:$D$407,A9)</f>
        <v>42.20919823416311</v>
      </c>
      <c r="F9" s="32">
        <f>px_eau</f>
        <v>1000.0</v>
      </c>
      <c r="G9" s="32">
        <f>D9*F9</f>
        <v>32946.798234163114</v>
      </c>
      <c r="H9" s="32">
        <f>E9*F9</f>
        <v>42209.19823416311</v>
      </c>
      <c r="I9" s="10" t="n"/>
    </row>
    <row r="10">
      <c r="A10" s="10" t="inlineStr">
        <is>
          <t>agglo</t>
        </is>
      </c>
      <c r="B10" s="10" t="inlineStr">
        <is>
          <t>Agglo 15 plein 40x20x15 rendu chantier</t>
        </is>
      </c>
      <c r="C10" s="12" t="inlineStr">
        <is>
          <t>u</t>
        </is>
      </c>
      <c r="D10" s="18">
        <f>SUMIFS('Sous-détails'!$J$5:$J$407,'Sous-détails'!$D$5:$D$407,A10,'Sous-détails'!$K$5:$K$407,"NON")</f>
        <v>5865.858971330457</v>
      </c>
      <c r="E10" s="18">
        <f>SUMIFS('Sous-détails'!$J$5:$J$407,'Sous-détails'!$D$5:$D$407,A10)</f>
        <v>5865.858971330457</v>
      </c>
      <c r="F10" s="32">
        <f>px_agglo</f>
        <v>500.0</v>
      </c>
      <c r="G10" s="32">
        <f>D10*F10</f>
        <v>2932929.4856652287</v>
      </c>
      <c r="H10" s="32">
        <f>E10*F10</f>
        <v>2932929.4856652287</v>
      </c>
      <c r="I10" s="10" t="str">
        <f>ROUNDUP(D10,0)&amp;" agglos (GO)"</f>
        <v>5866 agglos (GO)</v>
      </c>
    </row>
    <row r="11">
      <c r="A11" s="10" t="inlineStr">
        <is>
          <t>ha6</t>
        </is>
      </c>
      <c r="B11" s="10" t="inlineStr">
        <is>
          <t>Acier HA6 FeE500 (barre 12 m = 2,66 kg à 2 300)</t>
        </is>
      </c>
      <c r="C11" s="12" t="inlineStr">
        <is>
          <t>kg</t>
        </is>
      </c>
      <c r="D11" s="18">
        <f>SUMIFS('Sous-détails'!$J$5:$J$407,'Sous-détails'!$D$5:$D$407,A11,'Sous-détails'!$K$5:$K$407,"NON")</f>
        <v>453.2839744861848</v>
      </c>
      <c r="E11" s="18">
        <f>SUMIFS('Sous-détails'!$J$5:$J$407,'Sous-détails'!$D$5:$D$407,A11)</f>
        <v>453.2839744861848</v>
      </c>
      <c r="F11" s="32">
        <f>px_ha6</f>
        <v>865.0</v>
      </c>
      <c r="G11" s="32">
        <f>D11*F11</f>
        <v>392090.63793054986</v>
      </c>
      <c r="H11" s="32">
        <f>E11*F11</f>
        <v>392090.63793054986</v>
      </c>
      <c r="I11" s="10" t="str">
        <f>ROUNDUP(D11/(12*p_KG6),0)&amp;" barres de 12 m (GO)"</f>
        <v>171 barres de 12 m (GO)</v>
      </c>
    </row>
    <row r="12">
      <c r="A12" s="10" t="inlineStr">
        <is>
          <t>ha10</t>
        </is>
      </c>
      <c r="B12" s="10" t="inlineStr">
        <is>
          <t>Acier HA10 FeE500 (barre 12 m = 7,40 kg à 6 000)</t>
        </is>
      </c>
      <c r="C12" s="12" t="inlineStr">
        <is>
          <t>kg</t>
        </is>
      </c>
      <c r="D12" s="18">
        <f>SUMIFS('Sous-détails'!$J$5:$J$407,'Sous-détails'!$D$5:$D$407,A12,'Sous-détails'!$K$5:$K$407,"NON")</f>
        <v>5991.482483387106</v>
      </c>
      <c r="E12" s="18">
        <f>SUMIFS('Sous-détails'!$J$5:$J$407,'Sous-détails'!$D$5:$D$407,A12)</f>
        <v>5991.482483387106</v>
      </c>
      <c r="F12" s="32">
        <f>px_ha10</f>
        <v>810.0</v>
      </c>
      <c r="G12" s="32">
        <f>D12*F12</f>
        <v>4853100.811543556</v>
      </c>
      <c r="H12" s="32">
        <f>E12*F12</f>
        <v>4853100.811543556</v>
      </c>
      <c r="I12" s="10" t="str">
        <f>ROUNDUP(D12/(12*p_KG10),0)&amp;" barres de 12 m (GO)"</f>
        <v>810 barres de 12 m (GO)</v>
      </c>
    </row>
    <row r="13">
      <c r="A13" s="10" t="inlineStr">
        <is>
          <t>ha12</t>
        </is>
      </c>
      <c r="B13" s="10" t="inlineStr">
        <is>
          <t>Acier HA12 FeE500 (barre 12 m = 10,66 kg à 8 500)</t>
        </is>
      </c>
      <c r="C13" s="12" t="inlineStr">
        <is>
          <t>kg</t>
        </is>
      </c>
      <c r="D13" s="18">
        <f>SUMIFS('Sous-détails'!$J$5:$J$407,'Sous-détails'!$D$5:$D$407,A13,'Sous-détails'!$K$5:$K$407,"NON")</f>
        <v>288.48456000000004</v>
      </c>
      <c r="E13" s="18">
        <f>SUMIFS('Sous-détails'!$J$5:$J$407,'Sous-détails'!$D$5:$D$407,A13)</f>
        <v>288.48456000000004</v>
      </c>
      <c r="F13" s="32">
        <f>px_ha12</f>
        <v>800.0</v>
      </c>
      <c r="G13" s="32">
        <f>D13*F13</f>
        <v>230787.64800000004</v>
      </c>
      <c r="H13" s="32">
        <f>E13*F13</f>
        <v>230787.64800000004</v>
      </c>
      <c r="I13" s="10" t="str">
        <f>ROUNDUP(D13/(12*p_KG12),0)&amp;" barres de 12 m (GO)"</f>
        <v>28 barres de 12 m (GO)</v>
      </c>
    </row>
    <row r="14">
      <c r="A14" s="10" t="inlineStr">
        <is>
          <t>fil</t>
        </is>
      </c>
      <c r="B14" s="10" t="inlineStr">
        <is>
          <t>Fil recuit</t>
        </is>
      </c>
      <c r="C14" s="12" t="inlineStr">
        <is>
          <t>kg</t>
        </is>
      </c>
      <c r="D14" s="18">
        <f>SUMIFS('Sous-détails'!$J$5:$J$407,'Sous-détails'!$D$5:$D$407,A14,'Sous-détails'!$K$5:$K$407,"NON")</f>
        <v>100.99876526809936</v>
      </c>
      <c r="E14" s="18">
        <f>SUMIFS('Sous-détails'!$J$5:$J$407,'Sous-détails'!$D$5:$D$407,A14)</f>
        <v>100.99876526809936</v>
      </c>
      <c r="F14" s="32">
        <f>px_fil</f>
        <v>1500.0</v>
      </c>
      <c r="G14" s="32">
        <f>D14*F14</f>
        <v>151498.14790214904</v>
      </c>
      <c r="H14" s="32">
        <f>E14*F14</f>
        <v>151498.14790214904</v>
      </c>
      <c r="I14" s="10" t="n"/>
    </row>
    <row r="15">
      <c r="A15" s="10" t="inlineStr">
        <is>
          <t>bois</t>
        </is>
      </c>
      <c r="B15" s="10" t="inlineStr">
        <is>
          <t>Bois de coffrage (amorti 3 emplois)</t>
        </is>
      </c>
      <c r="C15" s="12" t="inlineStr">
        <is>
          <t>m²</t>
        </is>
      </c>
      <c r="D15" s="18">
        <f>SUMIFS('Sous-détails'!$J$5:$J$407,'Sous-détails'!$D$5:$D$407,A15,'Sous-détails'!$K$5:$K$407,"NON")</f>
        <v>248.75982341631132</v>
      </c>
      <c r="E15" s="18">
        <f>SUMIFS('Sous-détails'!$J$5:$J$407,'Sous-détails'!$D$5:$D$407,A15)</f>
        <v>248.75982341631132</v>
      </c>
      <c r="F15" s="32">
        <f>px_bois</f>
        <v>1800.0</v>
      </c>
      <c r="G15" s="32">
        <f>D15*F15</f>
        <v>447767.68214936036</v>
      </c>
      <c r="H15" s="32">
        <f>E15*F15</f>
        <v>447767.68214936036</v>
      </c>
      <c r="I15" s="10" t="n"/>
    </row>
    <row r="16">
      <c r="A16" s="10" t="inlineStr">
        <is>
          <t>pointes</t>
        </is>
      </c>
      <c r="B16" s="10" t="inlineStr">
        <is>
          <t>Pointes</t>
        </is>
      </c>
      <c r="C16" s="12" t="inlineStr">
        <is>
          <t>kg</t>
        </is>
      </c>
      <c r="D16" s="18">
        <f>SUMIFS('Sous-détails'!$J$5:$J$407,'Sous-détails'!$D$5:$D$407,A16,'Sous-détails'!$K$5:$K$407,"NON")</f>
        <v>36.2939735124467</v>
      </c>
      <c r="E16" s="18">
        <f>SUMIFS('Sous-détails'!$J$5:$J$407,'Sous-détails'!$D$5:$D$407,A16)</f>
        <v>36.2939735124467</v>
      </c>
      <c r="F16" s="32">
        <f>px_pointes</f>
        <v>1500.0</v>
      </c>
      <c r="G16" s="32">
        <f>D16*F16</f>
        <v>54440.960268670045</v>
      </c>
      <c r="H16" s="32">
        <f>E16*F16</f>
        <v>54440.960268670045</v>
      </c>
      <c r="I16" s="10" t="n"/>
    </row>
    <row r="17">
      <c r="A17" s="10" t="inlineStr">
        <is>
          <t>huile</t>
        </is>
      </c>
      <c r="B17" s="10" t="inlineStr">
        <is>
          <t>Huile de décoffrage</t>
        </is>
      </c>
      <c r="C17" s="12" t="inlineStr">
        <is>
          <t>L</t>
        </is>
      </c>
      <c r="D17" s="18">
        <f>SUMIFS('Sous-détails'!$J$5:$J$407,'Sous-détails'!$D$5:$D$407,A17,'Sous-détails'!$K$5:$K$407,"NON")</f>
        <v>24.195982341631133</v>
      </c>
      <c r="E17" s="18">
        <f>SUMIFS('Sous-détails'!$J$5:$J$407,'Sous-détails'!$D$5:$D$407,A17)</f>
        <v>24.195982341631133</v>
      </c>
      <c r="F17" s="32">
        <f>px_huile</f>
        <v>1000.0</v>
      </c>
      <c r="G17" s="32">
        <f>D17*F17</f>
        <v>24195.982341631134</v>
      </c>
      <c r="H17" s="32">
        <f>E17*F17</f>
        <v>24195.982341631134</v>
      </c>
      <c r="I17" s="10" t="n"/>
    </row>
    <row r="18">
      <c r="A18" s="10" t="inlineStr">
        <is>
          <t>hydro</t>
        </is>
      </c>
      <c r="B18" s="10" t="inlineStr">
        <is>
          <t>Hydrofuge de masse</t>
        </is>
      </c>
      <c r="C18" s="12" t="inlineStr">
        <is>
          <t>L</t>
        </is>
      </c>
      <c r="D18" s="18">
        <f>SUMIFS('Sous-détails'!$J$5:$J$407,'Sous-détails'!$D$5:$D$407,A18,'Sous-détails'!$K$5:$K$407,"NON")</f>
        <v>5.47725</v>
      </c>
      <c r="E18" s="18">
        <f>SUMIFS('Sous-détails'!$J$5:$J$407,'Sous-détails'!$D$5:$D$407,A18)</f>
        <v>5.47725</v>
      </c>
      <c r="F18" s="32">
        <f>px_hydro</f>
        <v>2000.0</v>
      </c>
      <c r="G18" s="32">
        <f>D18*F18</f>
        <v>10954.5</v>
      </c>
      <c r="H18" s="32">
        <f>E18*F18</f>
        <v>10954.5</v>
      </c>
      <c r="I18" s="10" t="n"/>
    </row>
    <row r="19">
      <c r="A19" s="10" t="inlineStr">
        <is>
          <t>termite</t>
        </is>
      </c>
      <c r="B19" s="10" t="inlineStr">
        <is>
          <t>Produit anti-termites (dilué)</t>
        </is>
      </c>
      <c r="C19" s="12" t="inlineStr">
        <is>
          <t>m²</t>
        </is>
      </c>
      <c r="D19" s="18">
        <f>SUMIFS('Sous-détails'!$J$5:$J$407,'Sous-détails'!$D$5:$D$407,A19,'Sous-détails'!$K$5:$K$407,"NON")</f>
        <v>348.8225</v>
      </c>
      <c r="E19" s="18">
        <f>SUMIFS('Sous-détails'!$J$5:$J$407,'Sous-détails'!$D$5:$D$407,A19)</f>
        <v>348.8225</v>
      </c>
      <c r="F19" s="32">
        <f>px_termite</f>
        <v>1200.0</v>
      </c>
      <c r="G19" s="32">
        <f>D19*F19</f>
        <v>418587.0</v>
      </c>
      <c r="H19" s="32">
        <f>E19*F19</f>
        <v>418587.0</v>
      </c>
      <c r="I19" s="10" t="n"/>
    </row>
    <row r="20">
      <c r="A20" s="10" t="inlineStr">
        <is>
          <t>laterite</t>
        </is>
      </c>
      <c r="B20" s="10" t="inlineStr">
        <is>
          <t>Latérite d'emprunt rendue chantier</t>
        </is>
      </c>
      <c r="C20" s="12" t="inlineStr">
        <is>
          <t>m³</t>
        </is>
      </c>
      <c r="D20" s="18">
        <f>SUMIFS('Sous-détails'!$J$5:$J$407,'Sous-détails'!$D$5:$D$407,A20,'Sous-détails'!$K$5:$K$407,"NON")</f>
        <v>152.8917</v>
      </c>
      <c r="E20" s="18">
        <f>SUMIFS('Sous-détails'!$J$5:$J$407,'Sous-détails'!$D$5:$D$407,A20)</f>
        <v>152.8917</v>
      </c>
      <c r="F20" s="32">
        <f>px_laterite</f>
        <v>6000.0</v>
      </c>
      <c r="G20" s="32">
        <f>D20*F20</f>
        <v>917350.2</v>
      </c>
      <c r="H20" s="32">
        <f>E20*F20</f>
        <v>917350.2</v>
      </c>
      <c r="I20" s="10" t="n"/>
    </row>
    <row r="21">
      <c r="A21" s="10" t="inlineStr">
        <is>
          <t>polyane</t>
        </is>
      </c>
      <c r="B21" s="10" t="inlineStr">
        <is>
          <t>Film polyane 150 µ</t>
        </is>
      </c>
      <c r="C21" s="12" t="inlineStr">
        <is>
          <t>m²</t>
        </is>
      </c>
      <c r="D21" s="18">
        <f>SUMIFS('Sous-détails'!$J$5:$J$407,'Sous-détails'!$D$5:$D$407,A21,'Sous-détails'!$K$5:$K$407,"NON")</f>
        <v>323.42475</v>
      </c>
      <c r="E21" s="18">
        <f>SUMIFS('Sous-détails'!$J$5:$J$407,'Sous-détails'!$D$5:$D$407,A21)</f>
        <v>323.42475</v>
      </c>
      <c r="F21" s="32">
        <f>px_polyane</f>
        <v>400.0</v>
      </c>
      <c r="G21" s="32">
        <f>D21*F21</f>
        <v>129369.90000000001</v>
      </c>
      <c r="H21" s="32">
        <f>E21*F21</f>
        <v>129369.90000000001</v>
      </c>
      <c r="I21" s="10" t="n"/>
    </row>
    <row r="22">
      <c r="A22" s="10" t="inlineStr">
        <is>
          <t>joint</t>
        </is>
      </c>
      <c r="B22" s="10" t="inlineStr">
        <is>
          <t>Fond de joint + mastic / joint périphérique</t>
        </is>
      </c>
      <c r="C22" s="12" t="inlineStr">
        <is>
          <t>ml</t>
        </is>
      </c>
      <c r="D22" s="18">
        <f>SUMIFS('Sous-détails'!$J$5:$J$407,'Sous-détails'!$D$5:$D$407,A22,'Sous-détails'!$K$5:$K$407,"NON")</f>
        <v>158.5</v>
      </c>
      <c r="E22" s="18">
        <f>SUMIFS('Sous-détails'!$J$5:$J$407,'Sous-détails'!$D$5:$D$407,A22)</f>
        <v>158.5</v>
      </c>
      <c r="F22" s="32">
        <f>px_joint</f>
        <v>800.0</v>
      </c>
      <c r="G22" s="32">
        <f>D22*F22</f>
        <v>126800.0</v>
      </c>
      <c r="H22" s="32">
        <f>E22*F22</f>
        <v>126800.0</v>
      </c>
      <c r="I22" s="10" t="n"/>
    </row>
    <row r="23">
      <c r="A23" s="10" t="inlineStr">
        <is>
          <t>ipe</t>
        </is>
      </c>
      <c r="B23" s="10" t="inlineStr">
        <is>
          <t>Profilé IPE 220 (S235)</t>
        </is>
      </c>
      <c r="C23" s="12" t="inlineStr">
        <is>
          <t>kg</t>
        </is>
      </c>
      <c r="D23" s="18">
        <f>SUMIFS('Sous-détails'!$J$5:$J$407,'Sous-détails'!$D$5:$D$407,A23,'Sous-détails'!$K$5:$K$407,"NON")</f>
        <v>2833.53</v>
      </c>
      <c r="E23" s="18">
        <f>SUMIFS('Sous-détails'!$J$5:$J$407,'Sous-détails'!$D$5:$D$407,A23)</f>
        <v>2833.53</v>
      </c>
      <c r="F23" s="32">
        <f>px_ipe</f>
        <v>950.0</v>
      </c>
      <c r="G23" s="32">
        <f>D23*F23</f>
        <v>2691853.5</v>
      </c>
      <c r="H23" s="32">
        <f>E23*F23</f>
        <v>2691853.5</v>
      </c>
      <c r="I23" s="10" t="n"/>
    </row>
    <row r="24">
      <c r="A24" s="10" t="inlineStr">
        <is>
          <t>corniere</t>
        </is>
      </c>
      <c r="B24" s="10" t="inlineStr">
        <is>
          <t>Cornière 50x50x5 (S235)</t>
        </is>
      </c>
      <c r="C24" s="12" t="inlineStr">
        <is>
          <t>kg</t>
        </is>
      </c>
      <c r="D24" s="18">
        <f>SUMIFS('Sous-détails'!$J$5:$J$407,'Sous-détails'!$D$5:$D$407,A24,'Sous-détails'!$K$5:$K$407,"NON")</f>
        <v>520.8387164328776</v>
      </c>
      <c r="E24" s="18">
        <f>SUMIFS('Sous-détails'!$J$5:$J$407,'Sous-détails'!$D$5:$D$407,A24)</f>
        <v>520.8387164328776</v>
      </c>
      <c r="F24" s="32">
        <f>px_corniere</f>
        <v>900.0</v>
      </c>
      <c r="G24" s="32">
        <f>D24*F24</f>
        <v>468754.8447895899</v>
      </c>
      <c r="H24" s="32">
        <f>E24*F24</f>
        <v>468754.8447895899</v>
      </c>
      <c r="I24" s="10" t="n"/>
    </row>
    <row r="25">
      <c r="A25" s="10" t="inlineStr">
        <is>
          <t>tole</t>
        </is>
      </c>
      <c r="B25" s="10" t="inlineStr">
        <is>
          <t>Tôle pour platines et goussets ép. 15 mm</t>
        </is>
      </c>
      <c r="C25" s="12" t="inlineStr">
        <is>
          <t>kg</t>
        </is>
      </c>
      <c r="D25" s="18">
        <f>SUMIFS('Sous-détails'!$J$5:$J$407,'Sous-détails'!$D$5:$D$407,A25,'Sous-détails'!$K$5:$K$407,"NON")</f>
        <v>267.75</v>
      </c>
      <c r="E25" s="18">
        <f>SUMIFS('Sous-détails'!$J$5:$J$407,'Sous-détails'!$D$5:$D$407,A25)</f>
        <v>267.75</v>
      </c>
      <c r="F25" s="32">
        <f>px_tole</f>
        <v>900.0</v>
      </c>
      <c r="G25" s="32">
        <f>D25*F25</f>
        <v>240975.0</v>
      </c>
      <c r="H25" s="32">
        <f>E25*F25</f>
        <v>240975.0</v>
      </c>
      <c r="I25" s="10" t="n"/>
    </row>
    <row r="26">
      <c r="A26" s="10" t="inlineStr">
        <is>
          <t>tige</t>
        </is>
      </c>
      <c r="B26" s="10" t="inlineStr">
        <is>
          <t>Tige d'ancrage M20 L = 600 coudée + 2 écrous + rondelle</t>
        </is>
      </c>
      <c r="C26" s="12" t="inlineStr">
        <is>
          <t>u</t>
        </is>
      </c>
      <c r="D26" s="18">
        <f>SUMIFS('Sous-détails'!$J$5:$J$407,'Sous-détails'!$D$5:$D$407,A26,'Sous-détails'!$K$5:$K$407,"NON")</f>
        <v>68.0</v>
      </c>
      <c r="E26" s="18">
        <f>SUMIFS('Sous-détails'!$J$5:$J$407,'Sous-détails'!$D$5:$D$407,A26)</f>
        <v>68.0</v>
      </c>
      <c r="F26" s="32">
        <f>px_tige</f>
        <v>6000.0</v>
      </c>
      <c r="G26" s="32">
        <f>D26*F26</f>
        <v>408000.0</v>
      </c>
      <c r="H26" s="32">
        <f>E26*F26</f>
        <v>408000.0</v>
      </c>
      <c r="I26" s="10" t="n"/>
    </row>
    <row r="27">
      <c r="A27" s="10" t="inlineStr">
        <is>
          <t>grout</t>
        </is>
      </c>
      <c r="B27" s="10" t="inlineStr">
        <is>
          <t>Mortier de calage sans retrait (sac 25 kg)</t>
        </is>
      </c>
      <c r="C27" s="12" t="inlineStr">
        <is>
          <t>sac</t>
        </is>
      </c>
      <c r="D27" s="18">
        <f>SUMIFS('Sous-détails'!$J$5:$J$407,'Sous-détails'!$D$5:$D$407,A27,'Sous-détails'!$K$5:$K$407,"NON")</f>
        <v>8.5</v>
      </c>
      <c r="E27" s="18">
        <f>SUMIFS('Sous-détails'!$J$5:$J$407,'Sous-détails'!$D$5:$D$407,A27)</f>
        <v>8.5</v>
      </c>
      <c r="F27" s="32">
        <f>px_grout</f>
        <v>9000.0</v>
      </c>
      <c r="G27" s="32">
        <f>D27*F27</f>
        <v>76500.0</v>
      </c>
      <c r="H27" s="32">
        <f>E27*F27</f>
        <v>76500.0</v>
      </c>
      <c r="I27" s="10" t="n"/>
    </row>
    <row r="28">
      <c r="A28" s="10" t="inlineStr">
        <is>
          <t>peint</t>
        </is>
      </c>
      <c r="B28" s="10" t="inlineStr">
        <is>
          <t>Peinture antirouille + finition (2 couches)</t>
        </is>
      </c>
      <c r="C28" s="12" t="inlineStr">
        <is>
          <t>kg</t>
        </is>
      </c>
      <c r="D28" s="18">
        <f>SUMIFS('Sous-détails'!$J$5:$J$407,'Sous-détails'!$D$5:$D$407,A28,'Sous-détails'!$K$5:$K$407,"NON")</f>
        <v>3449.6368727932168</v>
      </c>
      <c r="E28" s="18">
        <f>SUMIFS('Sous-détails'!$J$5:$J$407,'Sous-détails'!$D$5:$D$407,A28)</f>
        <v>3449.6368727932168</v>
      </c>
      <c r="F28" s="32">
        <f>px_peint</f>
        <v>100.0</v>
      </c>
      <c r="G28" s="32">
        <f>D28*F28</f>
        <v>344963.68727932166</v>
      </c>
      <c r="H28" s="32">
        <f>E28*F28</f>
        <v>344963.68727932166</v>
      </c>
      <c r="I28" s="10" t="n"/>
    </row>
    <row r="29">
      <c r="A29" s="10" t="inlineStr">
        <is>
          <t>acier_ch</t>
        </is>
      </c>
      <c r="B29" s="10" t="inlineStr">
        <is>
          <t>Profilés charpente de toiture + peinture</t>
        </is>
      </c>
      <c r="C29" s="12" t="inlineStr">
        <is>
          <t>kg</t>
        </is>
      </c>
      <c r="D29" s="18">
        <f>SUMIFS('Sous-détails'!$J$5:$J$407,'Sous-détails'!$D$5:$D$407,A29,'Sous-détails'!$K$5:$K$407,"NON")</f>
        <v>0.0</v>
      </c>
      <c r="E29" s="18">
        <f>SUMIFS('Sous-détails'!$J$5:$J$407,'Sous-détails'!$D$5:$D$407,A29)</f>
        <v>2864.4</v>
      </c>
      <c r="F29" s="32">
        <f>px_acier_ch</f>
        <v>950.0</v>
      </c>
      <c r="G29" s="32">
        <f>D29*F29</f>
        <v>0.0</v>
      </c>
      <c r="H29" s="32">
        <f>E29*F29</f>
        <v>2721180.0</v>
      </c>
      <c r="I29" s="10" t="n"/>
    </row>
    <row r="30">
      <c r="A30" s="10" t="inlineStr">
        <is>
          <t>bac</t>
        </is>
      </c>
      <c r="B30" s="10" t="inlineStr">
        <is>
          <t>Tôle bac 5 ondes (alu 6/10 ou acier prélaqué) + fixations</t>
        </is>
      </c>
      <c r="C30" s="12" t="inlineStr">
        <is>
          <t>m²</t>
        </is>
      </c>
      <c r="D30" s="18">
        <f>SUMIFS('Sous-détails'!$J$5:$J$407,'Sous-détails'!$D$5:$D$407,A30,'Sous-détails'!$K$5:$K$407,"NON")</f>
        <v>0.0</v>
      </c>
      <c r="E30" s="18">
        <f>SUMIFS('Sous-détails'!$J$5:$J$407,'Sous-détails'!$D$5:$D$407,A30)</f>
        <v>381.85313082702794</v>
      </c>
      <c r="F30" s="32">
        <f>px_bac</f>
        <v>4500.0</v>
      </c>
      <c r="G30" s="32">
        <f>D30*F30</f>
        <v>0.0</v>
      </c>
      <c r="H30" s="32">
        <f>E30*F30</f>
        <v>1718339.0887216257</v>
      </c>
      <c r="I30" s="10" t="n"/>
    </row>
    <row r="31">
      <c r="A31" s="10" t="inlineStr">
        <is>
          <t>zpanne</t>
        </is>
      </c>
      <c r="B31" s="10" t="inlineStr">
        <is>
          <t>Panne Z 120 x 2 galvanisée + échantignoles + boulons</t>
        </is>
      </c>
      <c r="C31" s="12" t="inlineStr">
        <is>
          <t>kg</t>
        </is>
      </c>
      <c r="D31" s="18">
        <f>SUMIFS('Sous-détails'!$J$5:$J$407,'Sous-détails'!$D$5:$D$407,A31,'Sous-détails'!$K$5:$K$407,"NON")</f>
        <v>0.0</v>
      </c>
      <c r="E31" s="18">
        <f>SUMIFS('Sous-détails'!$J$5:$J$407,'Sous-détails'!$D$5:$D$407,A31)</f>
        <v>1523.3400000000001</v>
      </c>
      <c r="F31" s="32">
        <f>px_zpanne</f>
        <v>1000.0</v>
      </c>
      <c r="G31" s="32">
        <f>D31*F31</f>
        <v>0.0</v>
      </c>
      <c r="H31" s="32">
        <f>E31*F31</f>
        <v>1523340.0000000002</v>
      </c>
      <c r="I31" s="10" t="n"/>
    </row>
    <row r="32">
      <c r="A32" s="10" t="inlineStr">
        <is>
          <t>faitiere</t>
        </is>
      </c>
      <c r="B32" s="10" t="inlineStr">
        <is>
          <t>Faîtière aluminium</t>
        </is>
      </c>
      <c r="C32" s="12" t="inlineStr">
        <is>
          <t>ml</t>
        </is>
      </c>
      <c r="D32" s="18">
        <f>SUMIFS('Sous-détails'!$J$5:$J$407,'Sous-détails'!$D$5:$D$407,A32,'Sous-détails'!$K$5:$K$407,"NON")</f>
        <v>0.0</v>
      </c>
      <c r="E32" s="18">
        <f>SUMIFS('Sous-détails'!$J$5:$J$407,'Sous-détails'!$D$5:$D$407,A32)</f>
        <v>32.550000000000004</v>
      </c>
      <c r="F32" s="32">
        <f>px_faitiere</f>
        <v>3500.0</v>
      </c>
      <c r="G32" s="32">
        <f>D32*F32</f>
        <v>0.0</v>
      </c>
      <c r="H32" s="32">
        <f>E32*F32</f>
        <v>113925.00000000001</v>
      </c>
      <c r="I32" s="10" t="n"/>
    </row>
    <row r="33">
      <c r="A33" s="10" t="inlineStr">
        <is>
          <t>ff_install</t>
        </is>
      </c>
      <c r="B33" s="10" t="inlineStr">
        <is>
          <t>Magasin, clôture provisoire, panneau de chantier</t>
        </is>
      </c>
      <c r="C33" s="12" t="inlineStr">
        <is>
          <t>ft</t>
        </is>
      </c>
      <c r="D33" s="18">
        <f>SUMIFS('Sous-détails'!$J$5:$J$407,'Sous-détails'!$D$5:$D$407,A33,'Sous-détails'!$K$5:$K$407,"NON")</f>
        <v>1.0</v>
      </c>
      <c r="E33" s="18">
        <f>SUMIFS('Sous-détails'!$J$5:$J$407,'Sous-détails'!$D$5:$D$407,A33)</f>
        <v>1.0</v>
      </c>
      <c r="F33" s="32">
        <f>px_ff_install</f>
        <v>300000.0</v>
      </c>
      <c r="G33" s="32">
        <f>D33*F33</f>
        <v>300000.0</v>
      </c>
      <c r="H33" s="32">
        <f>E33*F33</f>
        <v>300000.0</v>
      </c>
      <c r="I33" s="10" t="n"/>
    </row>
    <row r="34">
      <c r="A34" s="10" t="inlineStr">
        <is>
          <t>ff_implant</t>
        </is>
      </c>
      <c r="B34" s="10" t="inlineStr">
        <is>
          <t>Bois de chaises, cordeau, peinture</t>
        </is>
      </c>
      <c r="C34" s="12" t="inlineStr">
        <is>
          <t>ft</t>
        </is>
      </c>
      <c r="D34" s="18">
        <f>SUMIFS('Sous-détails'!$J$5:$J$407,'Sous-détails'!$D$5:$D$407,A34,'Sous-détails'!$K$5:$K$407,"NON")</f>
        <v>1.0</v>
      </c>
      <c r="E34" s="18">
        <f>SUMIFS('Sous-détails'!$J$5:$J$407,'Sous-détails'!$D$5:$D$407,A34)</f>
        <v>1.0</v>
      </c>
      <c r="F34" s="32">
        <f>px_ff_implant</f>
        <v>40000.0</v>
      </c>
      <c r="G34" s="32">
        <f>D34*F34</f>
        <v>40000.0</v>
      </c>
      <c r="H34" s="32">
        <f>E34*F34</f>
        <v>40000.0</v>
      </c>
      <c r="I34" s="10" t="n"/>
    </row>
    <row r="35">
      <c r="A35" s="10" t="inlineStr">
        <is>
          <t>ff_essais</t>
        </is>
      </c>
      <c r="B35" s="10" t="inlineStr">
        <is>
          <t>Essais labo (Proctor, densités in situ, écrasement béton)</t>
        </is>
      </c>
      <c r="C35" s="12" t="inlineStr">
        <is>
          <t>ft</t>
        </is>
      </c>
      <c r="D35" s="18">
        <f>SUMIFS('Sous-détails'!$J$5:$J$407,'Sous-détails'!$D$5:$D$407,A35,'Sous-détails'!$K$5:$K$407,"NON")</f>
        <v>1.0</v>
      </c>
      <c r="E35" s="18">
        <f>SUMIFS('Sous-détails'!$J$5:$J$407,'Sous-détails'!$D$5:$D$407,A35)</f>
        <v>1.0</v>
      </c>
      <c r="F35" s="32">
        <f>px_ff_essais</f>
        <v>250000.0</v>
      </c>
      <c r="G35" s="32">
        <f>D35*F35</f>
        <v>250000.0</v>
      </c>
      <c r="H35" s="32">
        <f>E35*F35</f>
        <v>250000.0</v>
      </c>
      <c r="I35" s="10" t="n"/>
    </row>
    <row r="36">
      <c r="A36" s="10" t="inlineStr">
        <is>
          <t>ff_portail</t>
        </is>
      </c>
      <c r="B36" s="10" t="inlineStr">
        <is>
          <t>Portail : tubes, tôle 15/10, rail, roulettes, peinture</t>
        </is>
      </c>
      <c r="C36" s="12" t="inlineStr">
        <is>
          <t>ft</t>
        </is>
      </c>
      <c r="D36" s="18">
        <f>SUMIFS('Sous-détails'!$J$5:$J$407,'Sous-détails'!$D$5:$D$407,A36,'Sous-détails'!$K$5:$K$407,"NON")</f>
        <v>0.0</v>
      </c>
      <c r="E36" s="18">
        <f>SUMIFS('Sous-détails'!$J$5:$J$407,'Sous-détails'!$D$5:$D$407,A36)</f>
        <v>1.0</v>
      </c>
      <c r="F36" s="32">
        <f>px_ff_portail</f>
        <v>1600000.0</v>
      </c>
      <c r="G36" s="32">
        <f>D36*F36</f>
        <v>0.0</v>
      </c>
      <c r="H36" s="32">
        <f>E36*F36</f>
        <v>1600000.0</v>
      </c>
      <c r="I36" s="10" t="n"/>
    </row>
    <row r="37">
      <c r="A37" s="8" t="inlineStr">
        <is>
          <t>MAIN-D'ŒUVRE</t>
        </is>
      </c>
      <c r="B37" s="9" t="n"/>
      <c r="C37" s="9" t="n"/>
      <c r="D37" s="9" t="n"/>
      <c r="E37" s="9" t="n"/>
      <c r="F37" s="9" t="n"/>
      <c r="G37" s="9" t="n"/>
      <c r="H37" s="9" t="n"/>
      <c r="I37" s="9" t="n"/>
    </row>
    <row r="38">
      <c r="A38" s="10" t="inlineStr">
        <is>
          <t>mo_macon</t>
        </is>
      </c>
      <c r="B38" s="10" t="inlineStr">
        <is>
          <t>Maçon</t>
        </is>
      </c>
      <c r="C38" s="12" t="inlineStr">
        <is>
          <t>h.j</t>
        </is>
      </c>
      <c r="D38" s="18">
        <f>SUMIFS('Sous-détails'!$J$5:$J$407,'Sous-détails'!$D$5:$D$407,A38,'Sous-détails'!$K$5:$K$407,"NON")</f>
        <v>62.504138434906935</v>
      </c>
      <c r="E38" s="18">
        <f>SUMIFS('Sous-détails'!$J$5:$J$407,'Sous-détails'!$D$5:$D$407,A38)</f>
        <v>139.6908051015736</v>
      </c>
      <c r="F38" s="32">
        <f>px_mo_macon</f>
        <v>10000.0</v>
      </c>
      <c r="G38" s="32">
        <f>D38*F38</f>
        <v>625041.3843490693</v>
      </c>
      <c r="H38" s="32">
        <f>E38*F38</f>
        <v>1396908.051015736</v>
      </c>
      <c r="I38" s="10" t="n"/>
    </row>
    <row r="39">
      <c r="A39" s="10" t="inlineStr">
        <is>
          <t>mo_ferr</t>
        </is>
      </c>
      <c r="B39" s="10" t="inlineStr">
        <is>
          <t>Ferrailleur</t>
        </is>
      </c>
      <c r="C39" s="12" t="inlineStr">
        <is>
          <t>h.j</t>
        </is>
      </c>
      <c r="D39" s="18">
        <f>SUMIFS('Sous-détails'!$J$5:$J$407,'Sous-détails'!$D$5:$D$407,A39,'Sous-détails'!$K$5:$K$407,"NON")</f>
        <v>37.65000600740528</v>
      </c>
      <c r="E39" s="18">
        <f>SUMIFS('Sous-détails'!$J$5:$J$407,'Sous-détails'!$D$5:$D$407,A39)</f>
        <v>37.65000600740528</v>
      </c>
      <c r="F39" s="32">
        <f>px_mo_ferr</f>
        <v>10000.0</v>
      </c>
      <c r="G39" s="32">
        <f>D39*F39</f>
        <v>376500.06007405283</v>
      </c>
      <c r="H39" s="32">
        <f>E39*F39</f>
        <v>376500.06007405283</v>
      </c>
      <c r="I39" s="10" t="n"/>
    </row>
    <row r="40">
      <c r="A40" s="10" t="inlineStr">
        <is>
          <t>mo_coff</t>
        </is>
      </c>
      <c r="B40" s="10" t="inlineStr">
        <is>
          <t>Coffreur</t>
        </is>
      </c>
      <c r="C40" s="12" t="inlineStr">
        <is>
          <t>h.j</t>
        </is>
      </c>
      <c r="D40" s="18">
        <f>SUMIFS('Sous-détails'!$J$5:$J$407,'Sous-détails'!$D$5:$D$407,A40,'Sous-détails'!$K$5:$K$407,"NON")</f>
        <v>30.244977927038917</v>
      </c>
      <c r="E40" s="18">
        <f>SUMIFS('Sous-détails'!$J$5:$J$407,'Sous-détails'!$D$5:$D$407,A40)</f>
        <v>30.244977927038917</v>
      </c>
      <c r="F40" s="32">
        <f>px_mo_coff</f>
        <v>10000.0</v>
      </c>
      <c r="G40" s="32">
        <f>D40*F40</f>
        <v>302449.7792703892</v>
      </c>
      <c r="H40" s="32">
        <f>E40*F40</f>
        <v>302449.7792703892</v>
      </c>
      <c r="I40" s="10" t="n"/>
    </row>
    <row r="41">
      <c r="A41" s="10" t="inlineStr">
        <is>
          <t>mo_soud</t>
        </is>
      </c>
      <c r="B41" s="10" t="inlineStr">
        <is>
          <t>Soudeur / couvreur</t>
        </is>
      </c>
      <c r="C41" s="12" t="inlineStr">
        <is>
          <t>h.j</t>
        </is>
      </c>
      <c r="D41" s="18">
        <f>SUMIFS('Sous-détails'!$J$5:$J$407,'Sous-détails'!$D$5:$D$407,A41,'Sous-détails'!$K$5:$K$407,"NON")</f>
        <v>45.87828121322028</v>
      </c>
      <c r="E41" s="18">
        <f>SUMIFS('Sous-détails'!$J$5:$J$407,'Sous-détails'!$D$5:$D$407,A41)</f>
        <v>126.2123614592891</v>
      </c>
      <c r="F41" s="32">
        <f>px_mo_soud</f>
        <v>15000.0</v>
      </c>
      <c r="G41" s="32">
        <f>D41*F41</f>
        <v>688174.2181983043</v>
      </c>
      <c r="H41" s="32">
        <f>E41*F41</f>
        <v>1893185.4218893365</v>
      </c>
      <c r="I41" s="10" t="n"/>
    </row>
    <row r="42">
      <c r="A42" s="10" t="inlineStr">
        <is>
          <t>mo_tech</t>
        </is>
      </c>
      <c r="B42" s="10" t="inlineStr">
        <is>
          <t>Technicien</t>
        </is>
      </c>
      <c r="C42" s="12" t="inlineStr">
        <is>
          <t>h.j</t>
        </is>
      </c>
      <c r="D42" s="18">
        <f>SUMIFS('Sous-détails'!$J$5:$J$407,'Sous-détails'!$D$5:$D$407,A42,'Sous-détails'!$K$5:$K$407,"NON")</f>
        <v>2.0</v>
      </c>
      <c r="E42" s="18">
        <f>SUMIFS('Sous-détails'!$J$5:$J$407,'Sous-détails'!$D$5:$D$407,A42)</f>
        <v>2.0</v>
      </c>
      <c r="F42" s="32">
        <f>px_mo_tech</f>
        <v>15000.0</v>
      </c>
      <c r="G42" s="32">
        <f>D42*F42</f>
        <v>30000.0</v>
      </c>
      <c r="H42" s="32">
        <f>E42*F42</f>
        <v>30000.0</v>
      </c>
      <c r="I42" s="10" t="n"/>
    </row>
    <row r="43">
      <c r="A43" s="10" t="inlineStr">
        <is>
          <t>mo_man</t>
        </is>
      </c>
      <c r="B43" s="10" t="inlineStr">
        <is>
          <t>Manœuvre</t>
        </is>
      </c>
      <c r="C43" s="12" t="inlineStr">
        <is>
          <t>h.j</t>
        </is>
      </c>
      <c r="D43" s="18">
        <f>SUMIFS('Sous-détails'!$J$5:$J$407,'Sous-détails'!$D$5:$D$407,A43,'Sous-détails'!$K$5:$K$407,"NON")</f>
        <v>457.6865311577376</v>
      </c>
      <c r="E43" s="18">
        <f>SUMIFS('Sous-détails'!$J$5:$J$407,'Sous-détails'!$D$5:$D$407,A43)</f>
        <v>624.3295447371397</v>
      </c>
      <c r="F43" s="32">
        <f>px_mo_man</f>
        <v>5000.0</v>
      </c>
      <c r="G43" s="32">
        <f>D43*F43</f>
        <v>2288432.655788688</v>
      </c>
      <c r="H43" s="32">
        <f>E43*F43</f>
        <v>3121647.7236856986</v>
      </c>
      <c r="I43" s="10" t="n"/>
    </row>
    <row r="44">
      <c r="A44" s="8" t="inlineStr">
        <is>
          <t>MATÉRIEL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</row>
    <row r="45">
      <c r="A45" s="10" t="inlineStr">
        <is>
          <t>mt_bet</t>
        </is>
      </c>
      <c r="B45" s="10" t="inlineStr">
        <is>
          <t>Bétonnière 350 L (location)</t>
        </is>
      </c>
      <c r="C45" s="12" t="inlineStr">
        <is>
          <t>j</t>
        </is>
      </c>
      <c r="D45" s="18">
        <f>SUMIFS('Sous-détails'!$J$5:$J$407,'Sous-détails'!$D$5:$D$407,A45,'Sous-détails'!$K$5:$K$407,"NON")</f>
        <v>12.314912939055837</v>
      </c>
      <c r="E45" s="18">
        <f>SUMIFS('Sous-détails'!$J$5:$J$407,'Sous-détails'!$D$5:$D$407,A45)</f>
        <v>12.314912939055837</v>
      </c>
      <c r="F45" s="32">
        <f>px_mt_bet</f>
        <v>25000.0</v>
      </c>
      <c r="G45" s="32">
        <f>D45*F45</f>
        <v>307872.8234763959</v>
      </c>
      <c r="H45" s="32">
        <f>E45*F45</f>
        <v>307872.8234763959</v>
      </c>
      <c r="I45" s="10" t="n"/>
    </row>
    <row r="46">
      <c r="A46" s="10" t="inlineStr">
        <is>
          <t>mt_vib</t>
        </is>
      </c>
      <c r="B46" s="10" t="inlineStr">
        <is>
          <t>Vibreur (location)</t>
        </is>
      </c>
      <c r="C46" s="12" t="inlineStr">
        <is>
          <t>j</t>
        </is>
      </c>
      <c r="D46" s="18">
        <f>SUMIFS('Sous-détails'!$J$5:$J$407,'Sous-détails'!$D$5:$D$407,A46,'Sous-détails'!$K$5:$K$407,"NON")</f>
        <v>12.314912939055837</v>
      </c>
      <c r="E46" s="18">
        <f>SUMIFS('Sous-détails'!$J$5:$J$407,'Sous-détails'!$D$5:$D$407,A46)</f>
        <v>12.314912939055837</v>
      </c>
      <c r="F46" s="32">
        <f>px_mt_vib</f>
        <v>15000.0</v>
      </c>
      <c r="G46" s="32">
        <f>D46*F46</f>
        <v>184723.69408583755</v>
      </c>
      <c r="H46" s="32">
        <f>E46*F46</f>
        <v>184723.69408583755</v>
      </c>
      <c r="I46" s="10" t="n"/>
    </row>
    <row r="47">
      <c r="A47" s="10" t="inlineStr">
        <is>
          <t>mt_dame</t>
        </is>
      </c>
      <c r="B47" s="10" t="inlineStr">
        <is>
          <t>Dame sauteuse (location)</t>
        </is>
      </c>
      <c r="C47" s="12" t="inlineStr">
        <is>
          <t>j</t>
        </is>
      </c>
      <c r="D47" s="18">
        <f>SUMIFS('Sous-détails'!$J$5:$J$407,'Sous-détails'!$D$5:$D$407,A47,'Sous-détails'!$K$5:$K$407,"NON")</f>
        <v>2.092762499999999</v>
      </c>
      <c r="E47" s="18">
        <f>SUMIFS('Sous-détails'!$J$5:$J$407,'Sous-détails'!$D$5:$D$407,A47)</f>
        <v>2.092762499999999</v>
      </c>
      <c r="F47" s="32">
        <f>px_mt_dame</f>
        <v>20000.0</v>
      </c>
      <c r="G47" s="32">
        <f>D47*F47</f>
        <v>41855.249999999985</v>
      </c>
      <c r="H47" s="32">
        <f>E47*F47</f>
        <v>41855.249999999985</v>
      </c>
      <c r="I47" s="10" t="n"/>
    </row>
    <row r="48">
      <c r="A48" s="10" t="inlineStr">
        <is>
          <t>mt_plaque</t>
        </is>
      </c>
      <c r="B48" s="10" t="inlineStr">
        <is>
          <t>Compacteur à plaque vibrante / rouleau 1 t (location)</t>
        </is>
      </c>
      <c r="C48" s="12" t="inlineStr">
        <is>
          <t>j</t>
        </is>
      </c>
      <c r="D48" s="18">
        <f>SUMIFS('Sous-détails'!$J$5:$J$407,'Sous-détails'!$D$5:$D$407,A48,'Sous-détails'!$K$5:$K$407,"NON")</f>
        <v>2.940225</v>
      </c>
      <c r="E48" s="18">
        <f>SUMIFS('Sous-détails'!$J$5:$J$407,'Sous-détails'!$D$5:$D$407,A48)</f>
        <v>2.940225</v>
      </c>
      <c r="F48" s="32">
        <f>px_mt_plaque</f>
        <v>60000.0</v>
      </c>
      <c r="G48" s="32">
        <f>D48*F48</f>
        <v>176413.5</v>
      </c>
      <c r="H48" s="32">
        <f>E48*F48</f>
        <v>176413.5</v>
      </c>
      <c r="I48" s="10" t="n"/>
    </row>
    <row r="49">
      <c r="A49" s="10" t="inlineStr">
        <is>
          <t>mt_cam</t>
        </is>
      </c>
      <c r="B49" s="10" t="inlineStr">
        <is>
          <t>Camion benne 10 m³</t>
        </is>
      </c>
      <c r="C49" s="12" t="inlineStr">
        <is>
          <t>voyage</t>
        </is>
      </c>
      <c r="D49" s="18">
        <f>SUMIFS('Sous-détails'!$J$5:$J$407,'Sous-détails'!$D$5:$D$407,A49,'Sous-détails'!$K$5:$K$407,"NON")</f>
        <v>17.689218750000002</v>
      </c>
      <c r="E49" s="18">
        <f>SUMIFS('Sous-détails'!$J$5:$J$407,'Sous-détails'!$D$5:$D$407,A49)</f>
        <v>17.689218750000002</v>
      </c>
      <c r="F49" s="32">
        <f>px_mt_cam</f>
        <v>25000.0</v>
      </c>
      <c r="G49" s="32">
        <f>D49*F49</f>
        <v>442230.46875000006</v>
      </c>
      <c r="H49" s="32">
        <f>E49*F49</f>
        <v>442230.46875000006</v>
      </c>
      <c r="I49" s="10" t="n"/>
    </row>
    <row r="50">
      <c r="A50" s="10" t="inlineStr">
        <is>
          <t>mt_scie</t>
        </is>
      </c>
      <c r="B50" s="10" t="inlineStr">
        <is>
          <t>Scie à sol (location)</t>
        </is>
      </c>
      <c r="C50" s="12" t="inlineStr">
        <is>
          <t>j</t>
        </is>
      </c>
      <c r="D50" s="18">
        <f>SUMIFS('Sous-détails'!$J$5:$J$407,'Sous-détails'!$D$5:$D$407,A50,'Sous-détails'!$K$5:$K$407,"NON")</f>
        <v>1.3208333333333333</v>
      </c>
      <c r="E50" s="18">
        <f>SUMIFS('Sous-détails'!$J$5:$J$407,'Sous-détails'!$D$5:$D$407,A50)</f>
        <v>1.3208333333333333</v>
      </c>
      <c r="F50" s="32">
        <f>px_mt_scie</f>
        <v>30000.0</v>
      </c>
      <c r="G50" s="32">
        <f>D50*F50</f>
        <v>39625.0</v>
      </c>
      <c r="H50" s="32">
        <f>E50*F50</f>
        <v>39625.0</v>
      </c>
      <c r="I50" s="10" t="n"/>
    </row>
    <row r="51">
      <c r="A51" s="10" t="inlineStr">
        <is>
          <t>mt_niveau</t>
        </is>
      </c>
      <c r="B51" s="10" t="inlineStr">
        <is>
          <t>Niveau / théodolite (location)</t>
        </is>
      </c>
      <c r="C51" s="12" t="inlineStr">
        <is>
          <t>j</t>
        </is>
      </c>
      <c r="D51" s="18">
        <f>SUMIFS('Sous-détails'!$J$5:$J$407,'Sous-détails'!$D$5:$D$407,A51,'Sous-détails'!$K$5:$K$407,"NON")</f>
        <v>2.0</v>
      </c>
      <c r="E51" s="18">
        <f>SUMIFS('Sous-détails'!$J$5:$J$407,'Sous-détails'!$D$5:$D$407,A51)</f>
        <v>2.0</v>
      </c>
      <c r="F51" s="32">
        <f>px_mt_niveau</f>
        <v>15000.0</v>
      </c>
      <c r="G51" s="32">
        <f>D51*F51</f>
        <v>30000.0</v>
      </c>
      <c r="H51" s="32">
        <f>E51*F51</f>
        <v>30000.0</v>
      </c>
      <c r="I51" s="10" t="n"/>
    </row>
    <row r="52">
      <c r="A52" s="10" t="inlineStr">
        <is>
          <t>mt_branch</t>
        </is>
      </c>
      <c r="B52" s="10" t="inlineStr">
        <is>
          <t>Branchements provisoires eau et électricité</t>
        </is>
      </c>
      <c r="C52" s="12" t="inlineStr">
        <is>
          <t>ft</t>
        </is>
      </c>
      <c r="D52" s="18">
        <f>SUMIFS('Sous-détails'!$J$5:$J$407,'Sous-détails'!$D$5:$D$407,A52,'Sous-détails'!$K$5:$K$407,"NON")</f>
        <v>1.0</v>
      </c>
      <c r="E52" s="18">
        <f>SUMIFS('Sous-détails'!$J$5:$J$407,'Sous-détails'!$D$5:$D$407,A52)</f>
        <v>1.0</v>
      </c>
      <c r="F52" s="32">
        <f>px_mt_branch</f>
        <v>100000.0</v>
      </c>
      <c r="G52" s="32">
        <f>D52*F52</f>
        <v>100000.0</v>
      </c>
      <c r="H52" s="32">
        <f>E52*F52</f>
        <v>100000.0</v>
      </c>
      <c r="I52" s="10" t="n"/>
    </row>
    <row r="53">
      <c r="A53" s="10" t="inlineStr">
        <is>
          <t>mt_ch</t>
        </is>
      </c>
      <c r="B53" s="10" t="inlineStr">
        <is>
          <t>Poste à souder, meuleuse, levage (charpente)</t>
        </is>
      </c>
      <c r="C53" s="12" t="inlineStr">
        <is>
          <t>kg</t>
        </is>
      </c>
      <c r="D53" s="18">
        <f>SUMIFS('Sous-détails'!$J$5:$J$407,'Sous-détails'!$D$5:$D$407,A53,'Sous-détails'!$K$5:$K$407,"NON")</f>
        <v>3449.6368727932168</v>
      </c>
      <c r="E53" s="18">
        <f>SUMIFS('Sous-détails'!$J$5:$J$407,'Sous-détails'!$D$5:$D$407,A53)</f>
        <v>6939.306872793217</v>
      </c>
      <c r="F53" s="32">
        <f>px_mt_ch</f>
        <v>100.0</v>
      </c>
      <c r="G53" s="32">
        <f>D53*F53</f>
        <v>344963.68727932166</v>
      </c>
      <c r="H53" s="32">
        <f>E53*F53</f>
        <v>693930.6872793217</v>
      </c>
      <c r="I53" s="10" t="n"/>
    </row>
    <row r="54">
      <c r="A54" s="10" t="inlineStr">
        <is>
          <t>mt_echaf</t>
        </is>
      </c>
      <c r="B54" s="10" t="inlineStr">
        <is>
          <t>Échafaudage (location)</t>
        </is>
      </c>
      <c r="C54" s="12" t="inlineStr">
        <is>
          <t>m²</t>
        </is>
      </c>
      <c r="D54" s="18">
        <f>SUMIFS('Sous-détails'!$J$5:$J$407,'Sous-détails'!$D$5:$D$407,A54,'Sous-détails'!$K$5:$K$407,"NON")</f>
        <v>0.0</v>
      </c>
      <c r="E54" s="18">
        <f>SUMIFS('Sous-détails'!$J$5:$J$407,'Sous-détails'!$D$5:$D$407,A54)</f>
        <v>926.24</v>
      </c>
      <c r="F54" s="32">
        <f>px_mt_echaf</f>
        <v>150.0</v>
      </c>
      <c r="G54" s="32">
        <f>D54*F54</f>
        <v>0.0</v>
      </c>
      <c r="H54" s="32">
        <f>E54*F54</f>
        <v>138936.0</v>
      </c>
      <c r="I54" s="10" t="n"/>
    </row>
    <row r="55">
      <c r="A55" s="10" t="inlineStr">
        <is>
          <t>mt_portail</t>
        </is>
      </c>
      <c r="B55" s="10" t="inlineStr">
        <is>
          <t>Poste à souder, meuleuse (portail)</t>
        </is>
      </c>
      <c r="C55" s="12" t="inlineStr">
        <is>
          <t>ft</t>
        </is>
      </c>
      <c r="D55" s="18">
        <f>SUMIFS('Sous-détails'!$J$5:$J$407,'Sous-détails'!$D$5:$D$407,A55,'Sous-détails'!$K$5:$K$407,"NON")</f>
        <v>0.0</v>
      </c>
      <c r="E55" s="18">
        <f>SUMIFS('Sous-détails'!$J$5:$J$407,'Sous-détails'!$D$5:$D$407,A55)</f>
        <v>1.0</v>
      </c>
      <c r="F55" s="32">
        <f>px_mt_portail</f>
        <v>150000.0</v>
      </c>
      <c r="G55" s="32">
        <f>D55*F55</f>
        <v>0.0</v>
      </c>
      <c r="H55" s="32">
        <f>E55*F55</f>
        <v>150000.0</v>
      </c>
      <c r="I55" s="10" t="n"/>
    </row>
    <row r="56">
      <c r="A56" s="23" t="n"/>
      <c r="B56" s="24" t="inlineStr">
        <is>
          <t>TOTAL (contrôle = déboursé sec, hors petit outillage)</t>
        </is>
      </c>
      <c r="C56" s="23" t="n"/>
      <c r="D56" s="23" t="n"/>
      <c r="E56" s="23" t="n"/>
      <c r="F56" s="23" t="n"/>
      <c r="G56" s="37">
        <f>SUM(G5:G55)</f>
        <v>27649258.177081265</v>
      </c>
      <c r="H56" s="37">
        <f>SUM(H5:H55)</f>
        <v>39759557.5640576</v>
      </c>
      <c r="I56" s="23" t="n"/>
    </row>
  </sheetData>
  <pageMargins left="0.75" right="0.75" top="1" bottom="1" header="0.5" footer="0.5"/>
  <pageSetup orientation="landscape" paperSize="9" fitToHeight="0" fitToWidth="1"/>
  <headerFooter>
    <oddHeader>&amp;LASSEYA SILVER CONSTRUCTION - établi par Moulo Jean Claude&amp;RBesoins en matériaux, main-d'œuvre et matériel</oddHeader>
    <oddFooter>&amp;LASSEYA SILVER CONSTRUCTION - N° CC 2245191 D - RCCM CI-BKE-01-2022-B13-00153&amp;RPage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Moulo Jean Claude</dc:creator>
  <dc:title xmlns:dc="http://purl.org/dc/elements/1.1/">Bâtiment industriel 30 x 10 m - Métré, déboursé sec et DQE</dc:title>
  <dc:subject xmlns:dc="http://purl.org/dc/elements/1.1/">ASSEYA SILVER CONSTRUCTION</dc:subject>
  <dcterms:created xmlns:dcterms="http://purl.org/dc/terms/" xmlns:xsi="http://www.w3.org/2001/XMLSchema-instance" xsi:type="dcterms:W3CDTF">2026-10-04T18:37:26Z</dcterms:created>
  <dcterms:modified xmlns:dcterms="http://purl.org/dc/terms/" xmlns:xsi="http://www.w3.org/2001/XMLSchema-instance" xsi:type="dcterms:W3CDTF">2026-10-04T18:37:26Z</dcterms:modified>
  <cp:lastModifiedBy>Moulo Jean Claude</cp:lastModifiedBy>
</cp:coreProperties>
</file>